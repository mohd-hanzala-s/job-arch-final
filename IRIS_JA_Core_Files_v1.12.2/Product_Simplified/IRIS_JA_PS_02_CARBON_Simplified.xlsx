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comments/comment2.xml" ContentType="application/vnd.openxmlformats-officedocument.spreadsheetml.comments+xml"/>
  <Override PartName="/xl/tables/table2.xml" ContentType="application/vnd.openxmlformats-officedocument.spreadsheetml.table+xml"/>
  <Override PartName="/xl/worksheets/sheet7.xml" ContentType="application/vnd.openxmlformats-officedocument.spreadsheetml.worksheet+xml"/>
  <Override PartName="/xl/comments/comment3.xml" ContentType="application/vnd.openxmlformats-officedocument.spreadsheetml.comments+xml"/>
  <Override PartName="/xl/tables/table3.xml" ContentType="application/vnd.openxmlformats-officedocument.spreadsheetml.table+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tart — How It Works" sheetId="1" state="visible" r:id="rId1"/>
    <sheet xmlns:r="http://schemas.openxmlformats.org/officeDocument/2006/relationships" name="1. Start Here" sheetId="2" state="visible" r:id="rId2"/>
    <sheet xmlns:r="http://schemas.openxmlformats.org/officeDocument/2006/relationships" name="2. People &amp; Levels" sheetId="3" state="visible" r:id="rId3"/>
    <sheet xmlns:r="http://schemas.openxmlformats.org/officeDocument/2006/relationships" name="3. Roles" sheetId="4" state="visible" r:id="rId4"/>
    <sheet xmlns:r="http://schemas.openxmlformats.org/officeDocument/2006/relationships" name="4. Decisions &amp; Actions" sheetId="5" state="visible" r:id="rId5"/>
    <sheet xmlns:r="http://schemas.openxmlformats.org/officeDocument/2006/relationships" name="5. Career Ladder" sheetId="6" state="visible" r:id="rId6"/>
    <sheet xmlns:r="http://schemas.openxmlformats.org/officeDocument/2006/relationships" name="6. Weightage Matrix" sheetId="7" state="visible" r:id="rId7"/>
  </sheets>
  <definedNames>
    <definedName name="WM_EXP_AB">'6. Weightage Matrix'!$B$6</definedName>
    <definedName name="WM_EXP_CE">'6. Weightage Matrix'!$B$7</definedName>
    <definedName name="WM_C">'6. Weightage Matrix'!$N$17:$N$46</definedName>
    <definedName name="WM_AU">'6. Weightage Matrix'!$O$17:$O$46</definedName>
    <definedName name="WM_AC">'6. Weightage Matrix'!$P$17:$P$46</definedName>
    <definedName name="WM_L">'6. Weightage Matrix'!$Q$17:$Q$46</definedName>
    <definedName name="WM_E">'6. Weightage Matrix'!$R$17:$R$46</definedName>
    <definedName name="WM_BI">'6. Weightage Matrix'!$S$17:$S$46</definedName>
    <definedName name="WM_KEY">'6. Weightage Matrix'!$A$17:$A$46</definedName>
    <definedName name="_xlnm.Print_Titles" localSheetId="2">'2. People &amp; Levels'!$5:$6</definedName>
    <definedName name="_xlnm._FilterDatabase" localSheetId="3" hidden="1">'3. Roles'!$A$6:$V$104</definedName>
    <definedName name="_xlnm.Print_Titles" localSheetId="3">'3. Roles'!$5:$6</definedName>
    <definedName name="_xlnm.Print_Titles" localSheetId="5">'5. Career Ladder'!$5:$6</definedName>
    <definedName name="_xlnm.Print_Titles" localSheetId="6">'6. Weightage Matrix'!$15:$16</definedName>
  </definedNames>
  <calcPr calcId="124519" fullCalcOnLoad="1"/>
</workbook>
</file>

<file path=xl/styles.xml><?xml version="1.0" encoding="utf-8"?>
<styleSheet xmlns="http://schemas.openxmlformats.org/spreadsheetml/2006/main">
  <numFmts count="1">
    <numFmt numFmtId="164" formatCode="0.0"/>
  </numFmts>
  <fonts count="31">
    <font>
      <name val="Calibri"/>
      <family val="2"/>
      <color theme="1"/>
      <sz val="11"/>
      <scheme val="minor"/>
    </font>
    <font>
      <name val="Calibri"/>
      <b val="1"/>
      <color rgb="00FFFFFF"/>
      <sz val="18"/>
    </font>
    <font>
      <name val="Calibri"/>
      <i val="1"/>
      <color rgb="00404040"/>
      <sz val="10"/>
    </font>
    <font>
      <name val="Calibri"/>
      <color rgb="007F7F7F"/>
      <sz val="8"/>
    </font>
    <font>
      <name val="Calibri"/>
      <b val="1"/>
      <color rgb="00FFFFFF"/>
      <sz val="12"/>
    </font>
    <font>
      <name val="Calibri"/>
      <sz val="10"/>
    </font>
    <font>
      <name val="Calibri"/>
      <b val="1"/>
      <color rgb="00FFFFFF"/>
      <sz val="10"/>
    </font>
    <font>
      <name val="Calibri"/>
      <b val="1"/>
      <sz val="10"/>
    </font>
    <font>
      <name val="Calibri"/>
      <b val="1"/>
      <color rgb="00FFFFFF"/>
      <sz val="9"/>
    </font>
    <font>
      <name val="Calibri"/>
      <b val="1"/>
      <color rgb="001F3864"/>
      <sz val="18"/>
    </font>
    <font>
      <name val="Calibri"/>
      <i val="1"/>
      <color rgb="00595959"/>
      <sz val="10"/>
    </font>
    <font>
      <name val="Calibri"/>
      <b val="1"/>
      <color rgb="00833C0B"/>
      <sz val="10"/>
    </font>
    <font>
      <name val="Calibri"/>
      <b val="1"/>
      <color rgb="00006100"/>
      <sz val="10"/>
    </font>
    <font>
      <name val="Calibri"/>
      <b val="1"/>
      <color rgb="009C5700"/>
      <sz val="10"/>
    </font>
    <font>
      <name val="Calibri"/>
      <b val="1"/>
      <color rgb="001F4E79"/>
      <sz val="10"/>
    </font>
    <font>
      <name val="Calibri"/>
      <b val="1"/>
      <color rgb="00375623"/>
      <sz val="10"/>
    </font>
    <font>
      <name val="Calibri"/>
      <b val="1"/>
      <color rgb="009C0006"/>
      <sz val="10"/>
    </font>
    <font>
      <name val="Calibri"/>
      <b val="1"/>
      <color rgb="007F6000"/>
      <sz val="10"/>
    </font>
    <font>
      <name val="Calibri"/>
      <color rgb="009C0006"/>
      <sz val="10"/>
    </font>
    <font>
      <name val="Calibri"/>
      <color rgb="009C5700"/>
      <sz val="10"/>
    </font>
    <font>
      <name val="Calibri"/>
      <b val="1"/>
      <color rgb="00404040"/>
      <sz val="10"/>
    </font>
    <font>
      <name val="Calibri"/>
      <b val="1"/>
      <color rgb="001F3864"/>
      <sz val="9"/>
    </font>
    <font>
      <name val="Calibri"/>
      <b val="1"/>
      <color rgb="00833C0B"/>
      <sz val="9"/>
    </font>
    <font>
      <name val="Calibri"/>
      <b val="1"/>
      <color rgb="00006100"/>
      <sz val="9"/>
    </font>
    <font>
      <name val="Calibri"/>
      <b val="1"/>
      <color rgb="009C5700"/>
      <sz val="9"/>
    </font>
    <font>
      <name val="Calibri"/>
      <b val="1"/>
      <color rgb="001F4E79"/>
      <sz val="9"/>
    </font>
    <font>
      <name val="Calibri"/>
      <b val="1"/>
      <color rgb="00375623"/>
      <sz val="9"/>
    </font>
    <font>
      <name val="Calibri"/>
      <b val="1"/>
      <color rgb="009C0006"/>
      <sz val="9"/>
    </font>
    <font>
      <name val="Calibri"/>
      <b val="1"/>
      <color rgb="007F6000"/>
      <sz val="9"/>
    </font>
    <font>
      <name val="Calibri"/>
      <b val="1"/>
      <sz val="12"/>
    </font>
    <font>
      <name val="Calibri"/>
      <b val="1"/>
      <color rgb="000563C1"/>
      <sz val="10"/>
      <u val="single"/>
    </font>
  </fonts>
  <fills count="24">
    <fill>
      <patternFill/>
    </fill>
    <fill>
      <patternFill patternType="gray125"/>
    </fill>
    <fill>
      <patternFill patternType="solid">
        <fgColor rgb="001F3864"/>
      </patternFill>
    </fill>
    <fill>
      <patternFill patternType="solid">
        <fgColor rgb="00D9E1F2"/>
      </patternFill>
    </fill>
    <fill>
      <patternFill patternType="solid">
        <fgColor rgb="002E75B6"/>
      </patternFill>
    </fill>
    <fill>
      <patternFill patternType="solid">
        <fgColor rgb="00F2F2F2"/>
      </patternFill>
    </fill>
    <fill>
      <patternFill patternType="solid">
        <fgColor rgb="00DDEBF7"/>
      </patternFill>
    </fill>
    <fill>
      <patternFill patternType="solid">
        <fgColor rgb="00E2EFDA"/>
      </patternFill>
    </fill>
    <fill>
      <patternFill patternType="solid">
        <fgColor rgb="00D0E8E5"/>
      </patternFill>
    </fill>
    <fill>
      <patternFill patternType="solid">
        <fgColor rgb="00E4DFEC"/>
      </patternFill>
    </fill>
    <fill>
      <patternFill patternType="solid">
        <fgColor rgb="00E8DCC8"/>
      </patternFill>
    </fill>
    <fill>
      <patternFill patternType="solid">
        <fgColor rgb="00EDEDED"/>
      </patternFill>
    </fill>
    <fill>
      <patternFill patternType="solid">
        <fgColor rgb="00F8CBAD"/>
      </patternFill>
    </fill>
    <fill>
      <patternFill patternType="solid">
        <fgColor rgb="00C6EFCE"/>
      </patternFill>
    </fill>
    <fill>
      <patternFill patternType="solid">
        <fgColor rgb="00FFEB9C"/>
      </patternFill>
    </fill>
    <fill>
      <patternFill patternType="solid">
        <fgColor rgb="00C6E0B4"/>
      </patternFill>
    </fill>
    <fill>
      <patternFill patternType="solid">
        <fgColor rgb="00FFC7CE"/>
      </patternFill>
    </fill>
    <fill>
      <patternFill patternType="solid">
        <fgColor rgb="00FFF2CC"/>
      </patternFill>
    </fill>
    <fill>
      <patternFill patternType="solid">
        <fgColor rgb="00548235"/>
      </patternFill>
    </fill>
    <fill>
      <patternFill patternType="solid">
        <fgColor rgb="007030A0"/>
      </patternFill>
    </fill>
    <fill>
      <patternFill patternType="solid">
        <fgColor rgb="00C55A11"/>
      </patternFill>
    </fill>
    <fill>
      <patternFill patternType="solid">
        <fgColor rgb="00806000"/>
      </patternFill>
    </fill>
    <fill>
      <patternFill patternType="solid">
        <fgColor rgb="00FCE4D6"/>
      </patternFill>
    </fill>
    <fill>
      <patternFill patternType="solid">
        <fgColor rgb="00808080"/>
      </patternFill>
    </fill>
  </fills>
  <borders count="6">
    <border>
      <left/>
      <right/>
      <top/>
      <bottom/>
      <diagonal/>
    </border>
    <border>
      <left style="thin">
        <color rgb="00BFBFBF"/>
      </left>
      <right style="thin">
        <color rgb="00BFBFBF"/>
      </right>
      <top style="thin">
        <color rgb="00BFBFBF"/>
      </top>
      <bottom style="thin">
        <color rgb="00BFBFBF"/>
      </bottom>
    </border>
    <border>
      <left/>
      <right/>
      <top style="thin">
        <color rgb="00BFBFBF"/>
      </top>
      <bottom/>
      <diagonal/>
    </border>
    <border>
      <left/>
      <right style="thin">
        <color rgb="00BFBFBF"/>
      </right>
      <top style="thin">
        <color rgb="00BFBFBF"/>
      </top>
      <bottom/>
      <diagonal/>
    </border>
    <border>
      <left/>
      <right/>
      <top style="thin">
        <color rgb="00BFBFBF"/>
      </top>
      <bottom style="thin">
        <color rgb="00BFBFBF"/>
      </bottom>
      <diagonal/>
    </border>
    <border>
      <left/>
      <right style="thin">
        <color rgb="00BFBFBF"/>
      </right>
      <top style="thin">
        <color rgb="00BFBFBF"/>
      </top>
      <bottom style="thin">
        <color rgb="00BFBFBF"/>
      </bottom>
      <diagonal/>
    </border>
  </borders>
  <cellStyleXfs count="1">
    <xf numFmtId="0" fontId="0" fillId="0" borderId="0"/>
  </cellStyleXfs>
  <cellXfs count="106">
    <xf numFmtId="0" fontId="0" fillId="0" borderId="0" pivotButton="0" quotePrefix="0" xfId="0"/>
    <xf numFmtId="0" fontId="1" fillId="2" borderId="0" applyAlignment="1" pivotButton="0" quotePrefix="0" xfId="0">
      <alignment vertical="center" indent="1"/>
    </xf>
    <xf numFmtId="0" fontId="0" fillId="2" borderId="0" pivotButton="0" quotePrefix="0" xfId="0"/>
    <xf numFmtId="0" fontId="2" fillId="0" borderId="0" applyAlignment="1" pivotButton="0" quotePrefix="0" xfId="0">
      <alignment vertical="top" wrapText="1" indent="1"/>
    </xf>
    <xf numFmtId="0" fontId="3" fillId="3" borderId="0" applyAlignment="1" pivotButton="0" quotePrefix="0" xfId="0">
      <alignment indent="1"/>
    </xf>
    <xf numFmtId="0" fontId="0" fillId="3" borderId="0" pivotButton="0" quotePrefix="0" xfId="0"/>
    <xf numFmtId="0" fontId="4" fillId="2" borderId="0" applyAlignment="1" pivotButton="0" quotePrefix="0" xfId="0">
      <alignment vertical="center"/>
    </xf>
    <xf numFmtId="0" fontId="5" fillId="0" borderId="0" applyAlignment="1" pivotButton="0" quotePrefix="0" xfId="0">
      <alignment vertical="top" wrapText="1"/>
    </xf>
    <xf numFmtId="0" fontId="6" fillId="4" borderId="1" applyAlignment="1" pivotButton="0" quotePrefix="0" xfId="0">
      <alignment horizontal="center" vertical="top" wrapText="1"/>
    </xf>
    <xf numFmtId="0" fontId="0" fillId="4" borderId="1" pivotButton="0" quotePrefix="0" xfId="0"/>
    <xf numFmtId="0" fontId="7" fillId="0" borderId="1" applyAlignment="1" pivotButton="0" quotePrefix="0" xfId="0">
      <alignment vertical="top" wrapText="1"/>
    </xf>
    <xf numFmtId="0" fontId="0" fillId="0" borderId="1" pivotButton="0" quotePrefix="0" xfId="0"/>
    <xf numFmtId="0" fontId="5" fillId="0" borderId="1" applyAlignment="1" pivotButton="0" quotePrefix="0" xfId="0">
      <alignment vertical="top" wrapText="1"/>
    </xf>
    <xf numFmtId="0" fontId="8" fillId="4" borderId="1" applyAlignment="1" pivotButton="0" quotePrefix="0" xfId="0">
      <alignment horizontal="center" vertical="top" wrapText="1"/>
    </xf>
    <xf numFmtId="0" fontId="9" fillId="5" borderId="1" applyAlignment="1" pivotButton="0" quotePrefix="0" xfId="0">
      <alignment horizontal="center" vertical="top" wrapText="1"/>
    </xf>
    <xf numFmtId="0" fontId="0" fillId="5" borderId="1" pivotButton="0" quotePrefix="0" xfId="0"/>
    <xf numFmtId="0" fontId="7" fillId="6" borderId="1" applyAlignment="1" pivotButton="0" quotePrefix="0" xfId="0">
      <alignment horizontal="center" vertical="top" wrapText="1"/>
    </xf>
    <xf numFmtId="0" fontId="5" fillId="6" borderId="1" applyAlignment="1" pivotButton="0" quotePrefix="0" xfId="0">
      <alignment vertical="top" wrapText="1"/>
    </xf>
    <xf numFmtId="0" fontId="0" fillId="6" borderId="1" pivotButton="0" quotePrefix="0" xfId="0"/>
    <xf numFmtId="0" fontId="5" fillId="6" borderId="1" applyAlignment="1" pivotButton="0" quotePrefix="0" xfId="0">
      <alignment horizontal="center" vertical="top" wrapText="1"/>
    </xf>
    <xf numFmtId="0" fontId="7" fillId="7" borderId="1" applyAlignment="1" pivotButton="0" quotePrefix="0" xfId="0">
      <alignment horizontal="center" vertical="top" wrapText="1"/>
    </xf>
    <xf numFmtId="0" fontId="5" fillId="7" borderId="1" applyAlignment="1" pivotButton="0" quotePrefix="0" xfId="0">
      <alignment vertical="top" wrapText="1"/>
    </xf>
    <xf numFmtId="0" fontId="0" fillId="7" borderId="1" pivotButton="0" quotePrefix="0" xfId="0"/>
    <xf numFmtId="0" fontId="5" fillId="7" borderId="1" applyAlignment="1" pivotButton="0" quotePrefix="0" xfId="0">
      <alignment horizontal="center" vertical="top" wrapText="1"/>
    </xf>
    <xf numFmtId="0" fontId="7" fillId="8" borderId="1" applyAlignment="1" pivotButton="0" quotePrefix="0" xfId="0">
      <alignment horizontal="center" vertical="top" wrapText="1"/>
    </xf>
    <xf numFmtId="0" fontId="5" fillId="8" borderId="1" applyAlignment="1" pivotButton="0" quotePrefix="0" xfId="0">
      <alignment vertical="top" wrapText="1"/>
    </xf>
    <xf numFmtId="0" fontId="0" fillId="8" borderId="1" pivotButton="0" quotePrefix="0" xfId="0"/>
    <xf numFmtId="0" fontId="5" fillId="8" borderId="1" applyAlignment="1" pivotButton="0" quotePrefix="0" xfId="0">
      <alignment horizontal="center" vertical="top" wrapText="1"/>
    </xf>
    <xf numFmtId="0" fontId="7" fillId="9" borderId="1" applyAlignment="1" pivotButton="0" quotePrefix="0" xfId="0">
      <alignment horizontal="center" vertical="top" wrapText="1"/>
    </xf>
    <xf numFmtId="0" fontId="5" fillId="9" borderId="1" applyAlignment="1" pivotButton="0" quotePrefix="0" xfId="0">
      <alignment vertical="top" wrapText="1"/>
    </xf>
    <xf numFmtId="0" fontId="0" fillId="9" borderId="1" pivotButton="0" quotePrefix="0" xfId="0"/>
    <xf numFmtId="0" fontId="5" fillId="9" borderId="1" applyAlignment="1" pivotButton="0" quotePrefix="0" xfId="0">
      <alignment horizontal="center" vertical="top" wrapText="1"/>
    </xf>
    <xf numFmtId="0" fontId="7" fillId="10" borderId="1" applyAlignment="1" pivotButton="0" quotePrefix="0" xfId="0">
      <alignment horizontal="center" vertical="top" wrapText="1"/>
    </xf>
    <xf numFmtId="0" fontId="5" fillId="10" borderId="1" applyAlignment="1" pivotButton="0" quotePrefix="0" xfId="0">
      <alignment vertical="top" wrapText="1"/>
    </xf>
    <xf numFmtId="0" fontId="0" fillId="10" borderId="1" pivotButton="0" quotePrefix="0" xfId="0"/>
    <xf numFmtId="0" fontId="5" fillId="10" borderId="1" applyAlignment="1" pivotButton="0" quotePrefix="0" xfId="0">
      <alignment horizontal="center" vertical="top" wrapText="1"/>
    </xf>
    <xf numFmtId="0" fontId="7" fillId="11" borderId="1" applyAlignment="1" pivotButton="0" quotePrefix="0" xfId="0">
      <alignment horizontal="center" vertical="top" wrapText="1"/>
    </xf>
    <xf numFmtId="0" fontId="5" fillId="11" borderId="1" applyAlignment="1" pivotButton="0" quotePrefix="0" xfId="0">
      <alignment vertical="top" wrapText="1"/>
    </xf>
    <xf numFmtId="0" fontId="0" fillId="11" borderId="1" pivotButton="0" quotePrefix="0" xfId="0"/>
    <xf numFmtId="0" fontId="5" fillId="11" borderId="1" applyAlignment="1" pivotButton="0" quotePrefix="0" xfId="0">
      <alignment horizontal="center" vertical="top" wrapText="1"/>
    </xf>
    <xf numFmtId="0" fontId="10" fillId="0" borderId="0" applyAlignment="1" pivotButton="0" quotePrefix="0" xfId="0">
      <alignment vertical="top" wrapText="1"/>
    </xf>
    <xf numFmtId="0" fontId="7" fillId="0" borderId="0" applyAlignment="1" pivotButton="0" quotePrefix="0" xfId="0">
      <alignment vertical="top" wrapText="1"/>
    </xf>
    <xf numFmtId="0" fontId="5" fillId="0" borderId="1" applyAlignment="1" pivotButton="0" quotePrefix="0" xfId="0">
      <alignment horizontal="center" vertical="top" wrapText="1"/>
    </xf>
    <xf numFmtId="0" fontId="11" fillId="12" borderId="1" applyAlignment="1" pivotButton="0" quotePrefix="0" xfId="0">
      <alignment vertical="center" indent="1"/>
    </xf>
    <xf numFmtId="0" fontId="0" fillId="12" borderId="1" pivotButton="0" quotePrefix="0" xfId="0"/>
    <xf numFmtId="0" fontId="12" fillId="13" borderId="1" applyAlignment="1" pivotButton="0" quotePrefix="0" xfId="0">
      <alignment vertical="center" indent="1"/>
    </xf>
    <xf numFmtId="0" fontId="0" fillId="13" borderId="1" pivotButton="0" quotePrefix="0" xfId="0"/>
    <xf numFmtId="0" fontId="13" fillId="14" borderId="1" applyAlignment="1" pivotButton="0" quotePrefix="0" xfId="0">
      <alignment vertical="center" indent="1"/>
    </xf>
    <xf numFmtId="0" fontId="0" fillId="14" borderId="1" pivotButton="0" quotePrefix="0" xfId="0"/>
    <xf numFmtId="0" fontId="14" fillId="6" borderId="1" applyAlignment="1" pivotButton="0" quotePrefix="0" xfId="0">
      <alignment vertical="center" indent="1"/>
    </xf>
    <xf numFmtId="0" fontId="15" fillId="15" borderId="1" applyAlignment="1" pivotButton="0" quotePrefix="0" xfId="0">
      <alignment vertical="center" indent="1"/>
    </xf>
    <xf numFmtId="0" fontId="0" fillId="15" borderId="1" pivotButton="0" quotePrefix="0" xfId="0"/>
    <xf numFmtId="0" fontId="16" fillId="16" borderId="1" applyAlignment="1" pivotButton="0" quotePrefix="0" xfId="0">
      <alignment vertical="center" indent="1"/>
    </xf>
    <xf numFmtId="0" fontId="0" fillId="16" borderId="1" pivotButton="0" quotePrefix="0" xfId="0"/>
    <xf numFmtId="0" fontId="17" fillId="17" borderId="1" applyAlignment="1" pivotButton="0" quotePrefix="0" xfId="0">
      <alignment vertical="center" indent="1"/>
    </xf>
    <xf numFmtId="0" fontId="0" fillId="17" borderId="1" pivotButton="0" quotePrefix="0" xfId="0"/>
    <xf numFmtId="0" fontId="21" fillId="3" borderId="0" applyAlignment="1" pivotButton="0" quotePrefix="0" xfId="0">
      <alignment horizontal="center" vertical="center" wrapText="1"/>
    </xf>
    <xf numFmtId="0" fontId="22" fillId="12" borderId="0" applyAlignment="1" pivotButton="0" quotePrefix="0" xfId="0">
      <alignment horizontal="center" vertical="center" wrapText="1"/>
    </xf>
    <xf numFmtId="0" fontId="23" fillId="13" borderId="0" applyAlignment="1" pivotButton="0" quotePrefix="0" xfId="0">
      <alignment horizontal="center" vertical="center" wrapText="1"/>
    </xf>
    <xf numFmtId="0" fontId="24" fillId="14" borderId="0" applyAlignment="1" pivotButton="0" quotePrefix="0" xfId="0">
      <alignment horizontal="center" vertical="center" wrapText="1"/>
    </xf>
    <xf numFmtId="0" fontId="25" fillId="6" borderId="0" applyAlignment="1" pivotButton="0" quotePrefix="0" xfId="0">
      <alignment horizontal="center" vertical="center" wrapText="1"/>
    </xf>
    <xf numFmtId="0" fontId="0" fillId="6" borderId="0" pivotButton="0" quotePrefix="0" xfId="0"/>
    <xf numFmtId="0" fontId="26" fillId="15" borderId="0" applyAlignment="1" pivotButton="0" quotePrefix="0" xfId="0">
      <alignment horizontal="center" vertical="center" wrapText="1"/>
    </xf>
    <xf numFmtId="0" fontId="0" fillId="15" borderId="0" pivotButton="0" quotePrefix="0" xfId="0"/>
    <xf numFmtId="0" fontId="27" fillId="16" borderId="0" applyAlignment="1" pivotButton="0" quotePrefix="0" xfId="0">
      <alignment horizontal="center" vertical="center" wrapText="1"/>
    </xf>
    <xf numFmtId="0" fontId="0" fillId="16" borderId="0" pivotButton="0" quotePrefix="0" xfId="0"/>
    <xf numFmtId="0" fontId="28" fillId="17" borderId="0" applyAlignment="1" pivotButton="0" quotePrefix="0" xfId="0">
      <alignment horizontal="center" vertical="center" wrapText="1"/>
    </xf>
    <xf numFmtId="0" fontId="0" fillId="17" borderId="0" pivotButton="0" quotePrefix="0" xfId="0"/>
    <xf numFmtId="0" fontId="4" fillId="2" borderId="0" applyAlignment="1" pivotButton="0" quotePrefix="0" xfId="0">
      <alignment vertical="center" wrapText="1"/>
    </xf>
    <xf numFmtId="0" fontId="4" fillId="4" borderId="0" applyAlignment="1" pivotButton="0" quotePrefix="0" xfId="0">
      <alignment vertical="center" wrapText="1"/>
    </xf>
    <xf numFmtId="0" fontId="4" fillId="18" borderId="0" applyAlignment="1" pivotButton="0" quotePrefix="0" xfId="0">
      <alignment vertical="center" wrapText="1"/>
    </xf>
    <xf numFmtId="0" fontId="4" fillId="19" borderId="0" applyAlignment="1" pivotButton="0" quotePrefix="0" xfId="0">
      <alignment vertical="center" wrapText="1"/>
    </xf>
    <xf numFmtId="0" fontId="4" fillId="20" borderId="0" applyAlignment="1" pivotButton="0" quotePrefix="0" xfId="0">
      <alignment vertical="center" wrapText="1"/>
    </xf>
    <xf numFmtId="0" fontId="4" fillId="21" borderId="0" applyAlignment="1" pivotButton="0" quotePrefix="0" xfId="0">
      <alignment vertical="center" wrapText="1"/>
    </xf>
    <xf numFmtId="0" fontId="6" fillId="2" borderId="1" applyAlignment="1" pivotButton="0" quotePrefix="0" xfId="0">
      <alignment horizontal="center" vertical="top" wrapText="1"/>
    </xf>
    <xf numFmtId="0" fontId="6" fillId="18" borderId="1" applyAlignment="1" pivotButton="0" quotePrefix="0" xfId="0">
      <alignment horizontal="center" vertical="top" wrapText="1"/>
    </xf>
    <xf numFmtId="0" fontId="6" fillId="19" borderId="1" applyAlignment="1" pivotButton="0" quotePrefix="0" xfId="0">
      <alignment horizontal="center" vertical="top" wrapText="1"/>
    </xf>
    <xf numFmtId="0" fontId="6" fillId="20" borderId="1" applyAlignment="1" pivotButton="0" quotePrefix="0" xfId="0">
      <alignment horizontal="center" vertical="top" wrapText="1"/>
    </xf>
    <xf numFmtId="0" fontId="6" fillId="21" borderId="1" applyAlignment="1" pivotButton="0" quotePrefix="0" xfId="0">
      <alignment horizontal="center" vertical="top" wrapText="1"/>
    </xf>
    <xf numFmtId="0" fontId="14" fillId="6" borderId="1" applyAlignment="1" pivotButton="0" quotePrefix="0" xfId="0">
      <alignment vertical="top" wrapText="1"/>
    </xf>
    <xf numFmtId="0" fontId="5" fillId="17" borderId="1" applyAlignment="1" pivotButton="0" quotePrefix="0" xfId="0">
      <alignment horizontal="center" vertical="top" wrapText="1"/>
    </xf>
    <xf numFmtId="2" fontId="5" fillId="0" borderId="1" applyAlignment="1" pivotButton="0" quotePrefix="0" xfId="0">
      <alignment horizontal="center" vertical="top" wrapText="1"/>
    </xf>
    <xf numFmtId="0" fontId="19" fillId="14" borderId="1" applyAlignment="1" pivotButton="0" quotePrefix="0" xfId="0">
      <alignment vertical="top" wrapText="1"/>
    </xf>
    <xf numFmtId="0" fontId="18" fillId="16" borderId="1" applyAlignment="1" pivotButton="0" quotePrefix="0" xfId="0">
      <alignment vertical="top" wrapText="1"/>
    </xf>
    <xf numFmtId="0" fontId="5" fillId="17" borderId="1" applyAlignment="1" pivotButton="0" quotePrefix="0" xfId="0">
      <alignment vertical="top" wrapText="1"/>
    </xf>
    <xf numFmtId="0" fontId="11" fillId="12" borderId="1" applyAlignment="1" pivotButton="0" quotePrefix="0" xfId="0">
      <alignment vertical="top" wrapText="1"/>
    </xf>
    <xf numFmtId="0" fontId="13" fillId="14" borderId="1" applyAlignment="1" pivotButton="0" quotePrefix="0" xfId="0">
      <alignment vertical="top" wrapText="1"/>
    </xf>
    <xf numFmtId="0" fontId="12" fillId="13" borderId="1" applyAlignment="1" pivotButton="0" quotePrefix="0" xfId="0">
      <alignment vertical="top" wrapText="1"/>
    </xf>
    <xf numFmtId="0" fontId="20" fillId="5" borderId="1" applyAlignment="1" pivotButton="0" quotePrefix="0" xfId="0">
      <alignment vertical="top" wrapText="1"/>
    </xf>
    <xf numFmtId="0" fontId="4" fillId="4" borderId="0" pivotButton="0" quotePrefix="0" xfId="0"/>
    <xf numFmtId="0" fontId="7" fillId="0" borderId="1" applyAlignment="1" pivotButton="0" quotePrefix="0" xfId="0">
      <alignment horizontal="center" vertical="top" wrapText="1"/>
    </xf>
    <xf numFmtId="0" fontId="6" fillId="4" borderId="1" applyAlignment="1" pivotButton="0" quotePrefix="0" xfId="0">
      <alignment vertical="top" wrapText="1"/>
    </xf>
    <xf numFmtId="0" fontId="0" fillId="0" borderId="4" pivotButton="0" quotePrefix="0" xfId="0"/>
    <xf numFmtId="0" fontId="0" fillId="0" borderId="5" pivotButton="0" quotePrefix="0" xfId="0"/>
    <xf numFmtId="0" fontId="7" fillId="3" borderId="1" applyAlignment="1" pivotButton="0" quotePrefix="0" xfId="0">
      <alignment vertical="top" wrapText="1"/>
    </xf>
    <xf numFmtId="0" fontId="5" fillId="3" borderId="1" applyAlignment="1" pivotButton="0" quotePrefix="0" xfId="0">
      <alignment horizontal="center" vertical="top" wrapText="1"/>
    </xf>
    <xf numFmtId="0" fontId="5" fillId="22" borderId="1" applyAlignment="1" pivotButton="0" quotePrefix="0" xfId="0">
      <alignment vertical="top" wrapText="1"/>
    </xf>
    <xf numFmtId="0" fontId="7" fillId="5" borderId="1" applyAlignment="1" pivotButton="0" quotePrefix="0" xfId="0">
      <alignment vertical="top" wrapText="1"/>
    </xf>
    <xf numFmtId="0" fontId="29" fillId="17" borderId="1" applyAlignment="1" pivotButton="0" quotePrefix="0" xfId="0">
      <alignment horizontal="center" vertical="top" wrapText="1"/>
    </xf>
    <xf numFmtId="0" fontId="6" fillId="23" borderId="1" applyAlignment="1" pivotButton="0" quotePrefix="0" xfId="0">
      <alignment horizontal="center" vertical="top" wrapText="1"/>
    </xf>
    <xf numFmtId="164" fontId="5" fillId="17" borderId="1" applyAlignment="1" pivotButton="0" quotePrefix="0" xfId="0">
      <alignment horizontal="center" vertical="top" wrapText="1"/>
    </xf>
    <xf numFmtId="164" fontId="7" fillId="0" borderId="1" applyAlignment="1" pivotButton="0" quotePrefix="0" xfId="0">
      <alignment horizontal="center" vertical="top" wrapText="1"/>
    </xf>
    <xf numFmtId="9" fontId="5" fillId="11" borderId="1" applyAlignment="1" pivotButton="0" quotePrefix="0" xfId="0">
      <alignment horizontal="center" vertical="top" wrapText="1"/>
    </xf>
    <xf numFmtId="164" fontId="5" fillId="0" borderId="1" applyAlignment="1" pivotButton="0" quotePrefix="0" xfId="0">
      <alignment vertical="top" wrapText="1"/>
    </xf>
    <xf numFmtId="0" fontId="30" fillId="0" borderId="0" applyAlignment="1" pivotButton="0" quotePrefix="0" xfId="0">
      <alignment vertical="center"/>
    </xf>
    <xf numFmtId="0" fontId="3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People by level</a:t>
            </a:r>
          </a:p>
        </rich>
      </tx>
    </title>
    <plotArea>
      <barChart>
        <barDir val="col"/>
        <grouping val="clustered"/>
        <ser>
          <idx val="0"/>
          <order val="0"/>
          <tx>
            <strRef>
              <f>'1. Start Here'!B106</f>
            </strRef>
          </tx>
          <spPr>
            <a:solidFill xmlns:a="http://schemas.openxmlformats.org/drawingml/2006/main">
              <a:srgbClr val="2E75B6"/>
            </a:solidFill>
            <a:ln xmlns:a="http://schemas.openxmlformats.org/drawingml/2006/main">
              <a:solidFill>
                <a:srgbClr val="2E75B6"/>
              </a:solidFill>
              <a:prstDash val="solid"/>
            </a:ln>
          </spPr>
          <cat>
            <numRef>
              <f>'1. Start Here'!$A$107:$A$117</f>
            </numRef>
          </cat>
          <val>
            <numRef>
              <f>'1. Start Here'!$B$107:$B$117</f>
            </numRef>
          </val>
        </ser>
        <dLbls>
          <showLegendKey val="0"/>
          <showVal val="1"/>
          <showCatName val="0"/>
          <showSerName val="0"/>
        </dLbls>
        <gapWidth val="150"/>
        <axId val="10"/>
        <axId val="100"/>
      </barChart>
      <catAx>
        <axId val="10"/>
        <scaling>
          <orientation val="minMax"/>
        </scaling>
        <delete val="0"/>
        <axPos val="l"/>
        <majorTickMark val="none"/>
        <minorTickMark val="none"/>
        <crossAx val="100"/>
        <lblOffset val="100"/>
      </catAx>
      <valAx>
        <axId val="100"/>
        <scaling>
          <orientation val="minMax"/>
        </scaling>
        <delete val="0"/>
        <axPos val="l"/>
        <majorTickMark val="none"/>
        <minorTickMark val="none"/>
        <crossAx val="10"/>
      </valAx>
    </plotArea>
    <plotVisOnly val="1"/>
    <dispBlanksAs val="gap"/>
  </chart>
</chartSpace>
</file>

<file path=xl/comments/comment1.xml><?xml version="1.0" encoding="utf-8"?>
<comments xmlns="http://schemas.openxmlformats.org/spreadsheetml/2006/main">
  <authors>
    <author>IRIS HR</author>
  </authors>
  <commentList>
    <comment ref="A6" authorId="0" shapeId="0">
      <text>
        <t>Employee ID from the HRIS · Employee Master.</t>
      </text>
    </comment>
    <comment ref="B6" authorId="0" shapeId="0">
      <text>
        <t>As in the Employee Master.</t>
      </text>
    </comment>
    <comment ref="C6" authorId="0" shapeId="0">
      <text>
        <t>Department in the Employee Master.</t>
      </text>
    </comment>
    <comment ref="D6" authorId="0" shapeId="0">
      <text>
        <t>Title held today · Employee Master.</t>
      </text>
    </comment>
    <comment ref="E6" authorId="0" shapeId="0">
      <text>
        <t>New title: level marker + role noun · title rules N1–N5.</t>
      </text>
    </comment>
    <comment ref="F6" authorId="0" shapeId="0">
      <text>
        <t>The discipline, the same across businesses.</t>
      </text>
    </comment>
    <comment ref="H6" authorId="0" shapeId="0">
      <text>
        <t>Individual Contributor, POD Lead, People Manager, Player-Coach or Consultant.</t>
      </text>
    </comment>
    <comment ref="I6" authorId="0" shapeId="0">
      <text>
        <t>Level in the current structure, or 'Not in current mapping files'.</t>
      </text>
    </comment>
    <comment ref="J6" authorId="0" shapeId="0">
      <text>
        <t>Level on the new ladder after the rules.</t>
      </text>
    </comment>
    <comment ref="K6" authorId="0" shapeId="0">
      <text>
        <t>The generic title of the level on the person's track.</t>
      </text>
    </comment>
    <comment ref="L6" authorId="0" shapeId="0">
      <text>
        <t>Up, same, down · pay and title protected for one cycle or newly mapped.</t>
      </text>
    </comment>
    <comment ref="T6" authorId="0" shapeId="0">
      <text>
        <t>Weighted score = Σ rating × weight, on the 1–12 level scale. Not performance, not pay.</t>
      </text>
    </comment>
    <comment ref="U6" authorId="0" shapeId="0">
      <text>
        <t>The score rounded to the nearest level ·.5 rounds up, before the rules.</t>
      </text>
    </comment>
    <comment ref="AC6" authorId="0" shapeId="0">
      <text>
        <t>Agree / Change / Discuss — your view of this placement.</t>
      </text>
    </comment>
  </commentList>
</comments>
</file>

<file path=xl/comments/comment2.xml><?xml version="1.0" encoding="utf-8"?>
<comments xmlns="http://schemas.openxmlformats.org/spreadsheetml/2006/main">
  <authors>
    <author>IRIS HR</author>
  </authors>
  <commentList>
    <comment ref="A6" authorId="0" shapeId="0">
      <text>
        <t>Department in the Employee Master.</t>
      </text>
    </comment>
    <comment ref="B6" authorId="0" shapeId="0">
      <text>
        <t>A practitioner · B specialist / manager · C principal / head · D business leadership · E enterprise leadership.</t>
      </text>
    </comment>
    <comment ref="D6" authorId="0" shapeId="0">
      <text>
        <t>The generic title of the level on the person's track.</t>
      </text>
    </comment>
    <comment ref="E6" authorId="0" shapeId="0">
      <text>
        <t>The discipline, the same across businesses.</t>
      </text>
    </comment>
    <comment ref="H6" authorId="0" shapeId="0">
      <text>
        <t>Individual Contributor, POD Lead, People Manager, Player-Coach or Consultant.</t>
      </text>
    </comment>
  </commentList>
</comments>
</file>

<file path=xl/comments/comment3.xml><?xml version="1.0" encoding="utf-8"?>
<comments xmlns="http://schemas.openxmlformats.org/spreadsheetml/2006/main">
  <authors>
    <author>IRIS HR</author>
  </authors>
  <commentList>
    <comment ref="B16" authorId="0" shapeId="0">
      <text>
        <t>Business line: CARBON, iFile, iDEAL, Datatech, Consume or Corporate.</t>
      </text>
    </comment>
    <comment ref="C16" authorId="0" shapeId="0">
      <text>
        <t>Department in the Employee Master.</t>
      </text>
    </comment>
  </commentList>
</comments>
</file>

<file path=xl/drawings/_rels/drawing1.xml.rels><Relationships xmlns="http://schemas.openxmlformats.org/package/2006/relationships"><Relationship Type="http://schemas.openxmlformats.org/officeDocument/2006/relationships/chart" Target="/xl/charts/chart1.xml" Id="rId1"/></Relationships>
</file>

<file path=xl/drawings/drawing1.xml><?xml version="1.0" encoding="utf-8"?>
<wsDr xmlns="http://schemas.openxmlformats.org/drawingml/2006/spreadsheetDrawing">
  <oneCellAnchor>
    <from>
      <col>3</col>
      <colOff>0</colOff>
      <row>105</row>
      <rowOff>0</rowOff>
    </from>
    <ext cx="6480000" cy="288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ables/table1.xml><?xml version="1.0" encoding="utf-8"?>
<table xmlns="http://schemas.openxmlformats.org/spreadsheetml/2006/main" id="1" name="T_2__People___Levels" displayName="T_2__People___Levels" ref="A6:AF221" headerRowCount="1">
  <autoFilter ref="A6:AF221"/>
  <tableColumns count="32">
    <tableColumn id="1" name="Emp ID"/>
    <tableColumn id="2" name="Employee name"/>
    <tableColumn id="3" name="Department"/>
    <tableColumn id="4" name="Current designation"/>
    <tableColumn id="5" name="New designation"/>
    <tableColumn id="6" name="Job family"/>
    <tableColumn id="7" name="Sub-family"/>
    <tableColumn id="8" name="Track"/>
    <tableColumn id="9" name="Current level"/>
    <tableColumn id="10" name="NEW LEVEL"/>
    <tableColumn id="11" name="Level title"/>
    <tableColumn id="12" name="Change vs current"/>
    <tableColumn id="13" name="Weight row — Weightage Matrix"/>
    <tableColumn id="14" name="Complexity rating"/>
    <tableColumn id="15" name="Autonomy rating"/>
    <tableColumn id="16" name="Accountab. rating"/>
    <tableColumn id="17" name="Leadership rating"/>
    <tableColumn id="18" name="Exp + Qual rating"/>
    <tableColumn id="19" name="Bus. Impact rating"/>
    <tableColumn id="20" name="Score"/>
    <tableColumn id="21" name="Level the score indicates"/>
    <tableColumn id="22" name="Why this level"/>
    <tableColumn id="23" name="How each factor was rated · rating of 12 — starting point and evidence"/>
    <tableColumn id="24" name="Market comparison"/>
    <tableColumn id="25" name="Data behind the placement"/>
    <tableColumn id="26" name="Points for your attention"/>
    <tableColumn id="27" name="Input still needed — and who provides it"/>
    <tableColumn id="28" name="Business impact — from survey and data"/>
    <tableColumn id="29" name="Your view"/>
    <tableColumn id="30" name="If change: proposed level / designation, and why"/>
    <tableColumn id="31" name="Business impact of this person — your view"/>
    <tableColumn id="32" name="Bus. Impact — model start"/>
  </tableColumns>
  <tableStyleInfo name="TableStyleLight1" showRowStripes="1" showColumnStripes="0"/>
</table>
</file>

<file path=xl/tables/table2.xml><?xml version="1.0" encoding="utf-8"?>
<table xmlns="http://schemas.openxmlformats.org/spreadsheetml/2006/main" id="2" name="T_5__Career_Ladder" displayName="T_5__Career_Ladder" ref="A6:P101" headerRowCount="1">
  <autoFilter ref="A6:P101"/>
  <tableColumns count="16">
    <tableColumn id="1" name="Department"/>
    <tableColumn id="2" name="Band"/>
    <tableColumn id="3" name="Level"/>
    <tableColumn id="4" name="Level title"/>
    <tableColumn id="5" name="Job family"/>
    <tableColumn id="6" name="Sub-family"/>
    <tableColumn id="7" name="Designation"/>
    <tableColumn id="8" name="Track"/>
    <tableColumn id="9" name="Holders"/>
    <tableColumn id="10" name="Ladder in this sub-family here · level: designation"/>
    <tableColumn id="11" name="★ Must-have competencies"/>
    <tableColumn id="12" name="Other functional competencies"/>
    <tableColumn id="13" name="Proficiency needed"/>
    <tableColumn id="14" name="Credentials"/>
    <tableColumn id="15" name="Overlap within CARBON · same work in other departments"/>
    <tableColumn id="16" name="Overlap across IRIS · same work in other products"/>
  </tableColumns>
  <tableStyleInfo name="TableStyleLight1" showRowStripes="1" showColumnStripes="0"/>
</table>
</file>

<file path=xl/tables/table3.xml><?xml version="1.0" encoding="utf-8"?>
<table xmlns="http://schemas.openxmlformats.org/spreadsheetml/2006/main" id="3" name="T_6__Weightage_Matrix" displayName="T_6__Weightage_Matrix" ref="A16:T46" headerRowCount="1">
  <autoFilter ref="A16:T46"/>
  <tableColumns count="20">
    <tableColumn id="1" name="Weight row"/>
    <tableColumn id="2" name="Business"/>
    <tableColumn id="3" name="Department"/>
    <tableColumn id="4" name="Role group"/>
    <tableColumn id="5" name="People"/>
    <tableColumn id="6" name="Main type of work"/>
    <tableColumn id="7" name="How hard %"/>
    <tableColumn id="8" name="Decides alone %"/>
    <tableColumn id="9" name="Answers for %"/>
    <tableColumn id="10" name="Leads %"/>
    <tableColumn id="11" name="Experience %"/>
    <tableColumn id="12" name="Business impact %"/>
    <tableColumn id="13" name="Entered total"/>
    <tableColumn id="14" name="Used · How hard"/>
    <tableColumn id="15" name="Used · Decides alone"/>
    <tableColumn id="16" name="Used · Answers for"/>
    <tableColumn id="17" name="Used · Leads"/>
    <tableColumn id="18" name="Used · Experience"/>
    <tableColumn id="19" name="Used · Business impact"/>
    <tableColumn id="20" name="Why changed · leader"/>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1. Start Here'!A1" TargetMode="External" Id="rId1"/></Relationships>
</file>

<file path=xl/worksheets/_rels/sheet2.xml.rels><Relationships xmlns="http://schemas.openxmlformats.org/package/2006/relationships"><Relationship Type="http://schemas.openxmlformats.org/officeDocument/2006/relationships/hyperlink" Target="#'2. People &amp; Levels'!A1" TargetMode="External" Id="rId1"/><Relationship Type="http://schemas.openxmlformats.org/officeDocument/2006/relationships/hyperlink" Target="#'3. Roles'!A1" TargetMode="External" Id="rId2"/><Relationship Type="http://schemas.openxmlformats.org/officeDocument/2006/relationships/hyperlink" Target="#'4. Decisions &amp; Actions'!A1" TargetMode="External" Id="rId3"/><Relationship Type="http://schemas.openxmlformats.org/officeDocument/2006/relationships/hyperlink" Target="#'5. Career Ladder'!A1" TargetMode="External" Id="rId4"/><Relationship Type="http://schemas.openxmlformats.org/officeDocument/2006/relationships/hyperlink" Target="#'6. Weightage Matrix'!A1" TargetMode="External" Id="rId5"/><Relationship Type="http://schemas.openxmlformats.org/officeDocument/2006/relationships/drawing" Target="/xl/drawings/drawing1.xml" Id="rId6"/></Relationships>
</file>

<file path=xl/worksheets/_rels/sheet3.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1.xml" Id="rId2"/><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4.xml.rels><Relationships xmlns="http://schemas.openxmlformats.org/package/2006/relationships"><Relationship Type="http://schemas.openxmlformats.org/officeDocument/2006/relationships/hyperlink" Target="#'1. Start Here'!A1" TargetMode="External" Id="rId1"/></Relationships>
</file>

<file path=xl/worksheets/_rels/sheet5.xml.rels><Relationships xmlns="http://schemas.openxmlformats.org/package/2006/relationships"><Relationship Type="http://schemas.openxmlformats.org/officeDocument/2006/relationships/hyperlink" Target="#'1. Start Here'!A1" TargetMode="External" Id="rId1"/></Relationships>
</file>

<file path=xl/worksheets/_rels/sheet6.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2.xml" Id="rId2"/><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_rels/sheet7.xml.rels><Relationships xmlns="http://schemas.openxmlformats.org/package/2006/relationships"><Relationship Type="http://schemas.openxmlformats.org/officeDocument/2006/relationships/hyperlink" Target="#'1. Start Here'!A1" TargetMode="External" Id="rId1"/><Relationship Type="http://schemas.openxmlformats.org/officeDocument/2006/relationships/table" Target="/xl/tables/table3.xml" Id="rId2"/><Relationship Type="http://schemas.openxmlformats.org/officeDocument/2006/relationships/comments" Target="/xl/comments/comment3.xml" Id="comments"/><Relationship Type="http://schemas.openxmlformats.org/officeDocument/2006/relationships/vmlDrawing" Target="/xl/drawings/commentsDrawing3.vml" Id="anysvml"/></Relationships>
</file>

<file path=xl/worksheets/sheet1.xml><?xml version="1.0" encoding="utf-8"?>
<worksheet xmlns="http://schemas.openxmlformats.org/spreadsheetml/2006/main">
  <sheetPr>
    <tabColor rgb="001F3864"/>
    <outlinePr summaryBelow="1" summaryRight="1"/>
    <pageSetUpPr fitToPage="1"/>
  </sheetPr>
  <dimension ref="A1:E87"/>
  <sheetViews>
    <sheetView showGridLines="0" workbookViewId="0">
      <pane ySplit="4" topLeftCell="A5" activePane="bottomLeft" state="frozen"/>
      <selection pane="bottomLeft" activeCell="A1" sqref="A1"/>
    </sheetView>
  </sheetViews>
  <sheetFormatPr baseColWidth="8" defaultRowHeight="15"/>
  <cols>
    <col width="6" customWidth="1" min="1" max="1"/>
    <col width="30" customWidth="1" min="2" max="2"/>
    <col width="70" customWidth="1" min="3" max="3"/>
    <col width="44" customWidth="1" min="4" max="4"/>
    <col width="13" customWidth="1" min="5" max="5"/>
  </cols>
  <sheetData>
    <row r="1" ht="34" customHeight="1">
      <c r="A1" s="1" t="inlineStr">
        <is>
          <t>How this exercise works — from a base framework to the final job architecture</t>
        </is>
      </c>
      <c r="B1" s="2" t="n"/>
      <c r="C1" s="2" t="n"/>
      <c r="D1" s="2" t="n"/>
      <c r="E1" s="104" t="inlineStr">
        <is>
          <t>◂ Start Here</t>
        </is>
      </c>
    </row>
    <row r="2" ht="46" customHeight="1">
      <c r="A2" s="3" t="inlineStr">
        <is>
          <r>
            <rPr>
              <rFont val="Calibri"/>
              <b val="1"/>
              <i val="1"/>
              <color rgb="00404040"/>
              <sz val="10"/>
            </rPr>
            <t>Read this first:</t>
          </r>
          <r>
            <rPr>
              <rFont val="Calibri"/>
              <i val="1"/>
              <color rgb="00404040"/>
              <sz val="10"/>
            </rPr>
            <t xml:space="preserve"> what we did step by step, what is happening now, how the model works, what it produced, the impact — then our framework, the Job Architecture process and the Job Design process. The same page opens every file. The business head's edition for one product: the numbers, every placement, the roles, the decisions and the career ladder.</t>
          </r>
        </is>
      </c>
    </row>
    <row r="3">
      <c r="A3" s="4" t="inlineStr">
        <is>
          <t>IRIS · Job Architecture &amp; Job Design · Final v1.12 · October 2026 · Internal — Confidential</t>
        </is>
      </c>
      <c r="B3" s="5" t="n"/>
      <c r="C3" s="5" t="n"/>
      <c r="D3" s="5" t="n"/>
    </row>
    <row r="4"/>
    <row r="5" ht="20" customHeight="1">
      <c r="A5" s="6" t="inlineStr">
        <is>
          <t>1. What we did — step by step</t>
        </is>
      </c>
      <c r="B5" s="2" t="n"/>
      <c r="C5" s="2" t="n"/>
      <c r="D5" s="2" t="n"/>
    </row>
    <row r="6" ht="15" customHeight="1">
      <c r="A6" s="8" t="inlineStr">
        <is>
          <t>#</t>
        </is>
      </c>
      <c r="B6" s="8" t="inlineStr">
        <is>
          <t>Step</t>
        </is>
      </c>
      <c r="C6" s="8" t="inlineStr">
        <is>
          <t>What we did</t>
        </is>
      </c>
      <c r="D6" s="8" t="inlineStr">
        <is>
          <t>What came out of it</t>
        </is>
      </c>
    </row>
    <row r="7" ht="54" customHeight="1">
      <c r="A7" s="42" t="n">
        <v>1</v>
      </c>
      <c r="B7" s="12" t="inlineStr">
        <is>
          <t>Created a base framework</t>
        </is>
      </c>
      <c r="C7" s="12" t="inlineStr">
        <is>
          <t>Built IRIS's job architecture from established market methods — Aon Radford / Mercer career levels, Korn Ferry Hay factors, WTW banding and SFIA — with job families anchored to the ILO occupation standard.</t>
        </is>
      </c>
      <c r="D7" s="12" t="inlineStr">
        <is>
          <t>19 job families, 61 sub-families, a 12-level ladder plus two Player-Coach steps · B+, C+, six factors, individual-contributor and manager tracks</t>
        </is>
      </c>
    </row>
    <row r="8" ht="54" customHeight="1">
      <c r="A8" s="42" t="n">
        <v>2</v>
      </c>
      <c r="B8" s="12" t="inlineStr">
        <is>
          <t>Designed a survey around it</t>
        </is>
      </c>
      <c r="C8" s="12" t="inlineStr">
        <is>
          <r>
            <rPr>
              <rFont val="Calibri"/>
              <b val="1"/>
              <sz val="10"/>
            </rPr>
            <t>The 'How We Grow' survey:</t>
          </r>
          <r>
            <rPr>
              <rFont val="Calibri"/>
              <sz val="10"/>
            </rPr>
            <t xml:space="preserve"> 20 questions, each tied to the framework's factors — purpose of the role, what it delivers, what it is accountable for, what it can decide, the skills and tools it needs, and learning needs.</t>
          </r>
        </is>
      </c>
      <c r="D8" s="12" t="inlineStr">
        <is>
          <t>One evidence form for every role, so each rating can be traced to an answer</t>
        </is>
      </c>
    </row>
    <row r="9" ht="41" customHeight="1">
      <c r="A9" s="42" t="n">
        <v>3</v>
      </c>
      <c r="B9" s="12" t="inlineStr">
        <is>
          <t>Conducted 60–65 workshops</t>
        </is>
      </c>
      <c r="C9" s="12" t="inlineStr">
        <is>
          <t>Ran 60–65 workshops with teams across the six products and Corporate: explained the framework, walked through the questions and collected answers in the room.</t>
        </is>
      </c>
      <c r="D9" s="12" t="inlineStr">
        <is>
          <t>Survey responses from 520 people</t>
        </is>
      </c>
    </row>
    <row r="10" ht="41" customHeight="1">
      <c r="A10" s="42" t="n">
        <v>4</v>
      </c>
      <c r="B10" s="12" t="inlineStr">
        <is>
          <t>Gathered the data</t>
        </is>
      </c>
      <c r="C10" s="12" t="inlineStr">
        <is>
          <t>Combined the survey with the HRIS employee master, KRAs · self and manager-set, the managers' talent mapping · rating, potential, 9-box and the reporting lines.</t>
        </is>
      </c>
      <c r="D10" s="12" t="inlineStr">
        <is>
          <t>One record per person — 586 people; KRAs on file for 453</t>
        </is>
      </c>
    </row>
    <row r="11" ht="41" customHeight="1">
      <c r="A11" s="42" t="n">
        <v>5</v>
      </c>
      <c r="B11" s="12" t="inlineStr">
        <is>
          <t>Cleaned and protected it</t>
        </is>
      </c>
      <c r="C11" s="12" t="inlineStr">
        <is>
          <t>Matched responses to people · with consent where needed, removed personal data, and showed survey content only where three or more role-holders answered — never one person's words against a name.</t>
        </is>
      </c>
      <c r="D11" s="12" t="inlineStr">
        <is>
          <t>Privacy-safe evidence</t>
        </is>
      </c>
    </row>
    <row r="12" ht="28" customHeight="1">
      <c r="A12" s="42" t="n">
        <v>6</v>
      </c>
      <c r="B12" s="12" t="inlineStr">
        <is>
          <t>Mapped every role</t>
        </is>
      </c>
      <c r="C12" s="12" t="inlineStr">
        <is>
          <t>Placed each person in a job family, a sub-family · the work they actually do and a track.</t>
        </is>
      </c>
      <c r="D12" s="12" t="inlineStr">
        <is>
          <t>267 distinct employee roles; one IRIS-wide role catalogue</t>
        </is>
      </c>
    </row>
    <row r="13" ht="54" customHeight="1">
      <c r="A13" s="42" t="n">
        <v>7</v>
      </c>
      <c r="B13" s="12" t="inlineStr">
        <is>
          <t>Rated and scored</t>
        </is>
      </c>
      <c r="C13" s="12" t="inlineStr">
        <is>
          <t>Rated six factors — Complexity, Autonomy, Accountability, Leadership, Experience &amp; Qualification, Business Impact — on the ladder scale from the evidence; rating × weight = points; points add up to a score; the score points to a level.</t>
        </is>
      </c>
      <c r="D13" s="12" t="inlineStr">
        <is>
          <t>A score and an indicated level for 540 employees</t>
        </is>
      </c>
    </row>
    <row r="14" ht="41" customHeight="1">
      <c r="A14" s="42" t="n">
        <v>8</v>
      </c>
      <c r="B14" s="12" t="inlineStr">
        <is>
          <t>Applied the rules</t>
        </is>
      </c>
      <c r="C14" s="12" t="inlineStr">
        <is>
          <t>Gates, limits and Player-Coach steps where the evidence calls for them, and leadership decisions for the top bands — each one written down with its numbers.</t>
        </is>
      </c>
      <c r="D14" s="12" t="inlineStr">
        <is>
          <t>A final level and designation for everyone, every move explained</t>
        </is>
      </c>
    </row>
    <row r="15" ht="41" customHeight="1">
      <c r="A15" s="42" t="n">
        <v>9</v>
      </c>
      <c r="B15" s="12" t="inlineStr">
        <is>
          <t>Benchmarked to the market</t>
        </is>
      </c>
      <c r="C15" s="12" t="inlineStr">
        <is>
          <t>Matched every level to Aon Radford / Mercer codes and SFIA, and to competitor, regtech and SaaS ladders; every source re-read and corrected.</t>
        </is>
      </c>
      <c r="D15" s="12" t="inlineStr">
        <is>
          <t>A market code and a typical market title for every level</t>
        </is>
      </c>
    </row>
    <row r="16" ht="54" customHeight="1">
      <c r="A16" s="42" t="n">
        <v>10</v>
      </c>
      <c r="B16" s="12" t="inlineStr">
        <is>
          <t>Built the file set</t>
        </is>
      </c>
      <c r="C16" s="12" t="inlineStr">
        <is>
          <t>One build produces every file from the same data, so they always agree: the HR Super Master, product masters and simplified editions, the framework &amp; model master, the calibration panel pack, the ladder master and draft letters.</t>
        </is>
      </c>
      <c r="D16" s="12" t="inlineStr">
        <is>
          <t>Files by audience, rebuilt and re-checked in minutes</t>
        </is>
      </c>
    </row>
    <row r="17" ht="28" customHeight="1">
      <c r="A17" s="42" t="n">
        <v>11</v>
      </c>
      <c r="B17" s="12" t="inlineStr">
        <is>
          <t>Reviewed and corrected</t>
        </is>
      </c>
      <c r="C17" s="12" t="inlineStr">
        <is>
          <t>Business-head review, independent reviews, and 100+ automated checks on every build · placements, privacy, formulas, links, counts.</t>
        </is>
      </c>
      <c r="D17" s="12" t="inlineStr">
        <is>
          <t>Corrections fed back as validated inputs, never as hand edits</t>
        </is>
      </c>
    </row>
    <row r="18" ht="15" customHeight="1"/>
    <row r="19" ht="20" customHeight="1">
      <c r="A19" s="6" t="inlineStr">
        <is>
          <t>2. What we are doing now</t>
        </is>
      </c>
      <c r="B19" s="2" t="n"/>
      <c r="C19" s="2" t="n"/>
      <c r="D19" s="2" t="n"/>
    </row>
    <row r="20" ht="15" customHeight="1">
      <c r="A20" s="8" t="inlineStr">
        <is>
          <t>Now</t>
        </is>
      </c>
      <c r="B20" s="9" t="n"/>
      <c r="C20" s="8" t="inlineStr">
        <is>
          <t>What happens</t>
        </is>
      </c>
      <c r="D20" s="8" t="inlineStr">
        <is>
          <t>Who</t>
        </is>
      </c>
    </row>
    <row r="21" ht="28" customHeight="1">
      <c r="A21" s="10" t="inlineStr">
        <is>
          <t>Calibration</t>
        </is>
      </c>
      <c r="B21" s="11" t="n"/>
      <c r="C21" s="12" t="inlineStr">
        <is>
          <t>The panel rates anchor roles blind and compares them with the model; close calls and moves down are decided.</t>
        </is>
      </c>
      <c r="D21" s="12" t="inlineStr">
        <is>
          <t>Calibration panel</t>
        </is>
      </c>
    </row>
    <row r="22" ht="28" customHeight="1">
      <c r="A22" s="10" t="inlineStr">
        <is>
          <t>Decisions and data</t>
        </is>
      </c>
      <c r="B22" s="11" t="n"/>
      <c r="C22" s="12" t="inlineStr">
        <is>
          <t>Open decisions and critical data requests are worked in the HR Super Master's tracker.</t>
        </is>
      </c>
      <c r="D22" s="12" t="inlineStr">
        <is>
          <t>HR, managers, business heads</t>
        </is>
      </c>
    </row>
    <row r="23" ht="28" customHeight="1">
      <c r="A23" s="10" t="inlineStr">
        <is>
          <t>Business-head review</t>
        </is>
      </c>
      <c r="B23" s="11" t="n"/>
      <c r="C23" s="12" t="inlineStr">
        <is>
          <t>Each business head marks Agree / Change / Discuss in their simplified edition; responses are imported and tracked.</t>
        </is>
      </c>
      <c r="D23" s="12" t="inlineStr">
        <is>
          <t>Business heads</t>
        </is>
      </c>
    </row>
    <row r="24" ht="28" customHeight="1">
      <c r="A24" s="10" t="inlineStr">
        <is>
          <t>Sign-off</t>
        </is>
      </c>
      <c r="B24" s="11" t="n"/>
      <c r="C24" s="12" t="inlineStr">
        <is>
          <t>The executive sponsor approves the structure; then the draft letters are issued.</t>
        </is>
      </c>
      <c r="D24" s="12" t="inlineStr">
        <is>
          <t>Executive sponsor, HR</t>
        </is>
      </c>
    </row>
    <row r="25" ht="28" customHeight="1">
      <c r="A25" s="10" t="inlineStr">
        <is>
          <t>Pay · later</t>
        </is>
      </c>
      <c r="B25" s="11" t="n"/>
      <c r="C25" s="12" t="inlineStr">
        <is>
          <t>Buy one India pay survey and price each level; pay columns stay blank until then.</t>
        </is>
      </c>
      <c r="D25" s="12" t="inlineStr">
        <is>
          <t>HR, Finance</t>
        </is>
      </c>
    </row>
    <row r="26" ht="15" customHeight="1"/>
    <row r="27" ht="20" customHeight="1">
      <c r="A27" s="6" t="inlineStr">
        <is>
          <t>3. How it works — in one minute</t>
        </is>
      </c>
      <c r="B27" s="2" t="n"/>
      <c r="C27" s="2" t="n"/>
      <c r="D27" s="2" t="n"/>
    </row>
    <row r="28" ht="15" customHeight="1">
      <c r="A28" s="8" t="inlineStr">
        <is>
          <t>Step</t>
        </is>
      </c>
      <c r="B28" s="9" t="n"/>
      <c r="C28" s="8" t="inlineStr">
        <is>
          <t>In plain words</t>
        </is>
      </c>
      <c r="D28" s="9" t="n"/>
    </row>
    <row r="29" ht="28" customHeight="1">
      <c r="A29" s="10" t="inlineStr">
        <is>
          <t>1 · A building with 12 floors</t>
        </is>
      </c>
      <c r="B29" s="11" t="n"/>
      <c r="C29" s="12" t="inlineStr">
        <is>
          <r>
            <rPr>
              <rFont val="Calibri"/>
              <b val="1"/>
              <sz val="10"/>
            </rPr>
            <t>IRIS is a building:</t>
          </r>
          <r>
            <rPr>
              <rFont val="Calibri"/>
              <sz val="10"/>
            </rPr>
            <t xml:space="preserve"> floor 1 = first job, floor 12 = CEO; two half floors · B+, C+ for player-coaches. Every job lives on one floor.</t>
          </r>
        </is>
      </c>
      <c r="D29" s="11" t="n"/>
    </row>
    <row r="30" ht="28" customHeight="1">
      <c r="A30" s="10" t="inlineStr">
        <is>
          <t>2 · Six judges</t>
        </is>
      </c>
      <c r="B30" s="11" t="n"/>
      <c r="C30" s="12" t="inlineStr">
        <is>
          <t>Six judges look at the job — How hard? Decides alone? Answers for? Leads? Experience? Business impact? — and each holds up a floor number · the rating, using the evidence: survey, KRAs, HRIS, reporting line.</t>
        </is>
      </c>
      <c r="D30" s="11" t="n"/>
    </row>
    <row r="31" ht="28" customHeight="1">
      <c r="A31" s="10" t="inlineStr">
        <is>
          <t>3 · Some count more</t>
        </is>
      </c>
      <c r="B31" s="11" t="n"/>
      <c r="C31" s="12" t="inlineStr">
        <is>
          <t>Starting out, the quality of the work counts most; for leaders, results, leading and business impact count most. Experience counts little. All six add to 100%, and leaders can edit them on the Weightage Matrix.</t>
        </is>
      </c>
      <c r="D31" s="11" t="n"/>
    </row>
    <row r="32" ht="28" customHeight="1">
      <c r="A32" s="10" t="inlineStr">
        <is>
          <t>4 · Add up = the floor</t>
        </is>
      </c>
      <c r="B32" s="11" t="n"/>
      <c r="C32" s="12" t="inlineStr">
        <is>
          <t>Card × how much it counts = points; add the points = the score; round it = the floor · 5.05 → 5 → B2. Fair-play checks can hold it — each one written down.</t>
        </is>
      </c>
      <c r="D32" s="11" t="n"/>
    </row>
    <row r="33" ht="15" customHeight="1"/>
    <row r="34" ht="15" customHeight="1">
      <c r="A34" s="40" t="inlineStr">
        <is>
          <t>The HR Super Master's sheet '1c. Scoring Made Simple' and the Process Explainer tell this story in full, with three worked examples.</t>
        </is>
      </c>
    </row>
    <row r="35" ht="20" customHeight="1">
      <c r="A35" s="6" t="inlineStr">
        <is>
          <t>4. What it produced — the output</t>
        </is>
      </c>
      <c r="B35" s="2" t="n"/>
      <c r="C35" s="2" t="n"/>
      <c r="D35" s="2" t="n"/>
    </row>
    <row r="36" ht="15" customHeight="1">
      <c r="A36" s="8" t="inlineStr">
        <is>
          <t>Output</t>
        </is>
      </c>
      <c r="B36" s="9" t="n"/>
      <c r="C36" s="9" t="n"/>
      <c r="D36" s="8" t="inlineStr">
        <is>
          <t>Count</t>
        </is>
      </c>
    </row>
    <row r="37" ht="15" customHeight="1">
      <c r="A37" s="10" t="inlineStr">
        <is>
          <t>People mapped · employees + consultants</t>
        </is>
      </c>
      <c r="B37" s="11" t="n"/>
      <c r="C37" s="11" t="n"/>
      <c r="D37" s="42" t="inlineStr">
        <is>
          <t>586</t>
        </is>
      </c>
    </row>
    <row r="38" ht="15" customHeight="1">
      <c r="A38" s="10" t="inlineStr">
        <is>
          <t>Job families · sub-families</t>
        </is>
      </c>
      <c r="B38" s="11" t="n"/>
      <c r="C38" s="11" t="n"/>
      <c r="D38" s="42" t="inlineStr">
        <is>
          <t>19 · 61</t>
        </is>
      </c>
    </row>
    <row r="39" ht="15" customHeight="1">
      <c r="A39" s="10" t="inlineStr">
        <is>
          <t>Ladder steps in use · employees</t>
        </is>
      </c>
      <c r="B39" s="11" t="n"/>
      <c r="C39" s="11" t="n"/>
      <c r="D39" s="42" t="n">
        <v>13</v>
      </c>
    </row>
    <row r="40" ht="15" customHeight="1">
      <c r="A40" s="10" t="inlineStr">
        <is>
          <t>Designations on the new ladder · employees</t>
        </is>
      </c>
      <c r="B40" s="11" t="n"/>
      <c r="C40" s="11" t="n"/>
      <c r="D40" s="42" t="n">
        <v>184</v>
      </c>
    </row>
    <row r="41" ht="15" customHeight="1">
      <c r="A41" s="10" t="inlineStr">
        <is>
          <t>Distinct employee roles</t>
        </is>
      </c>
      <c r="B41" s="11" t="n"/>
      <c r="C41" s="11" t="n"/>
      <c r="D41" s="42" t="n">
        <v>267</v>
      </c>
    </row>
    <row r="42" ht="15" customHeight="1">
      <c r="A42" s="10" t="inlineStr">
        <is>
          <t>Products and Corporate</t>
        </is>
      </c>
      <c r="B42" s="11" t="n"/>
      <c r="C42" s="11" t="n"/>
      <c r="D42" s="42" t="n">
        <v>6</v>
      </c>
    </row>
    <row r="43" ht="15" customHeight="1">
      <c r="A43" s="10" t="inlineStr">
        <is>
          <t>People in leadership bands D–E</t>
        </is>
      </c>
      <c r="B43" s="11" t="n"/>
      <c r="C43" s="11" t="n"/>
      <c r="D43" s="42" t="n">
        <v>11</v>
      </c>
    </row>
    <row r="44" ht="15" customHeight="1"/>
    <row r="45" ht="20" customHeight="1">
      <c r="A45" s="6" t="inlineStr">
        <is>
          <t>5. The impact</t>
        </is>
      </c>
      <c r="B45" s="2" t="n"/>
      <c r="C45" s="2" t="n"/>
      <c r="D45" s="2" t="n"/>
    </row>
    <row r="46" ht="15" customHeight="1">
      <c r="A46" s="8" t="inlineStr">
        <is>
          <t>Impact</t>
        </is>
      </c>
      <c r="B46" s="9" t="n"/>
      <c r="C46" s="8" t="inlineStr">
        <is>
          <t>What it means</t>
        </is>
      </c>
      <c r="D46" s="9" t="n"/>
    </row>
    <row r="47" ht="28" customHeight="1">
      <c r="A47" s="10" t="inlineStr">
        <is>
          <t>One architecture for all of IRIS</t>
        </is>
      </c>
      <c r="B47" s="11" t="n"/>
      <c r="C47" s="12" t="inlineStr">
        <is>
          <t>The same families, the same ladder and the same method in every product — titles mean the same thing everywhere.</t>
        </is>
      </c>
      <c r="D47" s="11" t="n"/>
    </row>
    <row r="48" ht="15" customHeight="1">
      <c r="A48" s="10" t="inlineStr">
        <is>
          <t>Transparent, explainable levels</t>
        </is>
      </c>
      <c r="B48" s="11" t="n"/>
      <c r="C48" s="12" t="inlineStr">
        <is>
          <t>Every level traces to evidence, ratings, weights and named rules; anyone can see why a role sits where it does.</t>
        </is>
      </c>
      <c r="D48" s="11" t="n"/>
    </row>
    <row r="49" ht="28" customHeight="1">
      <c r="A49" s="10" t="inlineStr">
        <is>
          <t>Clear career paths</t>
        </is>
      </c>
      <c r="B49" s="11" t="n"/>
      <c r="C49" s="12" t="inlineStr">
        <is>
          <t>Individual-contributor and manager tracks with a ladder in every sub-family, and the competencies needed for the next step.</t>
        </is>
      </c>
      <c r="D49" s="11" t="n"/>
    </row>
    <row r="50" ht="28" customHeight="1">
      <c r="A50" s="10" t="inlineStr">
        <is>
          <t>Duplication made visible</t>
        </is>
      </c>
      <c r="B50" s="11" t="n"/>
      <c r="C50" s="12" t="inlineStr">
        <is>
          <t>53 family × sub-family × level combinations are held in more than one product — candidates for common role definitions and shared pools.</t>
        </is>
      </c>
      <c r="D50" s="11" t="n"/>
    </row>
    <row r="51" ht="28" customHeight="1">
      <c r="A51" s="10" t="inlineStr">
        <is>
          <t>Leadership consistency</t>
        </is>
      </c>
      <c r="B51" s="11" t="n"/>
      <c r="C51" s="12" t="inlineStr">
        <is>
          <t>No one in Bands D–E sits above their reporting manager, anyone in Band D reporting to an E1 / E2 sits at D2, and leadership levels are set by approved decisions.</t>
        </is>
      </c>
      <c r="D51" s="11" t="n"/>
    </row>
    <row r="52" ht="15" customHeight="1">
      <c r="A52" s="10" t="inlineStr">
        <is>
          <t>Ready for pay and planning</t>
        </is>
      </c>
      <c r="B52" s="11" t="n"/>
      <c r="C52" s="12" t="inlineStr">
        <is>
          <t>Each level carries a market code, so pay ranges, succession and workforce planning can be built on it.</t>
        </is>
      </c>
      <c r="D52" s="11" t="n"/>
    </row>
    <row r="53" ht="15" customHeight="1"/>
    <row r="54" ht="20" customHeight="1">
      <c r="A54" s="6" t="inlineStr">
        <is>
          <t>6. Our framework at a glance</t>
        </is>
      </c>
      <c r="B54" s="2" t="n"/>
      <c r="C54" s="2" t="n"/>
      <c r="D54" s="2" t="n"/>
    </row>
    <row r="55" ht="28" customHeight="1">
      <c r="A55" s="8" t="inlineStr">
        <is>
          <t>Element</t>
        </is>
      </c>
      <c r="B55" s="8" t="inlineStr">
        <is>
          <t>What it is</t>
        </is>
      </c>
      <c r="C55" s="9" t="n"/>
      <c r="D55" s="9" t="n"/>
    </row>
    <row r="56" ht="41" customHeight="1">
      <c r="A56" s="10" t="inlineStr">
        <is>
          <t>Job families</t>
        </is>
      </c>
      <c r="B56" s="12" t="inlineStr">
        <is>
          <t>19 families of work, each anchored to the ILO occupation standard — the same in every product.</t>
        </is>
      </c>
      <c r="C56" s="11" t="n"/>
      <c r="D56" s="11" t="n"/>
    </row>
    <row r="57" ht="41" customHeight="1">
      <c r="A57" s="10" t="inlineStr">
        <is>
          <t>Sub-families</t>
        </is>
      </c>
      <c r="B57" s="12" t="inlineStr">
        <is>
          <t>61 sub-families: the work a person actually does inside a family. One definition each, used everywhere.</t>
        </is>
      </c>
      <c r="C57" s="11" t="n"/>
      <c r="D57" s="11" t="n"/>
    </row>
    <row r="58" ht="41" customHeight="1">
      <c r="A58" s="10" t="inlineStr">
        <is>
          <t>Career ladder</t>
        </is>
      </c>
      <c r="B58" s="12" t="inlineStr">
        <is>
          <r>
            <rPr>
              <rFont val="Calibri"/>
              <b val="1"/>
              <sz val="10"/>
            </rPr>
            <t>One ladder from intern to CEO:</t>
          </r>
          <r>
            <rPr>
              <rFont val="Calibri"/>
              <sz val="10"/>
            </rPr>
            <t xml:space="preserve"> A1–A3 practitioner · B1–B3 specialist / manager · B+ Player-Coach · C1–C2 principal / head · C+ Player-Coach · D1–D2 business leadership · E1–E2 enterprise leadership; X1–X3 for consultants · outside the ladder.</t>
          </r>
        </is>
      </c>
      <c r="C58" s="11" t="n"/>
      <c r="D58" s="11" t="n"/>
    </row>
    <row r="59" ht="28" customHeight="1">
      <c r="A59" s="10" t="inlineStr">
        <is>
          <t>Tracks</t>
        </is>
      </c>
      <c r="B59" s="12" t="inlineStr">
        <is>
          <t>Individual contributor, POD Lead · leads 1–3 while doing the work, Player-Coach · leads and delivers, People Manager, Consultant — experts progress without having to manage.</t>
        </is>
      </c>
      <c r="C59" s="11" t="n"/>
      <c r="D59" s="11" t="n"/>
    </row>
    <row r="60" ht="28" customHeight="1">
      <c r="A60" s="10" t="inlineStr">
        <is>
          <t>Six factors</t>
        </is>
      </c>
      <c r="B60" s="12" t="inlineStr">
        <is>
          <t>Complexity &amp; Expertise · Autonomy &amp; Decision · Accountability &amp; Impact · Leadership &amp; Strategy · Experience &amp; Qualification · Business Impact — each gets a rating: the floor of the ladder that part of the job looks like.</t>
        </is>
      </c>
      <c r="C60" s="11" t="n"/>
      <c r="D60" s="11" t="n"/>
    </row>
    <row r="61" ht="28" customHeight="1">
      <c r="A61" s="10" t="inlineStr">
        <is>
          <t>Weights</t>
        </is>
      </c>
      <c r="B61" s="12" t="inlineStr">
        <is>
          <t>How much each factor counts, by band and track · junior roles: skill and experience; senior roles: accountability and leadership, fine-tuned ±5 by type of work.</t>
        </is>
      </c>
      <c r="C61" s="11" t="n"/>
      <c r="D61" s="11" t="n"/>
    </row>
    <row r="62" ht="28" customHeight="1">
      <c r="A62" s="10" t="inlineStr">
        <is>
          <t>Rules</t>
        </is>
      </c>
      <c r="B62" s="12" t="inlineStr">
        <is>
          <t>R1–R13: category rules, provisional holds, work-substance and structure gates, experience limits, track minimums, Player-Coach steps, leadership decisions and the D–E reporting-line rules — each written on the person's row with its numbers.</t>
        </is>
      </c>
      <c r="C62" s="11" t="n"/>
      <c r="D62" s="11" t="n"/>
    </row>
    <row r="63" ht="28" customHeight="1">
      <c r="A63" s="10" t="inlineStr">
        <is>
          <t>Titles</t>
        </is>
      </c>
      <c r="B63" s="12" t="inlineStr">
        <is>
          <t>Level marker + role noun; market titles where the market has its own ladder · Product Manager, Account Executive.</t>
        </is>
      </c>
      <c r="C63" s="11" t="n"/>
      <c r="D63" s="11" t="n"/>
    </row>
    <row r="64" ht="41" customHeight="1">
      <c r="A64" s="10" t="inlineStr">
        <is>
          <t>Competencies</t>
        </is>
      </c>
      <c r="B64" s="12" t="inlineStr">
        <is>
          <t>6 core and 4 future-ready for everyone, 4 leadership for leaders, and functional competencies for each family — each with a 1–5 skill level required at every career level.</t>
        </is>
      </c>
      <c r="C64" s="11" t="n"/>
      <c r="D64" s="11" t="n"/>
    </row>
    <row r="65" ht="28" customHeight="1">
      <c r="A65" s="10" t="inlineStr">
        <is>
          <t>Market link</t>
        </is>
      </c>
      <c r="B65" s="12" t="inlineStr">
        <is>
          <t>Every level maps to Aon Radford / Mercer codes and SFIA, with competitor, regtech and SaaS equivalents — the base for pay ranges later.</t>
        </is>
      </c>
      <c r="C65" s="11" t="n"/>
      <c r="D65" s="11" t="n"/>
    </row>
    <row r="66" ht="15" customHeight="1"/>
    <row r="67" ht="20" customHeight="1">
      <c r="A67" s="6" t="inlineStr">
        <is>
          <t>7. The Job Architecture process — how the structure was built</t>
        </is>
      </c>
      <c r="B67" s="2" t="n"/>
      <c r="C67" s="2" t="n"/>
      <c r="D67" s="2" t="n"/>
    </row>
    <row r="68" ht="15" customHeight="1">
      <c r="A68" s="8" t="inlineStr">
        <is>
          <t>#</t>
        </is>
      </c>
      <c r="B68" s="8" t="inlineStr">
        <is>
          <t>Step</t>
        </is>
      </c>
      <c r="C68" s="8" t="inlineStr">
        <is>
          <t>What happens</t>
        </is>
      </c>
      <c r="D68" s="9" t="n"/>
    </row>
    <row r="69" ht="15" customHeight="1">
      <c r="A69" s="42" t="n">
        <v>1</v>
      </c>
      <c r="B69" s="12" t="inlineStr">
        <is>
          <t>Define families</t>
        </is>
      </c>
      <c r="C69" s="12" t="inlineStr">
        <is>
          <t>Group all work into job families anchored to ISCO-08, so the same work has the same name everywhere.</t>
        </is>
      </c>
      <c r="D69" s="11" t="n"/>
    </row>
    <row r="70" ht="15" customHeight="1">
      <c r="A70" s="42" t="n">
        <v>2</v>
      </c>
      <c r="B70" s="12" t="inlineStr">
        <is>
          <t>Define sub-families</t>
        </is>
      </c>
      <c r="C70" s="12" t="inlineStr">
        <is>
          <t>Split each family into the distinct kinds of work people do, from the survey and role data.</t>
        </is>
      </c>
      <c r="D70" s="11" t="n"/>
    </row>
    <row r="71" ht="28" customHeight="1">
      <c r="A71" s="42" t="n">
        <v>3</v>
      </c>
      <c r="B71" s="12" t="inlineStr">
        <is>
          <t>Set the ladder and bands</t>
        </is>
      </c>
      <c r="C71" s="12" t="inlineStr">
        <is>
          <t>One 12-level ladder with five bands and two Player-Coach steps; what each level owns, its experience range and span.</t>
        </is>
      </c>
      <c r="D71" s="11" t="n"/>
    </row>
    <row r="72" ht="28" customHeight="1">
      <c r="A72" s="42" t="n">
        <v>4</v>
      </c>
      <c r="B72" s="12" t="inlineStr">
        <is>
          <t>Set the tracks</t>
        </is>
      </c>
      <c r="C72" s="12" t="inlineStr">
        <is>
          <t>IC, POD Lead, Player-Coach, People Manager, Consultant — and the rules for each.</t>
        </is>
      </c>
      <c r="D72" s="11" t="n"/>
    </row>
    <row r="73" ht="15" customHeight="1">
      <c r="A73" s="42" t="n">
        <v>5</v>
      </c>
      <c r="B73" s="12" t="inlineStr">
        <is>
          <t>Level every role</t>
        </is>
      </c>
      <c r="C73" s="12" t="inlineStr">
        <is>
          <t>Six ratings × weights → score → level, then the rules; leadership levels by approved decision.</t>
        </is>
      </c>
      <c r="D73" s="11" t="n"/>
    </row>
    <row r="74" ht="15" customHeight="1">
      <c r="A74" s="42" t="n">
        <v>6</v>
      </c>
      <c r="B74" s="12" t="inlineStr">
        <is>
          <t>Name every role</t>
        </is>
      </c>
      <c r="C74" s="12" t="inlineStr">
        <is>
          <t>Designation = level marker + role noun; title protection for anyone moving down.</t>
        </is>
      </c>
      <c r="D74" s="11" t="n"/>
    </row>
    <row r="75" ht="15" customHeight="1">
      <c r="A75" s="42" t="n">
        <v>7</v>
      </c>
      <c r="B75" s="12" t="inlineStr">
        <is>
          <t>Benchmark</t>
        </is>
      </c>
      <c r="C75" s="12" t="inlineStr">
        <is>
          <t>Crosswalk every level to Radford / Mercer and SFIA; compare with competitor and peer ladders.</t>
        </is>
      </c>
      <c r="D75" s="11" t="n"/>
    </row>
    <row r="76" ht="15" customHeight="1">
      <c r="A76" s="42" t="n">
        <v>8</v>
      </c>
      <c r="B76" s="12" t="inlineStr">
        <is>
          <t>Govern</t>
        </is>
      </c>
      <c r="C76" s="12" t="inlineStr">
        <is>
          <t>Calibration panel, business-head review, a decision tracker and change rules · who can change a level, and how.</t>
        </is>
      </c>
      <c r="D76" s="11" t="n"/>
    </row>
    <row r="77" ht="15" customHeight="1"/>
    <row r="78" ht="20" customHeight="1">
      <c r="A78" s="6" t="inlineStr">
        <is>
          <t>8. The Job Design process — how each role is described</t>
        </is>
      </c>
      <c r="B78" s="2" t="n"/>
      <c r="C78" s="2" t="n"/>
      <c r="D78" s="2" t="n"/>
    </row>
    <row r="79" ht="15" customHeight="1">
      <c r="A79" s="8" t="inlineStr">
        <is>
          <t>#</t>
        </is>
      </c>
      <c r="B79" s="8" t="inlineStr">
        <is>
          <t>Step</t>
        </is>
      </c>
      <c r="C79" s="8" t="inlineStr">
        <is>
          <t>What happens</t>
        </is>
      </c>
      <c r="D79" s="9" t="n"/>
    </row>
    <row r="80" ht="15" customHeight="1">
      <c r="A80" s="42" t="n">
        <v>1</v>
      </c>
      <c r="B80" s="12" t="inlineStr">
        <is>
          <t>Purpose</t>
        </is>
      </c>
      <c r="C80" s="12" t="inlineStr">
        <is>
          <t>Why the role exists — from the sub-family definition and the level standard.</t>
        </is>
      </c>
      <c r="D80" s="11" t="n"/>
    </row>
    <row r="81" ht="28" customHeight="1">
      <c r="A81" s="42" t="n">
        <v>2</v>
      </c>
      <c r="B81" s="12" t="inlineStr">
        <is>
          <t>Responsibilities and deliverables</t>
        </is>
      </c>
      <c r="C81" s="12" t="inlineStr">
        <is>
          <t>What the role does and produces — from role-holders' survey answers · as counted themes and KRAs.</t>
        </is>
      </c>
      <c r="D81" s="11" t="n"/>
    </row>
    <row r="82" ht="28" customHeight="1">
      <c r="A82" s="42" t="n">
        <v>3</v>
      </c>
      <c r="B82" s="12" t="inlineStr">
        <is>
          <t>Accountability and decision rights</t>
        </is>
      </c>
      <c r="C82" s="12" t="inlineStr">
        <is>
          <t>What the role answers for, what it can decide alone, and what happens if the work is missed.</t>
        </is>
      </c>
      <c r="D82" s="11" t="n"/>
    </row>
    <row r="83" ht="15" customHeight="1">
      <c r="A83" s="42" t="n">
        <v>4</v>
      </c>
      <c r="B83" s="12" t="inlineStr">
        <is>
          <t>Measures</t>
        </is>
      </c>
      <c r="C83" s="12" t="inlineStr">
        <is>
          <r>
            <rPr>
              <rFont val="Calibri"/>
              <b val="1"/>
              <sz val="10"/>
            </rPr>
            <t>Manager-set KRAs:</t>
          </r>
          <r>
            <rPr>
              <rFont val="Calibri"/>
              <sz val="10"/>
            </rPr>
            <t xml:space="preserve"> how the role is judged.</t>
          </r>
        </is>
      </c>
      <c r="D83" s="11" t="n"/>
    </row>
    <row r="84" ht="15" customHeight="1">
      <c r="A84" s="42" t="n">
        <v>5</v>
      </c>
      <c r="B84" s="12" t="inlineStr">
        <is>
          <t>Competencies and skill level</t>
        </is>
      </c>
      <c r="C84" s="12" t="inlineStr">
        <is>
          <t>The core, future-ready, functional and leadership competencies the role needs, each at a 1–5 level.</t>
        </is>
      </c>
      <c r="D84" s="11" t="n"/>
    </row>
    <row r="85" ht="15" customHeight="1">
      <c r="A85" s="42" t="n">
        <v>6</v>
      </c>
      <c r="B85" s="12" t="inlineStr">
        <is>
          <t>Role profile and catalogue</t>
        </is>
      </c>
      <c r="C85" s="12" t="inlineStr">
        <is>
          <t>One IRIS-wide catalogue entry per family × sub-family × level × track — the shared description of the job.</t>
        </is>
      </c>
      <c r="D85" s="11" t="n"/>
    </row>
    <row r="86" ht="15" customHeight="1">
      <c r="A86" s="42" t="n">
        <v>7</v>
      </c>
      <c r="B86" s="12" t="inlineStr">
        <is>
          <t>Career ladder</t>
        </is>
      </c>
      <c r="C86" s="12" t="inlineStr">
        <is>
          <t>Where the role sits in its sub-family's ladder, the next step and what it takes.</t>
        </is>
      </c>
      <c r="D86" s="11" t="n"/>
    </row>
    <row r="87" ht="28" customHeight="1">
      <c r="A87" s="42" t="n">
        <v>8</v>
      </c>
      <c r="B87" s="12" t="inlineStr">
        <is>
          <t>Recruitment profile</t>
        </is>
      </c>
      <c r="C87" s="12" t="inlineStr">
        <is>
          <t>The hire equivalent in the market, the competencies to hire for and the interview questions — on every person card.</t>
        </is>
      </c>
      <c r="D87" s="11" t="n"/>
    </row>
  </sheetData>
  <mergeCells count="79">
    <mergeCell ref="A5:D5"/>
    <mergeCell ref="B60:D60"/>
    <mergeCell ref="A37:C37"/>
    <mergeCell ref="B57:D57"/>
    <mergeCell ref="A51:B51"/>
    <mergeCell ref="C79:D79"/>
    <mergeCell ref="C73:D73"/>
    <mergeCell ref="C50:D50"/>
    <mergeCell ref="A43:C43"/>
    <mergeCell ref="C76:D76"/>
    <mergeCell ref="A54:D54"/>
    <mergeCell ref="B62:D62"/>
    <mergeCell ref="A22:B22"/>
    <mergeCell ref="A27:D27"/>
    <mergeCell ref="A28:B28"/>
    <mergeCell ref="B56:D56"/>
    <mergeCell ref="C28:D28"/>
    <mergeCell ref="A2:D2"/>
    <mergeCell ref="C69:D69"/>
    <mergeCell ref="C83:D83"/>
    <mergeCell ref="A48:B48"/>
    <mergeCell ref="A30:B30"/>
    <mergeCell ref="C30:D30"/>
    <mergeCell ref="A35:D35"/>
    <mergeCell ref="A19:D19"/>
    <mergeCell ref="C47:D47"/>
    <mergeCell ref="A46:B46"/>
    <mergeCell ref="A38:C38"/>
    <mergeCell ref="C71:D71"/>
    <mergeCell ref="A40:C40"/>
    <mergeCell ref="B59:D59"/>
    <mergeCell ref="A52:B52"/>
    <mergeCell ref="C82:D82"/>
    <mergeCell ref="C86:D86"/>
    <mergeCell ref="C68:D68"/>
    <mergeCell ref="A49:B49"/>
    <mergeCell ref="A42:C42"/>
    <mergeCell ref="C29:D29"/>
    <mergeCell ref="C85:D85"/>
    <mergeCell ref="A34:D34"/>
    <mergeCell ref="C75:D75"/>
    <mergeCell ref="C84:D84"/>
    <mergeCell ref="B65:D65"/>
    <mergeCell ref="C31:D31"/>
    <mergeCell ref="C80:D80"/>
    <mergeCell ref="A1:D1"/>
    <mergeCell ref="A45:D45"/>
    <mergeCell ref="A21:B21"/>
    <mergeCell ref="C46:D46"/>
    <mergeCell ref="B63:D63"/>
    <mergeCell ref="C51:D51"/>
    <mergeCell ref="A78:D78"/>
    <mergeCell ref="A32:B32"/>
    <mergeCell ref="A23:B23"/>
    <mergeCell ref="C70:D70"/>
    <mergeCell ref="C48:D48"/>
    <mergeCell ref="C32:D32"/>
    <mergeCell ref="C49:D49"/>
    <mergeCell ref="A24:B24"/>
    <mergeCell ref="A41:C41"/>
    <mergeCell ref="B61:D61"/>
    <mergeCell ref="C74:D74"/>
    <mergeCell ref="A67:D67"/>
    <mergeCell ref="A25:B25"/>
    <mergeCell ref="B55:D55"/>
    <mergeCell ref="B64:D64"/>
    <mergeCell ref="A50:B50"/>
    <mergeCell ref="A47:B47"/>
    <mergeCell ref="A39:C39"/>
    <mergeCell ref="C52:D52"/>
    <mergeCell ref="A20:B20"/>
    <mergeCell ref="A36:C36"/>
    <mergeCell ref="A29:B29"/>
    <mergeCell ref="C72:D72"/>
    <mergeCell ref="C81:D81"/>
    <mergeCell ref="A3:D3"/>
    <mergeCell ref="B58:D58"/>
    <mergeCell ref="A31:B31"/>
    <mergeCell ref="C87:D87"/>
  </mergeCells>
  <hyperlinks>
    <hyperlink xmlns:r="http://schemas.openxmlformats.org/officeDocument/2006/relationships" ref="E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2.xml><?xml version="1.0" encoding="utf-8"?>
<worksheet xmlns="http://schemas.openxmlformats.org/spreadsheetml/2006/main">
  <sheetPr>
    <tabColor rgb="001F3864"/>
    <outlinePr summaryBelow="1" summaryRight="1"/>
    <pageSetUpPr fitToPage="1"/>
  </sheetPr>
  <dimension ref="A1:N133"/>
  <sheetViews>
    <sheetView showGridLines="0" workbookViewId="0">
      <pane ySplit="4" topLeftCell="A5" activePane="bottomLeft" state="frozen"/>
      <selection pane="bottomLeft" activeCell="A1" sqref="A1"/>
    </sheetView>
  </sheetViews>
  <sheetFormatPr baseColWidth="8" defaultRowHeight="15"/>
  <cols>
    <col width="26"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s>
  <sheetData>
    <row r="1" ht="34" customHeight="1">
      <c r="A1" s="1" t="inlineStr">
        <is>
          <t>CARBON — Job Architecture: simplified product edition · for the business head</t>
        </is>
      </c>
    </row>
    <row r="2" ht="32" customHeight="1">
      <c r="A2" s="3" t="inlineStr">
        <is>
          <r>
            <rPr>
              <rFont val="Calibri"/>
              <b val="1"/>
              <i val="1"/>
              <color rgb="00404040"/>
              <sz val="10"/>
            </rPr>
            <t>Six sheets after the Start page, complete in themselves:</t>
          </r>
          <r>
            <rPr>
              <rFont val="Calibri"/>
              <i val="1"/>
              <color rgb="00404040"/>
              <sz val="10"/>
            </rPr>
            <t xml:space="preserve"> who sits where and exactly why, what each role is, what we need you to decide, the career ladder and the weightage matrix you can edit. Read this page first; every term and colour used in the workbook is explained here.</t>
          </r>
        </is>
      </c>
    </row>
    <row r="3">
      <c r="A3" s="4" t="inlineStr">
        <is>
          <t>IRIS · Job Architecture &amp; Job Design · Final v1.12 · October 2026 · Internal — Confidential</t>
        </is>
      </c>
    </row>
    <row r="4" ht="15" customHeight="1"/>
    <row r="5" ht="20" customHeight="1">
      <c r="A5" s="6" t="inlineStr">
        <is>
          <t>1. What this is, and what we ask of you</t>
        </is>
      </c>
    </row>
    <row r="6" ht="41" customHeight="1">
      <c r="A6" s="7" t="inlineStr">
        <is>
          <t>Every one of the 215 people in CARBON has been placed on IRIS's new career ladder: a job family and sub-family · the work they do, a level · the size of the role and a designation · level marker + role noun. Each placement follows one published model — the same for every business — and every number behind it is shown on sheet 2. Nothing here changes pay: pay is set later, and any move down is protected for one cycle.</t>
        </is>
      </c>
    </row>
    <row r="7" ht="15" customHeight="1">
      <c r="A7" s="8" t="inlineStr">
        <is>
          <t>Sheet</t>
        </is>
      </c>
      <c r="B7" s="92" t="n"/>
      <c r="C7" s="93" t="n"/>
      <c r="D7" s="8" t="inlineStr">
        <is>
          <t>What it gives you</t>
        </is>
      </c>
      <c r="E7" s="92" t="n"/>
      <c r="F7" s="92" t="n"/>
      <c r="G7" s="92" t="n"/>
      <c r="H7" s="92" t="n"/>
      <c r="I7" s="92" t="n"/>
      <c r="J7" s="93" t="n"/>
      <c r="K7" s="8" t="inlineStr">
        <is>
          <t>What to do</t>
        </is>
      </c>
      <c r="L7" s="92" t="n"/>
      <c r="M7" s="92" t="n"/>
      <c r="N7" s="93" t="n"/>
    </row>
    <row r="8" ht="28" customHeight="1">
      <c r="A8" s="10" t="inlineStr">
        <is>
          <t>1. Start Here</t>
        </is>
      </c>
      <c r="B8" s="92" t="n"/>
      <c r="C8" s="93" t="n"/>
      <c r="D8" s="12" t="inlineStr">
        <is>
          <r>
            <rPr>
              <rFont val="Calibri"/>
              <b val="1"/>
              <sz val="10"/>
            </rPr>
            <t>This page:</t>
          </r>
          <r>
            <rPr>
              <rFont val="Calibri"/>
              <sz val="10"/>
            </rPr>
            <t xml:space="preserve"> the numbers, the ladder, how a level is worked out, the rules, colours and terms</t>
          </r>
        </is>
      </c>
      <c r="E8" s="92" t="n"/>
      <c r="F8" s="92" t="n"/>
      <c r="G8" s="92" t="n"/>
      <c r="H8" s="92" t="n"/>
      <c r="I8" s="92" t="n"/>
      <c r="J8" s="93" t="n"/>
      <c r="K8" s="12" t="inlineStr">
        <is>
          <t>Read first</t>
        </is>
      </c>
      <c r="L8" s="92" t="n"/>
      <c r="M8" s="92" t="n"/>
      <c r="N8" s="93" t="n"/>
    </row>
    <row r="9" ht="41" customHeight="1">
      <c r="A9" s="105" t="inlineStr">
        <is>
          <t>2. People &amp; Levels</t>
        </is>
      </c>
      <c r="B9" s="92" t="n"/>
      <c r="C9" s="93" t="n"/>
      <c r="D9" s="12" t="inlineStr">
        <is>
          <r>
            <rPr>
              <rFont val="Calibri"/>
              <b val="1"/>
              <sz val="10"/>
            </rPr>
            <t>Every person:</t>
          </r>
          <r>
            <rPr>
              <rFont val="Calibri"/>
              <sz val="10"/>
            </rPr>
            <t xml:space="preserve"> role before → after, score, the full reason for the level, each factor's rating and why, the market comparison, the data behind it, points for attention, inputs still needed</t>
          </r>
        </is>
      </c>
      <c r="E9" s="92" t="n"/>
      <c r="F9" s="92" t="n"/>
      <c r="G9" s="92" t="n"/>
      <c r="H9" s="92" t="n"/>
      <c r="I9" s="92" t="n"/>
      <c r="J9" s="93" t="n"/>
      <c r="K9" s="12" t="inlineStr">
        <is>
          <t>For each person, mark Agree / Change / Discuss in the yellow column; give the reason for any change</t>
        </is>
      </c>
      <c r="L9" s="92" t="n"/>
      <c r="M9" s="92" t="n"/>
      <c r="N9" s="93" t="n"/>
    </row>
    <row r="10" ht="41" customHeight="1">
      <c r="A10" s="105" t="inlineStr">
        <is>
          <t>3. Roles</t>
        </is>
      </c>
      <c r="B10" s="92" t="n"/>
      <c r="C10" s="93" t="n"/>
      <c r="D10" s="12" t="inlineStr">
        <is>
          <r>
            <rPr>
              <rFont val="Calibri"/>
              <b val="1"/>
              <sz val="10"/>
            </rPr>
            <t>Every role held here, as defined once for all of IRIS:</t>
          </r>
          <r>
            <rPr>
              <rFont val="Calibri"/>
              <sz val="10"/>
            </rPr>
            <t xml:space="preserve"> purpose, responsibilities, decisions, KRAs, skills, what the level requires, competencies, market, next step</t>
          </r>
        </is>
      </c>
      <c r="E10" s="92" t="n"/>
      <c r="F10" s="92" t="n"/>
      <c r="G10" s="92" t="n"/>
      <c r="H10" s="92" t="n"/>
      <c r="I10" s="92" t="n"/>
      <c r="J10" s="93" t="n"/>
      <c r="K10" s="12" t="inlineStr">
        <is>
          <t>Check the role descriptions match the work</t>
        </is>
      </c>
      <c r="L10" s="92" t="n"/>
      <c r="M10" s="92" t="n"/>
      <c r="N10" s="93" t="n"/>
    </row>
    <row r="11" ht="28" customHeight="1">
      <c r="A11" s="105" t="inlineStr">
        <is>
          <t>4. Decisions &amp; Actions</t>
        </is>
      </c>
      <c r="B11" s="92" t="n"/>
      <c r="C11" s="93" t="n"/>
      <c r="D11" s="12" t="inlineStr">
        <is>
          <t>Placements that need a decision, inputs still needed by owner, how the structure changed, what happens next</t>
        </is>
      </c>
      <c r="E11" s="92" t="n"/>
      <c r="F11" s="92" t="n"/>
      <c r="G11" s="92" t="n"/>
      <c r="H11" s="92" t="n"/>
      <c r="I11" s="92" t="n"/>
      <c r="J11" s="93" t="n"/>
      <c r="K11" s="12" t="inlineStr">
        <is>
          <t>Decide or supply what is marked red</t>
        </is>
      </c>
      <c r="L11" s="92" t="n"/>
      <c r="M11" s="92" t="n"/>
      <c r="N11" s="93" t="n"/>
    </row>
    <row r="12" ht="41" customHeight="1">
      <c r="A12" s="105" t="inlineStr">
        <is>
          <t>5. Career Ladder</t>
        </is>
      </c>
      <c r="B12" s="92" t="n"/>
      <c r="C12" s="93" t="n"/>
      <c r="D12" s="12" t="inlineStr">
        <is>
          <t>Department → band → level by job family, sub-family and designation: the ladder in each sub-family, the competencies each role requires, and where the same work sits in other departments or other products</t>
        </is>
      </c>
      <c r="E12" s="92" t="n"/>
      <c r="F12" s="92" t="n"/>
      <c r="G12" s="92" t="n"/>
      <c r="H12" s="92" t="n"/>
      <c r="I12" s="92" t="n"/>
      <c r="J12" s="93" t="n"/>
      <c r="K12" s="12" t="inlineStr">
        <is>
          <t>Check the ladder and titles; note duplicated roles</t>
        </is>
      </c>
      <c r="L12" s="92" t="n"/>
      <c r="M12" s="92" t="n"/>
      <c r="N12" s="93" t="n"/>
    </row>
    <row r="13" ht="41" customHeight="1">
      <c r="A13" s="105" t="inlineStr">
        <is>
          <t>6. Weightage Matrix</t>
        </is>
      </c>
      <c r="B13" s="92" t="n"/>
      <c r="C13" s="93" t="n"/>
      <c r="D13" s="12" t="inlineStr">
        <is>
          <t>How much each of the six factors counts, by department and role group, with a guide to weighting and rating. Sheet 2 scores recalculate when you edit it</t>
        </is>
      </c>
      <c r="E13" s="92" t="n"/>
      <c r="F13" s="92" t="n"/>
      <c r="G13" s="92" t="n"/>
      <c r="H13" s="92" t="n"/>
      <c r="I13" s="92" t="n"/>
      <c r="J13" s="93" t="n"/>
      <c r="K13" s="12" t="inlineStr">
        <is>
          <t>Adjust the yellow weights where your department judges roles differently; say why</t>
        </is>
      </c>
      <c r="L13" s="92" t="n"/>
      <c r="M13" s="92" t="n"/>
      <c r="N13" s="93" t="n"/>
    </row>
    <row r="14" ht="15" customHeight="1"/>
    <row r="15" ht="20" customHeight="1">
      <c r="A15" s="6" t="inlineStr">
        <is>
          <t>2. The numbers</t>
        </is>
      </c>
    </row>
    <row r="16" ht="15" customHeight="1">
      <c r="A16" s="13" t="inlineStr">
        <is>
          <t>People</t>
        </is>
      </c>
      <c r="B16" s="93" t="n"/>
      <c r="C16" s="13" t="inlineStr">
        <is>
          <t>Departments</t>
        </is>
      </c>
      <c r="D16" s="93" t="n"/>
      <c r="E16" s="13" t="inlineStr">
        <is>
          <t>Roles</t>
        </is>
      </c>
      <c r="F16" s="93" t="n"/>
      <c r="G16" s="13" t="inlineStr">
        <is>
          <t>Levels in use</t>
        </is>
      </c>
      <c r="H16" s="93" t="n"/>
      <c r="I16" s="13" t="inlineStr">
        <is>
          <t>Level up</t>
        </is>
      </c>
      <c r="J16" s="93" t="n"/>
      <c r="K16" s="13" t="inlineStr">
        <is>
          <t>Same level</t>
        </is>
      </c>
      <c r="L16" s="93" t="n"/>
      <c r="M16" s="13" t="inlineStr">
        <is>
          <t>Level down · protected</t>
        </is>
      </c>
      <c r="N16" s="93" t="n"/>
    </row>
    <row r="17" ht="30" customHeight="1">
      <c r="A17" s="14" t="n">
        <v>215</v>
      </c>
      <c r="B17" s="93" t="n"/>
      <c r="C17" s="14" t="n">
        <v>11</v>
      </c>
      <c r="D17" s="93" t="n"/>
      <c r="E17" s="14" t="n">
        <v>92</v>
      </c>
      <c r="F17" s="93" t="n"/>
      <c r="G17" s="14" t="n">
        <v>13</v>
      </c>
      <c r="H17" s="93" t="n"/>
      <c r="I17" s="14" t="n">
        <v>131</v>
      </c>
      <c r="J17" s="93" t="n"/>
      <c r="K17" s="14" t="n">
        <v>53</v>
      </c>
      <c r="L17" s="93" t="n"/>
      <c r="M17" s="14" t="n">
        <v>14</v>
      </c>
      <c r="N17" s="93" t="n"/>
    </row>
    <row r="18" ht="15" customHeight="1">
      <c r="A18" s="13" t="inlineStr">
        <is>
          <t>Newly mapped</t>
        </is>
      </c>
      <c r="B18" s="93" t="n"/>
      <c r="C18" s="13" t="inlineStr">
        <is>
          <t>Player-Coaches</t>
        </is>
      </c>
      <c r="D18" s="93" t="n"/>
      <c r="E18" s="13" t="inlineStr">
        <is>
          <t>Close calls</t>
        </is>
      </c>
      <c r="F18" s="93" t="n"/>
      <c r="G18" s="13" t="inlineStr">
        <is>
          <t>Near a gate</t>
        </is>
      </c>
      <c r="H18" s="93" t="n"/>
      <c r="I18" s="13" t="inlineStr">
        <is>
          <t>People needing an input</t>
        </is>
      </c>
      <c r="J18" s="93" t="n"/>
      <c r="K18" s="13" t="inlineStr">
        <is>
          <t>Consultants</t>
        </is>
      </c>
      <c r="L18" s="93" t="n"/>
    </row>
    <row r="19" ht="30" customHeight="1">
      <c r="A19" s="14" t="n">
        <v>17</v>
      </c>
      <c r="B19" s="93" t="n"/>
      <c r="C19" s="14" t="n">
        <v>0</v>
      </c>
      <c r="D19" s="93" t="n"/>
      <c r="E19" s="14" t="n">
        <v>17</v>
      </c>
      <c r="F19" s="93" t="n"/>
      <c r="G19" s="14" t="n">
        <v>8</v>
      </c>
      <c r="H19" s="93" t="n"/>
      <c r="I19" s="14" t="n">
        <v>44</v>
      </c>
      <c r="J19" s="93" t="n"/>
      <c r="K19" s="14" t="n">
        <v>2</v>
      </c>
      <c r="L19" s="93" t="n"/>
    </row>
    <row r="20" ht="15" customHeight="1"/>
    <row r="21" ht="20" customHeight="1">
      <c r="A21" s="6" t="inlineStr">
        <is>
          <t>3. The career ladder — what each level means · bottom to top</t>
        </is>
      </c>
    </row>
    <row r="22" ht="28" customHeight="1">
      <c r="A22" s="8" t="inlineStr">
        <is>
          <t>Level</t>
        </is>
      </c>
      <c r="B22" s="8" t="inlineStr">
        <is>
          <t>IC title</t>
        </is>
      </c>
      <c r="C22" s="93" t="n"/>
      <c r="D22" s="8" t="inlineStr">
        <is>
          <t>Manager title</t>
        </is>
      </c>
      <c r="E22" s="93" t="n"/>
      <c r="F22" s="8" t="inlineStr">
        <is>
          <t>What a role at this level owns</t>
        </is>
      </c>
      <c r="G22" s="92" t="n"/>
      <c r="H22" s="92" t="n"/>
      <c r="I22" s="92" t="n"/>
      <c r="J22" s="92" t="n"/>
      <c r="K22" s="93" t="n"/>
      <c r="L22" s="8" t="inlineStr">
        <is>
          <t>Typical experience</t>
        </is>
      </c>
      <c r="M22" s="93" t="n"/>
      <c r="N22" s="8" t="inlineStr">
        <is>
          <t>People here</t>
        </is>
      </c>
    </row>
    <row r="23" ht="28" customHeight="1">
      <c r="A23" s="16" t="inlineStr">
        <is>
          <t>A1</t>
        </is>
      </c>
      <c r="B23" s="17" t="inlineStr">
        <is>
          <t>Intern / Trainee</t>
        </is>
      </c>
      <c r="C23" s="93" t="n"/>
      <c r="D23" s="17" t="inlineStr">
        <is>
          <t>Same path</t>
        </is>
      </c>
      <c r="E23" s="93" t="n"/>
      <c r="F23" s="17" t="inlineStr">
        <is>
          <t>Learning the role; all work reviewed</t>
        </is>
      </c>
      <c r="G23" s="92" t="n"/>
      <c r="H23" s="92" t="n"/>
      <c r="I23" s="92" t="n"/>
      <c r="J23" s="92" t="n"/>
      <c r="K23" s="93" t="n"/>
      <c r="L23" s="19" t="inlineStr">
        <is>
          <t>0 yrs · fresher / intern</t>
        </is>
      </c>
      <c r="M23" s="93" t="n"/>
      <c r="N23" s="19" t="n">
        <v>5</v>
      </c>
    </row>
    <row r="24" ht="15" customHeight="1">
      <c r="A24" s="16" t="inlineStr">
        <is>
          <t>A2</t>
        </is>
      </c>
      <c r="B24" s="17" t="inlineStr">
        <is>
          <t>Associate</t>
        </is>
      </c>
      <c r="C24" s="93" t="n"/>
      <c r="D24" s="17" t="inlineStr">
        <is>
          <t>Same path</t>
        </is>
      </c>
      <c r="E24" s="93" t="n"/>
      <c r="F24" s="17" t="inlineStr">
        <is>
          <t>Standard work delivered independently</t>
        </is>
      </c>
      <c r="G24" s="92" t="n"/>
      <c r="H24" s="92" t="n"/>
      <c r="I24" s="92" t="n"/>
      <c r="J24" s="92" t="n"/>
      <c r="K24" s="93" t="n"/>
      <c r="L24" s="19" t="inlineStr">
        <is>
          <t>0–2 yrs</t>
        </is>
      </c>
      <c r="M24" s="93" t="n"/>
      <c r="N24" s="19" t="n">
        <v>22</v>
      </c>
    </row>
    <row r="25" ht="15" customHeight="1">
      <c r="A25" s="16" t="inlineStr">
        <is>
          <t>A3</t>
        </is>
      </c>
      <c r="B25" s="17" t="inlineStr">
        <is>
          <t>Senior Associate</t>
        </is>
      </c>
      <c r="C25" s="93" t="n"/>
      <c r="D25" s="17" t="inlineStr">
        <is>
          <t>Same path</t>
        </is>
      </c>
      <c r="E25" s="93" t="n"/>
      <c r="F25" s="17" t="inlineStr">
        <is>
          <t>Varied work; reviews juniors; go-to for a process</t>
        </is>
      </c>
      <c r="G25" s="92" t="n"/>
      <c r="H25" s="92" t="n"/>
      <c r="I25" s="92" t="n"/>
      <c r="J25" s="92" t="n"/>
      <c r="K25" s="93" t="n"/>
      <c r="L25" s="19" t="inlineStr">
        <is>
          <t>2–4 yrs</t>
        </is>
      </c>
      <c r="M25" s="93" t="n"/>
      <c r="N25" s="19" t="n">
        <v>109</v>
      </c>
    </row>
    <row r="26" ht="15" customHeight="1">
      <c r="A26" s="20" t="inlineStr">
        <is>
          <t>B1</t>
        </is>
      </c>
      <c r="B26" s="21" t="inlineStr">
        <is>
          <t>Specialist</t>
        </is>
      </c>
      <c r="C26" s="93" t="n"/>
      <c r="D26" s="21" t="inlineStr">
        <is>
          <t>Team Lead</t>
        </is>
      </c>
      <c r="E26" s="93" t="n"/>
      <c r="F26" s="21" t="inlineStr">
        <is>
          <t>A domain / module, or a small team</t>
        </is>
      </c>
      <c r="G26" s="92" t="n"/>
      <c r="H26" s="92" t="n"/>
      <c r="I26" s="92" t="n"/>
      <c r="J26" s="92" t="n"/>
      <c r="K26" s="93" t="n"/>
      <c r="L26" s="23" t="inlineStr">
        <is>
          <t>4–7 yrs</t>
        </is>
      </c>
      <c r="M26" s="93" t="n"/>
      <c r="N26" s="23" t="n">
        <v>39</v>
      </c>
    </row>
    <row r="27" ht="15" customHeight="1">
      <c r="A27" s="20" t="inlineStr">
        <is>
          <t>B2</t>
        </is>
      </c>
      <c r="B27" s="21" t="inlineStr">
        <is>
          <t>Senior Specialist</t>
        </is>
      </c>
      <c r="C27" s="93" t="n"/>
      <c r="D27" s="21" t="inlineStr">
        <is>
          <t>Manager</t>
        </is>
      </c>
      <c r="E27" s="93" t="n"/>
      <c r="F27" s="21" t="inlineStr">
        <is>
          <t>Deep domain expertise, or one team</t>
        </is>
      </c>
      <c r="G27" s="92" t="n"/>
      <c r="H27" s="92" t="n"/>
      <c r="I27" s="92" t="n"/>
      <c r="J27" s="92" t="n"/>
      <c r="K27" s="93" t="n"/>
      <c r="L27" s="23" t="inlineStr">
        <is>
          <t>6–9 yrs</t>
        </is>
      </c>
      <c r="M27" s="93" t="n"/>
      <c r="N27" s="23" t="n">
        <v>26</v>
      </c>
    </row>
    <row r="28" ht="15" customHeight="1">
      <c r="A28" s="20" t="inlineStr">
        <is>
          <t>B3</t>
        </is>
      </c>
      <c r="B28" s="21" t="inlineStr">
        <is>
          <t>Lead Specialist</t>
        </is>
      </c>
      <c r="C28" s="93" t="n"/>
      <c r="D28" s="21" t="inlineStr">
        <is>
          <t>Senior Manager</t>
        </is>
      </c>
      <c r="E28" s="93" t="n"/>
      <c r="F28" s="21" t="inlineStr">
        <is>
          <t>A practice, or several teams through team leads</t>
        </is>
      </c>
      <c r="G28" s="92" t="n"/>
      <c r="H28" s="92" t="n"/>
      <c r="I28" s="92" t="n"/>
      <c r="J28" s="92" t="n"/>
      <c r="K28" s="93" t="n"/>
      <c r="L28" s="23" t="inlineStr">
        <is>
          <t>8–12 yrs</t>
        </is>
      </c>
      <c r="M28" s="93" t="n"/>
      <c r="N28" s="23" t="n">
        <v>3</v>
      </c>
    </row>
    <row r="29" ht="15" customHeight="1">
      <c r="A29" s="24" t="inlineStr">
        <is>
          <t>C1</t>
        </is>
      </c>
      <c r="B29" s="25" t="inlineStr">
        <is>
          <t>Principal</t>
        </is>
      </c>
      <c r="C29" s="93" t="n"/>
      <c r="D29" s="25" t="inlineStr">
        <is>
          <t>Associate Head</t>
        </is>
      </c>
      <c r="E29" s="93" t="n"/>
      <c r="F29" s="25" t="inlineStr">
        <is>
          <t>A sub-function, or principal authority across products</t>
        </is>
      </c>
      <c r="G29" s="92" t="n"/>
      <c r="H29" s="92" t="n"/>
      <c r="I29" s="92" t="n"/>
      <c r="J29" s="92" t="n"/>
      <c r="K29" s="93" t="n"/>
      <c r="L29" s="27" t="inlineStr">
        <is>
          <t>10–14 yrs</t>
        </is>
      </c>
      <c r="M29" s="93" t="n"/>
      <c r="N29" s="27" t="n">
        <v>5</v>
      </c>
    </row>
    <row r="30" ht="28" customHeight="1">
      <c r="A30" s="24" t="inlineStr">
        <is>
          <t>C2</t>
        </is>
      </c>
      <c r="B30" s="25" t="inlineStr">
        <is>
          <t>Senior Principal / Architect</t>
        </is>
      </c>
      <c r="C30" s="93" t="n"/>
      <c r="D30" s="25" t="inlineStr">
        <is>
          <t>Head of Function</t>
        </is>
      </c>
      <c r="E30" s="93" t="n"/>
      <c r="F30" s="25" t="inlineStr">
        <is>
          <t>A function or department, or a company-wide discipline</t>
        </is>
      </c>
      <c r="G30" s="92" t="n"/>
      <c r="H30" s="92" t="n"/>
      <c r="I30" s="92" t="n"/>
      <c r="J30" s="92" t="n"/>
      <c r="K30" s="93" t="n"/>
      <c r="L30" s="27" t="inlineStr">
        <is>
          <t>12–17 yrs</t>
        </is>
      </c>
      <c r="M30" s="93" t="n"/>
      <c r="N30" s="27" t="n">
        <v>1</v>
      </c>
    </row>
    <row r="31" ht="28" customHeight="1">
      <c r="A31" s="28" t="inlineStr">
        <is>
          <t>D1</t>
        </is>
      </c>
      <c r="B31" s="29" t="inlineStr">
        <is>
          <t>Chief Specialist / Distinguished Principal</t>
        </is>
      </c>
      <c r="C31" s="93" t="n"/>
      <c r="D31" s="29" t="inlineStr">
        <is>
          <t>Associate Vice President / Business Head</t>
        </is>
      </c>
      <c r="E31" s="93" t="n"/>
      <c r="F31" s="29" t="inlineStr">
        <is>
          <t>A business line P&amp;L, region or enterprise function</t>
        </is>
      </c>
      <c r="G31" s="92" t="n"/>
      <c r="H31" s="92" t="n"/>
      <c r="I31" s="92" t="n"/>
      <c r="J31" s="92" t="n"/>
      <c r="K31" s="93" t="n"/>
      <c r="L31" s="31" t="inlineStr">
        <is>
          <t>15–20 yrs</t>
        </is>
      </c>
      <c r="M31" s="93" t="n"/>
      <c r="N31" s="31" t="n">
        <v>1</v>
      </c>
    </row>
    <row r="32" ht="15" customHeight="1">
      <c r="A32" s="28" t="inlineStr">
        <is>
          <t>D2</t>
        </is>
      </c>
      <c r="B32" s="29" t="inlineStr">
        <is>
          <t>—</t>
        </is>
      </c>
      <c r="C32" s="93" t="n"/>
      <c r="D32" s="29" t="inlineStr">
        <is>
          <t>Vice President</t>
        </is>
      </c>
      <c r="E32" s="93" t="n"/>
      <c r="F32" s="29" t="inlineStr">
        <is>
          <t>Several business lines or an executive-scope enterprise function</t>
        </is>
      </c>
      <c r="G32" s="92" t="n"/>
      <c r="H32" s="92" t="n"/>
      <c r="I32" s="92" t="n"/>
      <c r="J32" s="92" t="n"/>
      <c r="K32" s="93" t="n"/>
      <c r="L32" s="31" t="inlineStr">
        <is>
          <t>18–24 yrs</t>
        </is>
      </c>
      <c r="M32" s="93" t="n"/>
      <c r="N32" s="31" t="n">
        <v>1</v>
      </c>
    </row>
    <row r="33" ht="15" customHeight="1">
      <c r="A33" s="32" t="inlineStr">
        <is>
          <t>E1</t>
        </is>
      </c>
      <c r="B33" s="33" t="inlineStr">
        <is>
          <t>—</t>
        </is>
      </c>
      <c r="C33" s="93" t="n"/>
      <c r="D33" s="33" t="inlineStr">
        <is>
          <t>CXO / President</t>
        </is>
      </c>
      <c r="E33" s="93" t="n"/>
      <c r="F33" s="33" t="inlineStr">
        <is>
          <t>An enterprise-wide function</t>
        </is>
      </c>
      <c r="G33" s="92" t="n"/>
      <c r="H33" s="92" t="n"/>
      <c r="I33" s="92" t="n"/>
      <c r="J33" s="92" t="n"/>
      <c r="K33" s="93" t="n"/>
      <c r="L33" s="35" t="inlineStr">
        <is>
          <t>20+ yrs</t>
        </is>
      </c>
      <c r="M33" s="93" t="n"/>
      <c r="N33" s="35" t="n">
        <v>1</v>
      </c>
    </row>
    <row r="34" ht="28" customHeight="1">
      <c r="A34" s="36" t="inlineStr">
        <is>
          <t>X1</t>
        </is>
      </c>
      <c r="B34" s="37" t="inlineStr">
        <is>
          <t>Associate Consultant</t>
        </is>
      </c>
      <c r="C34" s="93" t="n"/>
      <c r="D34" s="37" t="inlineStr">
        <is>
          <t>Outside the employee ladder</t>
        </is>
      </c>
      <c r="E34" s="93" t="n"/>
      <c r="F34" s="37" t="inlineStr">
        <is>
          <t>Defined deliverables under a statement of work · ≈ A2–A3</t>
        </is>
      </c>
      <c r="G34" s="92" t="n"/>
      <c r="H34" s="92" t="n"/>
      <c r="I34" s="92" t="n"/>
      <c r="J34" s="92" t="n"/>
      <c r="K34" s="93" t="n"/>
      <c r="L34" s="39" t="inlineStr">
        <is>
          <t>0–5 yrs</t>
        </is>
      </c>
      <c r="M34" s="93" t="n"/>
      <c r="N34" s="39" t="n">
        <v>1</v>
      </c>
    </row>
    <row r="35" ht="28" customHeight="1">
      <c r="A35" s="36" t="inlineStr">
        <is>
          <t>X3</t>
        </is>
      </c>
      <c r="B35" s="37" t="inlineStr">
        <is>
          <t>Senior Consultant / Advisor</t>
        </is>
      </c>
      <c r="C35" s="93" t="n"/>
      <c r="D35" s="37" t="inlineStr">
        <is>
          <t>Outside the employee ladder</t>
        </is>
      </c>
      <c r="E35" s="93" t="n"/>
      <c r="F35" s="37" t="inlineStr">
        <is>
          <t>Expert or advisory scope · ≈ B3–C2</t>
        </is>
      </c>
      <c r="G35" s="92" t="n"/>
      <c r="H35" s="92" t="n"/>
      <c r="I35" s="92" t="n"/>
      <c r="J35" s="92" t="n"/>
      <c r="K35" s="93" t="n"/>
      <c r="L35" s="39" t="inlineStr">
        <is>
          <t>10+ yrs</t>
        </is>
      </c>
      <c r="M35" s="93" t="n"/>
      <c r="N35" s="39" t="n">
        <v>1</v>
      </c>
    </row>
    <row r="36" ht="15" customHeight="1"/>
    <row r="37" ht="28" customHeight="1">
      <c r="A37" s="40" t="inlineStr">
        <is>
          <r>
            <rPr>
              <rFont val="Calibri"/>
              <b val="1"/>
              <i val="1"/>
              <color rgb="00595959"/>
              <sz val="10"/>
            </rPr>
            <t>Bands:</t>
          </r>
          <r>
            <rPr>
              <rFont val="Calibri"/>
              <i val="1"/>
              <color rgb="00595959"/>
              <sz val="10"/>
            </rPr>
            <t xml:space="preserve"> A practitioner · B specialist / manager · C principal / head · D business leadership · E enterprise leadership. B+ and C+ are the Player-Coach transition steps · between B3 and C1, and between C2 and D1, for people who lead a team and still do the hardest hands-on work. X1–X3 are consultants outside the ladder.</t>
          </r>
        </is>
      </c>
    </row>
    <row r="38" ht="15" customHeight="1"/>
    <row r="39" ht="20" customHeight="1">
      <c r="A39" s="6" t="inlineStr">
        <is>
          <t>3b. Top specialist title at D1 — decision for the heads</t>
        </is>
      </c>
    </row>
    <row r="40" ht="15" customHeight="1">
      <c r="A40" s="40" t="inlineStr">
        <is>
          <t>IRIS uses no 'Fellow' and no 'Director'. Status: Not decided yet — both options are shown as 'Chief Specialist / Distinguished Principal' until the heads choose.</t>
        </is>
      </c>
    </row>
    <row r="41" ht="15" customHeight="1">
      <c r="A41" s="8" t="inlineStr">
        <is>
          <t>Option</t>
        </is>
      </c>
      <c r="B41" s="93" t="n"/>
      <c r="C41" s="8" t="inlineStr">
        <is>
          <t>What it means</t>
        </is>
      </c>
      <c r="D41" s="92" t="n"/>
      <c r="E41" s="92" t="n"/>
      <c r="F41" s="92" t="n"/>
      <c r="G41" s="92" t="n"/>
      <c r="H41" s="92" t="n"/>
      <c r="I41" s="92" t="n"/>
      <c r="J41" s="92" t="n"/>
      <c r="K41" s="92" t="n"/>
      <c r="L41" s="92" t="n"/>
      <c r="M41" s="92" t="n"/>
      <c r="N41" s="93" t="n"/>
    </row>
    <row r="42" ht="93" customHeight="1">
      <c r="A42" s="10" t="inlineStr">
        <is>
          <t>Option A · Chief Specialist</t>
        </is>
      </c>
      <c r="B42" s="93" t="n"/>
      <c r="C42" s="12" t="inlineStr">
        <is>
          <r>
            <rPr>
              <rFont val="Calibri"/>
              <b val="1"/>
              <sz val="10"/>
            </rPr>
            <t>Discipline forms:</t>
          </r>
          <r>
            <rPr>
              <rFont val="Calibri"/>
              <sz val="10"/>
            </rPr>
            <t xml:space="preserve"> Chief Architect · Chief Consultant · Chief Product Specialist · Chief Compliance Specialist · Chief Data Scientist
</t>
          </r>
          <r>
            <rPr>
              <rFont val="Calibri"/>
              <b val="1"/>
              <sz val="10"/>
            </rPr>
            <t>Why:</t>
          </r>
          <r>
            <rPr>
              <rFont val="Calibri"/>
              <sz val="10"/>
            </rPr>
            <t xml:space="preserve"> A recognised senior title in the Indian market: PayScale India tracks Chief Architect, IT as a late-career role, and Indian IT services ladders such as Infosys stop at Principal Technology Architect before AVP, so 'Chief' marks the step above Principal. Takes the discipline word for every job family. Sources: S72 PayScale India · S33 Infosys job levels.
</t>
          </r>
          <r>
            <rPr>
              <rFont val="Calibri"/>
              <b val="1"/>
              <sz val="10"/>
            </rPr>
            <t>Watch-out:</t>
          </r>
          <r>
            <rPr>
              <rFont val="Calibri"/>
              <sz val="10"/>
            </rPr>
            <t xml:space="preserve"> The CXO level also uses 'Chief'. Job documents state that this is a specialist role with no team, not an executive or KMP role.</t>
          </r>
        </is>
      </c>
      <c r="D42" s="92" t="n"/>
      <c r="E42" s="92" t="n"/>
      <c r="F42" s="92" t="n"/>
      <c r="G42" s="92" t="n"/>
      <c r="H42" s="92" t="n"/>
      <c r="I42" s="92" t="n"/>
      <c r="J42" s="92" t="n"/>
      <c r="K42" s="92" t="n"/>
      <c r="L42" s="92" t="n"/>
      <c r="M42" s="92" t="n"/>
      <c r="N42" s="93" t="n"/>
    </row>
    <row r="43" ht="67" customHeight="1">
      <c r="A43" s="10" t="inlineStr">
        <is>
          <t>Option B · Distinguished Principal</t>
        </is>
      </c>
      <c r="B43" s="93" t="n"/>
      <c r="C43" s="12" t="inlineStr">
        <is>
          <r>
            <rPr>
              <rFont val="Calibri"/>
              <b val="1"/>
              <sz val="10"/>
            </rPr>
            <t>Discipline forms:</t>
          </r>
          <r>
            <rPr>
              <rFont val="Calibri"/>
              <sz val="10"/>
            </rPr>
            <t xml:space="preserve"> Distinguished Architect · Distinguished Engineer · Distinguished Consultant · Distinguished Designer
</t>
          </r>
          <r>
            <rPr>
              <rFont val="Calibri"/>
              <b val="1"/>
              <sz val="10"/>
            </rPr>
            <t>Why:</t>
          </r>
          <r>
            <rPr>
              <rFont val="Calibri"/>
              <sz val="10"/>
            </rPr>
            <t xml:space="preserve"> Most common globally: the standard top-specialist title at Google, Microsoft, Salesforce and, in India, Wipro. Continues the Principal line: Principal → Senior Principal → Distinguished Principal. Sources: S65 Wipro · S66 Salesforce · S67 LeadDev · S32 Google, Microsoft, Amazon levels.
</t>
          </r>
          <r>
            <rPr>
              <rFont val="Calibri"/>
              <b val="1"/>
              <sz val="10"/>
            </rPr>
            <t>Watch-out:</t>
          </r>
          <r>
            <rPr>
              <rFont val="Calibri"/>
              <sz val="10"/>
            </rPr>
            <t xml:space="preserve"> Less familiar in the Indian job market and outside technology roles.</t>
          </r>
        </is>
      </c>
      <c r="D43" s="92" t="n"/>
      <c r="E43" s="92" t="n"/>
      <c r="F43" s="92" t="n"/>
      <c r="G43" s="92" t="n"/>
      <c r="H43" s="92" t="n"/>
      <c r="I43" s="92" t="n"/>
      <c r="J43" s="92" t="n"/>
      <c r="K43" s="92" t="n"/>
      <c r="L43" s="92" t="n"/>
      <c r="M43" s="92" t="n"/>
      <c r="N43" s="93" t="n"/>
    </row>
    <row r="44" ht="15" customHeight="1"/>
    <row r="45" ht="28" customHeight="1">
      <c r="A45" s="40" t="inlineStr">
        <is>
          <r>
            <rPr>
              <rFont val="Calibri"/>
              <b val="1"/>
              <i val="1"/>
              <color rgb="00595959"/>
              <sz val="10"/>
            </rPr>
            <t>How to apply the decision:</t>
          </r>
          <r>
            <rPr>
              <rFont val="Calibri"/>
              <i val="1"/>
              <color rgb="00595959"/>
              <sz val="10"/>
            </rPr>
            <t xml:space="preserve"> Heads choose one option. HR then sets the value in inputs/title_settings.csv to 'Chief Specialist' or 'Distinguished Principal' and rebuilds; every ladder, level table and designation updates. Leave it as 'Both' until the decision is made.</t>
          </r>
        </is>
      </c>
    </row>
    <row r="46" ht="15" customHeight="1"/>
    <row r="47" ht="20" customHeight="1">
      <c r="A47" s="6" t="inlineStr">
        <is>
          <t>4. How a role's level is worked out — in four steps</t>
        </is>
      </c>
    </row>
    <row r="48" ht="28" customHeight="1">
      <c r="A48" s="40" t="inlineStr">
        <is>
          <t>The score measures the size of the role, not how well the person performs, and it is not linked to pay. It uses the same scale as the ladder · A1 = 1, A2 = 2 … B1 = 4 … E2 = 12, so a score reads as a level.</t>
        </is>
      </c>
    </row>
    <row r="49" ht="15" customHeight="1">
      <c r="A49" s="8" t="inlineStr">
        <is>
          <t>Step</t>
        </is>
      </c>
      <c r="B49" s="8" t="inlineStr">
        <is>
          <t>What happens</t>
        </is>
      </c>
      <c r="C49" s="92" t="n"/>
      <c r="D49" s="92" t="n"/>
      <c r="E49" s="92" t="n"/>
      <c r="F49" s="92" t="n"/>
      <c r="G49" s="93" t="n"/>
      <c r="H49" s="8" t="inlineStr">
        <is>
          <t>In plain words</t>
        </is>
      </c>
      <c r="I49" s="92" t="n"/>
      <c r="J49" s="92" t="n"/>
      <c r="K49" s="92" t="n"/>
      <c r="L49" s="92" t="n"/>
      <c r="M49" s="92" t="n"/>
      <c r="N49" s="93" t="n"/>
    </row>
    <row r="50" ht="54" customHeight="1">
      <c r="A50" s="10" t="inlineStr">
        <is>
          <t>1 · Rate</t>
        </is>
      </c>
      <c r="B50" s="12" t="inlineStr">
        <is>
          <r>
            <rPr>
              <rFont val="Calibri"/>
              <b val="1"/>
              <sz val="10"/>
            </rPr>
            <t>Six factors are each rated:</t>
          </r>
          <r>
            <rPr>
              <rFont val="Calibri"/>
              <sz val="10"/>
            </rPr>
            <t xml:space="preserve"> Complexity, Autonomy, Accountability, Leadership, Experience &amp; Qualification, Business Impact. Each rating starts from the designation and reporting line; survey or KRA evidence can move it by up to one level.</t>
          </r>
        </is>
      </c>
      <c r="C50" s="92" t="n"/>
      <c r="D50" s="92" t="n"/>
      <c r="E50" s="92" t="n"/>
      <c r="F50" s="92" t="n"/>
      <c r="G50" s="93" t="n"/>
      <c r="H50" s="12" t="inlineStr">
        <is>
          <t>How hard the work is, how freely the person decides, what the role answers for, how much it leads others, the experience it needs and its impact on the business.</t>
        </is>
      </c>
      <c r="I50" s="92" t="n"/>
      <c r="J50" s="92" t="n"/>
      <c r="K50" s="92" t="n"/>
      <c r="L50" s="92" t="n"/>
      <c r="M50" s="92" t="n"/>
      <c r="N50" s="93" t="n"/>
    </row>
    <row r="51" ht="41" customHeight="1">
      <c r="A51" s="10" t="inlineStr">
        <is>
          <t>2 · Weigh</t>
        </is>
      </c>
      <c r="B51" s="12" t="inlineStr">
        <is>
          <t>Each factor has a weight; the six weights add to 100%. They depend on the band and track and the department's type of work, and leaders can edit them on the Weightage Matrix.</t>
        </is>
      </c>
      <c r="C51" s="92" t="n"/>
      <c r="D51" s="92" t="n"/>
      <c r="E51" s="92" t="n"/>
      <c r="F51" s="92" t="n"/>
      <c r="G51" s="93" t="n"/>
      <c r="H51" s="12" t="inlineStr">
        <is>
          <t>Junior roles count the work itself most · Leadership counts 0% in Band A. Senior roles count accountability, leadership and business impact most. Experience counts little.</t>
        </is>
      </c>
      <c r="I51" s="92" t="n"/>
      <c r="J51" s="92" t="n"/>
      <c r="K51" s="92" t="n"/>
      <c r="L51" s="92" t="n"/>
      <c r="M51" s="92" t="n"/>
      <c r="N51" s="93" t="n"/>
    </row>
    <row r="52" ht="41" customHeight="1">
      <c r="A52" s="10" t="inlineStr">
        <is>
          <t>3 · Score</t>
        </is>
      </c>
      <c r="B52" s="12" t="inlineStr">
        <is>
          <t>Score = the six ratings × their weights, added up. Rounded to the nearest whole number ·.5 rounds up, it gives the indicated level.</t>
        </is>
      </c>
      <c r="C52" s="92" t="n"/>
      <c r="D52" s="92" t="n"/>
      <c r="E52" s="92" t="n"/>
      <c r="F52" s="92" t="n"/>
      <c r="G52" s="93" t="n"/>
      <c r="H52" s="12" t="inlineStr">
        <is>
          <t>A weighted average rating — so 4.73 means 'between B1 and B2, nearer B2', which rounds to B2.</t>
        </is>
      </c>
      <c r="I52" s="92" t="n"/>
      <c r="J52" s="92" t="n"/>
      <c r="K52" s="92" t="n"/>
      <c r="L52" s="92" t="n"/>
      <c r="M52" s="92" t="n"/>
      <c r="N52" s="93" t="n"/>
    </row>
    <row r="53" ht="67" customHeight="1">
      <c r="A53" s="10" t="inlineStr">
        <is>
          <t>4 · Check</t>
        </is>
      </c>
      <c r="B53" s="12" t="inlineStr">
        <is>
          <r>
            <rPr>
              <rFont val="Calibri"/>
              <b val="1"/>
              <sz val="10"/>
            </rPr>
            <t>Rules confirm or adjust the indicated level:</t>
          </r>
          <r>
            <rPr>
              <rFont val="Calibri"/>
              <sz val="10"/>
            </rPr>
            <t xml:space="preserve"> the work itself must support it, senior levels need the structure in the org chart, experience limits apply in Bands A–B, POD Leads and managers start at B1, and Player-Coaches can sit on a Player-Coach transition step.</t>
          </r>
        </is>
      </c>
      <c r="C53" s="92" t="n"/>
      <c r="D53" s="92" t="n"/>
      <c r="E53" s="92" t="n"/>
      <c r="F53" s="92" t="n"/>
      <c r="G53" s="93" t="n"/>
      <c r="H53" s="12" t="inlineStr">
        <is>
          <t>The score proposes; the rules make sure the role really carries that level. Any change is named, with its numbers, on sheet 2 of this workbook.</t>
        </is>
      </c>
      <c r="I53" s="92" t="n"/>
      <c r="J53" s="92" t="n"/>
      <c r="K53" s="92" t="n"/>
      <c r="L53" s="92" t="n"/>
      <c r="M53" s="92" t="n"/>
      <c r="N53" s="93" t="n"/>
    </row>
    <row r="54" ht="15" customHeight="1"/>
    <row r="55" ht="15" customHeight="1">
      <c r="A55" s="41" t="inlineStr">
        <is>
          <t>Worked example · invented numbers — a Band B individual contributor doing technology work:</t>
        </is>
      </c>
    </row>
    <row r="56" ht="15" customHeight="1">
      <c r="A56" s="8" t="inlineStr">
        <is>
          <t>Factor</t>
        </is>
      </c>
      <c r="B56" s="8" t="inlineStr">
        <is>
          <t>Complexity</t>
        </is>
      </c>
      <c r="C56" s="93" t="n"/>
      <c r="D56" s="8" t="inlineStr">
        <is>
          <t>Autonomy</t>
        </is>
      </c>
      <c r="E56" s="93" t="n"/>
      <c r="F56" s="8" t="inlineStr">
        <is>
          <t>Accountability</t>
        </is>
      </c>
      <c r="G56" s="93" t="n"/>
      <c r="H56" s="8" t="inlineStr">
        <is>
          <t>Leadership</t>
        </is>
      </c>
      <c r="I56" s="93" t="n"/>
      <c r="J56" s="8" t="inlineStr">
        <is>
          <t>Experience</t>
        </is>
      </c>
      <c r="K56" s="93" t="n"/>
      <c r="L56" s="8" t="inlineStr">
        <is>
          <t>Bus. Impact</t>
        </is>
      </c>
      <c r="M56" s="93" t="n"/>
      <c r="N56" s="8" t="inlineStr">
        <is>
          <t>Score</t>
        </is>
      </c>
    </row>
    <row r="57" ht="15" customHeight="1">
      <c r="A57" s="10" t="inlineStr">
        <is>
          <t>Rating</t>
        </is>
      </c>
      <c r="B57" s="42" t="inlineStr">
        <is>
          <t>5</t>
        </is>
      </c>
      <c r="C57" s="93" t="n"/>
      <c r="D57" s="42" t="inlineStr">
        <is>
          <t>4</t>
        </is>
      </c>
      <c r="E57" s="93" t="n"/>
      <c r="F57" s="42" t="inlineStr">
        <is>
          <t>5</t>
        </is>
      </c>
      <c r="G57" s="93" t="n"/>
      <c r="H57" s="42" t="inlineStr">
        <is>
          <t>3</t>
        </is>
      </c>
      <c r="I57" s="93" t="n"/>
      <c r="J57" s="42" t="inlineStr">
        <is>
          <t>5</t>
        </is>
      </c>
      <c r="K57" s="93" t="n"/>
      <c r="L57" s="42" t="inlineStr">
        <is>
          <t>5</t>
        </is>
      </c>
      <c r="M57" s="93" t="n"/>
      <c r="N57" s="42" t="inlineStr"/>
    </row>
    <row r="58" ht="15" customHeight="1">
      <c r="A58" s="10" t="inlineStr">
        <is>
          <t>Weight</t>
        </is>
      </c>
      <c r="B58" s="42" t="inlineStr">
        <is>
          <t>56%</t>
        </is>
      </c>
      <c r="C58" s="93" t="n"/>
      <c r="D58" s="42" t="inlineStr">
        <is>
          <t>17%</t>
        </is>
      </c>
      <c r="E58" s="93" t="n"/>
      <c r="F58" s="42" t="inlineStr">
        <is>
          <t>5%</t>
        </is>
      </c>
      <c r="G58" s="93" t="n"/>
      <c r="H58" s="42" t="inlineStr">
        <is>
          <t>5%</t>
        </is>
      </c>
      <c r="I58" s="93" t="n"/>
      <c r="J58" s="42" t="inlineStr">
        <is>
          <t>10%</t>
        </is>
      </c>
      <c r="K58" s="93" t="n"/>
      <c r="L58" s="42" t="inlineStr">
        <is>
          <t>7%</t>
        </is>
      </c>
      <c r="M58" s="93" t="n"/>
      <c r="N58" s="42" t="inlineStr">
        <is>
          <t>100%</t>
        </is>
      </c>
    </row>
    <row r="59" ht="15" customHeight="1">
      <c r="A59" s="10" t="inlineStr">
        <is>
          <t>Rating × weight</t>
        </is>
      </c>
      <c r="B59" s="42" t="inlineStr">
        <is>
          <t>2.80</t>
        </is>
      </c>
      <c r="C59" s="93" t="n"/>
      <c r="D59" s="42" t="inlineStr">
        <is>
          <t>0.68</t>
        </is>
      </c>
      <c r="E59" s="93" t="n"/>
      <c r="F59" s="42" t="inlineStr">
        <is>
          <t>0.25</t>
        </is>
      </c>
      <c r="G59" s="93" t="n"/>
      <c r="H59" s="42" t="inlineStr">
        <is>
          <t>0.15</t>
        </is>
      </c>
      <c r="I59" s="93" t="n"/>
      <c r="J59" s="42" t="inlineStr">
        <is>
          <t>0.50</t>
        </is>
      </c>
      <c r="K59" s="93" t="n"/>
      <c r="L59" s="42" t="inlineStr">
        <is>
          <t>0.35</t>
        </is>
      </c>
      <c r="M59" s="93" t="n"/>
      <c r="N59" s="42" t="inlineStr">
        <is>
          <t>4.73 → B2</t>
        </is>
      </c>
    </row>
    <row r="60" ht="15" customHeight="1"/>
    <row r="61" ht="15" customHeight="1">
      <c r="A61" s="41" t="inlineStr">
        <is>
          <t>What the numbers mean — CARBON</t>
        </is>
      </c>
    </row>
    <row r="62" ht="15" customHeight="1">
      <c r="A62" s="8" t="inlineStr">
        <is>
          <t>Term</t>
        </is>
      </c>
      <c r="B62" s="8" t="inlineStr">
        <is>
          <t>Meaning</t>
        </is>
      </c>
      <c r="C62" s="92" t="n"/>
      <c r="D62" s="92" t="n"/>
      <c r="E62" s="92" t="n"/>
      <c r="F62" s="92" t="n"/>
      <c r="G62" s="92" t="n"/>
      <c r="H62" s="92" t="n"/>
      <c r="I62" s="92" t="n"/>
      <c r="J62" s="92" t="n"/>
      <c r="K62" s="92" t="n"/>
      <c r="L62" s="93" t="n"/>
      <c r="M62" s="8" t="inlineStr">
        <is>
          <t>People</t>
        </is>
      </c>
      <c r="N62" s="93" t="n"/>
    </row>
    <row r="63" ht="15" customHeight="1">
      <c r="A63" s="10" t="inlineStr">
        <is>
          <t>Score</t>
        </is>
      </c>
      <c r="B63" s="12" t="inlineStr">
        <is>
          <t>The size of the role in level units. Not performance, not pay.</t>
        </is>
      </c>
      <c r="C63" s="92" t="n"/>
      <c r="D63" s="92" t="n"/>
      <c r="E63" s="92" t="n"/>
      <c r="F63" s="92" t="n"/>
      <c r="G63" s="92" t="n"/>
      <c r="H63" s="92" t="n"/>
      <c r="I63" s="92" t="n"/>
      <c r="J63" s="92" t="n"/>
      <c r="K63" s="92" t="n"/>
      <c r="L63" s="93" t="n"/>
      <c r="M63" s="42" t="n">
        <v>208</v>
      </c>
      <c r="N63" s="93" t="n"/>
    </row>
    <row r="64" ht="15" customHeight="1">
      <c r="A64" s="10" t="inlineStr">
        <is>
          <t>Indicated level</t>
        </is>
      </c>
      <c r="B64" s="12" t="inlineStr">
        <is>
          <t>The score rounded to the nearest level.</t>
        </is>
      </c>
      <c r="C64" s="92" t="n"/>
      <c r="D64" s="92" t="n"/>
      <c r="E64" s="92" t="n"/>
      <c r="F64" s="92" t="n"/>
      <c r="G64" s="92" t="n"/>
      <c r="H64" s="92" t="n"/>
      <c r="I64" s="92" t="n"/>
      <c r="J64" s="92" t="n"/>
      <c r="K64" s="92" t="n"/>
      <c r="L64" s="93" t="n"/>
      <c r="M64" s="42" t="n">
        <v>208</v>
      </c>
      <c r="N64" s="93" t="n"/>
    </row>
    <row r="65" ht="15" customHeight="1">
      <c r="A65" s="10" t="inlineStr">
        <is>
          <t>Final level</t>
        </is>
      </c>
      <c r="B65" s="12" t="inlineStr">
        <is>
          <t>The level after the rules. Where it differs from the indicated level, a rule moved it and the reason is recorded.</t>
        </is>
      </c>
      <c r="C65" s="92" t="n"/>
      <c r="D65" s="92" t="n"/>
      <c r="E65" s="92" t="n"/>
      <c r="F65" s="92" t="n"/>
      <c r="G65" s="92" t="n"/>
      <c r="H65" s="92" t="n"/>
      <c r="I65" s="92" t="n"/>
      <c r="J65" s="92" t="n"/>
      <c r="K65" s="92" t="n"/>
      <c r="L65" s="93" t="n"/>
      <c r="M65" s="42" t="inlineStr">
        <is>
          <t>48 differ</t>
        </is>
      </c>
      <c r="N65" s="93" t="n"/>
    </row>
    <row r="66" ht="15" customHeight="1">
      <c r="A66" s="10" t="inlineStr">
        <is>
          <t>Close call</t>
        </is>
      </c>
      <c r="B66" s="12" t="inlineStr">
        <is>
          <t>The score decided the level and sits within ±0.05 of a rounding point. Sent to the calibration panel.</t>
        </is>
      </c>
      <c r="C66" s="92" t="n"/>
      <c r="D66" s="92" t="n"/>
      <c r="E66" s="92" t="n"/>
      <c r="F66" s="92" t="n"/>
      <c r="G66" s="92" t="n"/>
      <c r="H66" s="92" t="n"/>
      <c r="I66" s="92" t="n"/>
      <c r="J66" s="92" t="n"/>
      <c r="K66" s="92" t="n"/>
      <c r="L66" s="93" t="n"/>
      <c r="M66" s="42" t="n">
        <v>17</v>
      </c>
      <c r="N66" s="93" t="n"/>
    </row>
    <row r="67" ht="28" customHeight="1">
      <c r="A67" s="10" t="inlineStr">
        <is>
          <t>Near a gate</t>
        </is>
      </c>
      <c r="B67" s="12" t="inlineStr">
        <is>
          <t>A rule set the level, and the number behind that rule is within a quarter-point of flipping it. Sent to the calibration panel.</t>
        </is>
      </c>
      <c r="C67" s="92" t="n"/>
      <c r="D67" s="92" t="n"/>
      <c r="E67" s="92" t="n"/>
      <c r="F67" s="92" t="n"/>
      <c r="G67" s="92" t="n"/>
      <c r="H67" s="92" t="n"/>
      <c r="I67" s="92" t="n"/>
      <c r="J67" s="92" t="n"/>
      <c r="K67" s="92" t="n"/>
      <c r="L67" s="93" t="n"/>
      <c r="M67" s="42" t="n">
        <v>8</v>
      </c>
      <c r="N67" s="93" t="n"/>
    </row>
    <row r="68" ht="15" customHeight="1">
      <c r="A68" s="10" t="inlineStr">
        <is>
          <t>Not scored</t>
        </is>
      </c>
      <c r="B68" s="12" t="inlineStr">
        <is>
          <t>Interns and first-year trainees, consultants and anyone with incomplete ratings are placed by rule.</t>
        </is>
      </c>
      <c r="C68" s="92" t="n"/>
      <c r="D68" s="92" t="n"/>
      <c r="E68" s="92" t="n"/>
      <c r="F68" s="92" t="n"/>
      <c r="G68" s="92" t="n"/>
      <c r="H68" s="92" t="n"/>
      <c r="I68" s="92" t="n"/>
      <c r="J68" s="92" t="n"/>
      <c r="K68" s="92" t="n"/>
      <c r="L68" s="93" t="n"/>
      <c r="M68" s="42" t="n">
        <v>7</v>
      </c>
      <c r="N68" s="93" t="n"/>
    </row>
    <row r="69" ht="15" customHeight="1"/>
    <row r="70" ht="80" customHeight="1">
      <c r="A70" s="40" t="inlineStr">
        <is>
          <r>
            <rPr>
              <rFont val="Calibri"/>
              <b val="1"/>
              <i val="1"/>
              <color rgb="00595959"/>
              <sz val="10"/>
            </rPr>
            <t>Where the weights come from:</t>
          </r>
          <r>
            <rPr>
              <rFont val="Calibri"/>
              <i val="1"/>
              <color rgb="00595959"/>
              <sz val="10"/>
            </rPr>
            <t xml:space="preserve"> each role group's default is the average of Korn Ferry Hay, Mercer IPE and five public point-factor plans. Sources: S46–S51 Korn Ferry Hay evaluations · S04, S52 Mercer IPE · S53–S57 NHS, UK NJC/PSC, GLPC, SJC and US OPM point-factor plans. Experience kept low: Sources: S05, S49 Hay know-how includes experience however acquired · S04, S52 Mercer IPE knowledge · S07 WTW GGS · S58 McKinsey · S59 Deloitte · S60 WEF · S61 EY India, 2026 — skills over tenure. The 10% / 5% level is an IRIS leadership decision. Type-of-work shift: Basis: S06 Hay short profile — A-type delivery jobs weight accountability, P-type thinking jobs weight problem solving, L-type are balanced. The ±5 size is an IRIS design rule, kept small so the market defaults stay in control. Full links: source register, HR Super Master sheet 11 and Framework Master M16.</t>
          </r>
        </is>
      </c>
    </row>
    <row r="71" ht="20" customHeight="1">
      <c r="A71" s="6" t="inlineStr">
        <is>
          <t>5. The ten rules, in plain English</t>
        </is>
      </c>
    </row>
    <row r="72" ht="15" customHeight="1">
      <c r="A72" s="8" t="inlineStr">
        <is>
          <t>Rule</t>
        </is>
      </c>
      <c r="B72" s="92" t="n"/>
      <c r="C72" s="93" t="n"/>
      <c r="D72" s="8" t="inlineStr">
        <is>
          <t>What it says</t>
        </is>
      </c>
      <c r="E72" s="92" t="n"/>
      <c r="F72" s="92" t="n"/>
      <c r="G72" s="92" t="n"/>
      <c r="H72" s="92" t="n"/>
      <c r="I72" s="92" t="n"/>
      <c r="J72" s="92" t="n"/>
      <c r="K72" s="92" t="n"/>
      <c r="L72" s="92" t="n"/>
      <c r="M72" s="92" t="n"/>
      <c r="N72" s="93" t="n"/>
    </row>
    <row r="73" ht="15" customHeight="1">
      <c r="A73" s="10" t="inlineStr">
        <is>
          <t>R1 · Category</t>
        </is>
      </c>
      <c r="B73" s="92" t="n"/>
      <c r="C73" s="93" t="n"/>
      <c r="D73" s="12" t="inlineStr">
        <is>
          <t>Interns and first-year trainees start at A1; consultants sit outside the ladder at X1–X3.</t>
        </is>
      </c>
      <c r="E73" s="92" t="n"/>
      <c r="F73" s="92" t="n"/>
      <c r="G73" s="92" t="n"/>
      <c r="H73" s="92" t="n"/>
      <c r="I73" s="92" t="n"/>
      <c r="J73" s="92" t="n"/>
      <c r="K73" s="92" t="n"/>
      <c r="L73" s="92" t="n"/>
      <c r="M73" s="92" t="n"/>
      <c r="N73" s="93" t="n"/>
    </row>
    <row r="74" ht="15" customHeight="1">
      <c r="A74" s="10" t="inlineStr">
        <is>
          <t>R2 · Provisional</t>
        </is>
      </c>
      <c r="B74" s="92" t="n"/>
      <c r="C74" s="93" t="n"/>
      <c r="D74" s="12" t="inlineStr">
        <is>
          <t>Where the experience record looks incomplete, the level is kept until HR confirms it.</t>
        </is>
      </c>
      <c r="E74" s="92" t="n"/>
      <c r="F74" s="92" t="n"/>
      <c r="G74" s="92" t="n"/>
      <c r="H74" s="92" t="n"/>
      <c r="I74" s="92" t="n"/>
      <c r="J74" s="92" t="n"/>
      <c r="K74" s="92" t="n"/>
      <c r="L74" s="92" t="n"/>
      <c r="M74" s="92" t="n"/>
      <c r="N74" s="93" t="n"/>
    </row>
    <row r="75" ht="28" customHeight="1">
      <c r="A75" s="10" t="inlineStr">
        <is>
          <t>R3 · Score</t>
        </is>
      </c>
      <c r="B75" s="92" t="n"/>
      <c r="C75" s="93" t="n"/>
      <c r="D75" s="12" t="inlineStr">
        <is>
          <t>The weighted score points to a level; each band is checked on its own weights and the person sits in the highest band where it holds.</t>
        </is>
      </c>
      <c r="E75" s="92" t="n"/>
      <c r="F75" s="92" t="n"/>
      <c r="G75" s="92" t="n"/>
      <c r="H75" s="92" t="n"/>
      <c r="I75" s="92" t="n"/>
      <c r="J75" s="92" t="n"/>
      <c r="K75" s="92" t="n"/>
      <c r="L75" s="92" t="n"/>
      <c r="M75" s="92" t="n"/>
      <c r="N75" s="93" t="n"/>
    </row>
    <row r="76" ht="28" customHeight="1">
      <c r="A76" s="10" t="inlineStr">
        <is>
          <t>R4 · Role substance</t>
        </is>
      </c>
      <c r="B76" s="92" t="n"/>
      <c r="C76" s="93" t="n"/>
      <c r="D76" s="12" t="inlineStr">
        <is>
          <t>For individual contributors, the level can be at most one above what the complexity and accountability of the work show.</t>
        </is>
      </c>
      <c r="E76" s="92" t="n"/>
      <c r="F76" s="92" t="n"/>
      <c r="G76" s="92" t="n"/>
      <c r="H76" s="92" t="n"/>
      <c r="I76" s="92" t="n"/>
      <c r="J76" s="92" t="n"/>
      <c r="K76" s="92" t="n"/>
      <c r="L76" s="92" t="n"/>
      <c r="M76" s="92" t="n"/>
      <c r="N76" s="93" t="n"/>
    </row>
    <row r="77" ht="28" customHeight="1">
      <c r="A77" s="10" t="inlineStr">
        <is>
          <t>R5 · Structure</t>
        </is>
      </c>
      <c r="B77" s="92" t="n"/>
      <c r="C77" s="93" t="n"/>
      <c r="D77" s="12" t="inlineStr">
        <is>
          <t>C1 and above need the matching structure in the org chart · a sub-function, a function, a business line; a B3 manager needs team leads or 10+ people.</t>
        </is>
      </c>
      <c r="E77" s="92" t="n"/>
      <c r="F77" s="92" t="n"/>
      <c r="G77" s="92" t="n"/>
      <c r="H77" s="92" t="n"/>
      <c r="I77" s="92" t="n"/>
      <c r="J77" s="92" t="n"/>
      <c r="K77" s="92" t="n"/>
      <c r="L77" s="92" t="n"/>
      <c r="M77" s="92" t="n"/>
      <c r="N77" s="93" t="n"/>
    </row>
    <row r="78" ht="15" customHeight="1">
      <c r="A78" s="10" t="inlineStr">
        <is>
          <t>R6 · Top of band</t>
        </is>
      </c>
      <c r="B78" s="92" t="n"/>
      <c r="C78" s="93" t="n"/>
      <c r="D78" s="12" t="inlineStr">
        <is>
          <t>To enter the next band the score must reach its entry point on that band's own weights.</t>
        </is>
      </c>
      <c r="E78" s="92" t="n"/>
      <c r="F78" s="92" t="n"/>
      <c r="G78" s="92" t="n"/>
      <c r="H78" s="92" t="n"/>
      <c r="I78" s="92" t="n"/>
      <c r="J78" s="92" t="n"/>
      <c r="K78" s="92" t="n"/>
      <c r="L78" s="92" t="n"/>
      <c r="M78" s="92" t="n"/>
      <c r="N78" s="93" t="n"/>
    </row>
    <row r="79" ht="15" customHeight="1">
      <c r="A79" s="10" t="inlineStr">
        <is>
          <t>R7 · Band A experience</t>
        </is>
      </c>
      <c r="B79" s="92" t="n"/>
      <c r="C79" s="93" t="n"/>
      <c r="D79" s="12" t="inlineStr">
        <is>
          <r>
            <rPr>
              <rFont val="Calibri"/>
              <b val="1"/>
              <sz val="10"/>
            </rPr>
            <t>Under 1 year:</t>
          </r>
          <r>
            <rPr>
              <rFont val="Calibri"/>
              <sz val="10"/>
            </rPr>
            <t xml:space="preserve"> A2 at most; 2+ years: A3.</t>
          </r>
        </is>
      </c>
      <c r="E79" s="92" t="n"/>
      <c r="F79" s="92" t="n"/>
      <c r="G79" s="92" t="n"/>
      <c r="H79" s="92" t="n"/>
      <c r="I79" s="92" t="n"/>
      <c r="J79" s="92" t="n"/>
      <c r="K79" s="92" t="n"/>
      <c r="L79" s="92" t="n"/>
      <c r="M79" s="92" t="n"/>
      <c r="N79" s="93" t="n"/>
    </row>
    <row r="80" ht="15" customHeight="1">
      <c r="A80" s="10" t="inlineStr">
        <is>
          <t>R8 · Experience limit</t>
        </is>
      </c>
      <c r="B80" s="92" t="n"/>
      <c r="C80" s="93" t="n"/>
      <c r="D80" s="12" t="inlineStr">
        <is>
          <t>In Bands A–B a role sits at most one level above the level its experience fits · managers exempt.</t>
        </is>
      </c>
      <c r="E80" s="92" t="n"/>
      <c r="F80" s="92" t="n"/>
      <c r="G80" s="92" t="n"/>
      <c r="H80" s="92" t="n"/>
      <c r="I80" s="92" t="n"/>
      <c r="J80" s="92" t="n"/>
      <c r="K80" s="92" t="n"/>
      <c r="L80" s="92" t="n"/>
      <c r="M80" s="92" t="n"/>
      <c r="N80" s="93" t="n"/>
    </row>
    <row r="81" ht="15" customHeight="1">
      <c r="A81" s="10" t="inlineStr">
        <is>
          <t>R9 · Track minimum</t>
        </is>
      </c>
      <c r="B81" s="92" t="n"/>
      <c r="C81" s="93" t="n"/>
      <c r="D81" s="12" t="inlineStr">
        <is>
          <t>POD Leads and People Managers start at B1.</t>
        </is>
      </c>
      <c r="E81" s="92" t="n"/>
      <c r="F81" s="92" t="n"/>
      <c r="G81" s="92" t="n"/>
      <c r="H81" s="92" t="n"/>
      <c r="I81" s="92" t="n"/>
      <c r="J81" s="92" t="n"/>
      <c r="K81" s="92" t="n"/>
      <c r="L81" s="92" t="n"/>
      <c r="M81" s="92" t="n"/>
      <c r="N81" s="93" t="n"/>
    </row>
    <row r="82" ht="28" customHeight="1">
      <c r="A82" s="10" t="inlineStr">
        <is>
          <t>R10 · Player-Coach</t>
        </is>
      </c>
      <c r="B82" s="92" t="n"/>
      <c r="C82" s="93" t="n"/>
      <c r="D82" s="12" t="inlineStr">
        <is>
          <t>At B3 or C2, someone who leads people and still does hands-on work moves to the step above · B+ or C+ if the Player-Coach score and the substance reach the threshold; a shortfall of up to 0.15 is accepted and confirmed in calibration.</t>
        </is>
      </c>
      <c r="E82" s="92" t="n"/>
      <c r="F82" s="92" t="n"/>
      <c r="G82" s="92" t="n"/>
      <c r="H82" s="92" t="n"/>
      <c r="I82" s="92" t="n"/>
      <c r="J82" s="92" t="n"/>
      <c r="K82" s="92" t="n"/>
      <c r="L82" s="92" t="n"/>
      <c r="M82" s="92" t="n"/>
      <c r="N82" s="93" t="n"/>
    </row>
    <row r="83" ht="15" customHeight="1"/>
    <row r="84" ht="20" customHeight="1">
      <c r="A84" s="6" t="inlineStr">
        <is>
          <t>6. Colours and terms</t>
        </is>
      </c>
    </row>
    <row r="85" ht="15" customHeight="1">
      <c r="A85" s="43" t="inlineStr">
        <is>
          <t>Changed vs current · designation or level</t>
        </is>
      </c>
      <c r="B85" s="92" t="n"/>
      <c r="C85" s="92" t="n"/>
      <c r="D85" s="92" t="n"/>
      <c r="E85" s="92" t="n"/>
      <c r="F85" s="92" t="n"/>
      <c r="G85" s="92" t="n"/>
      <c r="H85" s="92" t="n"/>
      <c r="I85" s="92" t="n"/>
      <c r="J85" s="92" t="n"/>
      <c r="K85" s="92" t="n"/>
      <c r="L85" s="92" t="n"/>
      <c r="M85" s="92" t="n"/>
      <c r="N85" s="93" t="n"/>
    </row>
    <row r="86" ht="15" customHeight="1">
      <c r="A86" s="45" t="inlineStr">
        <is>
          <t>Level up</t>
        </is>
      </c>
      <c r="B86" s="92" t="n"/>
      <c r="C86" s="92" t="n"/>
      <c r="D86" s="92" t="n"/>
      <c r="E86" s="92" t="n"/>
      <c r="F86" s="92" t="n"/>
      <c r="G86" s="92" t="n"/>
      <c r="H86" s="92" t="n"/>
      <c r="I86" s="92" t="n"/>
      <c r="J86" s="92" t="n"/>
      <c r="K86" s="92" t="n"/>
      <c r="L86" s="92" t="n"/>
      <c r="M86" s="92" t="n"/>
      <c r="N86" s="93" t="n"/>
    </row>
    <row r="87" ht="15" customHeight="1">
      <c r="A87" s="47" t="inlineStr">
        <is>
          <t>Level down — pay &amp; title protected</t>
        </is>
      </c>
      <c r="B87" s="92" t="n"/>
      <c r="C87" s="92" t="n"/>
      <c r="D87" s="92" t="n"/>
      <c r="E87" s="92" t="n"/>
      <c r="F87" s="92" t="n"/>
      <c r="G87" s="92" t="n"/>
      <c r="H87" s="92" t="n"/>
      <c r="I87" s="92" t="n"/>
      <c r="J87" s="92" t="n"/>
      <c r="K87" s="92" t="n"/>
      <c r="L87" s="92" t="n"/>
      <c r="M87" s="92" t="n"/>
      <c r="N87" s="93" t="n"/>
    </row>
    <row r="88" ht="15" customHeight="1">
      <c r="A88" s="49" t="inlineStr">
        <is>
          <t>Newly mapped</t>
        </is>
      </c>
      <c r="B88" s="92" t="n"/>
      <c r="C88" s="92" t="n"/>
      <c r="D88" s="92" t="n"/>
      <c r="E88" s="92" t="n"/>
      <c r="F88" s="92" t="n"/>
      <c r="G88" s="92" t="n"/>
      <c r="H88" s="92" t="n"/>
      <c r="I88" s="92" t="n"/>
      <c r="J88" s="92" t="n"/>
      <c r="K88" s="92" t="n"/>
      <c r="L88" s="92" t="n"/>
      <c r="M88" s="92" t="n"/>
      <c r="N88" s="93" t="n"/>
    </row>
    <row r="89" ht="15" customHeight="1">
      <c r="A89" s="50" t="inlineStr">
        <is>
          <t>Player-Coach · B+ · C+</t>
        </is>
      </c>
      <c r="B89" s="92" t="n"/>
      <c r="C89" s="92" t="n"/>
      <c r="D89" s="92" t="n"/>
      <c r="E89" s="92" t="n"/>
      <c r="F89" s="92" t="n"/>
      <c r="G89" s="92" t="n"/>
      <c r="H89" s="92" t="n"/>
      <c r="I89" s="92" t="n"/>
      <c r="J89" s="92" t="n"/>
      <c r="K89" s="92" t="n"/>
      <c r="L89" s="92" t="n"/>
      <c r="M89" s="92" t="n"/>
      <c r="N89" s="93" t="n"/>
    </row>
    <row r="90" ht="15" customHeight="1">
      <c r="A90" s="52" t="inlineStr">
        <is>
          <t>RED = critical input needed · could change or confirm the level</t>
        </is>
      </c>
      <c r="B90" s="92" t="n"/>
      <c r="C90" s="92" t="n"/>
      <c r="D90" s="92" t="n"/>
      <c r="E90" s="92" t="n"/>
      <c r="F90" s="92" t="n"/>
      <c r="G90" s="92" t="n"/>
      <c r="H90" s="92" t="n"/>
      <c r="I90" s="92" t="n"/>
      <c r="J90" s="92" t="n"/>
      <c r="K90" s="92" t="n"/>
      <c r="L90" s="92" t="n"/>
      <c r="M90" s="92" t="n"/>
      <c r="N90" s="93" t="n"/>
    </row>
    <row r="91" ht="15" customHeight="1">
      <c r="A91" s="54" t="inlineStr">
        <is>
          <t>YELLOW = to complete in validation</t>
        </is>
      </c>
      <c r="B91" s="92" t="n"/>
      <c r="C91" s="92" t="n"/>
      <c r="D91" s="92" t="n"/>
      <c r="E91" s="92" t="n"/>
      <c r="F91" s="92" t="n"/>
      <c r="G91" s="92" t="n"/>
      <c r="H91" s="92" t="n"/>
      <c r="I91" s="92" t="n"/>
      <c r="J91" s="92" t="n"/>
      <c r="K91" s="92" t="n"/>
      <c r="L91" s="92" t="n"/>
      <c r="M91" s="92" t="n"/>
      <c r="N91" s="93" t="n"/>
    </row>
    <row r="92" ht="15" customHeight="1"/>
    <row r="93" ht="15" customHeight="1">
      <c r="A93" s="8" t="inlineStr">
        <is>
          <t>Term</t>
        </is>
      </c>
      <c r="B93" s="92" t="n"/>
      <c r="C93" s="93" t="n"/>
      <c r="D93" s="8" t="inlineStr">
        <is>
          <t>Meaning</t>
        </is>
      </c>
      <c r="E93" s="92" t="n"/>
      <c r="F93" s="92" t="n"/>
      <c r="G93" s="92" t="n"/>
      <c r="H93" s="92" t="n"/>
      <c r="I93" s="92" t="n"/>
      <c r="J93" s="92" t="n"/>
      <c r="K93" s="92" t="n"/>
      <c r="L93" s="92" t="n"/>
      <c r="M93" s="92" t="n"/>
      <c r="N93" s="93" t="n"/>
    </row>
    <row r="94" ht="15" customHeight="1">
      <c r="A94" s="10" t="inlineStr">
        <is>
          <t>Job family / sub-family</t>
        </is>
      </c>
      <c r="B94" s="92" t="n"/>
      <c r="C94" s="93" t="n"/>
      <c r="D94" s="12" t="inlineStr">
        <is>
          <t>The discipline, and the actual work done inside it</t>
        </is>
      </c>
      <c r="E94" s="92" t="n"/>
      <c r="F94" s="92" t="n"/>
      <c r="G94" s="92" t="n"/>
      <c r="H94" s="92" t="n"/>
      <c r="I94" s="92" t="n"/>
      <c r="J94" s="92" t="n"/>
      <c r="K94" s="92" t="n"/>
      <c r="L94" s="92" t="n"/>
      <c r="M94" s="92" t="n"/>
      <c r="N94" s="93" t="n"/>
    </row>
    <row r="95" ht="15" customHeight="1">
      <c r="A95" s="10" t="inlineStr">
        <is>
          <t>Track</t>
        </is>
      </c>
      <c r="B95" s="92" t="n"/>
      <c r="C95" s="93" t="n"/>
      <c r="D95" s="12" t="inlineStr">
        <is>
          <t>Individual contributor · IC, POD Lead · leads 1–3 while mainly IC, People Manager, Player-Coach, Consultant</t>
        </is>
      </c>
      <c r="E95" s="92" t="n"/>
      <c r="F95" s="92" t="n"/>
      <c r="G95" s="92" t="n"/>
      <c r="H95" s="92" t="n"/>
      <c r="I95" s="92" t="n"/>
      <c r="J95" s="92" t="n"/>
      <c r="K95" s="92" t="n"/>
      <c r="L95" s="92" t="n"/>
      <c r="M95" s="92" t="n"/>
      <c r="N95" s="93" t="n"/>
    </row>
    <row r="96" ht="15" customHeight="1">
      <c r="A96" s="10" t="inlineStr">
        <is>
          <t>Weights</t>
        </is>
      </c>
      <c r="B96" s="92" t="n"/>
      <c r="C96" s="93" t="n"/>
      <c r="D96" s="12" t="inlineStr">
        <is>
          <t>How much each of the six factors counts for this kind of role; they always add up to 100%. Edit them on sheet 6</t>
        </is>
      </c>
      <c r="E96" s="92" t="n"/>
      <c r="F96" s="92" t="n"/>
      <c r="G96" s="92" t="n"/>
      <c r="H96" s="92" t="n"/>
      <c r="I96" s="92" t="n"/>
      <c r="J96" s="92" t="n"/>
      <c r="K96" s="92" t="n"/>
      <c r="L96" s="92" t="n"/>
      <c r="M96" s="92" t="n"/>
      <c r="N96" s="93" t="n"/>
    </row>
    <row r="97" ht="15" customHeight="1">
      <c r="A97" s="10" t="inlineStr">
        <is>
          <t>Score / indicated level</t>
        </is>
      </c>
      <c r="B97" s="92" t="n"/>
      <c r="C97" s="93" t="n"/>
      <c r="D97" s="12" t="inlineStr">
        <is>
          <t>The weighted average of the six ratings on the ladder scale, and the level it rounds to</t>
        </is>
      </c>
      <c r="E97" s="92" t="n"/>
      <c r="F97" s="92" t="n"/>
      <c r="G97" s="92" t="n"/>
      <c r="H97" s="92" t="n"/>
      <c r="I97" s="92" t="n"/>
      <c r="J97" s="92" t="n"/>
      <c r="K97" s="92" t="n"/>
      <c r="L97" s="92" t="n"/>
      <c r="M97" s="92" t="n"/>
      <c r="N97" s="93" t="n"/>
    </row>
    <row r="98" ht="15" customHeight="1">
      <c r="A98" s="10" t="inlineStr">
        <is>
          <t>Close call</t>
        </is>
      </c>
      <c r="B98" s="92" t="n"/>
      <c r="C98" s="93" t="n"/>
      <c r="D98" s="12" t="inlineStr">
        <is>
          <t>The score decided the level and is within 0.05 of a rounding point</t>
        </is>
      </c>
      <c r="E98" s="92" t="n"/>
      <c r="F98" s="92" t="n"/>
      <c r="G98" s="92" t="n"/>
      <c r="H98" s="92" t="n"/>
      <c r="I98" s="92" t="n"/>
      <c r="J98" s="92" t="n"/>
      <c r="K98" s="92" t="n"/>
      <c r="L98" s="92" t="n"/>
      <c r="M98" s="92" t="n"/>
      <c r="N98" s="93" t="n"/>
    </row>
    <row r="99" ht="15" customHeight="1">
      <c r="A99" s="10" t="inlineStr">
        <is>
          <t>Near a gate</t>
        </is>
      </c>
      <c r="B99" s="92" t="n"/>
      <c r="C99" s="93" t="n"/>
      <c r="D99" s="12" t="inlineStr">
        <is>
          <t>A rule set the level and the number behind it is within a quarter-point of changing it</t>
        </is>
      </c>
      <c r="E99" s="92" t="n"/>
      <c r="F99" s="92" t="n"/>
      <c r="G99" s="92" t="n"/>
      <c r="H99" s="92" t="n"/>
      <c r="I99" s="92" t="n"/>
      <c r="J99" s="92" t="n"/>
      <c r="K99" s="92" t="n"/>
      <c r="L99" s="92" t="n"/>
      <c r="M99" s="92" t="n"/>
      <c r="N99" s="93" t="n"/>
    </row>
    <row r="100" ht="15" customHeight="1">
      <c r="A100" s="10" t="inlineStr">
        <is>
          <t>Provisional</t>
        </is>
      </c>
      <c r="B100" s="92" t="n"/>
      <c r="C100" s="93" t="n"/>
      <c r="D100" s="12" t="inlineStr">
        <is>
          <t>The level is kept until HR confirms the experience record</t>
        </is>
      </c>
      <c r="E100" s="92" t="n"/>
      <c r="F100" s="92" t="n"/>
      <c r="G100" s="92" t="n"/>
      <c r="H100" s="92" t="n"/>
      <c r="I100" s="92" t="n"/>
      <c r="J100" s="92" t="n"/>
      <c r="K100" s="92" t="n"/>
      <c r="L100" s="92" t="n"/>
      <c r="M100" s="92" t="n"/>
      <c r="N100" s="93" t="n"/>
    </row>
    <row r="101" ht="15" customHeight="1">
      <c r="A101" s="10" t="inlineStr">
        <is>
          <t>Protected</t>
        </is>
      </c>
      <c r="B101" s="92" t="n"/>
      <c r="C101" s="93" t="n"/>
      <c r="D101" s="12" t="inlineStr">
        <is>
          <t>A move down keeps current pay and title for one cycle, with a review date</t>
        </is>
      </c>
      <c r="E101" s="92" t="n"/>
      <c r="F101" s="92" t="n"/>
      <c r="G101" s="92" t="n"/>
      <c r="H101" s="92" t="n"/>
      <c r="I101" s="92" t="n"/>
      <c r="J101" s="92" t="n"/>
      <c r="K101" s="92" t="n"/>
      <c r="L101" s="92" t="n"/>
      <c r="M101" s="92" t="n"/>
      <c r="N101" s="93" t="n"/>
    </row>
    <row r="102" ht="15" customHeight="1">
      <c r="A102" s="10" t="inlineStr">
        <is>
          <t>Radford / Mercer code</t>
        </is>
      </c>
      <c r="B102" s="92" t="n"/>
      <c r="C102" s="93" t="n"/>
      <c r="D102" s="12" t="inlineStr">
        <is>
          <t>The market survey level used to price the role once pay data is bought</t>
        </is>
      </c>
      <c r="E102" s="92" t="n"/>
      <c r="F102" s="92" t="n"/>
      <c r="G102" s="92" t="n"/>
      <c r="H102" s="92" t="n"/>
      <c r="I102" s="92" t="n"/>
      <c r="J102" s="92" t="n"/>
      <c r="K102" s="92" t="n"/>
      <c r="L102" s="92" t="n"/>
      <c r="M102" s="92" t="n"/>
      <c r="N102" s="93" t="n"/>
    </row>
    <row r="103"/>
    <row r="104" ht="20" customHeight="1">
      <c r="A104" s="6" t="inlineStr">
        <is>
          <t>5. Charts — the shape of this population</t>
        </is>
      </c>
    </row>
    <row r="105">
      <c r="A105" s="40" t="inlineStr">
        <is>
          <t>People at each level, and how levels moved from the current structure. Built from the tables beside them.</t>
        </is>
      </c>
    </row>
    <row r="106">
      <c r="A106" s="8" t="inlineStr">
        <is>
          <t>Level</t>
        </is>
      </c>
      <c r="B106" s="8" t="inlineStr">
        <is>
          <t>People</t>
        </is>
      </c>
    </row>
    <row r="107">
      <c r="A107" s="10" t="inlineStr">
        <is>
          <t>A1</t>
        </is>
      </c>
      <c r="B107" s="42" t="n">
        <v>5</v>
      </c>
    </row>
    <row r="108">
      <c r="A108" s="10" t="inlineStr">
        <is>
          <t>A2</t>
        </is>
      </c>
      <c r="B108" s="42" t="n">
        <v>22</v>
      </c>
    </row>
    <row r="109">
      <c r="A109" s="10" t="inlineStr">
        <is>
          <t>A3</t>
        </is>
      </c>
      <c r="B109" s="42" t="n">
        <v>109</v>
      </c>
    </row>
    <row r="110">
      <c r="A110" s="10" t="inlineStr">
        <is>
          <t>B1</t>
        </is>
      </c>
      <c r="B110" s="42" t="n">
        <v>39</v>
      </c>
    </row>
    <row r="111">
      <c r="A111" s="10" t="inlineStr">
        <is>
          <t>B2</t>
        </is>
      </c>
      <c r="B111" s="42" t="n">
        <v>26</v>
      </c>
    </row>
    <row r="112">
      <c r="A112" s="10" t="inlineStr">
        <is>
          <t>B3</t>
        </is>
      </c>
      <c r="B112" s="42" t="n">
        <v>3</v>
      </c>
    </row>
    <row r="113">
      <c r="A113" s="10" t="inlineStr">
        <is>
          <t>C1</t>
        </is>
      </c>
      <c r="B113" s="42" t="n">
        <v>5</v>
      </c>
    </row>
    <row r="114">
      <c r="A114" s="10" t="inlineStr">
        <is>
          <t>C2</t>
        </is>
      </c>
      <c r="B114" s="42" t="n">
        <v>1</v>
      </c>
    </row>
    <row r="115">
      <c r="A115" s="10" t="inlineStr">
        <is>
          <t>D1</t>
        </is>
      </c>
      <c r="B115" s="42" t="n">
        <v>1</v>
      </c>
    </row>
    <row r="116">
      <c r="A116" s="10" t="inlineStr">
        <is>
          <t>D2</t>
        </is>
      </c>
      <c r="B116" s="42" t="n">
        <v>1</v>
      </c>
    </row>
    <row r="117">
      <c r="A117" s="10" t="inlineStr">
        <is>
          <t>E1</t>
        </is>
      </c>
      <c r="B117" s="42" t="n">
        <v>1</v>
      </c>
    </row>
    <row r="118"/>
    <row r="119"/>
    <row r="120"/>
    <row r="121"/>
    <row r="122"/>
    <row r="123"/>
    <row r="124"/>
    <row r="125">
      <c r="A125" s="8" t="inlineStr">
        <is>
          <t>Current ↓ / New →</t>
        </is>
      </c>
      <c r="B125" s="8" t="inlineStr">
        <is>
          <t>A1</t>
        </is>
      </c>
      <c r="C125" s="8" t="inlineStr">
        <is>
          <t>A2</t>
        </is>
      </c>
      <c r="D125" s="8" t="inlineStr">
        <is>
          <t>A3</t>
        </is>
      </c>
      <c r="E125" s="8" t="inlineStr">
        <is>
          <t>B1</t>
        </is>
      </c>
      <c r="F125" s="8" t="inlineStr">
        <is>
          <t>B2</t>
        </is>
      </c>
      <c r="G125" s="8" t="inlineStr">
        <is>
          <t>B3</t>
        </is>
      </c>
      <c r="H125" s="8" t="inlineStr">
        <is>
          <t>C1</t>
        </is>
      </c>
      <c r="I125" s="8" t="inlineStr">
        <is>
          <t>C2</t>
        </is>
      </c>
      <c r="J125" s="8" t="inlineStr">
        <is>
          <t>D1</t>
        </is>
      </c>
      <c r="K125" s="8" t="inlineStr">
        <is>
          <t>D2</t>
        </is>
      </c>
      <c r="L125" s="8" t="inlineStr">
        <is>
          <t>E1</t>
        </is>
      </c>
      <c r="M125" s="8" t="inlineStr">
        <is>
          <t>Total</t>
        </is>
      </c>
    </row>
    <row r="126">
      <c r="A126" s="10" t="inlineStr">
        <is>
          <t>L1</t>
        </is>
      </c>
      <c r="B126" s="42" t="n">
        <v>3</v>
      </c>
      <c r="C126" s="42" t="n">
        <v>2</v>
      </c>
      <c r="D126" s="42" t="n"/>
      <c r="E126" s="42" t="n"/>
      <c r="F126" s="42" t="n"/>
      <c r="G126" s="42" t="n"/>
      <c r="H126" s="42" t="n"/>
      <c r="I126" s="42" t="n"/>
      <c r="J126" s="42" t="n"/>
      <c r="K126" s="42" t="n"/>
      <c r="L126" s="42" t="n"/>
      <c r="M126" s="42" t="n">
        <v>5</v>
      </c>
    </row>
    <row r="127">
      <c r="A127" s="10" t="inlineStr">
        <is>
          <t>L2</t>
        </is>
      </c>
      <c r="B127" s="42" t="n">
        <v>2</v>
      </c>
      <c r="C127" s="42" t="n">
        <v>4</v>
      </c>
      <c r="D127" s="42" t="n"/>
      <c r="E127" s="42" t="n"/>
      <c r="F127" s="42" t="n"/>
      <c r="G127" s="42" t="n"/>
      <c r="H127" s="42" t="n"/>
      <c r="I127" s="42" t="n"/>
      <c r="J127" s="42" t="n"/>
      <c r="K127" s="42" t="n"/>
      <c r="L127" s="42" t="n"/>
      <c r="M127" s="42" t="n">
        <v>6</v>
      </c>
    </row>
    <row r="128">
      <c r="A128" s="10" t="inlineStr">
        <is>
          <t>L3</t>
        </is>
      </c>
      <c r="B128" s="42" t="n"/>
      <c r="C128" s="42" t="n">
        <v>14</v>
      </c>
      <c r="D128" s="42" t="n">
        <v>85</v>
      </c>
      <c r="E128" s="42" t="n">
        <v>17</v>
      </c>
      <c r="F128" s="42" t="n">
        <v>2</v>
      </c>
      <c r="G128" s="42" t="n"/>
      <c r="H128" s="42" t="n"/>
      <c r="I128" s="42" t="n"/>
      <c r="J128" s="42" t="n"/>
      <c r="K128" s="42" t="n"/>
      <c r="L128" s="42" t="n"/>
      <c r="M128" s="42" t="n">
        <v>118</v>
      </c>
    </row>
    <row r="129">
      <c r="A129" s="10" t="inlineStr">
        <is>
          <t>L4</t>
        </is>
      </c>
      <c r="B129" s="42" t="n"/>
      <c r="C129" s="42" t="n"/>
      <c r="D129" s="42" t="n">
        <v>21</v>
      </c>
      <c r="E129" s="42" t="n">
        <v>15</v>
      </c>
      <c r="F129" s="42" t="n">
        <v>2</v>
      </c>
      <c r="G129" s="42" t="n"/>
      <c r="H129" s="42" t="n"/>
      <c r="I129" s="42" t="n"/>
      <c r="J129" s="42" t="n"/>
      <c r="K129" s="42" t="n"/>
      <c r="L129" s="42" t="n"/>
      <c r="M129" s="42" t="n">
        <v>38</v>
      </c>
    </row>
    <row r="130">
      <c r="A130" s="10" t="inlineStr">
        <is>
          <t>L5</t>
        </is>
      </c>
      <c r="B130" s="42" t="n"/>
      <c r="C130" s="42" t="n"/>
      <c r="D130" s="42" t="n"/>
      <c r="E130" s="42" t="n">
        <v>5</v>
      </c>
      <c r="F130" s="42" t="n">
        <v>19</v>
      </c>
      <c r="G130" s="42" t="n">
        <v>1</v>
      </c>
      <c r="H130" s="42" t="n">
        <v>1</v>
      </c>
      <c r="I130" s="42" t="n"/>
      <c r="J130" s="42" t="n"/>
      <c r="K130" s="42" t="n"/>
      <c r="L130" s="42" t="n"/>
      <c r="M130" s="42" t="n">
        <v>26</v>
      </c>
    </row>
    <row r="131">
      <c r="A131" s="10" t="inlineStr">
        <is>
          <t>L7</t>
        </is>
      </c>
      <c r="B131" s="42" t="n"/>
      <c r="C131" s="42" t="n"/>
      <c r="D131" s="42" t="n"/>
      <c r="E131" s="42" t="n"/>
      <c r="F131" s="42" t="n"/>
      <c r="G131" s="42" t="n"/>
      <c r="H131" s="42" t="n">
        <v>3</v>
      </c>
      <c r="I131" s="42" t="n"/>
      <c r="J131" s="42" t="n"/>
      <c r="K131" s="42" t="n"/>
      <c r="L131" s="42" t="n"/>
      <c r="M131" s="42" t="n">
        <v>3</v>
      </c>
    </row>
    <row r="132">
      <c r="A132" s="10" t="inlineStr">
        <is>
          <t>Not mapped</t>
        </is>
      </c>
      <c r="B132" s="42" t="n"/>
      <c r="C132" s="42" t="n">
        <v>2</v>
      </c>
      <c r="D132" s="42" t="n">
        <v>3</v>
      </c>
      <c r="E132" s="42" t="n">
        <v>2</v>
      </c>
      <c r="F132" s="42" t="n">
        <v>3</v>
      </c>
      <c r="G132" s="42" t="n">
        <v>2</v>
      </c>
      <c r="H132" s="42" t="n">
        <v>1</v>
      </c>
      <c r="I132" s="42" t="n">
        <v>1</v>
      </c>
      <c r="J132" s="42" t="n">
        <v>1</v>
      </c>
      <c r="K132" s="42" t="n">
        <v>1</v>
      </c>
      <c r="L132" s="42" t="n">
        <v>1</v>
      </c>
      <c r="M132" s="42" t="n">
        <v>17</v>
      </c>
    </row>
    <row r="133">
      <c r="A133" s="94" t="inlineStr">
        <is>
          <t>Total</t>
        </is>
      </c>
      <c r="B133" s="95" t="n">
        <v>5</v>
      </c>
      <c r="C133" s="95" t="n">
        <v>22</v>
      </c>
      <c r="D133" s="95" t="n">
        <v>109</v>
      </c>
      <c r="E133" s="95" t="n">
        <v>39</v>
      </c>
      <c r="F133" s="95" t="n">
        <v>26</v>
      </c>
      <c r="G133" s="95" t="n">
        <v>3</v>
      </c>
      <c r="H133" s="95" t="n">
        <v>5</v>
      </c>
      <c r="I133" s="95" t="n">
        <v>1</v>
      </c>
      <c r="J133" s="95" t="n">
        <v>1</v>
      </c>
      <c r="K133" s="95" t="n">
        <v>1</v>
      </c>
      <c r="L133" s="95" t="n">
        <v>1</v>
      </c>
      <c r="M133" s="95" t="n">
        <v>213</v>
      </c>
    </row>
  </sheetData>
  <mergeCells count="226">
    <mergeCell ref="A39:N39"/>
    <mergeCell ref="A80:C80"/>
    <mergeCell ref="A48:N48"/>
    <mergeCell ref="F32:K32"/>
    <mergeCell ref="D100:N100"/>
    <mergeCell ref="F26:K26"/>
    <mergeCell ref="B22:C22"/>
    <mergeCell ref="F35:K35"/>
    <mergeCell ref="K7:N7"/>
    <mergeCell ref="D22:E22"/>
    <mergeCell ref="B31:C31"/>
    <mergeCell ref="A45:N45"/>
    <mergeCell ref="L28:M28"/>
    <mergeCell ref="D31:E31"/>
    <mergeCell ref="J59:K59"/>
    <mergeCell ref="A61:N61"/>
    <mergeCell ref="I16:J16"/>
    <mergeCell ref="A87:N87"/>
    <mergeCell ref="A41:B41"/>
    <mergeCell ref="F27:K27"/>
    <mergeCell ref="D95:N95"/>
    <mergeCell ref="D10:J10"/>
    <mergeCell ref="G18:H18"/>
    <mergeCell ref="A37:N37"/>
    <mergeCell ref="I18:J18"/>
    <mergeCell ref="A89:N89"/>
    <mergeCell ref="M16:N16"/>
    <mergeCell ref="D97:N97"/>
    <mergeCell ref="L29:M29"/>
    <mergeCell ref="A105:N105"/>
    <mergeCell ref="A93:C93"/>
    <mergeCell ref="D72:N72"/>
    <mergeCell ref="D78:N78"/>
    <mergeCell ref="A42:B42"/>
    <mergeCell ref="A71:N71"/>
    <mergeCell ref="A77:C77"/>
    <mergeCell ref="A17:B17"/>
    <mergeCell ref="D56:E56"/>
    <mergeCell ref="L31:M31"/>
    <mergeCell ref="D11:J11"/>
    <mergeCell ref="C17:D17"/>
    <mergeCell ref="F56:G56"/>
    <mergeCell ref="F29:K29"/>
    <mergeCell ref="H49:N49"/>
    <mergeCell ref="M17:N17"/>
    <mergeCell ref="B24:C24"/>
    <mergeCell ref="F25:K25"/>
    <mergeCell ref="C42:N42"/>
    <mergeCell ref="D24:E24"/>
    <mergeCell ref="B33:C33"/>
    <mergeCell ref="A91:N91"/>
    <mergeCell ref="D33:E33"/>
    <mergeCell ref="A19:B19"/>
    <mergeCell ref="M62:N62"/>
    <mergeCell ref="B64:L64"/>
    <mergeCell ref="C19:D19"/>
    <mergeCell ref="D73:N73"/>
    <mergeCell ref="B32:C32"/>
    <mergeCell ref="B26:C26"/>
    <mergeCell ref="J58:K58"/>
    <mergeCell ref="D26:E26"/>
    <mergeCell ref="B63:L63"/>
    <mergeCell ref="B35:C35"/>
    <mergeCell ref="F57:G57"/>
    <mergeCell ref="D35:E35"/>
    <mergeCell ref="F24:K24"/>
    <mergeCell ref="B25:C25"/>
    <mergeCell ref="D9:J9"/>
    <mergeCell ref="A75:C75"/>
    <mergeCell ref="D34:E34"/>
    <mergeCell ref="J57:K57"/>
    <mergeCell ref="L57:M57"/>
    <mergeCell ref="D99:N99"/>
    <mergeCell ref="A12:C12"/>
    <mergeCell ref="B27:C27"/>
    <mergeCell ref="B66:L66"/>
    <mergeCell ref="A95:C95"/>
    <mergeCell ref="A1:N1"/>
    <mergeCell ref="H56:I56"/>
    <mergeCell ref="M64:N64"/>
    <mergeCell ref="K13:N13"/>
    <mergeCell ref="F23:K23"/>
    <mergeCell ref="D101:N101"/>
    <mergeCell ref="D77:N77"/>
    <mergeCell ref="A97:C97"/>
    <mergeCell ref="B49:G49"/>
    <mergeCell ref="B67:L67"/>
    <mergeCell ref="A81:C81"/>
    <mergeCell ref="A96:C96"/>
    <mergeCell ref="L30:M30"/>
    <mergeCell ref="B51:G51"/>
    <mergeCell ref="M65:N65"/>
    <mergeCell ref="D75:N75"/>
    <mergeCell ref="A3:N3"/>
    <mergeCell ref="A13:C13"/>
    <mergeCell ref="B29:C29"/>
    <mergeCell ref="A55:N55"/>
    <mergeCell ref="A21:N21"/>
    <mergeCell ref="A104:N104"/>
    <mergeCell ref="B50:G50"/>
    <mergeCell ref="A5:N5"/>
    <mergeCell ref="I17:J17"/>
    <mergeCell ref="L22:M22"/>
    <mergeCell ref="A73:C73"/>
    <mergeCell ref="K17:L17"/>
    <mergeCell ref="A82:C82"/>
    <mergeCell ref="F34:K34"/>
    <mergeCell ref="E16:F16"/>
    <mergeCell ref="L59:M59"/>
    <mergeCell ref="G16:H16"/>
    <mergeCell ref="D29:E29"/>
    <mergeCell ref="I19:J19"/>
    <mergeCell ref="D23:E23"/>
    <mergeCell ref="K19:L19"/>
    <mergeCell ref="M66:N66"/>
    <mergeCell ref="M63:N63"/>
    <mergeCell ref="C18:D18"/>
    <mergeCell ref="D98:N98"/>
    <mergeCell ref="A7:C7"/>
    <mergeCell ref="E18:F18"/>
    <mergeCell ref="F30:K30"/>
    <mergeCell ref="K16:L16"/>
    <mergeCell ref="A40:N40"/>
    <mergeCell ref="D79:N79"/>
    <mergeCell ref="A99:C99"/>
    <mergeCell ref="F33:K33"/>
    <mergeCell ref="M68:N68"/>
    <mergeCell ref="L32:M32"/>
    <mergeCell ref="D12:J12"/>
    <mergeCell ref="M67:N67"/>
    <mergeCell ref="D81:N81"/>
    <mergeCell ref="A101:C101"/>
    <mergeCell ref="B56:C56"/>
    <mergeCell ref="K10:N10"/>
    <mergeCell ref="H58:I58"/>
    <mergeCell ref="B58:C58"/>
    <mergeCell ref="A6:N6"/>
    <mergeCell ref="F28:K28"/>
    <mergeCell ref="L24:M24"/>
    <mergeCell ref="D27:E27"/>
    <mergeCell ref="L33:M33"/>
    <mergeCell ref="D76:N76"/>
    <mergeCell ref="B57:C57"/>
    <mergeCell ref="A84:N84"/>
    <mergeCell ref="K9:N9"/>
    <mergeCell ref="A72:C72"/>
    <mergeCell ref="L26:M26"/>
    <mergeCell ref="L35:M35"/>
    <mergeCell ref="L58:M58"/>
    <mergeCell ref="B34:C34"/>
    <mergeCell ref="A2:N2"/>
    <mergeCell ref="A86:N86"/>
    <mergeCell ref="K11:N11"/>
    <mergeCell ref="B28:C28"/>
    <mergeCell ref="L25:M25"/>
    <mergeCell ref="D28:E28"/>
    <mergeCell ref="H57:I57"/>
    <mergeCell ref="A47:N47"/>
    <mergeCell ref="D93:N93"/>
    <mergeCell ref="D102:N102"/>
    <mergeCell ref="H51:N51"/>
    <mergeCell ref="D25:E25"/>
    <mergeCell ref="A98:C98"/>
    <mergeCell ref="B30:C30"/>
    <mergeCell ref="D30:E30"/>
    <mergeCell ref="A43:B43"/>
    <mergeCell ref="A79:C79"/>
    <mergeCell ref="D7:J7"/>
    <mergeCell ref="K8:N8"/>
    <mergeCell ref="B52:G52"/>
    <mergeCell ref="K18:L18"/>
    <mergeCell ref="D94:N94"/>
    <mergeCell ref="B62:L62"/>
    <mergeCell ref="B59:C59"/>
    <mergeCell ref="C41:N41"/>
    <mergeCell ref="D8:J8"/>
    <mergeCell ref="A15:N15"/>
    <mergeCell ref="A74:C74"/>
    <mergeCell ref="E17:F17"/>
    <mergeCell ref="B53:G53"/>
    <mergeCell ref="G17:H17"/>
    <mergeCell ref="D80:N80"/>
    <mergeCell ref="C43:N43"/>
    <mergeCell ref="A88:N88"/>
    <mergeCell ref="F59:G59"/>
    <mergeCell ref="A70:N70"/>
    <mergeCell ref="A76:C76"/>
    <mergeCell ref="A16:B16"/>
    <mergeCell ref="H59:I59"/>
    <mergeCell ref="C16:D16"/>
    <mergeCell ref="D96:N96"/>
    <mergeCell ref="F22:K22"/>
    <mergeCell ref="D57:E57"/>
    <mergeCell ref="A8:C8"/>
    <mergeCell ref="E19:F19"/>
    <mergeCell ref="F31:K31"/>
    <mergeCell ref="G19:H19"/>
    <mergeCell ref="B23:C23"/>
    <mergeCell ref="H53:N53"/>
    <mergeCell ref="D32:E32"/>
    <mergeCell ref="A90:N90"/>
    <mergeCell ref="A100:C100"/>
    <mergeCell ref="L23:M23"/>
    <mergeCell ref="A18:B18"/>
    <mergeCell ref="H50:N50"/>
    <mergeCell ref="A10:C10"/>
    <mergeCell ref="A102:C102"/>
    <mergeCell ref="A9:C9"/>
    <mergeCell ref="D58:E58"/>
    <mergeCell ref="A85:N85"/>
    <mergeCell ref="D13:J13"/>
    <mergeCell ref="F58:G58"/>
    <mergeCell ref="J56:K56"/>
    <mergeCell ref="B65:L65"/>
    <mergeCell ref="L56:M56"/>
    <mergeCell ref="L34:M34"/>
    <mergeCell ref="A11:C11"/>
    <mergeCell ref="B68:L68"/>
    <mergeCell ref="D74:N74"/>
    <mergeCell ref="H52:N52"/>
    <mergeCell ref="A94:C94"/>
    <mergeCell ref="D82:N82"/>
    <mergeCell ref="K12:N12"/>
    <mergeCell ref="L27:M27"/>
    <mergeCell ref="A78:C78"/>
    <mergeCell ref="D59:E59"/>
  </mergeCells>
  <conditionalFormatting sqref="B126:L132">
    <cfRule type="colorScale" priority="1">
      <colorScale>
        <cfvo type="num" val="0"/>
        <cfvo type="max"/>
        <color rgb="00FFFFFF"/>
        <color rgb="002E75B6"/>
      </colorScale>
    </cfRule>
  </conditionalFormatting>
  <hyperlinks>
    <hyperlink xmlns:r="http://schemas.openxmlformats.org/officeDocument/2006/relationships" ref="A9" r:id="rId1"/>
    <hyperlink xmlns:r="http://schemas.openxmlformats.org/officeDocument/2006/relationships" ref="A10" r:id="rId2"/>
    <hyperlink xmlns:r="http://schemas.openxmlformats.org/officeDocument/2006/relationships" ref="A11" r:id="rId3"/>
    <hyperlink xmlns:r="http://schemas.openxmlformats.org/officeDocument/2006/relationships" ref="A12" r:id="rId4"/>
    <hyperlink xmlns:r="http://schemas.openxmlformats.org/officeDocument/2006/relationships" ref="A13" r:id="rId5"/>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drawing xmlns:r="http://schemas.openxmlformats.org/officeDocument/2006/relationships" r:id="rId6"/>
</worksheet>
</file>

<file path=xl/worksheets/sheet3.xml><?xml version="1.0" encoding="utf-8"?>
<worksheet xmlns="http://schemas.openxmlformats.org/spreadsheetml/2006/main">
  <sheetPr>
    <tabColor rgb="002E75B6"/>
    <outlinePr summaryBelow="1" summaryRight="1"/>
    <pageSetUpPr fitToPage="1"/>
  </sheetPr>
  <dimension ref="A1:AG221"/>
  <sheetViews>
    <sheetView showGridLines="0" zoomScale="85"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22" customWidth="1" min="2" max="2"/>
    <col width="16" customWidth="1" min="3" max="3"/>
    <col width="22" customWidth="1" min="4" max="4"/>
    <col width="26" customWidth="1" min="5" max="5"/>
    <col width="18" customWidth="1" min="6" max="6"/>
    <col width="22" customWidth="1" min="7" max="7"/>
    <col width="11" customWidth="1" min="8" max="8"/>
    <col width="11" customWidth="1" min="9" max="9"/>
    <col width="8" customWidth="1" min="10" max="10"/>
    <col width="16" customWidth="1" min="11" max="11"/>
    <col width="12" customWidth="1" min="12" max="12"/>
    <col width="28" customWidth="1" min="13" max="13"/>
    <col width="8" customWidth="1" min="14" max="14"/>
    <col width="8" customWidth="1" min="15" max="15"/>
    <col width="8" customWidth="1" min="16" max="16"/>
    <col width="8" customWidth="1" min="17" max="17"/>
    <col width="8" customWidth="1" min="18" max="18"/>
    <col width="8" customWidth="1" min="19" max="19"/>
    <col width="8" customWidth="1" min="20" max="20"/>
    <col width="9" customWidth="1" min="21" max="21"/>
    <col width="62" customWidth="1" min="22" max="22"/>
    <col width="74" customWidth="1" min="23" max="23"/>
    <col width="42" customWidth="1" min="24" max="24"/>
    <col width="36" customWidth="1" min="25" max="25"/>
    <col width="42" customWidth="1" min="26" max="26"/>
    <col width="34" customWidth="1" min="27" max="27"/>
    <col width="40" customWidth="1" min="28" max="28"/>
    <col width="12" customWidth="1" min="29" max="29"/>
    <col width="34" customWidth="1" min="30" max="30"/>
    <col width="36" customWidth="1" min="31" max="31"/>
    <col hidden="1" width="6" customWidth="1" min="32" max="32"/>
    <col width="13" customWidth="1" min="33" max="33"/>
  </cols>
  <sheetData>
    <row r="1" ht="34" customHeight="1">
      <c r="A1" s="1" t="inlineStr">
        <is>
          <t>People &amp; Levels — every placement, with its full reasoning</t>
        </is>
      </c>
      <c r="AG1" s="104" t="inlineStr">
        <is>
          <t>◂ Start Here</t>
        </is>
      </c>
    </row>
    <row r="2" ht="30" customHeight="1">
      <c r="A2" s="3" t="inlineStr">
        <is>
          <r>
            <rPr>
              <rFont val="Calibri"/>
              <b val="1"/>
              <i val="1"/>
              <color rgb="00404040"/>
              <sz val="10"/>
            </rPr>
            <t>Sheet 2 · Read left to right:</t>
          </r>
          <r>
            <rPr>
              <rFont val="Calibri"/>
              <i val="1"/>
              <color rgb="00404040"/>
              <sz val="10"/>
            </rPr>
            <t xml:space="preserve"> the person → role before and after → six ratings and the score, live from the Weightage Matrix → why this level · the weights, the rules applied, each factor's rating with its starting point and evidence → the market comparison → the data behind it, points for attention and inputs still needed → your validation · yellow.</t>
          </r>
        </is>
      </c>
    </row>
    <row r="3">
      <c r="A3" s="4" t="inlineStr">
        <is>
          <t>IRIS · Job Architecture &amp; Job Design · Final v1.12 · October 2026 · Internal — Confidential</t>
        </is>
      </c>
    </row>
    <row r="4" ht="30" customHeight="1">
      <c r="A4" s="56" t="inlineStr">
        <is>
          <t>Section colours: each column group has its own header colour and a matching light tint</t>
        </is>
      </c>
      <c r="E4" s="57" t="inlineStr">
        <is>
          <t>Changed vs current · designation or level</t>
        </is>
      </c>
      <c r="F4" s="58" t="inlineStr">
        <is>
          <t>Level up</t>
        </is>
      </c>
      <c r="G4" s="59" t="inlineStr">
        <is>
          <t>Level down — pay &amp; title protected</t>
        </is>
      </c>
      <c r="H4" s="60" t="inlineStr">
        <is>
          <t>Newly mapped</t>
        </is>
      </c>
      <c r="J4" s="62" t="inlineStr">
        <is>
          <t>Player-Coach · B+ · C+</t>
        </is>
      </c>
      <c r="L4" s="64" t="inlineStr">
        <is>
          <t>RED = critical input needed · could change or confirm the level</t>
        </is>
      </c>
      <c r="N4" s="66" t="inlineStr">
        <is>
          <t>YELLOW = to complete in validation</t>
        </is>
      </c>
    </row>
    <row r="5" ht="30" customHeight="1">
      <c r="A5" s="68" t="inlineStr">
        <is>
          <t>PERSON</t>
        </is>
      </c>
      <c r="D5" s="69" t="inlineStr">
        <is>
          <t>ROLE — BEFORE → AFTER</t>
        </is>
      </c>
      <c r="M5" s="70" t="inlineStr">
        <is>
          <t>WEIGHTAGE — six ratings × the Weightage Matrix = the score, live</t>
        </is>
      </c>
      <c r="V5" s="71" t="inlineStr">
        <is>
          <t>WHY THIS LEVEL — the full reasoning</t>
        </is>
      </c>
      <c r="Y5" s="72" t="inlineStr">
        <is>
          <t>EVIDENCE, FLAGS &amp; INPUTS</t>
        </is>
      </c>
      <c r="AC5" s="73" t="inlineStr">
        <is>
          <t>YOUR VALIDATION</t>
        </is>
      </c>
    </row>
    <row r="6" ht="44" customHeight="1">
      <c r="A6" s="74" t="inlineStr">
        <is>
          <t>Emp ID</t>
        </is>
      </c>
      <c r="B6" s="74" t="inlineStr">
        <is>
          <t>Employee name</t>
        </is>
      </c>
      <c r="C6" s="74" t="inlineStr">
        <is>
          <t>Department</t>
        </is>
      </c>
      <c r="D6" s="8" t="inlineStr">
        <is>
          <t>Current designation</t>
        </is>
      </c>
      <c r="E6" s="8" t="inlineStr">
        <is>
          <t>New designation</t>
        </is>
      </c>
      <c r="F6" s="8" t="inlineStr">
        <is>
          <t>Job family</t>
        </is>
      </c>
      <c r="G6" s="8" t="inlineStr">
        <is>
          <t>Sub-family</t>
        </is>
      </c>
      <c r="H6" s="8" t="inlineStr">
        <is>
          <t>Track</t>
        </is>
      </c>
      <c r="I6" s="8" t="inlineStr">
        <is>
          <t>Current level</t>
        </is>
      </c>
      <c r="J6" s="8" t="inlineStr">
        <is>
          <t>NEW LEVEL</t>
        </is>
      </c>
      <c r="K6" s="8" t="inlineStr">
        <is>
          <t>Level title</t>
        </is>
      </c>
      <c r="L6" s="8" t="inlineStr">
        <is>
          <t>Change vs current</t>
        </is>
      </c>
      <c r="M6" s="75" t="inlineStr">
        <is>
          <t>Weight row — Weightage Matrix</t>
        </is>
      </c>
      <c r="N6" s="75" t="inlineStr">
        <is>
          <t>Complexity rating</t>
        </is>
      </c>
      <c r="O6" s="75" t="inlineStr">
        <is>
          <t>Autonomy rating</t>
        </is>
      </c>
      <c r="P6" s="75" t="inlineStr">
        <is>
          <t>Accountab. rating</t>
        </is>
      </c>
      <c r="Q6" s="75" t="inlineStr">
        <is>
          <t>Leadership rating</t>
        </is>
      </c>
      <c r="R6" s="75" t="inlineStr">
        <is>
          <t>Exp + Qual rating</t>
        </is>
      </c>
      <c r="S6" s="75" t="inlineStr">
        <is>
          <t>Bus. Impact rating</t>
        </is>
      </c>
      <c r="T6" s="75" t="inlineStr">
        <is>
          <t>Score</t>
        </is>
      </c>
      <c r="U6" s="75" t="inlineStr">
        <is>
          <t>Level the score indicates</t>
        </is>
      </c>
      <c r="V6" s="76" t="inlineStr">
        <is>
          <t>Why this level</t>
        </is>
      </c>
      <c r="W6" s="76" t="inlineStr">
        <is>
          <t>How each factor was rated · rating of 12 — starting point and evidence</t>
        </is>
      </c>
      <c r="X6" s="76" t="inlineStr">
        <is>
          <t>Market comparison</t>
        </is>
      </c>
      <c r="Y6" s="77" t="inlineStr">
        <is>
          <t>Data behind the placement</t>
        </is>
      </c>
      <c r="Z6" s="77" t="inlineStr">
        <is>
          <t>Points for your attention</t>
        </is>
      </c>
      <c r="AA6" s="77" t="inlineStr">
        <is>
          <t>Input still needed — and who provides it</t>
        </is>
      </c>
      <c r="AB6" s="77" t="inlineStr">
        <is>
          <t>Business impact — from survey and data</t>
        </is>
      </c>
      <c r="AC6" s="78" t="inlineStr">
        <is>
          <t>Your view</t>
        </is>
      </c>
      <c r="AD6" s="78" t="inlineStr">
        <is>
          <t>If change: proposed level / designation, and why</t>
        </is>
      </c>
      <c r="AE6" s="78" t="inlineStr">
        <is>
          <t>Business impact of this person — your view</t>
        </is>
      </c>
      <c r="AF6" s="78" t="inlineStr">
        <is>
          <t>Bus. Impact — model start</t>
        </is>
      </c>
    </row>
    <row r="7" ht="353" customHeight="1">
      <c r="A7" s="12" t="inlineStr">
        <is>
          <t>IRIS0391</t>
        </is>
      </c>
      <c r="B7" s="10" t="inlineStr">
        <is>
          <t>Anuradha RK</t>
        </is>
      </c>
      <c r="C7" s="12" t="inlineStr">
        <is>
          <t>CARBON Business Head</t>
        </is>
      </c>
      <c r="D7" s="12" t="inlineStr">
        <is>
          <t>Business Head</t>
        </is>
      </c>
      <c r="E7" s="12" t="inlineStr">
        <is>
          <t>Business Head</t>
        </is>
      </c>
      <c r="F7" s="12" t="inlineStr">
        <is>
          <t>Executive Leadership</t>
        </is>
      </c>
      <c r="G7" s="12" t="inlineStr">
        <is>
          <t>Business &amp; Functional Leadership</t>
        </is>
      </c>
      <c r="H7" s="12" t="inlineStr">
        <is>
          <t>People Manager</t>
        </is>
      </c>
      <c r="I7" s="42" t="inlineStr">
        <is>
          <t>Not in current mapping files</t>
        </is>
      </c>
      <c r="J7" s="28" t="inlineStr">
        <is>
          <t>D2</t>
        </is>
      </c>
      <c r="K7" s="29" t="inlineStr">
        <is>
          <t>Vice President</t>
        </is>
      </c>
      <c r="L7" s="79" t="inlineStr">
        <is>
          <t>● Newly mapped</t>
        </is>
      </c>
      <c r="M7" s="12" t="inlineStr">
        <is>
          <t>CARBON · CARBON Business Head · Bands D–E · Leadership</t>
        </is>
      </c>
      <c r="N7" s="42" t="n">
        <v>9</v>
      </c>
      <c r="O7" s="42" t="n">
        <v>9</v>
      </c>
      <c r="P7" s="42" t="n">
        <v>9</v>
      </c>
      <c r="Q7" s="42" t="n">
        <v>9</v>
      </c>
      <c r="R7" s="42" t="n">
        <v>9.5</v>
      </c>
      <c r="S7" s="80" t="n">
        <v>9</v>
      </c>
      <c r="T7" s="81">
        <f>IF(OR($M7="",COUNT(N7,O7,P7,Q7,R7,S7)&lt;6),"",IFERROR(N7*INDEX(WM_C,MATCH($M7,WM_KEY,0))+O7*INDEX(WM_AU,MATCH($M7,WM_KEY,0))+P7*INDEX(WM_AC,MATCH($M7,WM_KEY,0))+Q7*INDEX(WM_L,MATCH($M7,WM_KEY,0))+R7*INDEX(WM_E,MATCH($M7,WM_KEY,0))+S7*INDEX(WM_BI,MATCH($M7,WM_KEY,0)),""))</f>
        <v>9.025</v>
      </c>
      <c r="U7" s="42" t="str">
        <f>IF(T7="","",INDEX({"A1","A2","A3","B1","B2","B3","C1","C2","D1","D2","E1","E2"},MAX(1,MIN(12,ROUND(T7,0)))))</f>
        <v>D1</v>
      </c>
      <c r="V7" s="12" t="inlineStr">
        <is>
          <r>
            <rPr>
              <rFont val="Calibri"/>
              <sz val="10"/>
            </rPr>
            <t xml:space="preserve">New level D2 · Vice President. Current level on record: Not in current mapping files. Change: ● Newly mapped.
Score 9.03 on the ladder scale → indicated level D1.
</t>
          </r>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Set at D2 by leadership decision · the model indicated D1:</t>
          </r>
          <r>
            <rPr>
              <rFont val="Calibri"/>
              <sz val="10"/>
            </rPr>
            <t xml:space="preserve"> Leadership structure: CARBON Business Head at D2.
</t>
          </r>
          <r>
            <rPr>
              <rFont val="Calibri"/>
              <b val="1"/>
              <sz val="10"/>
            </rPr>
            <t>Final level:</t>
          </r>
          <r>
            <rPr>
              <rFont val="Calibri"/>
              <sz val="10"/>
            </rPr>
            <t xml:space="preserve"> D2.</t>
          </r>
        </is>
      </c>
      <c r="W7" s="12" t="inlineStr">
        <is>
          <r>
            <rPr>
              <rFont val="Calibri"/>
              <b val="1"/>
              <sz val="10"/>
            </rPr>
            <t>Complexity &amp; Expertise:</t>
          </r>
          <r>
            <rPr>
              <rFont val="Calibri"/>
              <sz val="10"/>
            </rPr>
            <t xml:space="preserve"> 9 of 12 — Start: 9.0 · business head / director title; Evidence: no survey answers or KRAs on file → rating stays at the start
</t>
          </r>
          <r>
            <rPr>
              <rFont val="Calibri"/>
              <b val="1"/>
              <sz val="10"/>
            </rPr>
            <t>Autonomy &amp; Decision:</t>
          </r>
          <r>
            <rPr>
              <rFont val="Calibri"/>
              <sz val="10"/>
            </rPr>
            <t xml:space="preserve"> 9 of 12 — Start: 9.0 · business head / director title; Evidence: no survey answers or KRAs on file → rating stays at the start
</t>
          </r>
          <r>
            <rPr>
              <rFont val="Calibri"/>
              <b val="1"/>
              <sz val="10"/>
            </rPr>
            <t>Accountability &amp; Impact:</t>
          </r>
          <r>
            <rPr>
              <rFont val="Calibri"/>
              <sz val="10"/>
            </rPr>
            <t xml:space="preserve"> 9 of 12 — Start: 9.0 · business head / director title; 9 direct reports, 166 people in the organisation; Evidence: no survey answers or KRAs on file → rating stays at the start
</t>
          </r>
          <r>
            <rPr>
              <rFont val="Calibri"/>
              <b val="1"/>
              <sz val="10"/>
            </rPr>
            <t>Leadership &amp; Strategy:</t>
          </r>
          <r>
            <rPr>
              <rFont val="Calibri"/>
              <sz val="10"/>
            </rPr>
            <t xml:space="preserve"> 9 of 12 — Start: 9.0; Evidence: no survey answers or KRAs on file → rating stays at the start; Team: 9 direct reports · People Manager
</t>
          </r>
          <r>
            <rPr>
              <rFont val="Calibri"/>
              <b val="1"/>
              <sz val="10"/>
            </rPr>
            <t>Experience &amp; Qualification:</t>
          </r>
          <r>
            <rPr>
              <rFont val="Calibri"/>
              <sz val="10"/>
            </rPr>
            <t xml:space="preserve"> 9.5 of 12 · between D1 and D2 — Experience: 17.1 yrs total · 0.7 before IRIS + 16.4 at IRIS = 8.9 on the experience scale; Qualification: MBA · postgraduate, relevant to the work → +0.5
</t>
          </r>
          <r>
            <rPr>
              <rFont val="Calibri"/>
              <b val="1"/>
              <sz val="10"/>
            </rPr>
            <t>Business Impact:</t>
          </r>
          <r>
            <rPr>
              <rFont val="Calibri"/>
              <sz val="10"/>
            </rPr>
            <t xml:space="preserve"> 9 of 12 — a starting estimate. —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r>
        </is>
      </c>
      <c r="X7" s="12" t="inlineStr">
        <is>
          <r>
            <rPr>
              <rFont val="Calibri"/>
              <b val="1"/>
              <sz val="10"/>
            </rPr>
            <t>Market level:</t>
          </r>
          <r>
            <rPr>
              <rFont val="Calibri"/>
              <sz val="10"/>
            </rPr>
            <t xml:space="preserve"> E3–E4 · SFIA 7 Set strategy
</t>
          </r>
          <r>
            <rPr>
              <rFont val="Calibri"/>
              <b val="1"/>
              <sz val="10"/>
            </rPr>
            <t>Typical title:</t>
          </r>
          <r>
            <rPr>
              <rFont val="Calibri"/>
              <sz val="10"/>
            </rPr>
            <t xml:space="preserve"> Associate Vice President / Business Head
</t>
          </r>
          <r>
            <rPr>
              <rFont val="Calibri"/>
              <b val="1"/>
              <sz val="10"/>
            </rPr>
            <t>At peers:</t>
          </r>
          <r>
            <rPr>
              <rFont val="Calibri"/>
              <sz val="10"/>
            </rPr>
            <t xml:space="preserve"> IRIS Vs Market Benchmark — Aon Radford / Mercer executive codes: E3–E4 SVP · IRIS Vs Competitor Benchmark — regtech / SaaS executive titles: SVP
</t>
          </r>
          <r>
            <rPr>
              <rFont val="Calibri"/>
              <b val="1"/>
              <sz val="10"/>
            </rPr>
            <t>Standard:</t>
          </r>
          <r>
            <rPr>
              <rFont val="Calibri"/>
              <sz val="10"/>
            </rPr>
            <t xml:space="preserve"> Aon Radford executive levels E1–E6; Mercer ET1–ET3</t>
          </r>
        </is>
      </c>
      <c r="Y7" s="12" t="inlineStr">
        <is>
          <r>
            <rPr>
              <rFont val="Calibri"/>
              <sz val="10"/>
            </rPr>
            <t xml:space="preserve">✓ HRIS: 17.1 yrs, MBA, 9 direct reports
✗ Survey: no response
✗ KRAs: none on file
✓ Manager mapping: rating, 9-box
✗ Job description: not on file
✓ Validated inputs: Approved level: D1 → D2 · Leadership structure: CARBON Business Head at D2 · Leadership decision · HR review of 9 Oct 2026 · 2026-10-09
</t>
          </r>
          <r>
            <rPr>
              <rFont val="Calibri"/>
              <b val="1"/>
              <sz val="10"/>
            </rPr>
            <t>Confidence:</t>
          </r>
          <r>
            <rPr>
              <rFont val="Calibri"/>
              <sz val="10"/>
            </rPr>
            <t xml:space="preserve"> Low</t>
          </r>
        </is>
      </c>
      <c r="Z7" s="82"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7" s="83" t="inlineStr">
        <is>
          <t>• Survey response or KRAs describing the work · nothing on file — Employee + manager
• Resolve conflicting role records — Business head</t>
        </is>
      </c>
      <c r="AB7" s="12" t="inlineStr">
        <is>
          <r>
            <rPr>
              <rFont val="Calibri"/>
              <b val="1"/>
              <sz val="10"/>
            </rPr>
            <t>What the role answers for:</t>
          </r>
          <r>
            <rPr>
              <rFont val="Calibri"/>
              <sz val="10"/>
            </rPr>
            <t xml:space="preserve"> Multi-business results.
</t>
          </r>
          <r>
            <rPr>
              <rFont val="Calibri"/>
              <b val="1"/>
              <sz val="10"/>
            </rPr>
            <t>Accountability &amp; Impact rating:</t>
          </r>
          <r>
            <rPr>
              <rFont val="Calibri"/>
              <sz val="10"/>
            </rPr>
            <t xml:space="preserve"> 9 of 12 · D1-level impact.
Leads 9 direct reports.
Manager talent mapping — Latest rating: Not rated · manager · 9-Box Grid placement: Not placed · manager.</t>
          </r>
        </is>
      </c>
      <c r="AC7" s="84" t="n"/>
      <c r="AD7" s="84" t="n"/>
      <c r="AE7" s="84" t="n"/>
      <c r="AF7" s="12" t="n">
        <v>9</v>
      </c>
    </row>
    <row r="8" ht="353" customHeight="1">
      <c r="A8" s="12" t="inlineStr">
        <is>
          <t>IRIS2478</t>
        </is>
      </c>
      <c r="B8" s="10" t="inlineStr">
        <is>
          <t>Dixit Jasani</t>
        </is>
      </c>
      <c r="C8" s="12" t="inlineStr">
        <is>
          <t>CRO - Carbon</t>
        </is>
      </c>
      <c r="D8" s="12" t="inlineStr">
        <is>
          <t>Chief Revenue Officer- Enterprise Division</t>
        </is>
      </c>
      <c r="E8" s="85" t="inlineStr">
        <is>
          <t>Chief Revenue Officer</t>
        </is>
      </c>
      <c r="F8" s="12" t="inlineStr">
        <is>
          <t>Executive Leadership</t>
        </is>
      </c>
      <c r="G8" s="12" t="inlineStr">
        <is>
          <t>Enterprise Leadership</t>
        </is>
      </c>
      <c r="H8" s="12" t="inlineStr">
        <is>
          <t>People Manager</t>
        </is>
      </c>
      <c r="I8" s="42" t="inlineStr">
        <is>
          <t>Not in current mapping files</t>
        </is>
      </c>
      <c r="J8" s="32" t="inlineStr">
        <is>
          <t>E1</t>
        </is>
      </c>
      <c r="K8" s="33" t="inlineStr">
        <is>
          <t>CXO / President</t>
        </is>
      </c>
      <c r="L8" s="79" t="inlineStr">
        <is>
          <t>● Newly mapped</t>
        </is>
      </c>
      <c r="M8" s="12" t="inlineStr">
        <is>
          <t>CARBON · CRO - Carbon · Bands D–E · Leadership</t>
        </is>
      </c>
      <c r="N8" s="42" t="n">
        <v>11</v>
      </c>
      <c r="O8" s="42" t="n">
        <v>11</v>
      </c>
      <c r="P8" s="42" t="n">
        <v>11</v>
      </c>
      <c r="Q8" s="42" t="n">
        <v>11</v>
      </c>
      <c r="R8" s="42" t="n">
        <v>12</v>
      </c>
      <c r="S8" s="80" t="n">
        <v>11</v>
      </c>
      <c r="T8" s="81">
        <f>IF(OR($M8="",COUNT(N8,O8,P8,Q8,R8,S8)&lt;6),"",IFERROR(N8*INDEX(WM_C,MATCH($M8,WM_KEY,0))+O8*INDEX(WM_AU,MATCH($M8,WM_KEY,0))+P8*INDEX(WM_AC,MATCH($M8,WM_KEY,0))+Q8*INDEX(WM_L,MATCH($M8,WM_KEY,0))+R8*INDEX(WM_E,MATCH($M8,WM_KEY,0))+S8*INDEX(WM_BI,MATCH($M8,WM_KEY,0)),""))</f>
        <v>11.05</v>
      </c>
      <c r="U8" s="42" t="str">
        <f>IF(T8="","",INDEX({"A1","A2","A3","B1","B2","B3","C1","C2","D1","D2","E1","E2"},MAX(1,MIN(12,ROUND(T8,0)))))</f>
        <v>E1</v>
      </c>
      <c r="V8" s="12" t="inlineStr">
        <is>
          <r>
            <rPr>
              <rFont val="Calibri"/>
              <sz val="10"/>
            </rPr>
            <t xml:space="preserve">New level E1 · CXO / President. Current level on record: Not in current mapping files. Change: ● Newly mapped.
Score 11.05 on the ladder scale → indicated level E1.
</t>
          </r>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 s="12" t="inlineStr">
        <is>
          <r>
            <rPr>
              <rFont val="Calibri"/>
              <b val="1"/>
              <sz val="10"/>
            </rPr>
            <t>Complexity &amp; Expertise:</t>
          </r>
          <r>
            <rPr>
              <rFont val="Calibri"/>
              <sz val="10"/>
            </rPr>
            <t xml:space="preserve"> 11 of 12 — Start: 11.0 · CXO title; Evidence: no survey answers or KRAs on file → rating stays at the start
</t>
          </r>
          <r>
            <rPr>
              <rFont val="Calibri"/>
              <b val="1"/>
              <sz val="10"/>
            </rPr>
            <t>Autonomy &amp; Decision:</t>
          </r>
          <r>
            <rPr>
              <rFont val="Calibri"/>
              <sz val="10"/>
            </rPr>
            <t xml:space="preserve"> 11 of 12 — Start: 11.0 · CXO title; Evidence: no survey answers or KRAs on file → rating stays at the start
</t>
          </r>
          <r>
            <rPr>
              <rFont val="Calibri"/>
              <b val="1"/>
              <sz val="10"/>
            </rPr>
            <t>Accountability &amp; Impact:</t>
          </r>
          <r>
            <rPr>
              <rFont val="Calibri"/>
              <sz val="10"/>
            </rPr>
            <t xml:space="preserve"> 11 of 12 — Start: 11.0 · CXO title; 1 direct report, 167 people in the organisation; Evidence: no survey answers or KRAs on file → rating stays at the start
</t>
          </r>
          <r>
            <rPr>
              <rFont val="Calibri"/>
              <b val="1"/>
              <sz val="10"/>
            </rPr>
            <t>Leadership &amp; Strategy:</t>
          </r>
          <r>
            <rPr>
              <rFont val="Calibri"/>
              <sz val="10"/>
            </rPr>
            <t xml:space="preserve"> 11 of 12 — Start: 11.0; Evidence: no survey answers or KRAs on file → rating stays at the start; Team: 1 direct report · People Manager
</t>
          </r>
          <r>
            <rPr>
              <rFont val="Calibri"/>
              <b val="1"/>
              <sz val="10"/>
            </rPr>
            <t>Experience &amp; Qualification:</t>
          </r>
          <r>
            <rPr>
              <rFont val="Calibri"/>
              <sz val="10"/>
            </rPr>
            <t xml:space="preserve"> 12 of 12 — Experience: 27.9 yrs total · 27.3 before IRIS + 0.6 at IRIS = 12.0 on the experience scale; Qualification: PGDM · postgraduate, relevant to the work → +0.5
</t>
          </r>
          <r>
            <rPr>
              <rFont val="Calibri"/>
              <b val="1"/>
              <sz val="10"/>
            </rPr>
            <t>Business Impact:</t>
          </r>
          <r>
            <rPr>
              <rFont val="Calibri"/>
              <sz val="10"/>
            </rPr>
            <t xml:space="preserve"> 11 of 12 — a starting estimate. — Start: 11, the role's accountability scope — what it answers for.; No survey or manager-mapping signal on criticality: kept at the start point.; Managers and heads: overwrite this rating on the Weightage sheet with the business impact you see — the score updates at once.; Ladder: E1 = Shapes company-wide results through a function</t>
          </r>
        </is>
      </c>
      <c r="X8" s="12" t="inlineStr">
        <is>
          <r>
            <rPr>
              <rFont val="Calibri"/>
              <b val="1"/>
              <sz val="10"/>
            </rPr>
            <t>Market level:</t>
          </r>
          <r>
            <rPr>
              <rFont val="Calibri"/>
              <sz val="10"/>
            </rPr>
            <t xml:space="preserve"> E5 · SFIA 7
</t>
          </r>
          <r>
            <rPr>
              <rFont val="Calibri"/>
              <b val="1"/>
              <sz val="10"/>
            </rPr>
            <t>Typical title:</t>
          </r>
          <r>
            <rPr>
              <rFont val="Calibri"/>
              <sz val="10"/>
            </rPr>
            <t xml:space="preserve"> CXO · functional chief
</t>
          </r>
          <r>
            <rPr>
              <rFont val="Calibri"/>
              <b val="1"/>
              <sz val="10"/>
            </rPr>
            <t>At peers:</t>
          </r>
          <r>
            <rPr>
              <rFont val="Calibri"/>
              <sz val="10"/>
            </rPr>
            <t xml:space="preserve"> IRIS Vs Market Benchmark — Aon Radford / Mercer executive codes: E5 C-level · functional · IRIS Vs Competitor Benchmark — regtech / SaaS executive titles: CTO · CFO · CRO · CCO · COO
</t>
          </r>
          <r>
            <rPr>
              <rFont val="Calibri"/>
              <b val="1"/>
              <sz val="10"/>
            </rPr>
            <t>Standard:</t>
          </r>
          <r>
            <rPr>
              <rFont val="Calibri"/>
              <sz val="10"/>
            </rPr>
            <t xml:space="preserve"> Aon Radford executive levels E1–E6; Mercer ET1–ET3</t>
          </r>
        </is>
      </c>
      <c r="Y8" s="12" t="inlineStr">
        <is>
          <r>
            <rPr>
              <rFont val="Calibri"/>
              <sz val="10"/>
            </rPr>
            <t xml:space="preserve">✓ HRIS: 27.9 yrs, PGDM, 1 direct report
✗ Survey: no response
✗ KRAs: none on file
✓ Manager mapping: rating, 9-box
✗ Job description: not on file
</t>
          </r>
          <r>
            <rPr>
              <rFont val="Calibri"/>
              <b val="1"/>
              <sz val="10"/>
            </rPr>
            <t>Confidence:</t>
          </r>
          <r>
            <rPr>
              <rFont val="Calibri"/>
              <sz val="10"/>
            </rPr>
            <t xml:space="preserve"> Low</t>
          </r>
        </is>
      </c>
      <c r="Z8" s="12" t="inlineStr">
        <is>
          <t>—</t>
        </is>
      </c>
      <c r="AA8" s="83" t="inlineStr">
        <is>
          <t>• Survey response or KRAs describing the work · nothing on file — Employee + manager
• Resolve conflicting role records — Business head</t>
        </is>
      </c>
      <c r="AB8" s="12" t="inlineStr">
        <is>
          <r>
            <rPr>
              <rFont val="Calibri"/>
              <b val="1"/>
              <sz val="10"/>
            </rPr>
            <t>What the role answers for:</t>
          </r>
          <r>
            <rPr>
              <rFont val="Calibri"/>
              <sz val="10"/>
            </rPr>
            <t xml:space="preserve"> Enterprise-wide functional results.
</t>
          </r>
          <r>
            <rPr>
              <rFont val="Calibri"/>
              <b val="1"/>
              <sz val="10"/>
            </rPr>
            <t>Accountability &amp; Impact rating:</t>
          </r>
          <r>
            <rPr>
              <rFont val="Calibri"/>
              <sz val="10"/>
            </rPr>
            <t xml:space="preserve"> 11 of 12 · E1-level impact.
Leads 1 direct report.
Manager talent mapping — Latest rating: Not rated · manager · 9-Box Grid placement: Not placed · manager.</t>
          </r>
        </is>
      </c>
      <c r="AC8" s="84" t="n"/>
      <c r="AD8" s="84" t="n"/>
      <c r="AE8" s="84" t="n"/>
      <c r="AF8" s="12" t="n">
        <v>11</v>
      </c>
    </row>
    <row r="9" ht="353" customHeight="1">
      <c r="A9" s="12" t="inlineStr">
        <is>
          <t>IRIS2359</t>
        </is>
      </c>
      <c r="B9" s="10" t="inlineStr">
        <is>
          <t>Suman Adhikary</t>
        </is>
      </c>
      <c r="C9" s="12" t="inlineStr">
        <is>
          <t>Customer Experience</t>
        </is>
      </c>
      <c r="D9" s="12" t="inlineStr">
        <is>
          <t>Senior Vice President - Customer Experience</t>
        </is>
      </c>
      <c r="E9" s="85" t="inlineStr">
        <is>
          <t>Senior Vice President – Customer Experience</t>
        </is>
      </c>
      <c r="F9" s="12" t="inlineStr">
        <is>
          <t>Executive Leadership</t>
        </is>
      </c>
      <c r="G9" s="12" t="inlineStr">
        <is>
          <t>Business &amp; Functional Leadership</t>
        </is>
      </c>
      <c r="H9" s="12" t="inlineStr">
        <is>
          <t>People Manager</t>
        </is>
      </c>
      <c r="I9" s="42" t="inlineStr">
        <is>
          <t>Not in current mapping files</t>
        </is>
      </c>
      <c r="J9" s="28" t="inlineStr">
        <is>
          <t>D1</t>
        </is>
      </c>
      <c r="K9" s="29" t="inlineStr">
        <is>
          <t>Associate Vice President / Business Head</t>
        </is>
      </c>
      <c r="L9" s="79" t="inlineStr">
        <is>
          <t>● Newly mapped</t>
        </is>
      </c>
      <c r="M9" s="12" t="inlineStr">
        <is>
          <t>CARBON · Customer Experience · Bands D–E · Leadership</t>
        </is>
      </c>
      <c r="N9" s="42" t="n">
        <v>10</v>
      </c>
      <c r="O9" s="42" t="n">
        <v>10</v>
      </c>
      <c r="P9" s="42" t="n">
        <v>10</v>
      </c>
      <c r="Q9" s="42" t="n">
        <v>10</v>
      </c>
      <c r="R9" s="42" t="n">
        <v>12</v>
      </c>
      <c r="S9" s="80" t="n">
        <v>10</v>
      </c>
      <c r="T9" s="81">
        <f>IF(OR($M9="",COUNT(N9,O9,P9,Q9,R9,S9)&lt;6),"",IFERROR(N9*INDEX(WM_C,MATCH($M9,WM_KEY,0))+O9*INDEX(WM_AU,MATCH($M9,WM_KEY,0))+P9*INDEX(WM_AC,MATCH($M9,WM_KEY,0))+Q9*INDEX(WM_L,MATCH($M9,WM_KEY,0))+R9*INDEX(WM_E,MATCH($M9,WM_KEY,0))+S9*INDEX(WM_BI,MATCH($M9,WM_KEY,0)),""))</f>
        <v>10.1</v>
      </c>
      <c r="U9" s="42" t="str">
        <f>IF(T9="","",INDEX({"A1","A2","A3","B1","B2","B3","C1","C2","D1","D2","E1","E2"},MAX(1,MIN(12,ROUND(T9,0)))))</f>
        <v>D2</v>
      </c>
      <c r="V9" s="12" t="inlineStr">
        <is>
          <r>
            <rPr>
              <rFont val="Calibri"/>
              <sz val="10"/>
            </rPr>
            <t xml:space="preserve">New level D1 · Associate Vice President / Business Head. Current level on record: Not in current mapping files. Change: ● Newly mapped.
Score 10.10 on the ladder scale → indicated level D2.
</t>
          </r>
          <r>
            <rPr>
              <rFont val="Calibri"/>
              <b val="1"/>
              <sz val="10"/>
            </rPr>
            <t>Weights:</t>
          </r>
          <r>
            <rPr>
              <rFont val="Calibri"/>
              <sz val="10"/>
            </rPr>
            <t xml:space="preserve"> Complexity 37% · Leadership 20% · Autonomy 19% · Accountability 11% · Business impact 8% · Experience 5%
</t>
          </r>
          <r>
            <rPr>
              <rFont val="Calibri"/>
              <b val="1"/>
              <sz val="10"/>
            </rPr>
            <t>Why:</t>
          </r>
          <r>
            <rPr>
              <rFont val="Calibri"/>
              <sz val="10"/>
            </rPr>
            <t xml:space="preserve"> leaders are judged on the hardest problems, on leading — 20% — and on the decisions, scope and business impact of the job.
</t>
          </r>
          <r>
            <rPr>
              <rFont val="Calibri"/>
              <b val="1"/>
              <sz val="10"/>
            </rPr>
            <t>Type of work in the department:</t>
          </r>
          <r>
            <rPr>
              <rFont val="Calibri"/>
              <sz val="10"/>
            </rPr>
            <t xml:space="preserve"> no adjustment at this level.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Set at D1 by leadership decision · the model indicated D2:</t>
          </r>
          <r>
            <rPr>
              <rFont val="Calibri"/>
              <sz val="10"/>
            </rPr>
            <t xml:space="preserve"> Leadership structure: one level below her manager, the CARBON Business Head.
</t>
          </r>
          <r>
            <rPr>
              <rFont val="Calibri"/>
              <b val="1"/>
              <sz val="10"/>
            </rPr>
            <t>Final level:</t>
          </r>
          <r>
            <rPr>
              <rFont val="Calibri"/>
              <sz val="10"/>
            </rPr>
            <t xml:space="preserve"> D1.</t>
          </r>
        </is>
      </c>
      <c r="W9" s="12" t="inlineStr">
        <is>
          <r>
            <rPr>
              <rFont val="Calibri"/>
              <b val="1"/>
              <sz val="10"/>
            </rPr>
            <t>Complexity &amp; Expertise:</t>
          </r>
          <r>
            <rPr>
              <rFont val="Calibri"/>
              <sz val="10"/>
            </rPr>
            <t xml:space="preserve"> 10 of 12 — Start: 10.0 · vice president title; Evidence: no survey answers or KRAs on file → rating stays at the start
</t>
          </r>
          <r>
            <rPr>
              <rFont val="Calibri"/>
              <b val="1"/>
              <sz val="10"/>
            </rPr>
            <t>Autonomy &amp; Decision:</t>
          </r>
          <r>
            <rPr>
              <rFont val="Calibri"/>
              <sz val="10"/>
            </rPr>
            <t xml:space="preserve"> 10 of 12 — Start: 10.0 · vice president title; Evidence: no survey answers or KRAs on file → rating stays at the start
</t>
          </r>
          <r>
            <rPr>
              <rFont val="Calibri"/>
              <b val="1"/>
              <sz val="10"/>
            </rPr>
            <t>Accountability &amp; Impact:</t>
          </r>
          <r>
            <rPr>
              <rFont val="Calibri"/>
              <sz val="10"/>
            </rPr>
            <t xml:space="preserve"> 10 of 12 — Start: 10.0 · vice president title; 8 direct reports, 121 people in the organisation; Evidence: no survey answers or KRAs on file → rating stays at the start
</t>
          </r>
          <r>
            <rPr>
              <rFont val="Calibri"/>
              <b val="1"/>
              <sz val="10"/>
            </rPr>
            <t>Leadership &amp; Strategy:</t>
          </r>
          <r>
            <rPr>
              <rFont val="Calibri"/>
              <sz val="10"/>
            </rPr>
            <t xml:space="preserve"> 10 of 12 — Start: 10.0; Evidence: no survey answers or KRAs on file → rating stays at the start; Team: 8 direct reports · People Manager
</t>
          </r>
          <r>
            <rPr>
              <rFont val="Calibri"/>
              <b val="1"/>
              <sz val="10"/>
            </rPr>
            <t>Experience &amp; Qualification:</t>
          </r>
          <r>
            <rPr>
              <rFont val="Calibri"/>
              <sz val="10"/>
            </rPr>
            <t xml:space="preserve"> 12 of 12 — Experience: 28.7 yrs total · 27.2 before IRIS + 1.5 at IRIS = 12.0 on the experience scale; Qualification: B.E · graduate → no change
</t>
          </r>
          <r>
            <rPr>
              <rFont val="Calibri"/>
              <b val="1"/>
              <sz val="10"/>
            </rPr>
            <t>Business Impact:</t>
          </r>
          <r>
            <rPr>
              <rFont val="Calibri"/>
              <sz val="10"/>
            </rPr>
            <t xml:space="preserve"> 10 of 12 — a starting estimate. — Start: 10, the role's accountability scope — what it answers for.; No survey or manager-mapping signal on criticality: kept at the start point.; Managers and heads: overwrite this rating on the Weightage sheet with the business impact you see — the score updates at once.; Ladder: D2 = Owns the results of several business lines</t>
          </r>
        </is>
      </c>
      <c r="X9" s="12" t="inlineStr">
        <is>
          <r>
            <rPr>
              <rFont val="Calibri"/>
              <b val="1"/>
              <sz val="10"/>
            </rPr>
            <t>Market level:</t>
          </r>
          <r>
            <rPr>
              <rFont val="Calibri"/>
              <sz val="10"/>
            </rPr>
            <t xml:space="preserve"> E1–E2 · SFIA 6–7
</t>
          </r>
          <r>
            <rPr>
              <rFont val="Calibri"/>
              <b val="1"/>
              <sz val="10"/>
            </rPr>
            <t>Typical title:</t>
          </r>
          <r>
            <rPr>
              <rFont val="Calibri"/>
              <sz val="10"/>
            </rPr>
            <t xml:space="preserve"> Vice President / Senior Vice President / Senior Vice President
</t>
          </r>
          <r>
            <rPr>
              <rFont val="Calibri"/>
              <b val="1"/>
              <sz val="10"/>
            </rPr>
            <t>At peers:</t>
          </r>
          <r>
            <rPr>
              <rFont val="Calibri"/>
              <sz val="10"/>
            </rPr>
            <t xml:space="preserve"> IRIS Vs Market Benchmark — Aon Radford / Mercer executive codes: E1–E2 VP / Business Head · IRIS Vs Competitor Benchmark — regtech / SaaS executive titles: General Manager / VP
</t>
          </r>
          <r>
            <rPr>
              <rFont val="Calibri"/>
              <b val="1"/>
              <sz val="10"/>
            </rPr>
            <t>Standard:</t>
          </r>
          <r>
            <rPr>
              <rFont val="Calibri"/>
              <sz val="10"/>
            </rPr>
            <t xml:space="preserve"> Aon Radford executive levels E1–E6; Mercer ET1–ET3</t>
          </r>
        </is>
      </c>
      <c r="Y9" s="12" t="inlineStr">
        <is>
          <r>
            <rPr>
              <rFont val="Calibri"/>
              <sz val="10"/>
            </rPr>
            <t xml:space="preserve">✓ HRIS: 28.7 yrs, B.E, 8 direct reports
✗ Survey: no response
✗ KRAs: none on file
✓ Manager mapping: rating, 9-box — filled from talent-mapping files: 9-box · CARBON grid
✗ Job description: not on file
✓ Validated inputs: Approved level: D2 → D1 · Leadership structure: one level below her manager, the CARBON Business Head · Leadership decision · HR review of 9 Oct 2026 · 2026-10-09
</t>
          </r>
          <r>
            <rPr>
              <rFont val="Calibri"/>
              <b val="1"/>
              <sz val="10"/>
            </rPr>
            <t>Confidence:</t>
          </r>
          <r>
            <rPr>
              <rFont val="Calibri"/>
              <sz val="10"/>
            </rPr>
            <t xml:space="preserve"> Low</t>
          </r>
        </is>
      </c>
      <c r="Z9" s="82"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9" s="83" t="inlineStr">
        <is>
          <t>• Survey response or KRAs describing the work · nothing on file — Employee + manager
• Resolve conflicting role records — Business head</t>
        </is>
      </c>
      <c r="AB9" s="12" t="inlineStr">
        <is>
          <r>
            <rPr>
              <rFont val="Calibri"/>
              <b val="1"/>
              <sz val="10"/>
            </rPr>
            <t>What the role answers for:</t>
          </r>
          <r>
            <rPr>
              <rFont val="Calibri"/>
              <sz val="10"/>
            </rPr>
            <t xml:space="preserve"> Business-line P&amp;L and market position.
</t>
          </r>
          <r>
            <rPr>
              <rFont val="Calibri"/>
              <b val="1"/>
              <sz val="10"/>
            </rPr>
            <t>Accountability &amp; Impact rating:</t>
          </r>
          <r>
            <rPr>
              <rFont val="Calibri"/>
              <sz val="10"/>
            </rPr>
            <t xml:space="preserve"> 10 of 12 · D2-level impact.
Leads 8 direct reports.
From the survey and manager mapping — successor named: yes.
Manager talent mapping — Latest rating: Not rated · manager · 9-Box Grid placement: Underperformer / Exit Risk.</t>
          </r>
        </is>
      </c>
      <c r="AC9" s="84" t="n"/>
      <c r="AD9" s="84" t="n"/>
      <c r="AE9" s="84" t="n"/>
      <c r="AF9" s="12" t="n">
        <v>10</v>
      </c>
    </row>
    <row r="10" ht="379" customHeight="1">
      <c r="A10" s="12" t="inlineStr">
        <is>
          <t>IRIS0055</t>
        </is>
      </c>
      <c r="B10" s="10" t="inlineStr">
        <is>
          <t>Vijay Parulekar</t>
        </is>
      </c>
      <c r="C10" s="12" t="inlineStr">
        <is>
          <t>Digitizing</t>
        </is>
      </c>
      <c r="D10" s="12" t="inlineStr">
        <is>
          <t>Head Image Processing</t>
        </is>
      </c>
      <c r="E10" s="85" t="inlineStr">
        <is>
          <t>Associate Head – Digitization</t>
        </is>
      </c>
      <c r="F10" s="12" t="inlineStr">
        <is>
          <t>Data Operations &amp; Digitization</t>
        </is>
      </c>
      <c r="G10" s="12" t="inlineStr">
        <is>
          <t>Digitization Leadership</t>
        </is>
      </c>
      <c r="H10" s="12" t="inlineStr">
        <is>
          <t>People Manager</t>
        </is>
      </c>
      <c r="I10" s="42" t="inlineStr">
        <is>
          <t>L7 – Head / Sr Director</t>
        </is>
      </c>
      <c r="J10" s="24" t="inlineStr">
        <is>
          <t>C1</t>
        </is>
      </c>
      <c r="K10" s="25" t="inlineStr">
        <is>
          <t>Associate Head</t>
        </is>
      </c>
      <c r="L10" s="86" t="inlineStr">
        <is>
          <t>▼ Down · pay &amp; title protected</t>
        </is>
      </c>
      <c r="M10" s="12" t="inlineStr">
        <is>
          <t>CARBON · Digitizing · Band C · Head / Manager</t>
        </is>
      </c>
      <c r="N10" s="42" t="n">
        <v>7</v>
      </c>
      <c r="O10" s="42" t="n">
        <v>7</v>
      </c>
      <c r="P10" s="42" t="n">
        <v>6.5</v>
      </c>
      <c r="Q10" s="42" t="n">
        <v>6</v>
      </c>
      <c r="R10" s="42" t="n">
        <v>11.5</v>
      </c>
      <c r="S10" s="80" t="n">
        <v>7</v>
      </c>
      <c r="T10" s="81">
        <f>IF(OR($M10="",COUNT(N10,O10,P10,Q10,R10,S10)&lt;6),"",IFERROR(N10*INDEX(WM_C,MATCH($M10,WM_KEY,0))+O10*INDEX(WM_AU,MATCH($M10,WM_KEY,0))+P10*INDEX(WM_AC,MATCH($M10,WM_KEY,0))+Q10*INDEX(WM_L,MATCH($M10,WM_KEY,0))+R10*INDEX(WM_E,MATCH($M10,WM_KEY,0))+S10*INDEX(WM_BI,MATCH($M10,WM_KEY,0)),""))</f>
        <v>6.995</v>
      </c>
      <c r="U10" s="42" t="str">
        <f>IF(T10="","",INDEX({"A1","A2","A3","B1","B2","B3","C1","C2","D1","D2","E1","E2"},MAX(1,MIN(12,ROUND(T10,0)))))</f>
        <v>C1</v>
      </c>
      <c r="V10" s="12" t="inlineStr">
        <is>
          <r>
            <rPr>
              <rFont val="Calibri"/>
              <sz val="10"/>
            </rPr>
            <t xml:space="preserve">New level C1 · Associate Head. Current level on record: L7 – Head / Sr Director. Change: ▼ Down · pay &amp; title protected.
Score 7.00 on the ladder scale → indicated level C1.
</t>
          </r>
          <r>
            <rPr>
              <rFont val="Calibri"/>
              <b val="1"/>
              <sz val="10"/>
            </rPr>
            <t>Weights:</t>
          </r>
          <r>
            <rPr>
              <rFont val="Calibri"/>
              <sz val="10"/>
            </rPr>
            <t xml:space="preserve"> Complexity 38% · Autonomy 18% · Accountability 16% · Leadership 15% · Business impact 8%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10" s="12" t="inlineStr">
        <is>
          <r>
            <rPr>
              <rFont val="Calibri"/>
              <b val="1"/>
              <sz val="10"/>
            </rPr>
            <t>Complexity &amp; Expertise:</t>
          </r>
          <r>
            <rPr>
              <rFont val="Calibri"/>
              <sz val="10"/>
            </rPr>
            <t xml:space="preserve"> 7 of 12 — Start: 8.0 · head-of-function title; Evidence reads like B1: Plans formatting deliveries across all markets and two teams; process improvement; InDesign demos → moved down 1; KRA: “1. Ensure files processed by team with &gt;=99% accuracy · zero critical errors. 2. Meet 100% of regulatory / client filing deadlines (no SLA…”
</t>
          </r>
          <r>
            <rPr>
              <rFont val="Calibri"/>
              <b val="1"/>
              <sz val="10"/>
            </rPr>
            <t>Autonomy &amp; Decision:</t>
          </r>
          <r>
            <rPr>
              <rFont val="Calibri"/>
              <sz val="10"/>
            </rPr>
            <t xml:space="preserve"> 7 of 12 — Start: 8.0 · head-of-function title; Evidence reads like B2: Allocates workload and priority files; operational decisions on routine work → moved down 1
</t>
          </r>
          <r>
            <rPr>
              <rFont val="Calibri"/>
              <b val="1"/>
              <sz val="10"/>
            </rPr>
            <t>Accountability &amp; Impact:</t>
          </r>
          <r>
            <rPr>
              <rFont val="Calibri"/>
              <sz val="10"/>
            </rPr>
            <t xml:space="preserve"> 6.5 of 12 · between B3 and C1 — Start: 7.5 · head-of-function title; 6 direct reports, 32 people below, 4 of them lead teams; Evidence reads like B2: Accountable for all work of the Carbon Formatting and RBI CMS team → moved down 1; KRA: “1. Ensure files processed by team with &gt;=99% accuracy · zero critical errors. 2. Meet 100% of regulatory / client filing deadlines (no SLA…”
</t>
          </r>
          <r>
            <rPr>
              <rFont val="Calibri"/>
              <b val="1"/>
              <sz val="10"/>
            </rPr>
            <t>Leadership &amp; Strategy:</t>
          </r>
          <r>
            <rPr>
              <rFont val="Calibri"/>
              <sz val="10"/>
            </rPr>
            <t xml:space="preserve"> 6 of 12 — Start: 7.0; Evidence reads like B2: Manages team with 6 reports: allocation, monitoring, guiding and training → moved down 1; Team: 6 direct reports · People Manager
</t>
          </r>
          <r>
            <rPr>
              <rFont val="Calibri"/>
              <b val="1"/>
              <sz val="10"/>
            </rPr>
            <t>Experience &amp; Qualification:</t>
          </r>
          <r>
            <rPr>
              <rFont val="Calibri"/>
              <sz val="10"/>
            </rPr>
            <t xml:space="preserve"> 11.5 of 12 · between E1 and E2 — Experience: 26.4 yrs total · 6.5 before IRIS + 19.9 at IRIS = 11.6 on the experience scale; Qualification: B.Com · graduate, relevant to the work → no change
</t>
          </r>
          <r>
            <rPr>
              <rFont val="Calibri"/>
              <b val="1"/>
              <sz val="10"/>
            </rPr>
            <t>Business Impact:</t>
          </r>
          <r>
            <rPr>
              <rFont val="Calibri"/>
              <sz val="10"/>
            </rPr>
            <t xml:space="preserve"> 7 of 12 — a starting estimate. —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r>
        </is>
      </c>
      <c r="X10" s="12"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Accenture Operations – L6 Senior Manager · IRIS Vs Competitor Benchmark — operations roles: Head of Delivery
</t>
          </r>
          <r>
            <rPr>
              <rFont val="Calibri"/>
              <b val="1"/>
              <sz val="10"/>
            </rPr>
            <t>Typical experience:</t>
          </r>
          <r>
            <rPr>
              <rFont val="Calibri"/>
              <sz val="10"/>
            </rPr>
            <t xml:space="preserve"> 12–17 yrs · IRIS guide 10–14
</t>
          </r>
          <r>
            <rPr>
              <rFont val="Calibri"/>
              <b val="1"/>
              <sz val="10"/>
            </rPr>
            <t>Standard:</t>
          </r>
          <r>
            <rPr>
              <rFont val="Calibri"/>
              <sz val="10"/>
            </rPr>
            <t xml:space="preserve"> COPC CX Standard; ISO 9001</t>
          </r>
        </is>
      </c>
      <c r="Y10" s="12" t="inlineStr">
        <is>
          <r>
            <rPr>
              <rFont val="Calibri"/>
              <sz val="10"/>
            </rPr>
            <t xml:space="preserve">✓ HRIS: 26.4 yrs, B.Com, 6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0" s="82" t="inlineStr">
        <is>
          <r>
            <rPr>
              <rFont val="Calibri"/>
              <color rgb="009C5700"/>
              <sz val="10"/>
            </rPr>
            <t xml:space="preserve">• </t>
          </r>
          <r>
            <rPr>
              <rFont val="Calibri"/>
              <b val="1"/>
              <color rgb="009C5700"/>
              <sz val="10"/>
            </rPr>
            <t>Moves down:</t>
          </r>
          <r>
            <rPr>
              <rFont val="Calibri"/>
              <color rgb="009C5700"/>
              <sz val="10"/>
            </rPr>
            <t xml:space="preserve"> protected for one cycle</t>
          </r>
        </is>
      </c>
      <c r="AA10" s="12" t="inlineStr">
        <is>
          <t>Nothing outstanding</t>
        </is>
      </c>
      <c r="AB10"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6.5 of 12 · B3-level impact.
Leads 6 direct reports.
From the survey and manager mapping — critical role: yes; successor named: no.
Manager talent mapping — Latest rating: 4 · Potential: High · 9-Box Grid placement: Core Contributor.</t>
          </r>
        </is>
      </c>
      <c r="AC10" s="84" t="n"/>
      <c r="AD10" s="84" t="n"/>
      <c r="AE10" s="84" t="n"/>
      <c r="AF10" s="12" t="n">
        <v>7</v>
      </c>
    </row>
    <row r="11" ht="379" customHeight="1">
      <c r="A11" s="12" t="inlineStr">
        <is>
          <t>IRIS0470</t>
        </is>
      </c>
      <c r="B11" s="10" t="inlineStr">
        <is>
          <t>Janardan Bale</t>
        </is>
      </c>
      <c r="C11" s="12" t="inlineStr">
        <is>
          <t>Digitizing</t>
        </is>
      </c>
      <c r="D11" s="12" t="inlineStr">
        <is>
          <t>Image Processing Specialist</t>
        </is>
      </c>
      <c r="E11" s="85" t="inlineStr">
        <is>
          <t>Digitization Manager</t>
        </is>
      </c>
      <c r="F11" s="12" t="inlineStr">
        <is>
          <t>Data Operations &amp; Digitization</t>
        </is>
      </c>
      <c r="G11" s="12" t="inlineStr">
        <is>
          <t>Document Conversion, Formatting &amp; Web Publishing</t>
        </is>
      </c>
      <c r="H11" s="12" t="inlineStr">
        <is>
          <t>People Manager</t>
        </is>
      </c>
      <c r="I11" s="42" t="inlineStr">
        <is>
          <t>L3 – Professional / Associate</t>
        </is>
      </c>
      <c r="J11" s="20" t="inlineStr">
        <is>
          <t>B2</t>
        </is>
      </c>
      <c r="K11" s="21" t="inlineStr">
        <is>
          <t>Manager</t>
        </is>
      </c>
      <c r="L11" s="87" t="inlineStr">
        <is>
          <t>▲ Up</t>
        </is>
      </c>
      <c r="M11" s="12" t="inlineStr">
        <is>
          <t>CARBON · Digitizing · Band B · People Manager</t>
        </is>
      </c>
      <c r="N11" s="42" t="n">
        <v>3.5</v>
      </c>
      <c r="O11" s="42" t="n">
        <v>4.5</v>
      </c>
      <c r="P11" s="42" t="n">
        <v>5</v>
      </c>
      <c r="Q11" s="42" t="n">
        <v>5.5</v>
      </c>
      <c r="R11" s="42" t="n">
        <v>9</v>
      </c>
      <c r="S11" s="80" t="n">
        <v>5.5</v>
      </c>
      <c r="T11" s="81">
        <f>IF(OR($M11="",COUNT(N11,O11,P11,Q11,R11,S11)&lt;6),"",IFERROR(N11*INDEX(WM_C,MATCH($M11,WM_KEY,0))+O11*INDEX(WM_AU,MATCH($M11,WM_KEY,0))+P11*INDEX(WM_AC,MATCH($M11,WM_KEY,0))+Q11*INDEX(WM_L,MATCH($M11,WM_KEY,0))+R11*INDEX(WM_E,MATCH($M11,WM_KEY,0))+S11*INDEX(WM_BI,MATCH($M11,WM_KEY,0)),""))</f>
        <v>4.95</v>
      </c>
      <c r="U11" s="42" t="str">
        <f>IF(T11="","",INDEX({"A1","A2","A3","B1","B2","B3","C1","C2","D1","D2","E1","E2"},MAX(1,MIN(12,ROUND(T11,0)))))</f>
        <v>B2</v>
      </c>
      <c r="V11" s="12" t="inlineStr">
        <is>
          <r>
            <rPr>
              <rFont val="Calibri"/>
              <sz val="10"/>
            </rPr>
            <t xml:space="preserve">New level B2 · Manager. Current level on record: L3 – Professional / Associate. Change: ▲ Up.
Score 4.95 on the ladder scale → indicated level B2.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 s="12" t="inlineStr">
        <is>
          <r>
            <rPr>
              <rFont val="Calibri"/>
              <b val="1"/>
              <sz val="10"/>
            </rPr>
            <t>Complexity &amp; Expertise:</t>
          </r>
          <r>
            <rPr>
              <rFont val="Calibri"/>
              <sz val="10"/>
            </rPr>
            <t xml:space="preserve"> 3.5 of 12 · between A3 and B1 — Start: 4.0 · senior practitioner title; reporting lines show a bigger role: 6 direct reports, 8 people below, 1 of them leads a team; Evidence reads like A3: Go-to for US DM / HTML Editor: solves unsolved issues, QCs HMRC, CIPC, MCA → moved down 0.5; KRA: “1. Complete assigned conversion/formatting tasks with &gt;=99% accuracy · zero critical errors 2. Meet 100% of client filing deadlines (no SLA…”
</t>
          </r>
          <r>
            <rPr>
              <rFont val="Calibri"/>
              <b val="1"/>
              <sz val="10"/>
            </rPr>
            <t>Autonomy &amp; Decision:</t>
          </r>
          <r>
            <rPr>
              <rFont val="Calibri"/>
              <sz val="10"/>
            </rPr>
            <t xml:space="preserve"> 4.5 of 12 · between B1 and B2 — Start: 5.0 · senior practitioner title; reporting lines show a bigger role: 6 direct reports, 8 people below, 1 of them leads a team; Evidence reads like B1: Allocates HMRC and CIPC documents among team members and delivers → moved down 0.5
</t>
          </r>
          <r>
            <rPr>
              <rFont val="Calibri"/>
              <b val="1"/>
              <sz val="10"/>
            </rPr>
            <t>Accountability &amp; Impact:</t>
          </r>
          <r>
            <rPr>
              <rFont val="Calibri"/>
              <sz val="10"/>
            </rPr>
            <t xml:space="preserve"> 5 of 12 — Start: 6.0 · senior practitioner title; 6 direct reports, 8 people below, 1 of them leads a team; Evidence reads like B1: Leads US formatting team's output as team leader; own answer cites document confidentiality → moved down 1; KRA: “1. Complete assigned conversion/formatting tasks with &gt;=99% accuracy · zero critical errors 2. Meet 100% of client filing deadlines (no SLA…”
</t>
          </r>
          <r>
            <rPr>
              <rFont val="Calibri"/>
              <b val="1"/>
              <sz val="10"/>
            </rPr>
            <t>Leadership &amp; Strategy:</t>
          </r>
          <r>
            <rPr>
              <rFont val="Calibri"/>
              <sz val="10"/>
            </rPr>
            <t xml:space="preserve"> 5.5 of 12 · between B2 and B3 — Start: 6.0; Evidence reads like B2: Team leader of US formatting team with 6 reports; trains new joiners → moved down 0.5; Team: 6 direct reports · People Manager
</t>
          </r>
          <r>
            <rPr>
              <rFont val="Calibri"/>
              <b val="1"/>
              <sz val="10"/>
            </rPr>
            <t>Experience &amp; Qualification:</t>
          </r>
          <r>
            <rPr>
              <rFont val="Calibri"/>
              <sz val="10"/>
            </rPr>
            <t xml:space="preserve"> 9 of 12 — Experience: 18.0 yrs total · 18.0 at IRIS; none recorded before IRIS = 9.1 on the experience scale; Qualification: B.Com · graduate, relevant to the work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11"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Accenture Operations – L8 Associate Manager · IRIS Vs Competitor Benchmark — operations roles: Operations Manager
</t>
          </r>
          <r>
            <rPr>
              <rFont val="Calibri"/>
              <b val="1"/>
              <sz val="10"/>
            </rPr>
            <t>Typical experience:</t>
          </r>
          <r>
            <rPr>
              <rFont val="Calibri"/>
              <sz val="10"/>
            </rPr>
            <t xml:space="preserve"> 6–10 yrs · IRIS guide 6–9
</t>
          </r>
          <r>
            <rPr>
              <rFont val="Calibri"/>
              <b val="1"/>
              <sz val="10"/>
            </rPr>
            <t>Standard:</t>
          </r>
          <r>
            <rPr>
              <rFont val="Calibri"/>
              <sz val="10"/>
            </rPr>
            <t xml:space="preserve"> COPC CX Standard; ISO 9001</t>
          </r>
        </is>
      </c>
      <c r="Y11" s="12" t="inlineStr">
        <is>
          <r>
            <rPr>
              <rFont val="Calibri"/>
              <sz val="10"/>
            </rPr>
            <t xml:space="preserve">✓ HRIS: 18.0 yrs, B.Com, 6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1" s="12" t="inlineStr">
        <is>
          <t>—</t>
        </is>
      </c>
      <c r="AA11" s="83" t="inlineStr">
        <is>
          <t>• Confirm the reporting line — Manager</t>
        </is>
      </c>
      <c r="AB11"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6 direct reports.
From the survey and manager mapping — critical role: yes; successor named: no.
</t>
          </r>
          <r>
            <rPr>
              <rFont val="Calibri"/>
              <b val="1"/>
              <sz val="10"/>
            </rPr>
            <t>If the work is missed · role-holders' themes:</t>
          </r>
          <r>
            <rPr>
              <rFont val="Calibri"/>
              <sz val="10"/>
            </rPr>
            <t xml:space="preserve"> rework · delays · errors · quality · incorrect.
Manager talent mapping — Latest rating: 5 · Potential: High · 9-Box Grid placement: Core Contributor.</t>
          </r>
        </is>
      </c>
      <c r="AC11" s="84" t="n"/>
      <c r="AD11" s="84" t="n"/>
      <c r="AE11" s="84" t="n"/>
      <c r="AF11" s="12" t="n">
        <v>5.5</v>
      </c>
    </row>
    <row r="12" ht="379" customHeight="1">
      <c r="A12" s="12" t="inlineStr">
        <is>
          <t>IRIS1005</t>
        </is>
      </c>
      <c r="B12" s="10" t="inlineStr">
        <is>
          <t>Datta Hatagale</t>
        </is>
      </c>
      <c r="C12" s="12" t="inlineStr">
        <is>
          <t>Digitizing</t>
        </is>
      </c>
      <c r="D12" s="12" t="inlineStr">
        <is>
          <t>Image Processing Specialist</t>
        </is>
      </c>
      <c r="E12" s="85" t="inlineStr">
        <is>
          <t>Customer Enablement Specialist – POD Lead</t>
        </is>
      </c>
      <c r="F12" s="12" t="inlineStr">
        <is>
          <t>Customer Success &amp; Support</t>
        </is>
      </c>
      <c r="G12" s="12" t="inlineStr">
        <is>
          <t>Customer Training &amp; Enablement</t>
        </is>
      </c>
      <c r="H12" s="12" t="inlineStr">
        <is>
          <t>POD Lead</t>
        </is>
      </c>
      <c r="I12" s="42" t="inlineStr">
        <is>
          <t>L3 – Professional / Associate</t>
        </is>
      </c>
      <c r="J12" s="20" t="inlineStr">
        <is>
          <t>B1</t>
        </is>
      </c>
      <c r="K12" s="21" t="inlineStr">
        <is>
          <t>Specialist · POD Lead</t>
        </is>
      </c>
      <c r="L12" s="87" t="inlineStr">
        <is>
          <t>▲ Up</t>
        </is>
      </c>
      <c r="M12" s="12" t="inlineStr">
        <is>
          <t>CARBON · Digitizing · Band B · Expert / POD Lead</t>
        </is>
      </c>
      <c r="N12" s="42" t="n">
        <v>3</v>
      </c>
      <c r="O12" s="42" t="n">
        <v>3</v>
      </c>
      <c r="P12" s="42" t="n">
        <v>3.5</v>
      </c>
      <c r="Q12" s="42" t="n">
        <v>3.5</v>
      </c>
      <c r="R12" s="42" t="n">
        <v>8</v>
      </c>
      <c r="S12" s="80" t="n">
        <v>4</v>
      </c>
      <c r="T12" s="81">
        <f>IF(OR($M12="",COUNT(N12,O12,P12,Q12,R12,S12)&lt;6),"",IFERROR(N12*INDEX(WM_C,MATCH($M12,WM_KEY,0))+O12*INDEX(WM_AU,MATCH($M12,WM_KEY,0))+P12*INDEX(WM_AC,MATCH($M12,WM_KEY,0))+Q12*INDEX(WM_L,MATCH($M12,WM_KEY,0))+R12*INDEX(WM_E,MATCH($M12,WM_KEY,0))+S12*INDEX(WM_BI,MATCH($M12,WM_KEY,0)),""))</f>
        <v>3.67</v>
      </c>
      <c r="U12" s="42" t="str">
        <f>IF(T12="","",INDEX({"A1","A2","A3","B1","B2","B3","C1","C2","D1","D2","E1","E2"},MAX(1,MIN(12,ROUND(T12,0)))))</f>
        <v>B1</v>
      </c>
      <c r="V12" s="12" t="inlineStr">
        <is>
          <r>
            <rPr>
              <rFont val="Calibri"/>
              <sz val="10"/>
            </rPr>
            <t xml:space="preserve">New level B1 · Specialist · POD Lead. Current level on record: L3 – Professional / Associate. Change: ▲ Up.
Score 3.67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 s="12" t="inlineStr">
        <is>
          <r>
            <rPr>
              <rFont val="Calibri"/>
              <b val="1"/>
              <sz val="10"/>
            </rPr>
            <t>Complexity &amp; Expertise:</t>
          </r>
          <r>
            <rPr>
              <rFont val="Calibri"/>
              <sz val="10"/>
            </rPr>
            <t xml:space="preserve"> 3 of 12 — Start: 3.0 · senior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Autonomy &amp; Decision:</t>
          </r>
          <r>
            <rPr>
              <rFont val="Calibri"/>
              <sz val="10"/>
            </rPr>
            <t xml:space="preserve"> 3 of 12 — Start: 3.0 · senior practitioner title; Evidence: rated like 8 colleagues in the same role and department · own answers too general to rate → no change
</t>
          </r>
          <r>
            <rPr>
              <rFont val="Calibri"/>
              <b val="1"/>
              <sz val="10"/>
            </rPr>
            <t>Accountability &amp; Impact:</t>
          </r>
          <r>
            <rPr>
              <rFont val="Calibri"/>
              <sz val="10"/>
            </rPr>
            <t xml:space="preserve"> 3.5 of 12 · between A3 and B1 — Start: 4.0 · senior practitioner title; 3 direct reports; Evidence: rated like 8 colleagues in the same role and department · own answers too general to rate → moved −0.5; KRA: “1. Complete assigned conversion/formatting tasks with &gt;=99% accuracy · zero critical errors 2. Meet 100% of client filing deadlines (no SLA…”
</t>
          </r>
          <r>
            <rPr>
              <rFont val="Calibri"/>
              <b val="1"/>
              <sz val="10"/>
            </rPr>
            <t>Leadership &amp; Strategy:</t>
          </r>
          <r>
            <rPr>
              <rFont val="Calibri"/>
              <sz val="10"/>
            </rPr>
            <t xml:space="preserve"> 3.5 of 12 · between A3 and B1 — Start: 4.0; Evidence: rated like 8 colleagues in the same role and department · own answers too general to rate → moved −0.5; Team: 3 direct reports · POD Lead
</t>
          </r>
          <r>
            <rPr>
              <rFont val="Calibri"/>
              <b val="1"/>
              <sz val="10"/>
            </rPr>
            <t>Experience &amp; Qualification:</t>
          </r>
          <r>
            <rPr>
              <rFont val="Calibri"/>
              <sz val="10"/>
            </rPr>
            <t xml:space="preserve"> 8 of 12 — Experience: 14.9 yrs total · 14.9 at IRIS; none recorded before IRIS = 8.1 on the experience scale; Qualification: BA · graduate → no change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2"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Executive / CSM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Y12" s="12" t="inlineStr">
        <is>
          <r>
            <rPr>
              <rFont val="Calibri"/>
              <sz val="10"/>
            </rPr>
            <t xml:space="preserve">✓ HRIS: 14.9 yrs, BA, 3 direct reports
✓ Survey: 20 of 20 questions answered
✓ KRAs: submitted, reported deliverables
✓ Manager mapping: rating, potential, 9-box
✗ Job description: not on file
</t>
          </r>
          <r>
            <rPr>
              <rFont val="Calibri"/>
              <b val="1"/>
              <sz val="10"/>
            </rPr>
            <t>Confidence:</t>
          </r>
          <r>
            <rPr>
              <rFont val="Calibri"/>
              <sz val="10"/>
            </rPr>
            <t xml:space="preserve"> Low</t>
          </r>
        </is>
      </c>
      <c r="Z12" s="12" t="inlineStr">
        <is>
          <t>—</t>
        </is>
      </c>
      <c r="AA12" s="12" t="inlineStr">
        <is>
          <t>Nothing outstanding</t>
        </is>
      </c>
      <c r="AB12"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3 direct reports.
From the survey and manager mapping — critical role: yes; successor named: no.
Manager talent mapping — Latest rating: 4 · Potential: High · 9-Box Grid placement: Core Contributor.</t>
          </r>
        </is>
      </c>
      <c r="AC12" s="84" t="n"/>
      <c r="AD12" s="84" t="n"/>
      <c r="AE12" s="84" t="n"/>
      <c r="AF12" s="12" t="n">
        <v>4</v>
      </c>
    </row>
    <row r="13" ht="379" customHeight="1">
      <c r="A13" s="12" t="inlineStr">
        <is>
          <t>IRIS1204</t>
        </is>
      </c>
      <c r="B13" s="10" t="inlineStr">
        <is>
          <t>Dinesh Sharma</t>
        </is>
      </c>
      <c r="C13" s="12" t="inlineStr">
        <is>
          <t>Digitizing</t>
        </is>
      </c>
      <c r="D13" s="12" t="inlineStr">
        <is>
          <t>Image Processing Specialist</t>
        </is>
      </c>
      <c r="E13" s="85" t="inlineStr">
        <is>
          <t>Team Lead – Digitization</t>
        </is>
      </c>
      <c r="F13" s="12" t="inlineStr">
        <is>
          <t>Data Operations &amp; Digitization</t>
        </is>
      </c>
      <c r="G13" s="12" t="inlineStr">
        <is>
          <t>Document Conversion, Formatting &amp; Web Publishing</t>
        </is>
      </c>
      <c r="H13" s="12" t="inlineStr">
        <is>
          <t>People Manager</t>
        </is>
      </c>
      <c r="I13" s="42" t="inlineStr">
        <is>
          <t>L3 – Professional / Associate</t>
        </is>
      </c>
      <c r="J13" s="20" t="inlineStr">
        <is>
          <t>B1</t>
        </is>
      </c>
      <c r="K13" s="21" t="inlineStr">
        <is>
          <t>Team Lead</t>
        </is>
      </c>
      <c r="L13" s="87" t="inlineStr">
        <is>
          <t>▲ Up</t>
        </is>
      </c>
      <c r="M13" s="12" t="inlineStr">
        <is>
          <t>CARBON · Digitizing · Band B · People Manager</t>
        </is>
      </c>
      <c r="N13" s="42" t="n">
        <v>3</v>
      </c>
      <c r="O13" s="42" t="n">
        <v>3.5</v>
      </c>
      <c r="P13" s="42" t="n">
        <v>3.5</v>
      </c>
      <c r="Q13" s="42" t="n">
        <v>4</v>
      </c>
      <c r="R13" s="42" t="n">
        <v>9</v>
      </c>
      <c r="S13" s="80" t="n">
        <v>4</v>
      </c>
      <c r="T13" s="81">
        <f>IF(OR($M13="",COUNT(N13,O13,P13,Q13,R13,S13)&lt;6),"",IFERROR(N13*INDEX(WM_C,MATCH($M13,WM_KEY,0))+O13*INDEX(WM_AU,MATCH($M13,WM_KEY,0))+P13*INDEX(WM_AC,MATCH($M13,WM_KEY,0))+Q13*INDEX(WM_L,MATCH($M13,WM_KEY,0))+R13*INDEX(WM_E,MATCH($M13,WM_KEY,0))+S13*INDEX(WM_BI,MATCH($M13,WM_KEY,0)),""))</f>
        <v>4.01</v>
      </c>
      <c r="U13" s="42" t="str">
        <f>IF(T13="","",INDEX({"A1","A2","A3","B1","B2","B3","C1","C2","D1","D2","E1","E2"},MAX(1,MIN(12,ROUND(T13,0)))))</f>
        <v>B1</v>
      </c>
      <c r="V13" s="12" t="inlineStr">
        <is>
          <r>
            <rPr>
              <rFont val="Calibri"/>
              <sz val="10"/>
            </rPr>
            <t xml:space="preserve">New level B1 · Team Lead. Current level on record: L3 – Professional / Associate. Change: ▲ Up.
Score 4.01 on the ladder scale → indicated level B1.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 s="12" t="inlineStr">
        <is>
          <r>
            <rPr>
              <rFont val="Calibri"/>
              <b val="1"/>
              <sz val="10"/>
            </rPr>
            <t>Complexity &amp; Expertise:</t>
          </r>
          <r>
            <rPr>
              <rFont val="Calibri"/>
              <sz val="10"/>
            </rPr>
            <t xml:space="preserve"> 3 of 12 — Start: 3.0 · senior practitioner title; Evidence reads like A3: Reviews client edit requests, resolves team doubts, formatting checks across ESEF, KVK, ESRS → matches the start; KRA: “1. Complete assigned conversion/formatting tasks with &gt;=99% accuracy · zero critical errors 2. Meet 100% of client filing deadlines (no SLA…”
</t>
          </r>
          <r>
            <rPr>
              <rFont val="Calibri"/>
              <b val="1"/>
              <sz val="10"/>
            </rPr>
            <t>Autonomy &amp; Decision:</t>
          </r>
          <r>
            <rPr>
              <rFont val="Calibri"/>
              <sz val="10"/>
            </rPr>
            <t xml:space="preserve"> 3.5 of 12 · between A3 and B1 — Start: 3.0 · senior practitioner title; Evidence reads like B1: Decides to correct or reject client edit requests; manages task allocation → moved up 0.5
</t>
          </r>
          <r>
            <rPr>
              <rFont val="Calibri"/>
              <b val="1"/>
              <sz val="10"/>
            </rPr>
            <t>Accountability &amp; Impact:</t>
          </r>
          <r>
            <rPr>
              <rFont val="Calibri"/>
              <sz val="10"/>
            </rPr>
            <t xml:space="preserve"> 3.5 of 12 · between A3 and B1 — Start: 4.0 · senior practitioner title; 4 direct reports, 6 people below, 1 of them leads a team; Evidence reads like A3: States accountability for tasks handled; quality-checked files delivered to clients on time → moved down 0.5; KRA: “1. Complete assigned conversion/formatting tasks with &gt;=99% accuracy · zero critical errors 2. Meet 100% of client filing deadlines (no SLA…”
</t>
          </r>
          <r>
            <rPr>
              <rFont val="Calibri"/>
              <b val="1"/>
              <sz val="10"/>
            </rPr>
            <t>Leadership &amp; Strategy:</t>
          </r>
          <r>
            <rPr>
              <rFont val="Calibri"/>
              <sz val="10"/>
            </rPr>
            <t xml:space="preserve"> 4 of 12 — Start: 4.0; Evidence reads like B1: Team leadership, task allocation, doubt resolution; 4 reports → matches the start; Team: 4 direct reports · People Manager
</t>
          </r>
          <r>
            <rPr>
              <rFont val="Calibri"/>
              <b val="1"/>
              <sz val="10"/>
            </rPr>
            <t>Experience &amp; Qualification:</t>
          </r>
          <r>
            <rPr>
              <rFont val="Calibri"/>
              <sz val="10"/>
            </rPr>
            <t xml:space="preserve"> 9 of 12 — Experience: 18.0 yrs total · 18.0 at IRIS; none recorded before IRIS = 9.1 on the experience scale; Qualification: B.Com · graduate, relevant to the work → no change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3" s="12"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Accenture Operations – L9 Team Lead · IRIS Vs Competitor Benchmark — operations roles: Team Lead / Quality Lead
</t>
          </r>
          <r>
            <rPr>
              <rFont val="Calibri"/>
              <b val="1"/>
              <sz val="10"/>
            </rPr>
            <t>Typical experience:</t>
          </r>
          <r>
            <rPr>
              <rFont val="Calibri"/>
              <sz val="10"/>
            </rPr>
            <t xml:space="preserve"> 4–8 yrs · IRIS guide 4–7
</t>
          </r>
          <r>
            <rPr>
              <rFont val="Calibri"/>
              <b val="1"/>
              <sz val="10"/>
            </rPr>
            <t>Standard:</t>
          </r>
          <r>
            <rPr>
              <rFont val="Calibri"/>
              <sz val="10"/>
            </rPr>
            <t xml:space="preserve"> COPC CX Standard; ISO 9001</t>
          </r>
        </is>
      </c>
      <c r="Y13" s="12" t="inlineStr">
        <is>
          <r>
            <rPr>
              <rFont val="Calibri"/>
              <sz val="10"/>
            </rPr>
            <t xml:space="preserve">✓ HRIS: 18.0 yrs, B.Com, 4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3" s="12" t="inlineStr">
        <is>
          <t>—</t>
        </is>
      </c>
      <c r="AA13" s="12" t="inlineStr">
        <is>
          <t>Nothing outstanding</t>
        </is>
      </c>
      <c r="AB13"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4 direct reports.
From the survey and manager mapping — critical role: yes; successor named: no.
</t>
          </r>
          <r>
            <rPr>
              <rFont val="Calibri"/>
              <b val="1"/>
              <sz val="10"/>
            </rPr>
            <t>If the work is missed · role-holders' themes:</t>
          </r>
          <r>
            <rPr>
              <rFont val="Calibri"/>
              <sz val="10"/>
            </rPr>
            <t xml:space="preserve"> rework · delays · errors · quality · incorrect.
Manager talent mapping — Latest rating: 5 · Potential: High · 9-Box Grid placement: Core Contributor.</t>
          </r>
        </is>
      </c>
      <c r="AC13" s="84" t="n"/>
      <c r="AD13" s="84" t="n"/>
      <c r="AE13" s="84" t="n"/>
      <c r="AF13" s="12" t="n">
        <v>4</v>
      </c>
    </row>
    <row r="14" ht="379" customHeight="1">
      <c r="A14" s="12" t="inlineStr">
        <is>
          <t>IRIS0117</t>
        </is>
      </c>
      <c r="B14" s="10" t="inlineStr">
        <is>
          <t>Prajakta Mokal</t>
        </is>
      </c>
      <c r="C14" s="12" t="inlineStr">
        <is>
          <t>Digitizing</t>
        </is>
      </c>
      <c r="D14" s="12" t="inlineStr">
        <is>
          <t>Image Processing Specialist</t>
        </is>
      </c>
      <c r="E14" s="85" t="inlineStr">
        <is>
          <t>Digitization Specialist – POD Lead</t>
        </is>
      </c>
      <c r="F14" s="12" t="inlineStr">
        <is>
          <t>Data Operations &amp; Digitization</t>
        </is>
      </c>
      <c r="G14" s="12" t="inlineStr">
        <is>
          <t>Document Conversion, Formatting &amp; Web Publishing</t>
        </is>
      </c>
      <c r="H14" s="12" t="inlineStr">
        <is>
          <t>POD Lead</t>
        </is>
      </c>
      <c r="I14" s="42" t="inlineStr">
        <is>
          <t>L3 – Professional / Associate</t>
        </is>
      </c>
      <c r="J14" s="20" t="inlineStr">
        <is>
          <t>B1</t>
        </is>
      </c>
      <c r="K14" s="21" t="inlineStr">
        <is>
          <t>Specialist · POD Lead</t>
        </is>
      </c>
      <c r="L14" s="87" t="inlineStr">
        <is>
          <t>▲ Up</t>
        </is>
      </c>
      <c r="M14" s="12" t="inlineStr">
        <is>
          <t>CARBON · Digitizing · Band B · Expert / POD Lead</t>
        </is>
      </c>
      <c r="N14" s="42" t="n">
        <v>3</v>
      </c>
      <c r="O14" s="42" t="n">
        <v>3</v>
      </c>
      <c r="P14" s="42" t="n">
        <v>3</v>
      </c>
      <c r="Q14" s="42" t="n">
        <v>3</v>
      </c>
      <c r="R14" s="42" t="n">
        <v>9.5</v>
      </c>
      <c r="S14" s="80" t="n">
        <v>3.5</v>
      </c>
      <c r="T14" s="81">
        <f>IF(OR($M14="",COUNT(N14,O14,P14,Q14,R14,S14)&lt;6),"",IFERROR(N14*INDEX(WM_C,MATCH($M14,WM_KEY,0))+O14*INDEX(WM_AU,MATCH($M14,WM_KEY,0))+P14*INDEX(WM_AC,MATCH($M14,WM_KEY,0))+Q14*INDEX(WM_L,MATCH($M14,WM_KEY,0))+R14*INDEX(WM_E,MATCH($M14,WM_KEY,0))+S14*INDEX(WM_BI,MATCH($M14,WM_KEY,0)),""))</f>
        <v>3.685</v>
      </c>
      <c r="U14" s="42" t="str">
        <f>IF(T14="","",INDEX({"A1","A2","A3","B1","B2","B3","C1","C2","D1","D2","E1","E2"},MAX(1,MIN(12,ROUND(T14,0)))))</f>
        <v>B1</v>
      </c>
      <c r="V14" s="12" t="inlineStr">
        <is>
          <r>
            <rPr>
              <rFont val="Calibri"/>
              <sz val="10"/>
            </rPr>
            <t xml:space="preserve">New level B1 · Specialist · POD Lead. Current level on record: L3 – Professional / Associate. Change: ▲ Up.
Score 3.69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 s="12" t="inlineStr">
        <is>
          <r>
            <rPr>
              <rFont val="Calibri"/>
              <b val="1"/>
              <sz val="10"/>
            </rPr>
            <t>Complexity &amp; Expertise:</t>
          </r>
          <r>
            <rPr>
              <rFont val="Calibri"/>
              <sz val="10"/>
            </rPr>
            <t xml:space="preserve"> 3 of 12 — Start: 3.0 · senior practitioner title; Evidence reads like A3: Checks received files, allocates by skill, OCR with AI app, QC, query solving → matches the start; KRA: “1. Complete assigned conversion/formatting tasks with &gt;=99% accuracy · zero critical errors 2. Meet 100% of client filing deadlines (no SLA…”
</t>
          </r>
          <r>
            <rPr>
              <rFont val="Calibri"/>
              <b val="1"/>
              <sz val="10"/>
            </rPr>
            <t>Autonomy &amp; Decision:</t>
          </r>
          <r>
            <rPr>
              <rFont val="Calibri"/>
              <sz val="10"/>
            </rPr>
            <t xml:space="preserve"> 3 of 12 — Start: 3.0 · senior practitioner title; Evidence reads like A3: Independent file allocation only in urgent or peak situations → matches the start
</t>
          </r>
          <r>
            <rPr>
              <rFont val="Calibri"/>
              <b val="1"/>
              <sz val="10"/>
            </rPr>
            <t>Accountability &amp; Impact:</t>
          </r>
          <r>
            <rPr>
              <rFont val="Calibri"/>
              <sz val="10"/>
            </rPr>
            <t xml:space="preserve"> 3 of 12 — Start: 3.5 · senior practitioner title; 1 direct report; Evidence reads like A3: File allocation and on-time conversion and delivery process → moved down 0.5; KRA: “1. Complete assigned conversion/formatting tasks with &gt;=99% accuracy · zero critical errors 2. Meet 100% of client filing deadlines (no SLA…”
</t>
          </r>
          <r>
            <rPr>
              <rFont val="Calibri"/>
              <b val="1"/>
              <sz val="10"/>
            </rPr>
            <t>Leadership &amp; Strategy:</t>
          </r>
          <r>
            <rPr>
              <rFont val="Calibri"/>
              <sz val="10"/>
            </rPr>
            <t xml:space="preserve"> 3 of 12 — Start: 3.5; Evidence reads like A3: Assigns files to team members and solves queries; 1 report → moved down 0.5; Team: 1 direct report · POD Lead
</t>
          </r>
          <r>
            <rPr>
              <rFont val="Calibri"/>
              <b val="1"/>
              <sz val="10"/>
            </rPr>
            <t>Experience &amp; Qualification:</t>
          </r>
          <r>
            <rPr>
              <rFont val="Calibri"/>
              <sz val="10"/>
            </rPr>
            <t xml:space="preserve"> 9.5 of 12 · between D1 and D2 — Experience: 19.5 yrs total · 0.4 before IRIS + 19.1 at IRIS = 9.6 on the experience scale; Qualification: BA · graduate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4" s="12" t="inlineStr">
        <is>
          <r>
            <rPr>
              <rFont val="Calibri"/>
              <b val="1"/>
              <sz val="10"/>
            </rPr>
            <t>Market level:</t>
          </r>
          <r>
            <rPr>
              <rFont val="Calibri"/>
              <sz val="10"/>
            </rPr>
            <t xml:space="preserve"> P3 / M2 · SFIA 4 Enable
</t>
          </r>
          <r>
            <rPr>
              <rFont val="Calibri"/>
              <b val="1"/>
              <sz val="10"/>
            </rPr>
            <t>Typical title:</t>
          </r>
          <r>
            <rPr>
              <rFont val="Calibri"/>
              <sz val="10"/>
            </rPr>
            <t xml:space="preserve"> Specialist / QC Analyst
</t>
          </r>
          <r>
            <rPr>
              <rFont val="Calibri"/>
              <b val="1"/>
              <sz val="10"/>
            </rPr>
            <t>At peers:</t>
          </r>
          <r>
            <rPr>
              <rFont val="Calibri"/>
              <sz val="10"/>
            </rPr>
            <t xml:space="preserve"> Accenture Operations – L9 Team Lead · IRIS Vs Competitor Benchmark — operations roles: Team Lead / Quality Lead
</t>
          </r>
          <r>
            <rPr>
              <rFont val="Calibri"/>
              <b val="1"/>
              <sz val="10"/>
            </rPr>
            <t>Typical experience:</t>
          </r>
          <r>
            <rPr>
              <rFont val="Calibri"/>
              <sz val="10"/>
            </rPr>
            <t xml:space="preserve"> 4–8 yrs · IRIS guide 4–7
</t>
          </r>
          <r>
            <rPr>
              <rFont val="Calibri"/>
              <b val="1"/>
              <sz val="10"/>
            </rPr>
            <t>Standard:</t>
          </r>
          <r>
            <rPr>
              <rFont val="Calibri"/>
              <sz val="10"/>
            </rPr>
            <t xml:space="preserve"> COPC CX Standard; ISO 9001</t>
          </r>
        </is>
      </c>
      <c r="Y14" s="12" t="inlineStr">
        <is>
          <r>
            <rPr>
              <rFont val="Calibri"/>
              <sz val="10"/>
            </rPr>
            <t xml:space="preserve">✓ HRIS: 19.5 yrs, BA, 1 direct report
✓ Survey: 20 of 20 questions answered
✓ KRAs: submitted, reported deliverables
✓ Manager mapping: rating, potential, 9-box
✗ Job description: not on file
</t>
          </r>
          <r>
            <rPr>
              <rFont val="Calibri"/>
              <b val="1"/>
              <sz val="10"/>
            </rPr>
            <t>Confidence:</t>
          </r>
          <r>
            <rPr>
              <rFont val="Calibri"/>
              <sz val="10"/>
            </rPr>
            <t xml:space="preserve"> High</t>
          </r>
        </is>
      </c>
      <c r="Z14" s="12" t="inlineStr">
        <is>
          <t>—</t>
        </is>
      </c>
      <c r="AA14" s="12" t="inlineStr">
        <is>
          <t>Nothing outstanding</t>
        </is>
      </c>
      <c r="AB1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From the survey and manager mapping — critical role: yes; successor named: no.
</t>
          </r>
          <r>
            <rPr>
              <rFont val="Calibri"/>
              <b val="1"/>
              <sz val="10"/>
            </rPr>
            <t>If the work is missed · role-holders' themes:</t>
          </r>
          <r>
            <rPr>
              <rFont val="Calibri"/>
              <sz val="10"/>
            </rPr>
            <t xml:space="preserve"> dissatisfied · customers become · affected · company growth.
Manager talent mapping — Latest rating: 4 · Potential: High · 9-Box Grid placement: Core Contributor.</t>
          </r>
        </is>
      </c>
      <c r="AC14" s="84" t="n"/>
      <c r="AD14" s="84" t="n"/>
      <c r="AE14" s="84" t="n"/>
      <c r="AF14" s="12" t="n">
        <v>3.5</v>
      </c>
    </row>
    <row r="15" ht="379" customHeight="1">
      <c r="A15" s="12" t="inlineStr">
        <is>
          <t>IRIS0171</t>
        </is>
      </c>
      <c r="B15" s="10" t="inlineStr">
        <is>
          <t>Ritesh Yeram</t>
        </is>
      </c>
      <c r="C15" s="12" t="inlineStr">
        <is>
          <t>Digitizing</t>
        </is>
      </c>
      <c r="D15" s="12" t="inlineStr">
        <is>
          <t>Image Processing Specialist</t>
        </is>
      </c>
      <c r="E15" s="85" t="inlineStr">
        <is>
          <t>Digitization Specialist – POD Lead</t>
        </is>
      </c>
      <c r="F15" s="12" t="inlineStr">
        <is>
          <t>Data Operations &amp; Digitization</t>
        </is>
      </c>
      <c r="G15" s="12" t="inlineStr">
        <is>
          <t>Document Conversion, Formatting &amp; Web Publishing</t>
        </is>
      </c>
      <c r="H15" s="12" t="inlineStr">
        <is>
          <t>POD Lead</t>
        </is>
      </c>
      <c r="I15" s="42" t="inlineStr">
        <is>
          <t>L3 – Professional / Associate</t>
        </is>
      </c>
      <c r="J15" s="20" t="inlineStr">
        <is>
          <t>B1</t>
        </is>
      </c>
      <c r="K15" s="21" t="inlineStr">
        <is>
          <t>Specialist · POD Lead</t>
        </is>
      </c>
      <c r="L15" s="87" t="inlineStr">
        <is>
          <t>▲ Up</t>
        </is>
      </c>
      <c r="M15" s="12" t="inlineStr">
        <is>
          <t>CARBON · Digitizing · Band B · Expert / POD Lead</t>
        </is>
      </c>
      <c r="N15" s="42" t="n">
        <v>3</v>
      </c>
      <c r="O15" s="42" t="n">
        <v>2.5</v>
      </c>
      <c r="P15" s="42" t="n">
        <v>3.5</v>
      </c>
      <c r="Q15" s="42" t="n">
        <v>3.5</v>
      </c>
      <c r="R15" s="42" t="n">
        <v>9.5</v>
      </c>
      <c r="S15" s="80" t="n">
        <v>4</v>
      </c>
      <c r="T15" s="81">
        <f>IF(OR($M15="",COUNT(N15,O15,P15,Q15,R15,S15)&lt;6),"",IFERROR(N15*INDEX(WM_C,MATCH($M15,WM_KEY,0))+O15*INDEX(WM_AU,MATCH($M15,WM_KEY,0))+P15*INDEX(WM_AC,MATCH($M15,WM_KEY,0))+Q15*INDEX(WM_L,MATCH($M15,WM_KEY,0))+R15*INDEX(WM_E,MATCH($M15,WM_KEY,0))+S15*INDEX(WM_BI,MATCH($M15,WM_KEY,0)),""))</f>
        <v>3.735</v>
      </c>
      <c r="U15" s="42" t="str">
        <f>IF(T15="","",INDEX({"A1","A2","A3","B1","B2","B3","C1","C2","D1","D2","E1","E2"},MAX(1,MIN(12,ROUND(T15,0)))))</f>
        <v>B1</v>
      </c>
      <c r="V15" s="12" t="inlineStr">
        <is>
          <r>
            <rPr>
              <rFont val="Calibri"/>
              <sz val="10"/>
            </rPr>
            <t xml:space="preserve">New level B1 · Specialist · POD Lead. Current level on record: L3 – Professional / Associate. Change: ▲ Up.
Score 3.74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 s="12" t="inlineStr">
        <is>
          <r>
            <rPr>
              <rFont val="Calibri"/>
              <b val="1"/>
              <sz val="10"/>
            </rPr>
            <t>Complexity &amp; Expertise:</t>
          </r>
          <r>
            <rPr>
              <rFont val="Calibri"/>
              <sz val="10"/>
            </rPr>
            <t xml:space="preserve"> 3 of 12 — Start: 3.0 · senior practitioner title; Evidence reads like A3: QCs received files, solves formatting queries, HTML conversion and HTML QC across HMRC/CIPC/MCA/ESMA jobs → matches the start; KRA: “1. Complete assigned conversion/formatting tasks with &gt;=99% accuracy · zero critical errors 2. Meet 100% of client filing deadlines (no SLA…”
</t>
          </r>
          <r>
            <rPr>
              <rFont val="Calibri"/>
              <b val="1"/>
              <sz val="10"/>
            </rPr>
            <t>Autonomy &amp; Decision:</t>
          </r>
          <r>
            <rPr>
              <rFont val="Calibri"/>
              <sz val="10"/>
            </rPr>
            <t xml:space="preserve"> 2.5 of 12 · between A2 and A3 — Start: 3.0 · senior practitioner title; Evidence reads like A2: States 'Not applicable' for independent decisions; only routine file allocation shown → moved down 0.5
</t>
          </r>
          <r>
            <rPr>
              <rFont val="Calibri"/>
              <b val="1"/>
              <sz val="10"/>
            </rPr>
            <t>Accountability &amp; Impact:</t>
          </r>
          <r>
            <rPr>
              <rFont val="Calibri"/>
              <sz val="10"/>
            </rPr>
            <t xml:space="preserve"> 3.5 of 12 · between A3 and B1 — Start: 4.0 · senior practitioner title; 2 direct reports; Evidence reads like A3: Assigns files, ensures timely delivery and QC of conversions before handover to services team → moved down 0.5; KRA: “1. Complete assigned conversion/formatting tasks with &gt;=99% accuracy · zero critical errors 2. Meet 100% of client filing deadlines (no SLA…”
</t>
          </r>
          <r>
            <rPr>
              <rFont val="Calibri"/>
              <b val="1"/>
              <sz val="10"/>
            </rPr>
            <t>Leadership &amp; Strategy:</t>
          </r>
          <r>
            <rPr>
              <rFont val="Calibri"/>
              <sz val="10"/>
            </rPr>
            <t xml:space="preserve"> 3.5 of 12 · between A3 and B1 — Start: 4.0; Evidence reads like A3: Allocates files and resolves formatting queries for others; 2 direct reports → moved down 0.5; Team: 2 direct reports · POD Lead
</t>
          </r>
          <r>
            <rPr>
              <rFont val="Calibri"/>
              <b val="1"/>
              <sz val="10"/>
            </rPr>
            <t>Experience &amp; Qualification:</t>
          </r>
          <r>
            <rPr>
              <rFont val="Calibri"/>
              <sz val="10"/>
            </rPr>
            <t xml:space="preserve"> 9.5 of 12 · between D1 and D2 — Experience: 20.7 yrs total · 2.0 before IRIS + 18.7 at IRIS = 9.9 on the experience scale; Qualification: Undergraduate · below graduate → −0.5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5" s="12" t="inlineStr">
        <is>
          <r>
            <rPr>
              <rFont val="Calibri"/>
              <b val="1"/>
              <sz val="10"/>
            </rPr>
            <t>Market level:</t>
          </r>
          <r>
            <rPr>
              <rFont val="Calibri"/>
              <sz val="10"/>
            </rPr>
            <t xml:space="preserve"> P3 / M2 · SFIA 4 Enable
</t>
          </r>
          <r>
            <rPr>
              <rFont val="Calibri"/>
              <b val="1"/>
              <sz val="10"/>
            </rPr>
            <t>Typical title:</t>
          </r>
          <r>
            <rPr>
              <rFont val="Calibri"/>
              <sz val="10"/>
            </rPr>
            <t xml:space="preserve"> Specialist / QC Analyst
</t>
          </r>
          <r>
            <rPr>
              <rFont val="Calibri"/>
              <b val="1"/>
              <sz val="10"/>
            </rPr>
            <t>At peers:</t>
          </r>
          <r>
            <rPr>
              <rFont val="Calibri"/>
              <sz val="10"/>
            </rPr>
            <t xml:space="preserve"> Accenture Operations – L9 Team Lead · IRIS Vs Competitor Benchmark — operations roles: Team Lead / Quality Lead
</t>
          </r>
          <r>
            <rPr>
              <rFont val="Calibri"/>
              <b val="1"/>
              <sz val="10"/>
            </rPr>
            <t>Typical experience:</t>
          </r>
          <r>
            <rPr>
              <rFont val="Calibri"/>
              <sz val="10"/>
            </rPr>
            <t xml:space="preserve"> 4–8 yrs · IRIS guide 4–7
</t>
          </r>
          <r>
            <rPr>
              <rFont val="Calibri"/>
              <b val="1"/>
              <sz val="10"/>
            </rPr>
            <t>Standard:</t>
          </r>
          <r>
            <rPr>
              <rFont val="Calibri"/>
              <sz val="10"/>
            </rPr>
            <t xml:space="preserve"> COPC CX Standard; ISO 9001</t>
          </r>
        </is>
      </c>
      <c r="Y15" s="12" t="inlineStr">
        <is>
          <r>
            <rPr>
              <rFont val="Calibri"/>
              <sz val="10"/>
            </rPr>
            <t xml:space="preserve">✓ HRIS: 20.7 yrs, Undergraduate, 2 direct reports
✓ Survey: 19 of 20 questions answered
✓ KRAs: submitted, reported deliverables
✓ Manager mapping: rating, potential, 9-box
✗ Job description: not on file
</t>
          </r>
          <r>
            <rPr>
              <rFont val="Calibri"/>
              <b val="1"/>
              <sz val="10"/>
            </rPr>
            <t>Confidence:</t>
          </r>
          <r>
            <rPr>
              <rFont val="Calibri"/>
              <sz val="10"/>
            </rPr>
            <t xml:space="preserve"> Medium</t>
          </r>
        </is>
      </c>
      <c r="Z15" s="12" t="inlineStr">
        <is>
          <t>—</t>
        </is>
      </c>
      <c r="AA15" s="12" t="inlineStr">
        <is>
          <t>Nothing outstanding</t>
        </is>
      </c>
      <c r="AB15"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2 direct reports.
From the survey and manager mapping — critical role: yes; successor named: no.
</t>
          </r>
          <r>
            <rPr>
              <rFont val="Calibri"/>
              <b val="1"/>
              <sz val="10"/>
            </rPr>
            <t>If the work is missed · role-holders' themes:</t>
          </r>
          <r>
            <rPr>
              <rFont val="Calibri"/>
              <sz val="10"/>
            </rPr>
            <t xml:space="preserve"> dissatisfied · customers become · affected · company growth.
Manager talent mapping — Latest rating: 4 · Potential: High · 9-Box Grid placement: Core Contributor.</t>
          </r>
        </is>
      </c>
      <c r="AC15" s="84" t="n"/>
      <c r="AD15" s="84" t="n"/>
      <c r="AE15" s="84" t="n"/>
      <c r="AF15" s="12" t="n">
        <v>4</v>
      </c>
    </row>
    <row r="16" ht="379" customHeight="1">
      <c r="A16" s="12" t="inlineStr">
        <is>
          <t>IRIS1210</t>
        </is>
      </c>
      <c r="B16" s="10" t="inlineStr">
        <is>
          <t>Tejas Kat</t>
        </is>
      </c>
      <c r="C16" s="12" t="inlineStr">
        <is>
          <t>Digitizing</t>
        </is>
      </c>
      <c r="D16" s="12" t="inlineStr">
        <is>
          <t>Image Processing Specialist</t>
        </is>
      </c>
      <c r="E16" s="85" t="inlineStr">
        <is>
          <t>Digitization Specialist – POD Lead</t>
        </is>
      </c>
      <c r="F16" s="12" t="inlineStr">
        <is>
          <t>Data Operations &amp; Digitization</t>
        </is>
      </c>
      <c r="G16" s="12" t="inlineStr">
        <is>
          <t>Document Conversion, Formatting &amp; Web Publishing</t>
        </is>
      </c>
      <c r="H16" s="12" t="inlineStr">
        <is>
          <t>POD Lead</t>
        </is>
      </c>
      <c r="I16" s="42" t="inlineStr">
        <is>
          <t>L3 – Professional / Associate</t>
        </is>
      </c>
      <c r="J16" s="20" t="inlineStr">
        <is>
          <t>B1</t>
        </is>
      </c>
      <c r="K16" s="21" t="inlineStr">
        <is>
          <t>Specialist · POD Lead</t>
        </is>
      </c>
      <c r="L16" s="87" t="inlineStr">
        <is>
          <t>▲ Up</t>
        </is>
      </c>
      <c r="M16" s="12" t="inlineStr">
        <is>
          <t>CARBON · Digitizing · Band B · Expert / POD Lead</t>
        </is>
      </c>
      <c r="N16" s="42" t="n">
        <v>3</v>
      </c>
      <c r="O16" s="42" t="n">
        <v>3</v>
      </c>
      <c r="P16" s="42" t="n">
        <v>3.5</v>
      </c>
      <c r="Q16" s="42" t="n">
        <v>3.5</v>
      </c>
      <c r="R16" s="42" t="n">
        <v>8.5</v>
      </c>
      <c r="S16" s="80" t="n">
        <v>4</v>
      </c>
      <c r="T16" s="81">
        <f>IF(OR($M16="",COUNT(N16,O16,P16,Q16,R16,S16)&lt;6),"",IFERROR(N16*INDEX(WM_C,MATCH($M16,WM_KEY,0))+O16*INDEX(WM_AU,MATCH($M16,WM_KEY,0))+P16*INDEX(WM_AC,MATCH($M16,WM_KEY,0))+Q16*INDEX(WM_L,MATCH($M16,WM_KEY,0))+R16*INDEX(WM_E,MATCH($M16,WM_KEY,0))+S16*INDEX(WM_BI,MATCH($M16,WM_KEY,0)),""))</f>
        <v>3.72</v>
      </c>
      <c r="U16" s="42" t="str">
        <f>IF(T16="","",INDEX({"A1","A2","A3","B1","B2","B3","C1","C2","D1","D2","E1","E2"},MAX(1,MIN(12,ROUND(T16,0)))))</f>
        <v>B1</v>
      </c>
      <c r="V16" s="12" t="inlineStr">
        <is>
          <r>
            <rPr>
              <rFont val="Calibri"/>
              <sz val="10"/>
            </rPr>
            <t xml:space="preserve">New level B1 · Specialist · POD Lead. Current level on record: L3 – Professional / Associate. Change: ▲ Up.
Score 3.72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 s="12" t="inlineStr">
        <is>
          <r>
            <rPr>
              <rFont val="Calibri"/>
              <b val="1"/>
              <sz val="10"/>
            </rPr>
            <t>Complexity &amp; Expertise:</t>
          </r>
          <r>
            <rPr>
              <rFont val="Calibri"/>
              <sz val="10"/>
            </rPr>
            <t xml:space="preserve"> 3 of 12 — Start: 3.0 · senior practitioner title; Evidence reads like A3: Document quality checks, query solving and CIPC/MCA HTML conversion across UK, CIPC, ESMA work → matches the start; KRA: “1. Complete assigned conversion/formatting tasks with &gt;=99% accuracy · zero critical errors 2. Meet 100% of client filing deadlines (no SLA…”
</t>
          </r>
          <r>
            <rPr>
              <rFont val="Calibri"/>
              <b val="1"/>
              <sz val="10"/>
            </rPr>
            <t>Autonomy &amp; Decision:</t>
          </r>
          <r>
            <rPr>
              <rFont val="Calibri"/>
              <sz val="10"/>
            </rPr>
            <t xml:space="preserve"> 3 of 12 — Start: 3.0 · senior practitioner title; Evidence reads like A3: Allocates UK/CIPC/ESMA files; says takes decisions without asking manager when needed → matches the start
</t>
          </r>
          <r>
            <rPr>
              <rFont val="Calibri"/>
              <b val="1"/>
              <sz val="10"/>
            </rPr>
            <t>Accountability &amp; Impact:</t>
          </r>
          <r>
            <rPr>
              <rFont val="Calibri"/>
              <sz val="10"/>
            </rPr>
            <t xml:space="preserve"> 3.5 of 12 · between A3 and B1 — Start: 4.0 · senior practitioner title; 2 direct reports; Evidence reads like A3: Allocation, QC and on-time completion of formatting/conversion files sent on to services teams → moved down 0.5; KRA: “1. Complete assigned conversion/formatting tasks with &gt;=99% accuracy · zero critical errors 2. Meet 100% of client filing deadlines (no SLA…”
</t>
          </r>
          <r>
            <rPr>
              <rFont val="Calibri"/>
              <b val="1"/>
              <sz val="10"/>
            </rPr>
            <t>Leadership &amp; Strategy:</t>
          </r>
          <r>
            <rPr>
              <rFont val="Calibri"/>
              <sz val="10"/>
            </rPr>
            <t xml:space="preserve"> 3.5 of 12 · between A3 and B1 — Start: 4.0; Evidence reads like A3: Allocates work and solves queries for the team; 2 direct reports → moved down 0.5; Team: 2 direct reports · POD Lead
</t>
          </r>
          <r>
            <rPr>
              <rFont val="Calibri"/>
              <b val="1"/>
              <sz val="10"/>
            </rPr>
            <t>Experience &amp; Qualification:</t>
          </r>
          <r>
            <rPr>
              <rFont val="Calibri"/>
              <sz val="10"/>
            </rPr>
            <t xml:space="preserve"> 8.5 of 12 · between C2 and D1 — Experience: 17.4 yrs total · 1.0 before IRIS + 16.4 at IRIS = 9.0 on the experience scale; Qualification: Undergraduate · below graduate → −0.5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6" s="12" t="inlineStr">
        <is>
          <r>
            <rPr>
              <rFont val="Calibri"/>
              <b val="1"/>
              <sz val="10"/>
            </rPr>
            <t>Market level:</t>
          </r>
          <r>
            <rPr>
              <rFont val="Calibri"/>
              <sz val="10"/>
            </rPr>
            <t xml:space="preserve"> P3 / M2 · SFIA 4 Enable
</t>
          </r>
          <r>
            <rPr>
              <rFont val="Calibri"/>
              <b val="1"/>
              <sz val="10"/>
            </rPr>
            <t>Typical title:</t>
          </r>
          <r>
            <rPr>
              <rFont val="Calibri"/>
              <sz val="10"/>
            </rPr>
            <t xml:space="preserve"> Specialist / QC Analyst
</t>
          </r>
          <r>
            <rPr>
              <rFont val="Calibri"/>
              <b val="1"/>
              <sz val="10"/>
            </rPr>
            <t>At peers:</t>
          </r>
          <r>
            <rPr>
              <rFont val="Calibri"/>
              <sz val="10"/>
            </rPr>
            <t xml:space="preserve"> Accenture Operations – L9 Team Lead · IRIS Vs Competitor Benchmark — operations roles: Team Lead / Quality Lead
</t>
          </r>
          <r>
            <rPr>
              <rFont val="Calibri"/>
              <b val="1"/>
              <sz val="10"/>
            </rPr>
            <t>Typical experience:</t>
          </r>
          <r>
            <rPr>
              <rFont val="Calibri"/>
              <sz val="10"/>
            </rPr>
            <t xml:space="preserve"> 4–8 yrs · IRIS guide 4–7
</t>
          </r>
          <r>
            <rPr>
              <rFont val="Calibri"/>
              <b val="1"/>
              <sz val="10"/>
            </rPr>
            <t>Standard:</t>
          </r>
          <r>
            <rPr>
              <rFont val="Calibri"/>
              <sz val="10"/>
            </rPr>
            <t xml:space="preserve"> COPC CX Standard; ISO 9001</t>
          </r>
        </is>
      </c>
      <c r="Y16" s="12" t="inlineStr">
        <is>
          <r>
            <rPr>
              <rFont val="Calibri"/>
              <sz val="10"/>
            </rPr>
            <t xml:space="preserve">✓ HRIS: 17.4 yrs, Undergraduate, 2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6" s="12" t="inlineStr">
        <is>
          <t>—</t>
        </is>
      </c>
      <c r="AA16" s="12" t="inlineStr">
        <is>
          <t>Nothing outstanding</t>
        </is>
      </c>
      <c r="AB16"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2 direct reports.
From the survey and manager mapping — critical role: yes; successor named: no.
</t>
          </r>
          <r>
            <rPr>
              <rFont val="Calibri"/>
              <b val="1"/>
              <sz val="10"/>
            </rPr>
            <t>If the work is missed · role-holders' themes:</t>
          </r>
          <r>
            <rPr>
              <rFont val="Calibri"/>
              <sz val="10"/>
            </rPr>
            <t xml:space="preserve"> dissatisfied · customers become · affected · company growth.
Manager talent mapping — Latest rating: 4 · Potential: High · 9-Box Grid placement: Core Contributor.</t>
          </r>
        </is>
      </c>
      <c r="AC16" s="84" t="n"/>
      <c r="AD16" s="84" t="n"/>
      <c r="AE16" s="84" t="n"/>
      <c r="AF16" s="12" t="n">
        <v>4</v>
      </c>
    </row>
    <row r="17" ht="379" customHeight="1">
      <c r="A17" s="12" t="inlineStr">
        <is>
          <t>IRISC238</t>
        </is>
      </c>
      <c r="B17" s="10" t="inlineStr">
        <is>
          <t>Aishwarya Chaulkar</t>
        </is>
      </c>
      <c r="C17" s="12" t="inlineStr">
        <is>
          <t>Digitizing</t>
        </is>
      </c>
      <c r="D17" s="12" t="inlineStr">
        <is>
          <t>Consultant</t>
        </is>
      </c>
      <c r="E17" s="85" t="inlineStr">
        <is>
          <t>Senior Digitization Associate</t>
        </is>
      </c>
      <c r="F17" s="12" t="inlineStr">
        <is>
          <t>Data Operations &amp; Digitization</t>
        </is>
      </c>
      <c r="G17" s="12" t="inlineStr">
        <is>
          <t>Document Conversion, Formatting &amp; Web Publishing</t>
        </is>
      </c>
      <c r="H17" s="12" t="inlineStr">
        <is>
          <t>IC</t>
        </is>
      </c>
      <c r="I17" s="42" t="inlineStr">
        <is>
          <t>L3 – Professional / Associate</t>
        </is>
      </c>
      <c r="J17" s="16" t="inlineStr">
        <is>
          <t>A3</t>
        </is>
      </c>
      <c r="K17" s="17" t="inlineStr">
        <is>
          <t>Senior Associate</t>
        </is>
      </c>
      <c r="L17" s="87" t="inlineStr">
        <is>
          <t>▲ Up</t>
        </is>
      </c>
      <c r="M17" s="12" t="inlineStr">
        <is>
          <t>CARBON · Digitizing · Band A · Early career</t>
        </is>
      </c>
      <c r="N17" s="42" t="n">
        <v>2.5</v>
      </c>
      <c r="O17" s="42" t="n">
        <v>2.5</v>
      </c>
      <c r="P17" s="42" t="n">
        <v>2</v>
      </c>
      <c r="Q17" s="42" t="n">
        <v>2</v>
      </c>
      <c r="R17" s="42" t="n">
        <v>3.5</v>
      </c>
      <c r="S17" s="80" t="n">
        <v>2.5</v>
      </c>
      <c r="T17" s="81">
        <f>IF(OR($M17="",COUNT(N17,O17,P17,Q17,R17,S17)&lt;6),"",IFERROR(N17*INDEX(WM_C,MATCH($M17,WM_KEY,0))+O17*INDEX(WM_AU,MATCH($M17,WM_KEY,0))+P17*INDEX(WM_AC,MATCH($M17,WM_KEY,0))+Q17*INDEX(WM_L,MATCH($M17,WM_KEY,0))+R17*INDEX(WM_E,MATCH($M17,WM_KEY,0))+S17*INDEX(WM_BI,MATCH($M17,WM_KEY,0)),""))</f>
        <v>2.53</v>
      </c>
      <c r="U17" s="42" t="str">
        <f>IF(T17="","",INDEX({"A1","A2","A3","B1","B2","B3","C1","C2","D1","D2","E1","E2"},MAX(1,MIN(12,ROUND(T17,0)))))</f>
        <v>A3</v>
      </c>
      <c r="V17" s="12" t="inlineStr">
        <is>
          <r>
            <rPr>
              <rFont val="Calibri"/>
              <sz val="10"/>
            </rPr>
            <t xml:space="preserve">New level A3 · Senior Associate. Current level on record: L3 – Professional / Associate. Change: ▲ Up.
Score 2.53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 s="12" t="inlineStr">
        <is>
          <r>
            <rPr>
              <rFont val="Calibri"/>
              <b val="1"/>
              <sz val="10"/>
            </rPr>
            <t>Complexity &amp; Expertise:</t>
          </r>
          <r>
            <rPr>
              <rFont val="Calibri"/>
              <sz val="10"/>
            </rPr>
            <t xml:space="preserve"> 2.5 of 12 · between A2 and A3 — Start: 2.0 · practitioner title; Evidence reads like A3: ESMA allocation, query solving and ESEF QC across EU DM, CIPC, MCA, UK → moved up 0.5; KRA: “1. Complete assigned conversion/formatting tasks with &gt;=99% accuracy · zero critical errors 2. Meet 100% of client filing deadlines (no SLA…”
</t>
          </r>
          <r>
            <rPr>
              <rFont val="Calibri"/>
              <b val="1"/>
              <sz val="10"/>
            </rPr>
            <t>Autonomy &amp; Decision:</t>
          </r>
          <r>
            <rPr>
              <rFont val="Calibri"/>
              <sz val="10"/>
            </rPr>
            <t xml:space="preserve"> 2.5 of 12 · between A2 and A3 — Start: 2.0 · practitioner title; Evidence reads like A3: Takes ESMA edit decisions on own files → moved up 0.5
</t>
          </r>
          <r>
            <rPr>
              <rFont val="Calibri"/>
              <b val="1"/>
              <sz val="10"/>
            </rPr>
            <t>Accountability &amp; Impact:</t>
          </r>
          <r>
            <rPr>
              <rFont val="Calibri"/>
              <sz val="10"/>
            </rPr>
            <t xml:space="preserve"> 2 of 12 — Start: 2.0 · practitioner title; Evidence reads like A2: Accountable for own work; errors cause rework and delays → matches the start; KRA: “1. Complete assigned conversion/formatting tasks with &gt;=99% accuracy · zero critical errors 2. Meet 100% of client filing deadlines (no SLA…”
</t>
          </r>
          <r>
            <rPr>
              <rFont val="Calibri"/>
              <b val="1"/>
              <sz val="10"/>
            </rPr>
            <t>Leadership &amp; Strategy:</t>
          </r>
          <r>
            <rPr>
              <rFont val="Calibri"/>
              <sz val="10"/>
            </rPr>
            <t xml:space="preserve"> 2 of 12 — not counted: the weight is 0% at this level — Start: 1.0 · individual contributor, so influence only; Evidence reads like A3: Allocates ESMA files and solves queries; no formal reports → moved up 1; Team: 0 direct reports · IC
</t>
          </r>
          <r>
            <rPr>
              <rFont val="Calibri"/>
              <b val="1"/>
              <sz val="10"/>
            </rPr>
            <t>Experience &amp; Qualification:</t>
          </r>
          <r>
            <rPr>
              <rFont val="Calibri"/>
              <sz val="10"/>
            </rPr>
            <t xml:space="preserve"> 3.5 of 12 · between A3 and B1 — Experience: 3.9 yrs total · 3.9 at IRIS; none recorded before IRIS = 3.4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7"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17" s="12" t="inlineStr">
        <is>
          <r>
            <rPr>
              <rFont val="Calibri"/>
              <sz val="10"/>
            </rPr>
            <t xml:space="preserve">✓ HRIS: 3.9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7" s="82" t="inlineStr">
        <is>
          <r>
            <rPr>
              <rFont val="Calibri"/>
              <color rgb="009C5700"/>
              <sz val="10"/>
            </rPr>
            <t xml:space="preserve">• </t>
          </r>
          <r>
            <rPr>
              <rFont val="Calibri"/>
              <b val="1"/>
              <color rgb="009C5700"/>
              <sz val="10"/>
            </rPr>
            <t>Close call:</t>
          </r>
          <r>
            <rPr>
              <rFont val="Calibri"/>
              <color rgb="009C5700"/>
              <sz val="10"/>
            </rPr>
            <t xml:space="preserve"> score 2.53 is within 0.05 of a rounding point</t>
          </r>
        </is>
      </c>
      <c r="AA17" s="83" t="inlineStr">
        <is>
          <t>• Confirm the reporting line — Manager</t>
        </is>
      </c>
      <c r="AB1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High · 9-Box Grid placement: Core Contributor.</t>
          </r>
        </is>
      </c>
      <c r="AC17" s="84" t="n"/>
      <c r="AD17" s="84" t="n"/>
      <c r="AE17" s="84" t="n"/>
      <c r="AF17" s="12" t="n">
        <v>2.5</v>
      </c>
    </row>
    <row r="18" ht="379" customHeight="1">
      <c r="A18" s="12" t="inlineStr">
        <is>
          <t>IRISC286</t>
        </is>
      </c>
      <c r="B18" s="10" t="inlineStr">
        <is>
          <t>Bhavesh Gusain</t>
        </is>
      </c>
      <c r="C18" s="12" t="inlineStr">
        <is>
          <t>Digitizing</t>
        </is>
      </c>
      <c r="D18" s="12" t="inlineStr">
        <is>
          <t>Consultant</t>
        </is>
      </c>
      <c r="E18" s="85" t="inlineStr">
        <is>
          <t>Senior Digitization Associate</t>
        </is>
      </c>
      <c r="F18" s="12" t="inlineStr">
        <is>
          <t>Data Operations &amp; Digitization</t>
        </is>
      </c>
      <c r="G18" s="12" t="inlineStr">
        <is>
          <t>Document Conversion, Formatting &amp; Web Publishing</t>
        </is>
      </c>
      <c r="H18" s="12" t="inlineStr">
        <is>
          <t>IC</t>
        </is>
      </c>
      <c r="I18" s="42" t="inlineStr">
        <is>
          <t>L3 – Professional / Associate</t>
        </is>
      </c>
      <c r="J18" s="16" t="inlineStr">
        <is>
          <t>A3</t>
        </is>
      </c>
      <c r="K18" s="17" t="inlineStr">
        <is>
          <t>Senior Associate</t>
        </is>
      </c>
      <c r="L18" s="87" t="inlineStr">
        <is>
          <t>▲ Up</t>
        </is>
      </c>
      <c r="M18" s="12" t="inlineStr">
        <is>
          <t>CARBON · Digitizing · Band A · Early career</t>
        </is>
      </c>
      <c r="N18" s="42" t="n">
        <v>2</v>
      </c>
      <c r="O18" s="42" t="n">
        <v>2</v>
      </c>
      <c r="P18" s="42" t="n">
        <v>2</v>
      </c>
      <c r="Q18" s="42" t="n">
        <v>1</v>
      </c>
      <c r="R18" s="42" t="n">
        <v>3</v>
      </c>
      <c r="S18" s="80" t="n">
        <v>2.5</v>
      </c>
      <c r="T18" s="81">
        <f>IF(OR($M18="",COUNT(N18,O18,P18,Q18,R18,S18)&lt;6),"",IFERROR(N18*INDEX(WM_C,MATCH($M18,WM_KEY,0))+O18*INDEX(WM_AU,MATCH($M18,WM_KEY,0))+P18*INDEX(WM_AC,MATCH($M18,WM_KEY,0))+Q18*INDEX(WM_L,MATCH($M18,WM_KEY,0))+R18*INDEX(WM_E,MATCH($M18,WM_KEY,0))+S18*INDEX(WM_BI,MATCH($M18,WM_KEY,0)),""))</f>
        <v>2.13</v>
      </c>
      <c r="U18" s="42" t="str">
        <f>IF(T18="","",INDEX({"A1","A2","A3","B1","B2","B3","C1","C2","D1","D2","E1","E2"},MAX(1,MIN(12,ROUND(T18,0)))))</f>
        <v>A2</v>
      </c>
      <c r="V18" s="12" t="inlineStr">
        <is>
          <r>
            <rPr>
              <rFont val="Calibri"/>
              <sz val="10"/>
            </rPr>
            <t xml:space="preserve">New level A3 · Senior Associate. Current level on record: L3 – Professional / Associate. Change: ▲ Up.
Score 2.13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2.6 years' experience is 2 years or more.
</t>
          </r>
          <r>
            <rPr>
              <rFont val="Calibri"/>
              <b val="1"/>
              <sz val="10"/>
            </rPr>
            <t>Final level:</t>
          </r>
          <r>
            <rPr>
              <rFont val="Calibri"/>
              <sz val="10"/>
            </rPr>
            <t xml:space="preserve"> A3.</t>
          </r>
        </is>
      </c>
      <c r="W18" s="12" t="inlineStr">
        <is>
          <r>
            <rPr>
              <rFont val="Calibri"/>
              <b val="1"/>
              <sz val="10"/>
            </rPr>
            <t>Complexity &amp; Expertise:</t>
          </r>
          <r>
            <rPr>
              <rFont val="Calibri"/>
              <sz val="10"/>
            </rPr>
            <t xml:space="preserve"> 2 of 12 — Start: 2.0 · practitioner title; Evidence reads like A2: Word formatting, HTML / PDF conversion and QC for US SEC, US DM, UK → matches the start; KRA: “1. Complete assigned conversion/formatting tasks with &gt;=99% accuracy · zero critical errors 2. Meet 100% of client filing deadlines (no SLA…”
</t>
          </r>
          <r>
            <rPr>
              <rFont val="Calibri"/>
              <b val="1"/>
              <sz val="10"/>
            </rPr>
            <t>Autonomy &amp; Decision:</t>
          </r>
          <r>
            <rPr>
              <rFont val="Calibri"/>
              <sz val="10"/>
            </rPr>
            <t xml:space="preserve"> 2 of 12 — Start: 2.0 · practitioner title; Evidence reads like A2: own survey / KRA answers · summarised by the rater; not quoted → matches the start
</t>
          </r>
          <r>
            <rPr>
              <rFont val="Calibri"/>
              <b val="1"/>
              <sz val="10"/>
            </rPr>
            <t>Accountability &amp; Impact:</t>
          </r>
          <r>
            <rPr>
              <rFont val="Calibri"/>
              <sz val="10"/>
            </rPr>
            <t xml:space="preserve"> 2 of 12 — Start: 2.0 · practitioner title; Evidence reads like A2: Accuracy and on-time delivery of own formatted and converted documents → matches the start;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3 of 12 — Experience: 2.6 yrs total · 2.6 at IRIS; none recorded before IRIS = 2.8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8"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18" s="12" t="inlineStr">
        <is>
          <r>
            <rPr>
              <rFont val="Calibri"/>
              <sz val="10"/>
            </rPr>
            <t xml:space="preserve">✓ HRIS: 2.6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8" s="12" t="inlineStr">
        <is>
          <t>—</t>
        </is>
      </c>
      <c r="AA18" s="12" t="inlineStr">
        <is>
          <t>Nothing outstanding</t>
        </is>
      </c>
      <c r="AB1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18" s="84" t="n"/>
      <c r="AD18" s="84" t="n"/>
      <c r="AE18" s="84" t="n"/>
      <c r="AF18" s="12" t="n">
        <v>2.5</v>
      </c>
    </row>
    <row r="19" ht="379" customHeight="1">
      <c r="A19" s="12" t="inlineStr">
        <is>
          <t>IRISC237</t>
        </is>
      </c>
      <c r="B19" s="10" t="inlineStr">
        <is>
          <t>Deepak Nirmal</t>
        </is>
      </c>
      <c r="C19" s="12" t="inlineStr">
        <is>
          <t>Digitizing</t>
        </is>
      </c>
      <c r="D19" s="12" t="inlineStr">
        <is>
          <t>Consultant</t>
        </is>
      </c>
      <c r="E19" s="85" t="inlineStr">
        <is>
          <t>Senior Digitization Associate</t>
        </is>
      </c>
      <c r="F19" s="12" t="inlineStr">
        <is>
          <t>Data Operations &amp; Digitization</t>
        </is>
      </c>
      <c r="G19" s="12" t="inlineStr">
        <is>
          <t>Document Conversion, Formatting &amp; Web Publishing</t>
        </is>
      </c>
      <c r="H19" s="12" t="inlineStr">
        <is>
          <t>IC</t>
        </is>
      </c>
      <c r="I19" s="42" t="inlineStr">
        <is>
          <t>L3 – Professional / Associate</t>
        </is>
      </c>
      <c r="J19" s="16" t="inlineStr">
        <is>
          <t>A3</t>
        </is>
      </c>
      <c r="K19" s="17" t="inlineStr">
        <is>
          <t>Senior Associate</t>
        </is>
      </c>
      <c r="L19" s="87" t="inlineStr">
        <is>
          <t>▲ Up</t>
        </is>
      </c>
      <c r="M19" s="12" t="inlineStr">
        <is>
          <t>CARBON · Digitizing · Band A · Early career</t>
        </is>
      </c>
      <c r="N19" s="42" t="n">
        <v>2</v>
      </c>
      <c r="O19" s="42" t="n">
        <v>2</v>
      </c>
      <c r="P19" s="42" t="n">
        <v>2</v>
      </c>
      <c r="Q19" s="42" t="n">
        <v>1</v>
      </c>
      <c r="R19" s="42" t="n">
        <v>6</v>
      </c>
      <c r="S19" s="80" t="n">
        <v>2.5</v>
      </c>
      <c r="T19" s="81">
        <f>IF(OR($M19="",COUNT(N19,O19,P19,Q19,R19,S19)&lt;6),"",IFERROR(N19*INDEX(WM_C,MATCH($M19,WM_KEY,0))+O19*INDEX(WM_AU,MATCH($M19,WM_KEY,0))+P19*INDEX(WM_AC,MATCH($M19,WM_KEY,0))+Q19*INDEX(WM_L,MATCH($M19,WM_KEY,0))+R19*INDEX(WM_E,MATCH($M19,WM_KEY,0))+S19*INDEX(WM_BI,MATCH($M19,WM_KEY,0)),""))</f>
        <v>2.43</v>
      </c>
      <c r="U19" s="42" t="str">
        <f>IF(T19="","",INDEX({"A1","A2","A3","B1","B2","B3","C1","C2","D1","D2","E1","E2"},MAX(1,MIN(12,ROUND(T19,0)))))</f>
        <v>A2</v>
      </c>
      <c r="V19" s="12" t="inlineStr">
        <is>
          <r>
            <rPr>
              <rFont val="Calibri"/>
              <sz val="10"/>
            </rPr>
            <t xml:space="preserve">New level A3 · Senior Associate. Current level on record: L3 – Professional / Associate. Change: ▲ Up.
Score 2.43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11 years' experience is 2 years or more.
</t>
          </r>
          <r>
            <rPr>
              <rFont val="Calibri"/>
              <b val="1"/>
              <sz val="10"/>
            </rPr>
            <t>Final level:</t>
          </r>
          <r>
            <rPr>
              <rFont val="Calibri"/>
              <sz val="10"/>
            </rPr>
            <t xml:space="preserve"> A3.</t>
          </r>
        </is>
      </c>
      <c r="W19" s="12" t="inlineStr">
        <is>
          <r>
            <rPr>
              <rFont val="Calibri"/>
              <b val="1"/>
              <sz val="10"/>
            </rPr>
            <t>Complexity &amp; Expertise:</t>
          </r>
          <r>
            <rPr>
              <rFont val="Calibri"/>
              <sz val="10"/>
            </rPr>
            <t xml:space="preserve"> 2 of 12 — Start: 2.0 · practitioner title; Evidence reads like A2: own survey / KRA answers · summarised by the rater; not quoted → matches the start; KRA: “1. Complete assigned conversion/formatting tasks with &gt;=99% accuracy · zero critical errors 2. Meet 100% of client filing deadlines (no SLA…”
</t>
          </r>
          <r>
            <rPr>
              <rFont val="Calibri"/>
              <b val="1"/>
              <sz val="10"/>
            </rPr>
            <t>Autonomy &amp; Decision:</t>
          </r>
          <r>
            <rPr>
              <rFont val="Calibri"/>
              <sz val="10"/>
            </rPr>
            <t xml:space="preserve"> 2 of 12 — Start: 2.0 · practitioner title; Evidence reads like A2: Handles US SEC formatting and CIPC conversions independently; follows guidelines → matches the start
</t>
          </r>
          <r>
            <rPr>
              <rFont val="Calibri"/>
              <b val="1"/>
              <sz val="10"/>
            </rPr>
            <t>Accountability &amp; Impact:</t>
          </r>
          <r>
            <rPr>
              <rFont val="Calibri"/>
              <sz val="10"/>
            </rPr>
            <t xml:space="preserve"> 2 of 12 — Start: 2.0 · practitioner title; Evidence reads like A2: Accuracy and quality of own formatting and conversion work → matches the start;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6 of 12 — Experience: 11.0 yrs total · 7.0 before IRIS + 4.0 at IRIS = 6.5 on the experience scale; Qualification: Undergraduate · below graduate → −0.5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9"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19" s="12" t="inlineStr">
        <is>
          <r>
            <rPr>
              <rFont val="Calibri"/>
              <sz val="10"/>
            </rPr>
            <t xml:space="preserve">✓ HRIS: 11.0 yrs, Undergraduate,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9" s="12" t="inlineStr">
        <is>
          <t>—</t>
        </is>
      </c>
      <c r="AA19" s="12" t="inlineStr">
        <is>
          <t>Nothing outstanding</t>
        </is>
      </c>
      <c r="AB1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19" s="84" t="n"/>
      <c r="AD19" s="84" t="n"/>
      <c r="AE19" s="84" t="n"/>
      <c r="AF19" s="12" t="n">
        <v>2.5</v>
      </c>
    </row>
    <row r="20" ht="379" customHeight="1">
      <c r="A20" s="12" t="inlineStr">
        <is>
          <t>IRISC224</t>
        </is>
      </c>
      <c r="B20" s="10" t="inlineStr">
        <is>
          <t>Dhanraj Patil</t>
        </is>
      </c>
      <c r="C20" s="12" t="inlineStr">
        <is>
          <t>Digitizing</t>
        </is>
      </c>
      <c r="D20" s="12" t="inlineStr">
        <is>
          <t>Consultant</t>
        </is>
      </c>
      <c r="E20" s="85" t="inlineStr">
        <is>
          <t>Senior Digitization Associate</t>
        </is>
      </c>
      <c r="F20" s="12" t="inlineStr">
        <is>
          <t>Data Operations &amp; Digitization</t>
        </is>
      </c>
      <c r="G20" s="12" t="inlineStr">
        <is>
          <t>Document Conversion, Formatting &amp; Web Publishing</t>
        </is>
      </c>
      <c r="H20" s="12" t="inlineStr">
        <is>
          <t>IC</t>
        </is>
      </c>
      <c r="I20" s="42" t="inlineStr">
        <is>
          <t>L3 – Professional / Associate</t>
        </is>
      </c>
      <c r="J20" s="16" t="inlineStr">
        <is>
          <t>A3</t>
        </is>
      </c>
      <c r="K20" s="17" t="inlineStr">
        <is>
          <t>Senior Associate</t>
        </is>
      </c>
      <c r="L20" s="87" t="inlineStr">
        <is>
          <t>▲ Up</t>
        </is>
      </c>
      <c r="M20" s="12" t="inlineStr">
        <is>
          <t>CARBON · Digitizing · Band A · Early career</t>
        </is>
      </c>
      <c r="N20" s="42" t="n">
        <v>2</v>
      </c>
      <c r="O20" s="42" t="n">
        <v>1.5</v>
      </c>
      <c r="P20" s="42" t="n">
        <v>2</v>
      </c>
      <c r="Q20" s="42" t="n">
        <v>1</v>
      </c>
      <c r="R20" s="42" t="n">
        <v>7.5</v>
      </c>
      <c r="S20" s="80" t="n">
        <v>2.5</v>
      </c>
      <c r="T20" s="81">
        <f>IF(OR($M20="",COUNT(N20,O20,P20,Q20,R20,S20)&lt;6),"",IFERROR(N20*INDEX(WM_C,MATCH($M20,WM_KEY,0))+O20*INDEX(WM_AU,MATCH($M20,WM_KEY,0))+P20*INDEX(WM_AC,MATCH($M20,WM_KEY,0))+Q20*INDEX(WM_L,MATCH($M20,WM_KEY,0))+R20*INDEX(WM_E,MATCH($M20,WM_KEY,0))+S20*INDEX(WM_BI,MATCH($M20,WM_KEY,0)),""))</f>
        <v>2.5</v>
      </c>
      <c r="U20" s="42" t="str">
        <f>IF(T20="","",INDEX({"A1","A2","A3","B1","B2","B3","C1","C2","D1","D2","E1","E2"},MAX(1,MIN(12,ROUND(T20,0)))))</f>
        <v>A3</v>
      </c>
      <c r="V20" s="12" t="inlineStr">
        <is>
          <r>
            <rPr>
              <rFont val="Calibri"/>
              <sz val="10"/>
            </rPr>
            <t xml:space="preserve">New level A3 · Senior Associate. Current level on record: L3 – Professional / Associate. Change: ▲ Up.
Score 2.50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0" s="12" t="inlineStr">
        <is>
          <r>
            <rPr>
              <rFont val="Calibri"/>
              <b val="1"/>
              <sz val="10"/>
            </rPr>
            <t>Complexity &amp; Expertise:</t>
          </r>
          <r>
            <rPr>
              <rFont val="Calibri"/>
              <sz val="10"/>
            </rPr>
            <t xml:space="preserve"> 2 of 12 — Start: 2.0 · practitioner title; Evidence reads like A2: EU DM formatting plus HMRC, CIPC, MCA conversions using different tools → matches the start; KRA: “1. Complete assigned conversion/formatting tasks with &gt;=99% accuracy · zero critical errors 2. Meet 100% of client filing deadlines (no SLA…”
</t>
          </r>
          <r>
            <rPr>
              <rFont val="Calibri"/>
              <b val="1"/>
              <sz val="10"/>
            </rPr>
            <t>Autonomy &amp; Decision:</t>
          </r>
          <r>
            <rPr>
              <rFont val="Calibri"/>
              <sz val="10"/>
            </rPr>
            <t xml:space="preserve"> 1.5 of 12 · between A1 and A2 — Start: 2.0 · practitioner title; Evidence reads like A1: States 'N A' for independent decisions; follows guidelines → moved down 0.5
</t>
          </r>
          <r>
            <rPr>
              <rFont val="Calibri"/>
              <b val="1"/>
              <sz val="10"/>
            </rPr>
            <t>Accountability &amp; Impact:</t>
          </r>
          <r>
            <rPr>
              <rFont val="Calibri"/>
              <sz val="10"/>
            </rPr>
            <t xml:space="preserve"> 2 of 12 — Start: 2.0 · practitioner title; Evidence reads like A2: Own work; files move on to QC, tagging or service teams → matches the start;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7.5 of 12 · between C1 and C2 — Experience: 13.1 yrs total · 8.5 before IRIS + 4.6 at IRIS = 7.4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0"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20" s="12" t="inlineStr">
        <is>
          <r>
            <rPr>
              <rFont val="Calibri"/>
              <sz val="10"/>
            </rPr>
            <t xml:space="preserve">✓ HRIS: 13.1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20" s="82" t="inlineStr">
        <is>
          <r>
            <rPr>
              <rFont val="Calibri"/>
              <color rgb="009C5700"/>
              <sz val="10"/>
            </rPr>
            <t xml:space="preserve">• </t>
          </r>
          <r>
            <rPr>
              <rFont val="Calibri"/>
              <b val="1"/>
              <color rgb="009C5700"/>
              <sz val="10"/>
            </rPr>
            <t>Close call:</t>
          </r>
          <r>
            <rPr>
              <rFont val="Calibri"/>
              <color rgb="009C5700"/>
              <sz val="10"/>
            </rPr>
            <t xml:space="preserve"> score 2.50 is within 0.05 of a rounding point</t>
          </r>
        </is>
      </c>
      <c r="AA20" s="12" t="inlineStr">
        <is>
          <t>Nothing outstanding</t>
        </is>
      </c>
      <c r="AB2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20" s="84" t="n"/>
      <c r="AD20" s="84" t="n"/>
      <c r="AE20" s="84" t="n"/>
      <c r="AF20" s="12" t="n">
        <v>2.5</v>
      </c>
    </row>
    <row r="21" ht="379" customHeight="1">
      <c r="A21" s="12" t="inlineStr">
        <is>
          <t>IRISC287</t>
        </is>
      </c>
      <c r="B21" s="10" t="inlineStr">
        <is>
          <t>Farina Pathan</t>
        </is>
      </c>
      <c r="C21" s="12" t="inlineStr">
        <is>
          <t>Digitizing</t>
        </is>
      </c>
      <c r="D21" s="12" t="inlineStr">
        <is>
          <t>Consultant</t>
        </is>
      </c>
      <c r="E21" s="85" t="inlineStr">
        <is>
          <t>Senior Digitization Associate</t>
        </is>
      </c>
      <c r="F21" s="12" t="inlineStr">
        <is>
          <t>Data Operations &amp; Digitization</t>
        </is>
      </c>
      <c r="G21" s="12" t="inlineStr">
        <is>
          <t>Document Conversion, Formatting &amp; Web Publishing</t>
        </is>
      </c>
      <c r="H21" s="12" t="inlineStr">
        <is>
          <t>IC</t>
        </is>
      </c>
      <c r="I21" s="42" t="inlineStr">
        <is>
          <t>L3 – Professional / Associate</t>
        </is>
      </c>
      <c r="J21" s="16" t="inlineStr">
        <is>
          <t>A3</t>
        </is>
      </c>
      <c r="K21" s="17" t="inlineStr">
        <is>
          <t>Senior Associate</t>
        </is>
      </c>
      <c r="L21" s="87" t="inlineStr">
        <is>
          <t>▲ Up</t>
        </is>
      </c>
      <c r="M21" s="12" t="inlineStr">
        <is>
          <t>CARBON · Digitizing · Band A · Early career</t>
        </is>
      </c>
      <c r="N21" s="42" t="n">
        <v>2</v>
      </c>
      <c r="O21" s="42" t="n">
        <v>1.5</v>
      </c>
      <c r="P21" s="42" t="n">
        <v>2</v>
      </c>
      <c r="Q21" s="42" t="n">
        <v>1</v>
      </c>
      <c r="R21" s="42" t="n">
        <v>3</v>
      </c>
      <c r="S21" s="80" t="n">
        <v>2.5</v>
      </c>
      <c r="T21" s="81">
        <f>IF(OR($M21="",COUNT(N21,O21,P21,Q21,R21,S21)&lt;6),"",IFERROR(N21*INDEX(WM_C,MATCH($M21,WM_KEY,0))+O21*INDEX(WM_AU,MATCH($M21,WM_KEY,0))+P21*INDEX(WM_AC,MATCH($M21,WM_KEY,0))+Q21*INDEX(WM_L,MATCH($M21,WM_KEY,0))+R21*INDEX(WM_E,MATCH($M21,WM_KEY,0))+S21*INDEX(WM_BI,MATCH($M21,WM_KEY,0)),""))</f>
        <v>2.05</v>
      </c>
      <c r="U21" s="42" t="str">
        <f>IF(T21="","",INDEX({"A1","A2","A3","B1","B2","B3","C1","C2","D1","D2","E1","E2"},MAX(1,MIN(12,ROUND(T21,0)))))</f>
        <v>A2</v>
      </c>
      <c r="V21" s="12" t="inlineStr">
        <is>
          <r>
            <rPr>
              <rFont val="Calibri"/>
              <sz val="10"/>
            </rPr>
            <t xml:space="preserve">New level A3 · Senior Associate. Current level on record: L3 – Professional / Associate. Change: ▲ Up.
Score 2.05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2.6 years' experience is 2 years or more.
</t>
          </r>
          <r>
            <rPr>
              <rFont val="Calibri"/>
              <b val="1"/>
              <sz val="10"/>
            </rPr>
            <t>Final level:</t>
          </r>
          <r>
            <rPr>
              <rFont val="Calibri"/>
              <sz val="10"/>
            </rPr>
            <t xml:space="preserve"> A3.</t>
          </r>
        </is>
      </c>
      <c r="W21" s="12" t="inlineStr">
        <is>
          <r>
            <rPr>
              <rFont val="Calibri"/>
              <b val="1"/>
              <sz val="10"/>
            </rPr>
            <t>Complexity &amp; Expertise:</t>
          </r>
          <r>
            <rPr>
              <rFont val="Calibri"/>
              <sz val="10"/>
            </rPr>
            <t xml:space="preserve"> 2 of 12 — Start: 2.0 · practitioner title; Evidence reads like A2: Formatting checks, OCR and HTML conversion for ESEF, EU DM, KVK, CIPC, MCA, HMRC → matches the start; KRA: “1. Complete assigned conversion/formatting tasks with &gt;=99% accuracy · zero critical errors 2. Meet 100% of client filing deadlines (no SLA…”
</t>
          </r>
          <r>
            <rPr>
              <rFont val="Calibri"/>
              <b val="1"/>
              <sz val="10"/>
            </rPr>
            <t>Autonomy &amp; Decision:</t>
          </r>
          <r>
            <rPr>
              <rFont val="Calibri"/>
              <sz val="10"/>
            </rPr>
            <t xml:space="preserve"> 1.5 of 12 · between A1 and A2 — Start: 2.0 · practitioner title; Evidence reads like A1: States 'Not applicable'; completed work handed to a senior → moved down 0.5
</t>
          </r>
          <r>
            <rPr>
              <rFont val="Calibri"/>
              <b val="1"/>
              <sz val="10"/>
            </rPr>
            <t>Accountability &amp; Impact:</t>
          </r>
          <r>
            <rPr>
              <rFont val="Calibri"/>
              <sz val="10"/>
            </rPr>
            <t xml:space="preserve"> 2 of 12 — Start: 2.0 · practitioner title; Evidence reads like A2: Accuracy, QC and timely delivery of documents personally processed → matches the start;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3 of 12 — Experience: 2.6 yrs total · 2.6 at IRIS; none recorded before IRIS = 2.8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1"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21" s="12" t="inlineStr">
        <is>
          <r>
            <rPr>
              <rFont val="Calibri"/>
              <sz val="10"/>
            </rPr>
            <t xml:space="preserve">✓ HRIS: 2.6 yrs, B.Com, 0 direct reports
✓ Survey: 19 of 20 questions answered
✓ KRAs: submitted, reported deliverables
✓ Manager mapping: rating, potential, 9-box
✗ Job description: not on file
</t>
          </r>
          <r>
            <rPr>
              <rFont val="Calibri"/>
              <b val="1"/>
              <sz val="10"/>
            </rPr>
            <t>Confidence:</t>
          </r>
          <r>
            <rPr>
              <rFont val="Calibri"/>
              <sz val="10"/>
            </rPr>
            <t xml:space="preserve"> Medium</t>
          </r>
        </is>
      </c>
      <c r="Z21" s="12" t="inlineStr">
        <is>
          <t>—</t>
        </is>
      </c>
      <c r="AA21" s="12" t="inlineStr">
        <is>
          <t>Nothing outstanding</t>
        </is>
      </c>
      <c r="AB2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21" s="84" t="n"/>
      <c r="AD21" s="84" t="n"/>
      <c r="AE21" s="84" t="n"/>
      <c r="AF21" s="12" t="n">
        <v>2.5</v>
      </c>
    </row>
    <row r="22" ht="379" customHeight="1">
      <c r="A22" s="12" t="inlineStr">
        <is>
          <t>IRISC325</t>
        </is>
      </c>
      <c r="B22" s="10" t="inlineStr">
        <is>
          <t>Gaurav Yashwant Chaulkar</t>
        </is>
      </c>
      <c r="C22" s="12" t="inlineStr">
        <is>
          <t>Digitizing</t>
        </is>
      </c>
      <c r="D22" s="12" t="inlineStr">
        <is>
          <t>Consultant</t>
        </is>
      </c>
      <c r="E22" s="85" t="inlineStr">
        <is>
          <t>Senior Digitization Associate</t>
        </is>
      </c>
      <c r="F22" s="12" t="inlineStr">
        <is>
          <t>Data Operations &amp; Digitization</t>
        </is>
      </c>
      <c r="G22" s="12" t="inlineStr">
        <is>
          <t>Document Conversion, Formatting &amp; Web Publishing</t>
        </is>
      </c>
      <c r="H22" s="12" t="inlineStr">
        <is>
          <t>IC</t>
        </is>
      </c>
      <c r="I22" s="42" t="inlineStr">
        <is>
          <t>L3 – Professional / Associate</t>
        </is>
      </c>
      <c r="J22" s="16" t="inlineStr">
        <is>
          <t>A3</t>
        </is>
      </c>
      <c r="K22" s="17" t="inlineStr">
        <is>
          <t>Senior Associate</t>
        </is>
      </c>
      <c r="L22" s="87" t="inlineStr">
        <is>
          <t>▲ Up</t>
        </is>
      </c>
      <c r="M22" s="12" t="inlineStr">
        <is>
          <t>CARBON · Digitizing · Band A · Early career</t>
        </is>
      </c>
      <c r="N22" s="42" t="n">
        <v>2</v>
      </c>
      <c r="O22" s="42" t="n">
        <v>2</v>
      </c>
      <c r="P22" s="42" t="n">
        <v>2</v>
      </c>
      <c r="Q22" s="42" t="n">
        <v>1</v>
      </c>
      <c r="R22" s="42" t="n">
        <v>2.5</v>
      </c>
      <c r="S22" s="80" t="n">
        <v>2.5</v>
      </c>
      <c r="T22" s="81">
        <f>IF(OR($M22="",COUNT(N22,O22,P22,Q22,R22,S22)&lt;6),"",IFERROR(N22*INDEX(WM_C,MATCH($M22,WM_KEY,0))+O22*INDEX(WM_AU,MATCH($M22,WM_KEY,0))+P22*INDEX(WM_AC,MATCH($M22,WM_KEY,0))+Q22*INDEX(WM_L,MATCH($M22,WM_KEY,0))+R22*INDEX(WM_E,MATCH($M22,WM_KEY,0))+S22*INDEX(WM_BI,MATCH($M22,WM_KEY,0)),""))</f>
        <v>2.08</v>
      </c>
      <c r="U22" s="42" t="str">
        <f>IF(T22="","",INDEX({"A1","A2","A3","B1","B2","B3","C1","C2","D1","D2","E1","E2"},MAX(1,MIN(12,ROUND(T22,0)))))</f>
        <v>A2</v>
      </c>
      <c r="V22" s="12" t="inlineStr">
        <is>
          <r>
            <rPr>
              <rFont val="Calibri"/>
              <sz val="10"/>
            </rPr>
            <t xml:space="preserve">New level A3 · Senior Associate. Current level on record: L3 – Professional / Associate. Change: ▲ Up.
Score 2.08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 years' experience is 2 years or more.
</t>
          </r>
          <r>
            <rPr>
              <rFont val="Calibri"/>
              <b val="1"/>
              <sz val="10"/>
            </rPr>
            <t>Final level:</t>
          </r>
          <r>
            <rPr>
              <rFont val="Calibri"/>
              <sz val="10"/>
            </rPr>
            <t xml:space="preserve"> A3.</t>
          </r>
        </is>
      </c>
      <c r="W22" s="12" t="inlineStr">
        <is>
          <r>
            <rPr>
              <rFont val="Calibri"/>
              <b val="1"/>
              <sz val="10"/>
            </rPr>
            <t>Complexity &amp; Expertise:</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Autonomy &amp; Decision:</t>
          </r>
          <r>
            <rPr>
              <rFont val="Calibri"/>
              <sz val="10"/>
            </rPr>
            <t xml:space="preserve"> 2 of 12 — Start: 2.0 · practitioner title; Evidence: rated like 8 colleagues in the same role and department · own answers too general to rate → no change
</t>
          </r>
          <r>
            <rPr>
              <rFont val="Calibri"/>
              <b val="1"/>
              <sz val="10"/>
            </rPr>
            <t>Accountability &amp; Impact:</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rated like 8 colleagues in the same role and department · own answers too general to rate → no change; Team: 0 direct reports · IC
</t>
          </r>
          <r>
            <rPr>
              <rFont val="Calibri"/>
              <b val="1"/>
              <sz val="10"/>
            </rPr>
            <t>Experience &amp; Qualification:</t>
          </r>
          <r>
            <rPr>
              <rFont val="Calibri"/>
              <sz val="10"/>
            </rPr>
            <t xml:space="preserve"> 2.5 of 12 · between A2 and A3 — Experience: 3.0 yrs total · 2.2 before IRIS + 0.8 at IRIS = 3.0 on the experience scale; Qualification: Diploma Electronic Mechanic · below graduate → −0.5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2"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22" s="12" t="inlineStr">
        <is>
          <r>
            <rPr>
              <rFont val="Calibri"/>
              <sz val="10"/>
            </rPr>
            <t xml:space="preserve">✓ HRIS: 3.0 yrs, Diploma Electronic Mechanic, 0 direct reports
✓ Survey: 19 of 20 questions answered
✓ KRAs: submitted, reported deliverables
✓ Manager mapping: rating, potential, 9-box
✗ Job description: not on file
</t>
          </r>
          <r>
            <rPr>
              <rFont val="Calibri"/>
              <b val="1"/>
              <sz val="10"/>
            </rPr>
            <t>Confidence:</t>
          </r>
          <r>
            <rPr>
              <rFont val="Calibri"/>
              <sz val="10"/>
            </rPr>
            <t xml:space="preserve"> Low</t>
          </r>
        </is>
      </c>
      <c r="Z22" s="12" t="inlineStr">
        <is>
          <t>—</t>
        </is>
      </c>
      <c r="AA22" s="12" t="inlineStr">
        <is>
          <t>Nothing outstanding</t>
        </is>
      </c>
      <c r="AB2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22" s="84" t="n"/>
      <c r="AD22" s="84" t="n"/>
      <c r="AE22" s="84" t="n"/>
      <c r="AF22" s="12" t="n">
        <v>2.5</v>
      </c>
    </row>
    <row r="23" ht="379" customHeight="1">
      <c r="A23" s="12" t="inlineStr">
        <is>
          <t>IRIS1205</t>
        </is>
      </c>
      <c r="B23" s="10" t="inlineStr">
        <is>
          <t>Justeen Koola</t>
        </is>
      </c>
      <c r="C23" s="12" t="inlineStr">
        <is>
          <t>Digitizing</t>
        </is>
      </c>
      <c r="D23" s="12" t="inlineStr">
        <is>
          <t>Image Processing Specialist</t>
        </is>
      </c>
      <c r="E23" s="85" t="inlineStr">
        <is>
          <t>Senior Digitization Associate</t>
        </is>
      </c>
      <c r="F23" s="12" t="inlineStr">
        <is>
          <t>Data Operations &amp; Digitization</t>
        </is>
      </c>
      <c r="G23" s="12" t="inlineStr">
        <is>
          <t>Document Conversion, Formatting &amp; Web Publishing</t>
        </is>
      </c>
      <c r="H23" s="12" t="inlineStr">
        <is>
          <t>IC</t>
        </is>
      </c>
      <c r="I23" s="42" t="inlineStr">
        <is>
          <t>L3 – Professional / Associate</t>
        </is>
      </c>
      <c r="J23" s="16" t="inlineStr">
        <is>
          <t>A3</t>
        </is>
      </c>
      <c r="K23" s="17" t="inlineStr">
        <is>
          <t>Senior Associate</t>
        </is>
      </c>
      <c r="L23" s="87" t="inlineStr">
        <is>
          <t>▲ Up</t>
        </is>
      </c>
      <c r="M23" s="12" t="inlineStr">
        <is>
          <t>CARBON · Digitizing · Band A · Early career</t>
        </is>
      </c>
      <c r="N23" s="42" t="n">
        <v>2.5</v>
      </c>
      <c r="O23" s="42" t="n">
        <v>2.5</v>
      </c>
      <c r="P23" s="42" t="n">
        <v>2.5</v>
      </c>
      <c r="Q23" s="42" t="n">
        <v>1.5</v>
      </c>
      <c r="R23" s="42" t="n">
        <v>9</v>
      </c>
      <c r="S23" s="80" t="n">
        <v>3</v>
      </c>
      <c r="T23" s="81">
        <f>IF(OR($M23="",COUNT(N23,O23,P23,Q23,R23,S23)&lt;6),"",IFERROR(N23*INDEX(WM_C,MATCH($M23,WM_KEY,0))+O23*INDEX(WM_AU,MATCH($M23,WM_KEY,0))+P23*INDEX(WM_AC,MATCH($M23,WM_KEY,0))+Q23*INDEX(WM_L,MATCH($M23,WM_KEY,0))+R23*INDEX(WM_E,MATCH($M23,WM_KEY,0))+S23*INDEX(WM_BI,MATCH($M23,WM_KEY,0)),""))</f>
        <v>3.18</v>
      </c>
      <c r="U23" s="42" t="str">
        <f>IF(T23="","",INDEX({"A1","A2","A3","B1","B2","B3","C1","C2","D1","D2","E1","E2"},MAX(1,MIN(12,ROUND(T23,0)))))</f>
        <v>A3</v>
      </c>
      <c r="V23" s="12" t="inlineStr">
        <is>
          <r>
            <rPr>
              <rFont val="Calibri"/>
              <sz val="10"/>
            </rPr>
            <t xml:space="preserve">New level A3 · Senior Associate. Current level on record: L3 – Professional / Associate. Change: ▲ Up.
Score 3.18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3" s="12" t="inlineStr">
        <is>
          <r>
            <rPr>
              <rFont val="Calibri"/>
              <b val="1"/>
              <sz val="10"/>
            </rPr>
            <t>Complexity &amp; Expertise:</t>
          </r>
          <r>
            <rPr>
              <rFont val="Calibri"/>
              <sz val="10"/>
            </rPr>
            <t xml:space="preserve"> 2.5 of 12 · between A2 and A3 — Start: 3.0 · senior practitioner title; Evidence reads like A2: HMRC and CIPC HTML conversion, DM / ESEF formatting and review → moved down 0.5; KRA: “1. Complete assigned conversion/formatting tasks with &gt;=99% accuracy · zero critical errors 2. Meet 100% of client filing deadlines (no SLA…”
</t>
          </r>
          <r>
            <rPr>
              <rFont val="Calibri"/>
              <b val="1"/>
              <sz val="10"/>
            </rPr>
            <t>Autonomy &amp; Decision:</t>
          </r>
          <r>
            <rPr>
              <rFont val="Calibri"/>
              <sz val="10"/>
            </rPr>
            <t xml:space="preserve"> 2.5 of 12 · between A2 and A3 — Start: 3.0 · senior practitioner title; Evidence reads like A1: States 'Not Applicable' for independent decisions → moved down 0.5
</t>
          </r>
          <r>
            <rPr>
              <rFont val="Calibri"/>
              <b val="1"/>
              <sz val="10"/>
            </rPr>
            <t>Accountability &amp; Impact:</t>
          </r>
          <r>
            <rPr>
              <rFont val="Calibri"/>
              <sz val="10"/>
            </rPr>
            <t xml:space="preserve"> 2.5 of 12 · between A2 and A3 — Start: 3.0 · senior practitioner title; Evidence reads like A2: Own files delivered on the given date → moved down 0.5; KRA: “1. Complete assigned conversion/formatting tasks with &gt;=99% accuracy · zero critical errors 2. Meet 100% of client filing deadlines (no SLA…”
</t>
          </r>
          <r>
            <rPr>
              <rFont val="Calibri"/>
              <b val="1"/>
              <sz val="10"/>
            </rPr>
            <t>Leadership &amp; Strategy:</t>
          </r>
          <r>
            <rPr>
              <rFont val="Calibri"/>
              <sz val="10"/>
            </rPr>
            <t xml:space="preserve"> 1.5 of 12 · between A1 and A2 — not counted: the weight is 0% at this level — Start: 2.0 · individual contributor, so influence only; Evidence reads like A1: Mentions team collaboration only; no guidance of others → moved down 0.5; Team: 0 direct reports · IC
</t>
          </r>
          <r>
            <rPr>
              <rFont val="Calibri"/>
              <b val="1"/>
              <sz val="10"/>
            </rPr>
            <t>Experience &amp; Qualification:</t>
          </r>
          <r>
            <rPr>
              <rFont val="Calibri"/>
              <sz val="10"/>
            </rPr>
            <t xml:space="preserve"> 9 of 12 — Experience: 18.9 yrs total · 1.0 before IRIS + 17.9 at IRIS = 9.4 on the experience scale; Qualification: Undergraduate · below graduate → −0.5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23"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23" s="12" t="inlineStr">
        <is>
          <r>
            <rPr>
              <rFont val="Calibri"/>
              <sz val="10"/>
            </rPr>
            <t xml:space="preserve">✓ HRIS: 18.9 yrs, Undergraduate, 0 direct reports
✓ Survey: 19 of 20 questions answered
✓ KRAs: submitted, reported deliverables
✓ Manager mapping: rating, potential, 9-box
✗ Job description: not on file
</t>
          </r>
          <r>
            <rPr>
              <rFont val="Calibri"/>
              <b val="1"/>
              <sz val="10"/>
            </rPr>
            <t>Confidence:</t>
          </r>
          <r>
            <rPr>
              <rFont val="Calibri"/>
              <sz val="10"/>
            </rPr>
            <t xml:space="preserve"> Medium</t>
          </r>
        </is>
      </c>
      <c r="Z23" s="12" t="inlineStr">
        <is>
          <t>—</t>
        </is>
      </c>
      <c r="AA23" s="12" t="inlineStr">
        <is>
          <t>Nothing outstanding</t>
        </is>
      </c>
      <c r="AB2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23" s="84" t="n"/>
      <c r="AD23" s="84" t="n"/>
      <c r="AE23" s="84" t="n"/>
      <c r="AF23" s="12" t="n">
        <v>3</v>
      </c>
    </row>
    <row r="24" ht="379" customHeight="1">
      <c r="A24" s="12" t="inlineStr">
        <is>
          <t>IRISC316</t>
        </is>
      </c>
      <c r="B24" s="10" t="inlineStr">
        <is>
          <t>Samiksha Ramdas Bhabal</t>
        </is>
      </c>
      <c r="C24" s="12" t="inlineStr">
        <is>
          <t>Digitizing</t>
        </is>
      </c>
      <c r="D24" s="12" t="inlineStr">
        <is>
          <t>Consultant</t>
        </is>
      </c>
      <c r="E24" s="85" t="inlineStr">
        <is>
          <t>Senior Digitization Associate</t>
        </is>
      </c>
      <c r="F24" s="12" t="inlineStr">
        <is>
          <t>Data Operations &amp; Digitization</t>
        </is>
      </c>
      <c r="G24" s="12" t="inlineStr">
        <is>
          <t>Document Conversion, Formatting &amp; Web Publishing</t>
        </is>
      </c>
      <c r="H24" s="12" t="inlineStr">
        <is>
          <t>IC</t>
        </is>
      </c>
      <c r="I24" s="42" t="inlineStr">
        <is>
          <t>L3 – Professional / Associate</t>
        </is>
      </c>
      <c r="J24" s="16" t="inlineStr">
        <is>
          <t>A3</t>
        </is>
      </c>
      <c r="K24" s="17" t="inlineStr">
        <is>
          <t>Senior Associate</t>
        </is>
      </c>
      <c r="L24" s="87" t="inlineStr">
        <is>
          <t>▲ Up</t>
        </is>
      </c>
      <c r="M24" s="12" t="inlineStr">
        <is>
          <t>CARBON · Digitizing · Band A · Early career</t>
        </is>
      </c>
      <c r="N24" s="42" t="n">
        <v>2</v>
      </c>
      <c r="O24" s="42" t="n">
        <v>1.5</v>
      </c>
      <c r="P24" s="42" t="n">
        <v>2</v>
      </c>
      <c r="Q24" s="42" t="n">
        <v>1</v>
      </c>
      <c r="R24" s="42" t="n">
        <v>3</v>
      </c>
      <c r="S24" s="80" t="n">
        <v>2.5</v>
      </c>
      <c r="T24" s="81">
        <f>IF(OR($M24="",COUNT(N24,O24,P24,Q24,R24,S24)&lt;6),"",IFERROR(N24*INDEX(WM_C,MATCH($M24,WM_KEY,0))+O24*INDEX(WM_AU,MATCH($M24,WM_KEY,0))+P24*INDEX(WM_AC,MATCH($M24,WM_KEY,0))+Q24*INDEX(WM_L,MATCH($M24,WM_KEY,0))+R24*INDEX(WM_E,MATCH($M24,WM_KEY,0))+S24*INDEX(WM_BI,MATCH($M24,WM_KEY,0)),""))</f>
        <v>2.05</v>
      </c>
      <c r="U24" s="42" t="str">
        <f>IF(T24="","",INDEX({"A1","A2","A3","B1","B2","B3","C1","C2","D1","D2","E1","E2"},MAX(1,MIN(12,ROUND(T24,0)))))</f>
        <v>A2</v>
      </c>
      <c r="V24" s="12" t="inlineStr">
        <is>
          <r>
            <rPr>
              <rFont val="Calibri"/>
              <sz val="10"/>
            </rPr>
            <t xml:space="preserve">New level A3 · Senior Associate. Current level on record: L3 – Professional / Associate. Change: ▲ Up.
Score 2.05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3.1 years' experience is 2 years or more.
</t>
          </r>
          <r>
            <rPr>
              <rFont val="Calibri"/>
              <b val="1"/>
              <sz val="10"/>
            </rPr>
            <t>Final level:</t>
          </r>
          <r>
            <rPr>
              <rFont val="Calibri"/>
              <sz val="10"/>
            </rPr>
            <t xml:space="preserve"> A3.</t>
          </r>
        </is>
      </c>
      <c r="W24" s="12" t="inlineStr">
        <is>
          <r>
            <rPr>
              <rFont val="Calibri"/>
              <b val="1"/>
              <sz val="10"/>
            </rPr>
            <t>Complexity &amp; Expertise:</t>
          </r>
          <r>
            <rPr>
              <rFont val="Calibri"/>
              <sz val="10"/>
            </rPr>
            <t xml:space="preserve"> 2 of 12 — Start: 2.0 · practitioner title; Evidence reads like A2: own survey / KRA answers · summarised by the rater; not quoted → matches the start; KRA: “1. Complete assigned conversion/formatting tasks with &gt;=99% accuracy · zero critical errors 2. Meet 100% of client filing deadlines (no SLA…”
</t>
          </r>
          <r>
            <rPr>
              <rFont val="Calibri"/>
              <b val="1"/>
              <sz val="10"/>
            </rPr>
            <t>Autonomy &amp; Decision:</t>
          </r>
          <r>
            <rPr>
              <rFont val="Calibri"/>
              <sz val="10"/>
            </rPr>
            <t xml:space="preserve"> 1.5 of 12 · between A1 and A2 — Start: 2.0 · practitioner title; Evidence reads like A1: States 'not applicable'; work goes to review → moved down 0.5
</t>
          </r>
          <r>
            <rPr>
              <rFont val="Calibri"/>
              <b val="1"/>
              <sz val="10"/>
            </rPr>
            <t>Accountability &amp; Impact:</t>
          </r>
          <r>
            <rPr>
              <rFont val="Calibri"/>
              <sz val="10"/>
            </rPr>
            <t xml:space="preserve"> 2 of 12 — Start: 2.0 · practitioner title; Evidence reads like A2: Accuracy and timely delivery of assigned formatting work → matches the start;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3 of 12 — Experience: 3.1 yrs total · 2.0 before IRIS + 1.1 at IRIS = 3.0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4"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24" s="12" t="inlineStr">
        <is>
          <r>
            <rPr>
              <rFont val="Calibri"/>
              <sz val="10"/>
            </rPr>
            <t xml:space="preserve">✓ HRIS: 3.1 yrs, B.Com, 0 direct reports
✓ Survey: 19 of 20 questions answered
✓ KRAs: submitted, reported deliverables
✓ Manager mapping: rating, potential, 9-box
✗ Job description: not on file
</t>
          </r>
          <r>
            <rPr>
              <rFont val="Calibri"/>
              <b val="1"/>
              <sz val="10"/>
            </rPr>
            <t>Confidence:</t>
          </r>
          <r>
            <rPr>
              <rFont val="Calibri"/>
              <sz val="10"/>
            </rPr>
            <t xml:space="preserve"> Medium</t>
          </r>
        </is>
      </c>
      <c r="Z24" s="12" t="inlineStr">
        <is>
          <t>—</t>
        </is>
      </c>
      <c r="AA24" s="12" t="inlineStr">
        <is>
          <t>Nothing outstanding</t>
        </is>
      </c>
      <c r="AB2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24" s="84" t="n"/>
      <c r="AD24" s="84" t="n"/>
      <c r="AE24" s="84" t="n"/>
      <c r="AF24" s="12" t="n">
        <v>2.5</v>
      </c>
    </row>
    <row r="25" ht="379" customHeight="1">
      <c r="A25" s="12" t="inlineStr">
        <is>
          <t>IRISC301</t>
        </is>
      </c>
      <c r="B25" s="10" t="inlineStr">
        <is>
          <t>Saurav Nirmal</t>
        </is>
      </c>
      <c r="C25" s="12" t="inlineStr">
        <is>
          <t>Digitizing</t>
        </is>
      </c>
      <c r="D25" s="12" t="inlineStr">
        <is>
          <t>Consultant</t>
        </is>
      </c>
      <c r="E25" s="85" t="inlineStr">
        <is>
          <t>Senior Digitization Associate</t>
        </is>
      </c>
      <c r="F25" s="12" t="inlineStr">
        <is>
          <t>Data Operations &amp; Digitization</t>
        </is>
      </c>
      <c r="G25" s="12" t="inlineStr">
        <is>
          <t>Document Conversion, Formatting &amp; Web Publishing</t>
        </is>
      </c>
      <c r="H25" s="12" t="inlineStr">
        <is>
          <t>IC</t>
        </is>
      </c>
      <c r="I25" s="42" t="inlineStr">
        <is>
          <t>L3 – Professional / Associate</t>
        </is>
      </c>
      <c r="J25" s="16" t="inlineStr">
        <is>
          <t>A3</t>
        </is>
      </c>
      <c r="K25" s="17" t="inlineStr">
        <is>
          <t>Senior Associate</t>
        </is>
      </c>
      <c r="L25" s="87" t="inlineStr">
        <is>
          <t>▲ Up</t>
        </is>
      </c>
      <c r="M25" s="12" t="inlineStr">
        <is>
          <t>CARBON · Digitizing · Band A · Early career</t>
        </is>
      </c>
      <c r="N25" s="42" t="n">
        <v>2</v>
      </c>
      <c r="O25" s="42" t="n">
        <v>2</v>
      </c>
      <c r="P25" s="42" t="n">
        <v>2</v>
      </c>
      <c r="Q25" s="42" t="n">
        <v>1</v>
      </c>
      <c r="R25" s="42" t="n">
        <v>3</v>
      </c>
      <c r="S25" s="80" t="n">
        <v>2.5</v>
      </c>
      <c r="T25" s="81">
        <f>IF(OR($M25="",COUNT(N25,O25,P25,Q25,R25,S25)&lt;6),"",IFERROR(N25*INDEX(WM_C,MATCH($M25,WM_KEY,0))+O25*INDEX(WM_AU,MATCH($M25,WM_KEY,0))+P25*INDEX(WM_AC,MATCH($M25,WM_KEY,0))+Q25*INDEX(WM_L,MATCH($M25,WM_KEY,0))+R25*INDEX(WM_E,MATCH($M25,WM_KEY,0))+S25*INDEX(WM_BI,MATCH($M25,WM_KEY,0)),""))</f>
        <v>2.13</v>
      </c>
      <c r="U25" s="42" t="str">
        <f>IF(T25="","",INDEX({"A1","A2","A3","B1","B2","B3","C1","C2","D1","D2","E1","E2"},MAX(1,MIN(12,ROUND(T25,0)))))</f>
        <v>A2</v>
      </c>
      <c r="V25" s="12" t="inlineStr">
        <is>
          <r>
            <rPr>
              <rFont val="Calibri"/>
              <sz val="10"/>
            </rPr>
            <t xml:space="preserve">New level A3 · Senior Associate. Current level on record: L3 – Professional / Associate. Change: ▲ Up.
Score 2.13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2.7 years' experience is 2 years or more.
</t>
          </r>
          <r>
            <rPr>
              <rFont val="Calibri"/>
              <b val="1"/>
              <sz val="10"/>
            </rPr>
            <t>Final level:</t>
          </r>
          <r>
            <rPr>
              <rFont val="Calibri"/>
              <sz val="10"/>
            </rPr>
            <t xml:space="preserve"> A3.</t>
          </r>
        </is>
      </c>
      <c r="W25" s="12" t="inlineStr">
        <is>
          <r>
            <rPr>
              <rFont val="Calibri"/>
              <b val="1"/>
              <sz val="10"/>
            </rPr>
            <t>Complexity &amp; Expertise:</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Autonomy &amp; Decision:</t>
          </r>
          <r>
            <rPr>
              <rFont val="Calibri"/>
              <sz val="10"/>
            </rPr>
            <t xml:space="preserve"> 2 of 12 — Start: 2.0 · practitioner title; Evidence: rated like 8 colleagues in the same role and department · own answers too general to rate → no change
</t>
          </r>
          <r>
            <rPr>
              <rFont val="Calibri"/>
              <b val="1"/>
              <sz val="10"/>
            </rPr>
            <t>Accountability &amp; Impact:</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rated like 8 colleagues in the same role and department · own answers too general to rate → no change; Team: 0 direct reports · IC
</t>
          </r>
          <r>
            <rPr>
              <rFont val="Calibri"/>
              <b val="1"/>
              <sz val="10"/>
            </rPr>
            <t>Experience &amp; Qualification:</t>
          </r>
          <r>
            <rPr>
              <rFont val="Calibri"/>
              <sz val="10"/>
            </rPr>
            <t xml:space="preserve"> 3 of 12 — Experience: 2.7 yrs total · 1.0 before IRIS + 1.7 at IRIS = 2.9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5"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25" s="12" t="inlineStr">
        <is>
          <r>
            <rPr>
              <rFont val="Calibri"/>
              <sz val="10"/>
            </rPr>
            <t xml:space="preserve">✓ HRIS: 2.7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Low</t>
          </r>
        </is>
      </c>
      <c r="Z25" s="12" t="inlineStr">
        <is>
          <t>—</t>
        </is>
      </c>
      <c r="AA25" s="12" t="inlineStr">
        <is>
          <t>Nothing outstanding</t>
        </is>
      </c>
      <c r="AB2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work only this person does: no;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25" s="84" t="n"/>
      <c r="AD25" s="84" t="n"/>
      <c r="AE25" s="84" t="n"/>
      <c r="AF25" s="12" t="n">
        <v>2.5</v>
      </c>
    </row>
    <row r="26" ht="379" customHeight="1">
      <c r="A26" s="12" t="inlineStr">
        <is>
          <t>IRISC225</t>
        </is>
      </c>
      <c r="B26" s="10" t="inlineStr">
        <is>
          <t>Shravan Ghadi</t>
        </is>
      </c>
      <c r="C26" s="12" t="inlineStr">
        <is>
          <t>Digitizing</t>
        </is>
      </c>
      <c r="D26" s="12" t="inlineStr">
        <is>
          <t>Consultant</t>
        </is>
      </c>
      <c r="E26" s="85" t="inlineStr">
        <is>
          <t>Senior Digitization Associate</t>
        </is>
      </c>
      <c r="F26" s="12" t="inlineStr">
        <is>
          <t>Data Operations &amp; Digitization</t>
        </is>
      </c>
      <c r="G26" s="12" t="inlineStr">
        <is>
          <t>Document Conversion, Formatting &amp; Web Publishing</t>
        </is>
      </c>
      <c r="H26" s="12" t="inlineStr">
        <is>
          <t>IC</t>
        </is>
      </c>
      <c r="I26" s="42" t="inlineStr">
        <is>
          <t>L3 – Professional / Associate</t>
        </is>
      </c>
      <c r="J26" s="16" t="inlineStr">
        <is>
          <t>A3</t>
        </is>
      </c>
      <c r="K26" s="17" t="inlineStr">
        <is>
          <t>Senior Associate</t>
        </is>
      </c>
      <c r="L26" s="87" t="inlineStr">
        <is>
          <t>▲ Up</t>
        </is>
      </c>
      <c r="M26" s="12" t="inlineStr">
        <is>
          <t>CARBON · Digitizing · Band A · Early career</t>
        </is>
      </c>
      <c r="N26" s="42" t="n">
        <v>2</v>
      </c>
      <c r="O26" s="42" t="n">
        <v>2</v>
      </c>
      <c r="P26" s="42" t="n">
        <v>2</v>
      </c>
      <c r="Q26" s="42" t="n">
        <v>1</v>
      </c>
      <c r="R26" s="42" t="n">
        <v>3</v>
      </c>
      <c r="S26" s="80" t="n">
        <v>2.5</v>
      </c>
      <c r="T26" s="81">
        <f>IF(OR($M26="",COUNT(N26,O26,P26,Q26,R26,S26)&lt;6),"",IFERROR(N26*INDEX(WM_C,MATCH($M26,WM_KEY,0))+O26*INDEX(WM_AU,MATCH($M26,WM_KEY,0))+P26*INDEX(WM_AC,MATCH($M26,WM_KEY,0))+Q26*INDEX(WM_L,MATCH($M26,WM_KEY,0))+R26*INDEX(WM_E,MATCH($M26,WM_KEY,0))+S26*INDEX(WM_BI,MATCH($M26,WM_KEY,0)),""))</f>
        <v>2.13</v>
      </c>
      <c r="U26" s="42" t="str">
        <f>IF(T26="","",INDEX({"A1","A2","A3","B1","B2","B3","C1","C2","D1","D2","E1","E2"},MAX(1,MIN(12,ROUND(T26,0)))))</f>
        <v>A2</v>
      </c>
      <c r="V26" s="12" t="inlineStr">
        <is>
          <r>
            <rPr>
              <rFont val="Calibri"/>
              <sz val="10"/>
            </rPr>
            <t xml:space="preserve">New level A3 · Senior Associate. Current level on record: L3 – Professional / Associate. Change: ▲ Up.
Score 2.13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4.5 years' experience is 2 years or more.
</t>
          </r>
          <r>
            <rPr>
              <rFont val="Calibri"/>
              <b val="1"/>
              <sz val="10"/>
            </rPr>
            <t>Final level:</t>
          </r>
          <r>
            <rPr>
              <rFont val="Calibri"/>
              <sz val="10"/>
            </rPr>
            <t xml:space="preserve"> A3.</t>
          </r>
        </is>
      </c>
      <c r="W26" s="12" t="inlineStr">
        <is>
          <r>
            <rPr>
              <rFont val="Calibri"/>
              <b val="1"/>
              <sz val="10"/>
            </rPr>
            <t>Complexity &amp; Expertise:</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Autonomy &amp; Decision:</t>
          </r>
          <r>
            <rPr>
              <rFont val="Calibri"/>
              <sz val="10"/>
            </rPr>
            <t xml:space="preserve"> 2 of 12 — Start: 2.0 · practitioner title; Evidence: rated like 8 colleagues in the same role and department · own answers too general to rate → no change
</t>
          </r>
          <r>
            <rPr>
              <rFont val="Calibri"/>
              <b val="1"/>
              <sz val="10"/>
            </rPr>
            <t>Accountability &amp; Impact:</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rated like 8 colleagues in the same role and department · own answers too general to rate → no change; Team: 0 direct reports · IC
</t>
          </r>
          <r>
            <rPr>
              <rFont val="Calibri"/>
              <b val="1"/>
              <sz val="10"/>
            </rPr>
            <t>Experience &amp; Qualification:</t>
          </r>
          <r>
            <rPr>
              <rFont val="Calibri"/>
              <sz val="10"/>
            </rPr>
            <t xml:space="preserve"> 3 of 12 — Experience: 4.5 yrs total · 4.5 at IRIS; none recorded before IRIS = 3.6 on the experience scale; Qualification: Undergraduate · below graduate → −0.5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6"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26" s="12" t="inlineStr">
        <is>
          <r>
            <rPr>
              <rFont val="Calibri"/>
              <sz val="10"/>
            </rPr>
            <t xml:space="preserve">✓ HRIS: 4.5 yrs, Undergraduate, 0 direct reports
✓ Survey: 19 of 20 questions answered
✓ KRAs: submitted, reported deliverables
✓ Manager mapping: rating, potential, 9-box
✗ Job description: not on file
</t>
          </r>
          <r>
            <rPr>
              <rFont val="Calibri"/>
              <b val="1"/>
              <sz val="10"/>
            </rPr>
            <t>Confidence:</t>
          </r>
          <r>
            <rPr>
              <rFont val="Calibri"/>
              <sz val="10"/>
            </rPr>
            <t xml:space="preserve"> Low</t>
          </r>
        </is>
      </c>
      <c r="Z26" s="12" t="inlineStr">
        <is>
          <t>—</t>
        </is>
      </c>
      <c r="AA26" s="12" t="inlineStr">
        <is>
          <t>Nothing outstanding</t>
        </is>
      </c>
      <c r="AB2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26" s="84" t="n"/>
      <c r="AD26" s="84" t="n"/>
      <c r="AE26" s="84" t="n"/>
      <c r="AF26" s="12" t="n">
        <v>2.5</v>
      </c>
    </row>
    <row r="27" ht="379" customHeight="1">
      <c r="A27" s="12" t="inlineStr">
        <is>
          <t>IRISC271</t>
        </is>
      </c>
      <c r="B27" s="10" t="inlineStr">
        <is>
          <t>Siddhesh Manjrekar</t>
        </is>
      </c>
      <c r="C27" s="12" t="inlineStr">
        <is>
          <t>Digitizing</t>
        </is>
      </c>
      <c r="D27" s="12" t="inlineStr">
        <is>
          <t>Consultant</t>
        </is>
      </c>
      <c r="E27" s="85" t="inlineStr">
        <is>
          <t>Senior Digitization Associate</t>
        </is>
      </c>
      <c r="F27" s="12" t="inlineStr">
        <is>
          <t>Data Operations &amp; Digitization</t>
        </is>
      </c>
      <c r="G27" s="12" t="inlineStr">
        <is>
          <t>Document Conversion, Formatting &amp; Web Publishing</t>
        </is>
      </c>
      <c r="H27" s="12" t="inlineStr">
        <is>
          <t>IC</t>
        </is>
      </c>
      <c r="I27" s="42" t="inlineStr">
        <is>
          <t>L3 – Professional / Associate</t>
        </is>
      </c>
      <c r="J27" s="16" t="inlineStr">
        <is>
          <t>A3</t>
        </is>
      </c>
      <c r="K27" s="17" t="inlineStr">
        <is>
          <t>Senior Associate</t>
        </is>
      </c>
      <c r="L27" s="87" t="inlineStr">
        <is>
          <t>▲ Up</t>
        </is>
      </c>
      <c r="M27" s="12" t="inlineStr">
        <is>
          <t>CARBON · Digitizing · Band A · Early career</t>
        </is>
      </c>
      <c r="N27" s="42" t="n">
        <v>2</v>
      </c>
      <c r="O27" s="42" t="n">
        <v>2</v>
      </c>
      <c r="P27" s="42" t="n">
        <v>2</v>
      </c>
      <c r="Q27" s="42" t="n">
        <v>1</v>
      </c>
      <c r="R27" s="42" t="n">
        <v>3</v>
      </c>
      <c r="S27" s="80" t="n">
        <v>2.5</v>
      </c>
      <c r="T27" s="81">
        <f>IF(OR($M27="",COUNT(N27,O27,P27,Q27,R27,S27)&lt;6),"",IFERROR(N27*INDEX(WM_C,MATCH($M27,WM_KEY,0))+O27*INDEX(WM_AU,MATCH($M27,WM_KEY,0))+P27*INDEX(WM_AC,MATCH($M27,WM_KEY,0))+Q27*INDEX(WM_L,MATCH($M27,WM_KEY,0))+R27*INDEX(WM_E,MATCH($M27,WM_KEY,0))+S27*INDEX(WM_BI,MATCH($M27,WM_KEY,0)),""))</f>
        <v>2.13</v>
      </c>
      <c r="U27" s="42" t="str">
        <f>IF(T27="","",INDEX({"A1","A2","A3","B1","B2","B3","C1","C2","D1","D2","E1","E2"},MAX(1,MIN(12,ROUND(T27,0)))))</f>
        <v>A2</v>
      </c>
      <c r="V27" s="12" t="inlineStr">
        <is>
          <r>
            <rPr>
              <rFont val="Calibri"/>
              <sz val="10"/>
            </rPr>
            <t xml:space="preserve">New level A3 · Senior Associate. Current level on record: L3 – Professional / Associate. Change: ▲ Up.
Score 2.13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3.5 years' experience is 2 years or more.
</t>
          </r>
          <r>
            <rPr>
              <rFont val="Calibri"/>
              <b val="1"/>
              <sz val="10"/>
            </rPr>
            <t>Final level:</t>
          </r>
          <r>
            <rPr>
              <rFont val="Calibri"/>
              <sz val="10"/>
            </rPr>
            <t xml:space="preserve"> A3.</t>
          </r>
        </is>
      </c>
      <c r="W27" s="12" t="inlineStr">
        <is>
          <r>
            <rPr>
              <rFont val="Calibri"/>
              <b val="1"/>
              <sz val="10"/>
            </rPr>
            <t>Complexity &amp; Expertise:</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Autonomy &amp; Decision:</t>
          </r>
          <r>
            <rPr>
              <rFont val="Calibri"/>
              <sz val="10"/>
            </rPr>
            <t xml:space="preserve"> 2 of 12 — Start: 2.0 · practitioner title; Evidence: rated like 8 colleagues in the same role and department · own answers too general to rate → no change
</t>
          </r>
          <r>
            <rPr>
              <rFont val="Calibri"/>
              <b val="1"/>
              <sz val="10"/>
            </rPr>
            <t>Accountability &amp; Impact:</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rated like 8 colleagues in the same role and department · own answers too general to rate → no change; Team: 0 direct reports · IC
</t>
          </r>
          <r>
            <rPr>
              <rFont val="Calibri"/>
              <b val="1"/>
              <sz val="10"/>
            </rPr>
            <t>Experience &amp; Qualification:</t>
          </r>
          <r>
            <rPr>
              <rFont val="Calibri"/>
              <sz val="10"/>
            </rPr>
            <t xml:space="preserve"> 3 of 12 — Experience: 3.5 yrs total · 0.4 before IRIS + 3.1 at IRIS = 3.2 on the experience scale; Qualification: BMS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7"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27" s="12" t="inlineStr">
        <is>
          <r>
            <rPr>
              <rFont val="Calibri"/>
              <sz val="10"/>
            </rPr>
            <t xml:space="preserve">✓ HRIS: 3.5 yrs, BMS, 0 direct reports
✓ Survey: 20 of 20 questions answered
✓ KRAs: submitted, reported deliverables
✓ Manager mapping: rating, potential, 9-box
✗ Job description: not on file
</t>
          </r>
          <r>
            <rPr>
              <rFont val="Calibri"/>
              <b val="1"/>
              <sz val="10"/>
            </rPr>
            <t>Confidence:</t>
          </r>
          <r>
            <rPr>
              <rFont val="Calibri"/>
              <sz val="10"/>
            </rPr>
            <t xml:space="preserve"> Low</t>
          </r>
        </is>
      </c>
      <c r="Z27" s="12" t="inlineStr">
        <is>
          <t>—</t>
        </is>
      </c>
      <c r="AA27" s="12" t="inlineStr">
        <is>
          <t>Nothing outstanding</t>
        </is>
      </c>
      <c r="AB2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27" s="84" t="n"/>
      <c r="AD27" s="84" t="n"/>
      <c r="AE27" s="84" t="n"/>
      <c r="AF27" s="12" t="n">
        <v>2.5</v>
      </c>
    </row>
    <row r="28" ht="379" customHeight="1">
      <c r="A28" s="12" t="inlineStr">
        <is>
          <t>IRISC173</t>
        </is>
      </c>
      <c r="B28" s="10" t="inlineStr">
        <is>
          <t>Snehal Kardekar</t>
        </is>
      </c>
      <c r="C28" s="12" t="inlineStr">
        <is>
          <t>Digitizing</t>
        </is>
      </c>
      <c r="D28" s="12" t="inlineStr">
        <is>
          <t>Consultant</t>
        </is>
      </c>
      <c r="E28" s="85" t="inlineStr">
        <is>
          <t>Senior Digitization Associate</t>
        </is>
      </c>
      <c r="F28" s="12" t="inlineStr">
        <is>
          <t>Data Operations &amp; Digitization</t>
        </is>
      </c>
      <c r="G28" s="12" t="inlineStr">
        <is>
          <t>Document Conversion, Formatting &amp; Web Publishing</t>
        </is>
      </c>
      <c r="H28" s="12" t="inlineStr">
        <is>
          <t>IC</t>
        </is>
      </c>
      <c r="I28" s="42" t="inlineStr">
        <is>
          <t>L3 – Professional / Associate</t>
        </is>
      </c>
      <c r="J28" s="16" t="inlineStr">
        <is>
          <t>A3</t>
        </is>
      </c>
      <c r="K28" s="17" t="inlineStr">
        <is>
          <t>Senior Associate</t>
        </is>
      </c>
      <c r="L28" s="87" t="inlineStr">
        <is>
          <t>▲ Up</t>
        </is>
      </c>
      <c r="M28" s="12" t="inlineStr">
        <is>
          <t>CARBON · Digitizing · Band A · Early career</t>
        </is>
      </c>
      <c r="N28" s="42" t="n">
        <v>2.5</v>
      </c>
      <c r="O28" s="42" t="n">
        <v>2</v>
      </c>
      <c r="P28" s="42" t="n">
        <v>2</v>
      </c>
      <c r="Q28" s="42" t="n">
        <v>2</v>
      </c>
      <c r="R28" s="42" t="n">
        <v>7.5</v>
      </c>
      <c r="S28" s="80" t="n">
        <v>2.5</v>
      </c>
      <c r="T28" s="81">
        <f>IF(OR($M28="",COUNT(N28,O28,P28,Q28,R28,S28)&lt;6),"",IFERROR(N28*INDEX(WM_C,MATCH($M28,WM_KEY,0))+O28*INDEX(WM_AU,MATCH($M28,WM_KEY,0))+P28*INDEX(WM_AC,MATCH($M28,WM_KEY,0))+Q28*INDEX(WM_L,MATCH($M28,WM_KEY,0))+R28*INDEX(WM_E,MATCH($M28,WM_KEY,0))+S28*INDEX(WM_BI,MATCH($M28,WM_KEY,0)),""))</f>
        <v>2.85</v>
      </c>
      <c r="U28" s="42" t="str">
        <f>IF(T28="","",INDEX({"A1","A2","A3","B1","B2","B3","C1","C2","D1","D2","E1","E2"},MAX(1,MIN(12,ROUND(T28,0)))))</f>
        <v>A3</v>
      </c>
      <c r="V28" s="12" t="inlineStr">
        <is>
          <r>
            <rPr>
              <rFont val="Calibri"/>
              <sz val="10"/>
            </rPr>
            <t xml:space="preserve">New level A3 · Senior Associate. Current level on record: L3 – Professional / Associate. Change: ▲ Up.
Score 2.85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8" s="12" t="inlineStr">
        <is>
          <r>
            <rPr>
              <rFont val="Calibri"/>
              <b val="1"/>
              <sz val="10"/>
            </rPr>
            <t>Complexity &amp; Expertise:</t>
          </r>
          <r>
            <rPr>
              <rFont val="Calibri"/>
              <sz val="10"/>
            </rPr>
            <t xml:space="preserve"> 2.5 of 12 · between A2 and A3 — Start: 2.0 · practitioner title; Evidence reads like A3: QC of converted files across Carbon markets, ESMA QC; trains teammates → moved up 0.5; KRA: “1. Complete assigned conversion/formatting tasks with &gt;=99% accuracy · zero critical errors 2. Meet 100% of client filing deadlines (no SLA…”
</t>
          </r>
          <r>
            <rPr>
              <rFont val="Calibri"/>
              <b val="1"/>
              <sz val="10"/>
            </rPr>
            <t>Autonomy &amp; Decision:</t>
          </r>
          <r>
            <rPr>
              <rFont val="Calibri"/>
              <sz val="10"/>
            </rPr>
            <t xml:space="preserve"> 2 of 12 — Start: 2.0 · practitioner title; Evidence reads like A2: States 'Not applicable'; QC and corrections are routine calls → matches the start
</t>
          </r>
          <r>
            <rPr>
              <rFont val="Calibri"/>
              <b val="1"/>
              <sz val="10"/>
            </rPr>
            <t>Accountability &amp; Impact:</t>
          </r>
          <r>
            <rPr>
              <rFont val="Calibri"/>
              <sz val="10"/>
            </rPr>
            <t xml:space="preserve"> 2 of 12 — Start: 2.0 · practitioner title; Evidence reads like A2: own survey / KRA answers · summarised by the rater; not quoted → matches the start; KRA: “1. Complete assigned conversion/formatting tasks with &gt;=99% accuracy · zero critical errors 2. Meet 100% of client filing deadlines (no SLA…”
</t>
          </r>
          <r>
            <rPr>
              <rFont val="Calibri"/>
              <b val="1"/>
              <sz val="10"/>
            </rPr>
            <t>Leadership &amp; Strategy:</t>
          </r>
          <r>
            <rPr>
              <rFont val="Calibri"/>
              <sz val="10"/>
            </rPr>
            <t xml:space="preserve"> 2 of 12 — not counted: the weight is 0% at this level — Start: 1.0 · individual contributor, so influence only; Evidence reads like A3: Lists training teammates as a main responsibility → moved up 1; Team: 0 direct reports · IC
</t>
          </r>
          <r>
            <rPr>
              <rFont val="Calibri"/>
              <b val="1"/>
              <sz val="10"/>
            </rPr>
            <t>Experience &amp; Qualification:</t>
          </r>
          <r>
            <rPr>
              <rFont val="Calibri"/>
              <sz val="10"/>
            </rPr>
            <t xml:space="preserve"> 7.5 of 12 · between C1 and C2 — Experience: 13.2 yrs total · 7.0 before IRIS + 6.2 at IRIS = 7.5 on the experience scale; Qualification: BA · graduate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28"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28" s="12" t="inlineStr">
        <is>
          <r>
            <rPr>
              <rFont val="Calibri"/>
              <sz val="10"/>
            </rPr>
            <t xml:space="preserve">✓ HRIS: 13.2 yrs, BA, 0 direct reports
✓ Survey: 19 of 20 questions answered
✓ KRAs: submitted, reported deliverables
✓ Manager mapping: rating, potential, 9-box
✗ Job description: not on file
</t>
          </r>
          <r>
            <rPr>
              <rFont val="Calibri"/>
              <b val="1"/>
              <sz val="10"/>
            </rPr>
            <t>Confidence:</t>
          </r>
          <r>
            <rPr>
              <rFont val="Calibri"/>
              <sz val="10"/>
            </rPr>
            <t xml:space="preserve"> Medium</t>
          </r>
        </is>
      </c>
      <c r="Z28" s="12" t="inlineStr">
        <is>
          <t>—</t>
        </is>
      </c>
      <c r="AA28" s="12" t="inlineStr">
        <is>
          <t>Nothing outstanding</t>
        </is>
      </c>
      <c r="AB2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28" s="84" t="n"/>
      <c r="AD28" s="84" t="n"/>
      <c r="AE28" s="84" t="n"/>
      <c r="AF28" s="12" t="n">
        <v>2.5</v>
      </c>
    </row>
    <row r="29" ht="379" customHeight="1">
      <c r="A29" s="12" t="inlineStr">
        <is>
          <t>IRIS1774</t>
        </is>
      </c>
      <c r="B29" s="10" t="inlineStr">
        <is>
          <t>Tabassum Ali</t>
        </is>
      </c>
      <c r="C29" s="12" t="inlineStr">
        <is>
          <t>Digitizing</t>
        </is>
      </c>
      <c r="D29" s="12" t="inlineStr">
        <is>
          <t>Image Processing Specialist</t>
        </is>
      </c>
      <c r="E29" s="85" t="inlineStr">
        <is>
          <t>Senior Digitization Associate</t>
        </is>
      </c>
      <c r="F29" s="12" t="inlineStr">
        <is>
          <t>Data Operations &amp; Digitization</t>
        </is>
      </c>
      <c r="G29" s="12" t="inlineStr">
        <is>
          <t>Document Conversion, Formatting &amp; Web Publishing</t>
        </is>
      </c>
      <c r="H29" s="12" t="inlineStr">
        <is>
          <t>IC</t>
        </is>
      </c>
      <c r="I29" s="42" t="inlineStr">
        <is>
          <t>L3 – Professional / Associate</t>
        </is>
      </c>
      <c r="J29" s="16" t="inlineStr">
        <is>
          <t>A3</t>
        </is>
      </c>
      <c r="K29" s="17" t="inlineStr">
        <is>
          <t>Senior Associate</t>
        </is>
      </c>
      <c r="L29" s="87" t="inlineStr">
        <is>
          <t>▲ Up</t>
        </is>
      </c>
      <c r="M29" s="12" t="inlineStr">
        <is>
          <t>CARBON · Digitizing · Band A · Early career</t>
        </is>
      </c>
      <c r="N29" s="42" t="n">
        <v>3</v>
      </c>
      <c r="O29" s="42" t="n">
        <v>3</v>
      </c>
      <c r="P29" s="42" t="n">
        <v>2.5</v>
      </c>
      <c r="Q29" s="42" t="n">
        <v>1.5</v>
      </c>
      <c r="R29" s="42" t="n">
        <v>6</v>
      </c>
      <c r="S29" s="80" t="n">
        <v>3</v>
      </c>
      <c r="T29" s="81">
        <f>IF(OR($M29="",COUNT(N29,O29,P29,Q29,R29,S29)&lt;6),"",IFERROR(N29*INDEX(WM_C,MATCH($M29,WM_KEY,0))+O29*INDEX(WM_AU,MATCH($M29,WM_KEY,0))+P29*INDEX(WM_AC,MATCH($M29,WM_KEY,0))+Q29*INDEX(WM_L,MATCH($M29,WM_KEY,0))+R29*INDEX(WM_E,MATCH($M29,WM_KEY,0))+S29*INDEX(WM_BI,MATCH($M29,WM_KEY,0)),""))</f>
        <v>3.23</v>
      </c>
      <c r="U29" s="42" t="str">
        <f>IF(T29="","",INDEX({"A1","A2","A3","B1","B2","B3","C1","C2","D1","D2","E1","E2"},MAX(1,MIN(12,ROUND(T29,0)))))</f>
        <v>A3</v>
      </c>
      <c r="V29" s="12" t="inlineStr">
        <is>
          <r>
            <rPr>
              <rFont val="Calibri"/>
              <sz val="10"/>
            </rPr>
            <t xml:space="preserve">New level A3 · Senior Associate. Current level on record: L3 – Professional / Associate. Change: ▲ Up.
Score 3.23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9" s="12" t="inlineStr">
        <is>
          <r>
            <rPr>
              <rFont val="Calibri"/>
              <b val="1"/>
              <sz val="10"/>
            </rPr>
            <t>Complexity &amp; Expertise:</t>
          </r>
          <r>
            <rPr>
              <rFont val="Calibri"/>
              <sz val="10"/>
            </rPr>
            <t xml:space="preserve"> 3 of 12 — Start: 3.0 · senior practitioner title; Evidence: rated like 8 colleagues in the same role and department · no usable answers of their own → no change; KRA: “1. Complete assigned conversion/formatting tasks with &gt;=99% accuracy · zero critical errors 2. Meet 100% of client filing deadlines (no SLA…”
</t>
          </r>
          <r>
            <rPr>
              <rFont val="Calibri"/>
              <b val="1"/>
              <sz val="10"/>
            </rPr>
            <t>Autonomy &amp; Decision:</t>
          </r>
          <r>
            <rPr>
              <rFont val="Calibri"/>
              <sz val="10"/>
            </rPr>
            <t xml:space="preserve"> 3 of 12 — Start: 3.0 · senior practitioner title; Evidence: rated like 8 colleagues in the same role and department · no usable answers of their own → no change
</t>
          </r>
          <r>
            <rPr>
              <rFont val="Calibri"/>
              <b val="1"/>
              <sz val="10"/>
            </rPr>
            <t>Accountability &amp; Impact:</t>
          </r>
          <r>
            <rPr>
              <rFont val="Calibri"/>
              <sz val="10"/>
            </rPr>
            <t xml:space="preserve"> 2.5 of 12 · between A2 and A3 — Start: 3.0 · senior practitioner title; Evidence: rated like 8 colleagues in the same role and department · no usable answers of their own → moved −0.5; KRA: “1. Complete assigned conversion/formatting tasks with &gt;=99% accuracy · zero critical errors 2. Meet 100% of client filing deadlines (no SLA…”
</t>
          </r>
          <r>
            <rPr>
              <rFont val="Calibri"/>
              <b val="1"/>
              <sz val="10"/>
            </rPr>
            <t>Leadership &amp; Strategy:</t>
          </r>
          <r>
            <rPr>
              <rFont val="Calibri"/>
              <sz val="10"/>
            </rPr>
            <t xml:space="preserve"> 1.5 of 12 · between A1 and A2 — not counted: the weight is 0% at this level — Start: 2.0 · individual contributor, so influence only; Evidence: rated like 8 colleagues in the same role and department · no usable answers of their own → moved −0.5; Team: 0 direct reports · IC
</t>
          </r>
          <r>
            <rPr>
              <rFont val="Calibri"/>
              <b val="1"/>
              <sz val="10"/>
            </rPr>
            <t>Experience &amp; Qualification:</t>
          </r>
          <r>
            <rPr>
              <rFont val="Calibri"/>
              <sz val="10"/>
            </rPr>
            <t xml:space="preserve"> 6 of 12 — Experience: 9.4 yrs total · 1.9 before IRIS + 7.5 at IRIS = 5.8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29"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29" s="12" t="inlineStr">
        <is>
          <r>
            <rPr>
              <rFont val="Calibri"/>
              <sz val="10"/>
            </rPr>
            <t xml:space="preserve">✓ HRIS: 9.4 yrs, B.Com, 0 direct reports
✗ Survey: no response
✓ KRAs: submitted
✓ Manager mapping: rating, potential, 9-box
✗ Job description: not on file
</t>
          </r>
          <r>
            <rPr>
              <rFont val="Calibri"/>
              <b val="1"/>
              <sz val="10"/>
            </rPr>
            <t>Confidence:</t>
          </r>
          <r>
            <rPr>
              <rFont val="Calibri"/>
              <sz val="10"/>
            </rPr>
            <t xml:space="preserve"> Low</t>
          </r>
        </is>
      </c>
      <c r="Z29" s="12" t="inlineStr">
        <is>
          <t>—</t>
        </is>
      </c>
      <c r="AA29" s="12" t="inlineStr">
        <is>
          <t>Nothing outstanding</t>
        </is>
      </c>
      <c r="AB2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29" s="84" t="n"/>
      <c r="AD29" s="84" t="n"/>
      <c r="AE29" s="84" t="n"/>
      <c r="AF29" s="12" t="n">
        <v>3</v>
      </c>
    </row>
    <row r="30" ht="379" customHeight="1">
      <c r="A30" s="12" t="inlineStr">
        <is>
          <t>IRISC131</t>
        </is>
      </c>
      <c r="B30" s="10" t="inlineStr">
        <is>
          <t>Vanita Gaikwad</t>
        </is>
      </c>
      <c r="C30" s="12" t="inlineStr">
        <is>
          <t>Digitizing</t>
        </is>
      </c>
      <c r="D30" s="12" t="inlineStr">
        <is>
          <t>Consultant</t>
        </is>
      </c>
      <c r="E30" s="85" t="inlineStr">
        <is>
          <t>Senior Digitization Associate</t>
        </is>
      </c>
      <c r="F30" s="12" t="inlineStr">
        <is>
          <t>Data Operations &amp; Digitization</t>
        </is>
      </c>
      <c r="G30" s="12" t="inlineStr">
        <is>
          <t>Document Conversion, Formatting &amp; Web Publishing</t>
        </is>
      </c>
      <c r="H30" s="12" t="inlineStr">
        <is>
          <t>IC</t>
        </is>
      </c>
      <c r="I30" s="42" t="inlineStr">
        <is>
          <t>L3 – Professional / Associate</t>
        </is>
      </c>
      <c r="J30" s="16" t="inlineStr">
        <is>
          <t>A3</t>
        </is>
      </c>
      <c r="K30" s="17" t="inlineStr">
        <is>
          <t>Senior Associate</t>
        </is>
      </c>
      <c r="L30" s="87" t="inlineStr">
        <is>
          <t>▲ Up</t>
        </is>
      </c>
      <c r="M30" s="12" t="inlineStr">
        <is>
          <t>CARBON · Digitizing · Band A · Early career</t>
        </is>
      </c>
      <c r="N30" s="42" t="n">
        <v>2</v>
      </c>
      <c r="O30" s="42" t="n">
        <v>2</v>
      </c>
      <c r="P30" s="42" t="n">
        <v>2</v>
      </c>
      <c r="Q30" s="42" t="n">
        <v>1</v>
      </c>
      <c r="R30" s="42" t="n">
        <v>5</v>
      </c>
      <c r="S30" s="80" t="n">
        <v>2.5</v>
      </c>
      <c r="T30" s="81">
        <f>IF(OR($M30="",COUNT(N30,O30,P30,Q30,R30,S30)&lt;6),"",IFERROR(N30*INDEX(WM_C,MATCH($M30,WM_KEY,0))+O30*INDEX(WM_AU,MATCH($M30,WM_KEY,0))+P30*INDEX(WM_AC,MATCH($M30,WM_KEY,0))+Q30*INDEX(WM_L,MATCH($M30,WM_KEY,0))+R30*INDEX(WM_E,MATCH($M30,WM_KEY,0))+S30*INDEX(WM_BI,MATCH($M30,WM_KEY,0)),""))</f>
        <v>2.33</v>
      </c>
      <c r="U30" s="42" t="str">
        <f>IF(T30="","",INDEX({"A1","A2","A3","B1","B2","B3","C1","C2","D1","D2","E1","E2"},MAX(1,MIN(12,ROUND(T30,0)))))</f>
        <v>A2</v>
      </c>
      <c r="V30" s="12" t="inlineStr">
        <is>
          <r>
            <rPr>
              <rFont val="Calibri"/>
              <sz val="10"/>
            </rPr>
            <t xml:space="preserve">New level A3 · Senior Associate. Current level on record: L3 – Professional / Associate. Change: ▲ Up.
Score 2.33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7.9 years' experience is 2 years or more.
</t>
          </r>
          <r>
            <rPr>
              <rFont val="Calibri"/>
              <b val="1"/>
              <sz val="10"/>
            </rPr>
            <t>Final level:</t>
          </r>
          <r>
            <rPr>
              <rFont val="Calibri"/>
              <sz val="10"/>
            </rPr>
            <t xml:space="preserve"> A3.</t>
          </r>
        </is>
      </c>
      <c r="W30" s="12" t="inlineStr">
        <is>
          <r>
            <rPr>
              <rFont val="Calibri"/>
              <b val="1"/>
              <sz val="10"/>
            </rPr>
            <t>Complexity &amp; Expertise:</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Autonomy &amp; Decision:</t>
          </r>
          <r>
            <rPr>
              <rFont val="Calibri"/>
              <sz val="10"/>
            </rPr>
            <t xml:space="preserve"> 2 of 12 — Start: 2.0 · practitioner title; Evidence: rated like 8 colleagues in the same role and department · own answers too general to rate → no change
</t>
          </r>
          <r>
            <rPr>
              <rFont val="Calibri"/>
              <b val="1"/>
              <sz val="10"/>
            </rPr>
            <t>Accountability &amp; Impact:</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rated like 8 colleagues in the same role and department · own answers too general to rate → no change; Team: 0 direct reports · IC
</t>
          </r>
          <r>
            <rPr>
              <rFont val="Calibri"/>
              <b val="1"/>
              <sz val="10"/>
            </rPr>
            <t>Experience &amp; Qualification:</t>
          </r>
          <r>
            <rPr>
              <rFont val="Calibri"/>
              <sz val="10"/>
            </rPr>
            <t xml:space="preserve"> 5 of 12 — Experience: 7.9 yrs total · 7.9 at IRIS; none recorded before IRIS = 5.2 on the experience scale; Note: the record looks incomplete, so this is a minimum · HR to confirm; Qualification: BA · graduate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30" s="12" t="inlineStr">
        <is>
          <r>
            <rPr>
              <rFont val="Calibri"/>
              <b val="1"/>
              <sz val="10"/>
            </rPr>
            <t>Market level:</t>
          </r>
          <r>
            <rPr>
              <rFont val="Calibri"/>
              <sz val="10"/>
            </rPr>
            <t xml:space="preserve"> P2 · SFIA 3 Apply
</t>
          </r>
          <r>
            <rPr>
              <rFont val="Calibri"/>
              <b val="1"/>
              <sz val="10"/>
            </rPr>
            <t>Typical title:</t>
          </r>
          <r>
            <rPr>
              <rFont val="Calibri"/>
              <sz val="10"/>
            </rPr>
            <t xml:space="preserve"> Senior Associate
</t>
          </r>
          <r>
            <rPr>
              <rFont val="Calibri"/>
              <b val="1"/>
              <sz val="10"/>
            </rPr>
            <t>At peers:</t>
          </r>
          <r>
            <rPr>
              <rFont val="Calibri"/>
              <sz val="10"/>
            </rPr>
            <t xml:space="preserve"> DataTracks – Senior Associate · 2–5 yrs · Accenture Operations – L10 Senior Analyst · IRIS Vs Competitor Benchmark — operations roles: Senior Processor / QC
</t>
          </r>
          <r>
            <rPr>
              <rFont val="Calibri"/>
              <b val="1"/>
              <sz val="10"/>
            </rPr>
            <t>Typical experience:</t>
          </r>
          <r>
            <rPr>
              <rFont val="Calibri"/>
              <sz val="10"/>
            </rPr>
            <t xml:space="preserve"> 2–5 yrs · IRIS guide 2–4
</t>
          </r>
          <r>
            <rPr>
              <rFont val="Calibri"/>
              <b val="1"/>
              <sz val="10"/>
            </rPr>
            <t>Standard:</t>
          </r>
          <r>
            <rPr>
              <rFont val="Calibri"/>
              <sz val="10"/>
            </rPr>
            <t xml:space="preserve"> COPC CX Standard; ISO 9001</t>
          </r>
        </is>
      </c>
      <c r="Y30" s="12" t="inlineStr">
        <is>
          <r>
            <rPr>
              <rFont val="Calibri"/>
              <sz val="10"/>
            </rPr>
            <t xml:space="preserve">✓ HRIS: 7.9 yrs, BA, 0 direct reports
✓ Survey: 19 of 20 questions answered
✓ KRAs: submitted, reported deliverables
✓ Manager mapping: rating, potential, 9-box
✗ Job description: not on file
</t>
          </r>
          <r>
            <rPr>
              <rFont val="Calibri"/>
              <b val="1"/>
              <sz val="10"/>
            </rPr>
            <t>Confidence:</t>
          </r>
          <r>
            <rPr>
              <rFont val="Calibri"/>
              <sz val="10"/>
            </rPr>
            <t xml:space="preserve"> Low</t>
          </r>
        </is>
      </c>
      <c r="Z30" s="12" t="inlineStr">
        <is>
          <t>—</t>
        </is>
      </c>
      <c r="AA30" s="83" t="inlineStr">
        <is>
          <t>• Correct the experience record — HR</t>
        </is>
      </c>
      <c r="AB3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delays · rework · errors · quality · incorrect.
Manager talent mapping — Latest rating: 3 · Potential: Medium · 9-Box Grid placement: Core Contributor.</t>
          </r>
        </is>
      </c>
      <c r="AC30" s="84" t="n"/>
      <c r="AD30" s="84" t="n"/>
      <c r="AE30" s="84" t="n"/>
      <c r="AF30" s="12" t="n">
        <v>2.5</v>
      </c>
    </row>
    <row r="31" ht="379" customHeight="1">
      <c r="A31" s="12" t="inlineStr">
        <is>
          <t>IRISC332</t>
        </is>
      </c>
      <c r="B31" s="10" t="inlineStr">
        <is>
          <t>Aditya Kumar Diwakar</t>
        </is>
      </c>
      <c r="C31" s="12" t="inlineStr">
        <is>
          <t>Digitizing</t>
        </is>
      </c>
      <c r="D31" s="12" t="inlineStr">
        <is>
          <t>Consultant</t>
        </is>
      </c>
      <c r="E31" s="85" t="inlineStr">
        <is>
          <t>Digitization Associate</t>
        </is>
      </c>
      <c r="F31" s="12" t="inlineStr">
        <is>
          <t>Data Operations &amp; Digitization</t>
        </is>
      </c>
      <c r="G31" s="12" t="inlineStr">
        <is>
          <t>Document Conversion, Formatting &amp; Web Publishing</t>
        </is>
      </c>
      <c r="H31" s="12" t="inlineStr">
        <is>
          <t>IC</t>
        </is>
      </c>
      <c r="I31" s="42" t="inlineStr">
        <is>
          <t>L3 – Professional / Associate</t>
        </is>
      </c>
      <c r="J31" s="16" t="inlineStr">
        <is>
          <t>A2</t>
        </is>
      </c>
      <c r="K31" s="17" t="inlineStr">
        <is>
          <t>Associate</t>
        </is>
      </c>
      <c r="L31" s="88" t="inlineStr">
        <is>
          <t>• Same level</t>
        </is>
      </c>
      <c r="M31" s="12" t="inlineStr">
        <is>
          <t>CARBON · Digitizing · Band A · Early career</t>
        </is>
      </c>
      <c r="N31" s="42" t="n">
        <v>2</v>
      </c>
      <c r="O31" s="42" t="n">
        <v>2</v>
      </c>
      <c r="P31" s="42" t="n">
        <v>2</v>
      </c>
      <c r="Q31" s="42" t="n">
        <v>1</v>
      </c>
      <c r="R31" s="42" t="n">
        <v>1</v>
      </c>
      <c r="S31" s="80" t="n">
        <v>2.5</v>
      </c>
      <c r="T31" s="81">
        <f>IF(OR($M31="",COUNT(N31,O31,P31,Q31,R31,S31)&lt;6),"",IFERROR(N31*INDEX(WM_C,MATCH($M31,WM_KEY,0))+O31*INDEX(WM_AU,MATCH($M31,WM_KEY,0))+P31*INDEX(WM_AC,MATCH($M31,WM_KEY,0))+Q31*INDEX(WM_L,MATCH($M31,WM_KEY,0))+R31*INDEX(WM_E,MATCH($M31,WM_KEY,0))+S31*INDEX(WM_BI,MATCH($M31,WM_KEY,0)),""))</f>
        <v>1.93</v>
      </c>
      <c r="U31" s="42" t="str">
        <f>IF(T31="","",INDEX({"A1","A2","A3","B1","B2","B3","C1","C2","D1","D2","E1","E2"},MAX(1,MIN(12,ROUND(T31,0)))))</f>
        <v>A2</v>
      </c>
      <c r="V31" s="12" t="inlineStr">
        <is>
          <r>
            <rPr>
              <rFont val="Calibri"/>
              <sz val="10"/>
            </rPr>
            <t xml:space="preserve">New level A2 · Associate. Current level on record: L3 – Professional / Associate. Change: • Same level.
Score 1.93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1" s="12" t="inlineStr">
        <is>
          <r>
            <rPr>
              <rFont val="Calibri"/>
              <b val="1"/>
              <sz val="10"/>
            </rPr>
            <t>Complexity &amp; Expertise:</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Autonomy &amp; Decision:</t>
          </r>
          <r>
            <rPr>
              <rFont val="Calibri"/>
              <sz val="10"/>
            </rPr>
            <t xml:space="preserve"> 2 of 12 — Start: 2.0 · practitioner title; Evidence: rated like 8 colleagues in the same role and department · own answers too general to rate → no change
</t>
          </r>
          <r>
            <rPr>
              <rFont val="Calibri"/>
              <b val="1"/>
              <sz val="10"/>
            </rPr>
            <t>Accountability &amp; Impact:</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rated like 8 colleagues in the same role and department · own answers too general to rate → no change; Team: 0 direct reports · IC
</t>
          </r>
          <r>
            <rPr>
              <rFont val="Calibri"/>
              <b val="1"/>
              <sz val="10"/>
            </rPr>
            <t>Experience &amp; Qualification:</t>
          </r>
          <r>
            <rPr>
              <rFont val="Calibri"/>
              <sz val="10"/>
            </rPr>
            <t xml:space="preserve"> 1 of 12 — Experience: 0.7 yrs total · 0.7 at IRIS; none recorded before IRIS = 1.7 on the experience scale; Qualification: Undergraduate · below graduate → −0.5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31"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 Processor / Senior Associate
</t>
          </r>
          <r>
            <rPr>
              <rFont val="Calibri"/>
              <b val="1"/>
              <sz val="10"/>
            </rPr>
            <t>At peers:</t>
          </r>
          <r>
            <rPr>
              <rFont val="Calibri"/>
              <sz val="10"/>
            </rPr>
            <t xml:space="preserve"> DataTracks – Associate · Accenture Operations – L11 Analyst · IRIS Vs Competitor Benchmark — operations roles: Processor / Agent
</t>
          </r>
          <r>
            <rPr>
              <rFont val="Calibri"/>
              <b val="1"/>
              <sz val="10"/>
            </rPr>
            <t>Typical experience:</t>
          </r>
          <r>
            <rPr>
              <rFont val="Calibri"/>
              <sz val="10"/>
            </rPr>
            <t xml:space="preserve"> 0–3 yrs · IRIS guide 0–2
</t>
          </r>
          <r>
            <rPr>
              <rFont val="Calibri"/>
              <b val="1"/>
              <sz val="10"/>
            </rPr>
            <t>Standard:</t>
          </r>
          <r>
            <rPr>
              <rFont val="Calibri"/>
              <sz val="10"/>
            </rPr>
            <t xml:space="preserve"> COPC CX Standard; ISO 9001</t>
          </r>
        </is>
      </c>
      <c r="Y31" s="12" t="inlineStr">
        <is>
          <r>
            <rPr>
              <rFont val="Calibri"/>
              <sz val="10"/>
            </rPr>
            <t xml:space="preserve">✓ HRIS: 0.7 yrs, Undergraduate, 0 direct reports
✓ Survey: 18 of 20 questions answered
✓ KRAs: submitted, reported deliverables
✓ Manager mapping: rating, potential, 9-box
✗ Job description: not on file
</t>
          </r>
          <r>
            <rPr>
              <rFont val="Calibri"/>
              <b val="1"/>
              <sz val="10"/>
            </rPr>
            <t>Confidence:</t>
          </r>
          <r>
            <rPr>
              <rFont val="Calibri"/>
              <sz val="10"/>
            </rPr>
            <t xml:space="preserve"> Low</t>
          </r>
        </is>
      </c>
      <c r="Z31" s="12" t="inlineStr">
        <is>
          <t>—</t>
        </is>
      </c>
      <c r="AA31" s="12" t="inlineStr">
        <is>
          <t>Nothing outstanding</t>
        </is>
      </c>
      <c r="AB31"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delivery · incorrect · errors.
Manager talent mapping — Latest rating: 3 · Potential: Medium · 9-Box Grid placement: Core Contributor.</t>
          </r>
        </is>
      </c>
      <c r="AC31" s="84" t="n"/>
      <c r="AD31" s="84" t="n"/>
      <c r="AE31" s="84" t="n"/>
      <c r="AF31" s="12" t="n">
        <v>2.5</v>
      </c>
    </row>
    <row r="32" ht="379" customHeight="1">
      <c r="A32" s="12" t="inlineStr">
        <is>
          <t>IRISC324</t>
        </is>
      </c>
      <c r="B32" s="10" t="inlineStr">
        <is>
          <t>Kajal Srivastava</t>
        </is>
      </c>
      <c r="C32" s="12" t="inlineStr">
        <is>
          <t>Digitizing</t>
        </is>
      </c>
      <c r="D32" s="12" t="inlineStr">
        <is>
          <t>Consultant</t>
        </is>
      </c>
      <c r="E32" s="85" t="inlineStr">
        <is>
          <t>Digitization Associate</t>
        </is>
      </c>
      <c r="F32" s="12" t="inlineStr">
        <is>
          <t>Data Operations &amp; Digitization</t>
        </is>
      </c>
      <c r="G32" s="12" t="inlineStr">
        <is>
          <t>Document Conversion, Formatting &amp; Web Publishing</t>
        </is>
      </c>
      <c r="H32" s="12" t="inlineStr">
        <is>
          <t>IC</t>
        </is>
      </c>
      <c r="I32" s="42" t="inlineStr">
        <is>
          <t>L3 – Professional / Associate</t>
        </is>
      </c>
      <c r="J32" s="16" t="inlineStr">
        <is>
          <t>A2</t>
        </is>
      </c>
      <c r="K32" s="17" t="inlineStr">
        <is>
          <t>Associate</t>
        </is>
      </c>
      <c r="L32" s="88" t="inlineStr">
        <is>
          <t>• Same level</t>
        </is>
      </c>
      <c r="M32" s="12" t="inlineStr">
        <is>
          <t>CARBON · Digitizing · Band A · Early career</t>
        </is>
      </c>
      <c r="N32" s="42" t="n">
        <v>2</v>
      </c>
      <c r="O32" s="42" t="n">
        <v>2</v>
      </c>
      <c r="P32" s="42" t="n">
        <v>2</v>
      </c>
      <c r="Q32" s="42" t="n">
        <v>1</v>
      </c>
      <c r="R32" s="42" t="n">
        <v>2</v>
      </c>
      <c r="S32" s="80" t="n">
        <v>2.5</v>
      </c>
      <c r="T32" s="81">
        <f>IF(OR($M32="",COUNT(N32,O32,P32,Q32,R32,S32)&lt;6),"",IFERROR(N32*INDEX(WM_C,MATCH($M32,WM_KEY,0))+O32*INDEX(WM_AU,MATCH($M32,WM_KEY,0))+P32*INDEX(WM_AC,MATCH($M32,WM_KEY,0))+Q32*INDEX(WM_L,MATCH($M32,WM_KEY,0))+R32*INDEX(WM_E,MATCH($M32,WM_KEY,0))+S32*INDEX(WM_BI,MATCH($M32,WM_KEY,0)),""))</f>
        <v>2.03</v>
      </c>
      <c r="U32" s="42" t="str">
        <f>IF(T32="","",INDEX({"A1","A2","A3","B1","B2","B3","C1","C2","D1","D2","E1","E2"},MAX(1,MIN(12,ROUND(T32,0)))))</f>
        <v>A2</v>
      </c>
      <c r="V32" s="12" t="inlineStr">
        <is>
          <r>
            <rPr>
              <rFont val="Calibri"/>
              <sz val="10"/>
            </rPr>
            <t xml:space="preserve">New level A2 · Associate. Current level on record: L3 – Professional / Associate. Change: • Same level.
Score 2.03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2" s="12" t="inlineStr">
        <is>
          <r>
            <rPr>
              <rFont val="Calibri"/>
              <b val="1"/>
              <sz val="10"/>
            </rPr>
            <t>Complexity &amp; Expertise:</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Autonomy &amp; Decision:</t>
          </r>
          <r>
            <rPr>
              <rFont val="Calibri"/>
              <sz val="10"/>
            </rPr>
            <t xml:space="preserve"> 2 of 12 — Start: 2.0 · practitioner title; Evidence: rated like 8 colleagues in the same role and department · own answers too general to rate → no change
</t>
          </r>
          <r>
            <rPr>
              <rFont val="Calibri"/>
              <b val="1"/>
              <sz val="10"/>
            </rPr>
            <t>Accountability &amp; Impact:</t>
          </r>
          <r>
            <rPr>
              <rFont val="Calibri"/>
              <sz val="10"/>
            </rPr>
            <t xml:space="preserve"> 2 of 12 — Start: 2.0 · practitioner title; Evidence: rated like 8 colleagues in the same role and department · own answers too general to rate → no change;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rated like 8 colleagues in the same role and department · own answers too general to rate → no change; Team: 0 direct reports · IC
</t>
          </r>
          <r>
            <rPr>
              <rFont val="Calibri"/>
              <b val="1"/>
              <sz val="10"/>
            </rPr>
            <t>Experience &amp; Qualification:</t>
          </r>
          <r>
            <rPr>
              <rFont val="Calibri"/>
              <sz val="10"/>
            </rPr>
            <t xml:space="preserve"> 2 of 12 — Experience: 1.3 yrs total · 0.5 before IRIS + 0.8 at IRIS = 2.1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32"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 Processor / Senior Associate
</t>
          </r>
          <r>
            <rPr>
              <rFont val="Calibri"/>
              <b val="1"/>
              <sz val="10"/>
            </rPr>
            <t>At peers:</t>
          </r>
          <r>
            <rPr>
              <rFont val="Calibri"/>
              <sz val="10"/>
            </rPr>
            <t xml:space="preserve"> DataTracks – Associate · Accenture Operations – L11 Analyst · IRIS Vs Competitor Benchmark — operations roles: Processor / Agent
</t>
          </r>
          <r>
            <rPr>
              <rFont val="Calibri"/>
              <b val="1"/>
              <sz val="10"/>
            </rPr>
            <t>Typical experience:</t>
          </r>
          <r>
            <rPr>
              <rFont val="Calibri"/>
              <sz val="10"/>
            </rPr>
            <t xml:space="preserve"> 0–3 yrs · IRIS guide 0–2
</t>
          </r>
          <r>
            <rPr>
              <rFont val="Calibri"/>
              <b val="1"/>
              <sz val="10"/>
            </rPr>
            <t>Standard:</t>
          </r>
          <r>
            <rPr>
              <rFont val="Calibri"/>
              <sz val="10"/>
            </rPr>
            <t xml:space="preserve"> COPC CX Standard; ISO 9001</t>
          </r>
        </is>
      </c>
      <c r="Y32" s="12" t="inlineStr">
        <is>
          <r>
            <rPr>
              <rFont val="Calibri"/>
              <sz val="10"/>
            </rPr>
            <t xml:space="preserve">✓ HRIS: 1.3 yrs, B.Com, 0 direct reports
✓ Survey: 19 of 20 questions answered
✓ KRAs: submitted, reported deliverables
✓ Manager mapping: rating, potential, 9-box
✗ Job description: not on file
</t>
          </r>
          <r>
            <rPr>
              <rFont val="Calibri"/>
              <b val="1"/>
              <sz val="10"/>
            </rPr>
            <t>Confidence:</t>
          </r>
          <r>
            <rPr>
              <rFont val="Calibri"/>
              <sz val="10"/>
            </rPr>
            <t xml:space="preserve"> Low</t>
          </r>
        </is>
      </c>
      <c r="Z32" s="12" t="inlineStr">
        <is>
          <t>—</t>
        </is>
      </c>
      <c r="AA32" s="12" t="inlineStr">
        <is>
          <t>Nothing outstanding</t>
        </is>
      </c>
      <c r="AB32"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delivery · incorrect · errors.
Manager talent mapping — Latest rating: 3 · Potential: Medium · 9-Box Grid placement: Core Contributor.</t>
          </r>
        </is>
      </c>
      <c r="AC32" s="84" t="n"/>
      <c r="AD32" s="84" t="n"/>
      <c r="AE32" s="84" t="n"/>
      <c r="AF32" s="12" t="n">
        <v>2.5</v>
      </c>
    </row>
    <row r="33" ht="379" customHeight="1">
      <c r="A33" s="12" t="inlineStr">
        <is>
          <t>IRISC327</t>
        </is>
      </c>
      <c r="B33" s="10" t="inlineStr">
        <is>
          <t>Satyajeet Patil</t>
        </is>
      </c>
      <c r="C33" s="12" t="inlineStr">
        <is>
          <t>Digitizing</t>
        </is>
      </c>
      <c r="D33" s="12" t="inlineStr">
        <is>
          <t>Consultant</t>
        </is>
      </c>
      <c r="E33" s="85" t="inlineStr">
        <is>
          <t>Digitization Associate</t>
        </is>
      </c>
      <c r="F33" s="12" t="inlineStr">
        <is>
          <t>Data Operations &amp; Digitization</t>
        </is>
      </c>
      <c r="G33" s="12" t="inlineStr">
        <is>
          <t>Document Conversion, Formatting &amp; Web Publishing</t>
        </is>
      </c>
      <c r="H33" s="12" t="inlineStr">
        <is>
          <t>IC</t>
        </is>
      </c>
      <c r="I33" s="42" t="inlineStr">
        <is>
          <t>L3 – Professional / Associate</t>
        </is>
      </c>
      <c r="J33" s="16" t="inlineStr">
        <is>
          <t>A2</t>
        </is>
      </c>
      <c r="K33" s="17" t="inlineStr">
        <is>
          <t>Associate</t>
        </is>
      </c>
      <c r="L33" s="88" t="inlineStr">
        <is>
          <t>• Same level</t>
        </is>
      </c>
      <c r="M33" s="12" t="inlineStr">
        <is>
          <t>CARBON · Digitizing · Band A · Early career</t>
        </is>
      </c>
      <c r="N33" s="42" t="n">
        <v>2</v>
      </c>
      <c r="O33" s="42" t="n">
        <v>1.5</v>
      </c>
      <c r="P33" s="42" t="n">
        <v>2</v>
      </c>
      <c r="Q33" s="42" t="n">
        <v>1</v>
      </c>
      <c r="R33" s="42" t="n">
        <v>2</v>
      </c>
      <c r="S33" s="80" t="n">
        <v>2.5</v>
      </c>
      <c r="T33" s="81">
        <f>IF(OR($M33="",COUNT(N33,O33,P33,Q33,R33,S33)&lt;6),"",IFERROR(N33*INDEX(WM_C,MATCH($M33,WM_KEY,0))+O33*INDEX(WM_AU,MATCH($M33,WM_KEY,0))+P33*INDEX(WM_AC,MATCH($M33,WM_KEY,0))+Q33*INDEX(WM_L,MATCH($M33,WM_KEY,0))+R33*INDEX(WM_E,MATCH($M33,WM_KEY,0))+S33*INDEX(WM_BI,MATCH($M33,WM_KEY,0)),""))</f>
        <v>1.95</v>
      </c>
      <c r="U33" s="42" t="str">
        <f>IF(T33="","",INDEX({"A1","A2","A3","B1","B2","B3","C1","C2","D1","D2","E1","E2"},MAX(1,MIN(12,ROUND(T33,0)))))</f>
        <v>A2</v>
      </c>
      <c r="V33" s="12" t="inlineStr">
        <is>
          <r>
            <rPr>
              <rFont val="Calibri"/>
              <sz val="10"/>
            </rPr>
            <t xml:space="preserve">New level A2 · Associate. Current level on record: L3 – Professional / Associate. Change: • Same level.
Score 1.95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3" s="12" t="inlineStr">
        <is>
          <r>
            <rPr>
              <rFont val="Calibri"/>
              <b val="1"/>
              <sz val="10"/>
            </rPr>
            <t>Complexity &amp; Expertise:</t>
          </r>
          <r>
            <rPr>
              <rFont val="Calibri"/>
              <sz val="10"/>
            </rPr>
            <t xml:space="preserve"> 2 of 12 — Start: 2.0 · practitioner title; Evidence reads like A2: US SEC / US DM formatting, data checking, HTML conversion to guidelines → matches the start; KRA: “1. Complete assigned conversion/formatting tasks with &gt;=99% accuracy · zero critical errors 2. Meet 100% of client filing deadlines (no SLA…”
</t>
          </r>
          <r>
            <rPr>
              <rFont val="Calibri"/>
              <b val="1"/>
              <sz val="10"/>
            </rPr>
            <t>Autonomy &amp; Decision:</t>
          </r>
          <r>
            <rPr>
              <rFont val="Calibri"/>
              <sz val="10"/>
            </rPr>
            <t xml:space="preserve"> 1.5 of 12 · between A1 and A2 — Start: 2.0 · practitioner title; Evidence reads like A1: States 'Not applicable'; follows guidelines → moved down 0.5
</t>
          </r>
          <r>
            <rPr>
              <rFont val="Calibri"/>
              <b val="1"/>
              <sz val="10"/>
            </rPr>
            <t>Accountability &amp; Impact:</t>
          </r>
          <r>
            <rPr>
              <rFont val="Calibri"/>
              <sz val="10"/>
            </rPr>
            <t xml:space="preserve"> 2 of 12 — Start: 2.0 · practitioner title; Evidence reads like A2: Own work; self-reviewed before sending to service team → matches the start; KRA: “1. Complete assigned conversion/formatting tasks with &gt;=99% accuracy · zero critical errors 2. Meet 100% of client filing deadlines (no SLA…”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 of 12 — Experience: 0.8 yrs total · 0.8 at IRIS; none recorded before IRIS = 1.8 on the experience scale; Qualification: BCA · graduate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33"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 Processor / Senior Associate
</t>
          </r>
          <r>
            <rPr>
              <rFont val="Calibri"/>
              <b val="1"/>
              <sz val="10"/>
            </rPr>
            <t>At peers:</t>
          </r>
          <r>
            <rPr>
              <rFont val="Calibri"/>
              <sz val="10"/>
            </rPr>
            <t xml:space="preserve"> DataTracks – Associate · Accenture Operations – L11 Analyst · IRIS Vs Competitor Benchmark — operations roles: Processor / Agent
</t>
          </r>
          <r>
            <rPr>
              <rFont val="Calibri"/>
              <b val="1"/>
              <sz val="10"/>
            </rPr>
            <t>Typical experience:</t>
          </r>
          <r>
            <rPr>
              <rFont val="Calibri"/>
              <sz val="10"/>
            </rPr>
            <t xml:space="preserve"> 0–3 yrs · IRIS guide 0–2
</t>
          </r>
          <r>
            <rPr>
              <rFont val="Calibri"/>
              <b val="1"/>
              <sz val="10"/>
            </rPr>
            <t>Standard:</t>
          </r>
          <r>
            <rPr>
              <rFont val="Calibri"/>
              <sz val="10"/>
            </rPr>
            <t xml:space="preserve"> COPC CX Standard; ISO 9001</t>
          </r>
        </is>
      </c>
      <c r="Y33" s="12" t="inlineStr">
        <is>
          <r>
            <rPr>
              <rFont val="Calibri"/>
              <sz val="10"/>
            </rPr>
            <t xml:space="preserve">✓ HRIS: 0.8 yrs, BCA,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33" s="12" t="inlineStr">
        <is>
          <t>—</t>
        </is>
      </c>
      <c r="AA33" s="12" t="inlineStr">
        <is>
          <t>Nothing outstanding</t>
        </is>
      </c>
      <c r="AB33"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delivery · incorrect · errors.
Manager talent mapping — Latest rating: 3 · Potential: Medium · 9-Box Grid placement: Core Contributor.</t>
          </r>
        </is>
      </c>
      <c r="AC33" s="84" t="n"/>
      <c r="AD33" s="84" t="n"/>
      <c r="AE33" s="84" t="n"/>
      <c r="AF33" s="12" t="n">
        <v>2.5</v>
      </c>
    </row>
    <row r="34" ht="379" customHeight="1">
      <c r="A34" s="12" t="inlineStr">
        <is>
          <t>IRIS2353</t>
        </is>
      </c>
      <c r="B34" s="10" t="inlineStr">
        <is>
          <t>Farzad Wadia</t>
        </is>
      </c>
      <c r="C34" s="12" t="inlineStr">
        <is>
          <t>Functional</t>
        </is>
      </c>
      <c r="D34" s="12" t="inlineStr">
        <is>
          <t>ESG Manager</t>
        </is>
      </c>
      <c r="E34" s="85" t="inlineStr">
        <is>
          <t>Product Manager</t>
        </is>
      </c>
      <c r="F34" s="12" t="inlineStr">
        <is>
          <t>Product Management</t>
        </is>
      </c>
      <c r="G34" s="12" t="inlineStr">
        <is>
          <t>Product Management</t>
        </is>
      </c>
      <c r="H34" s="12" t="inlineStr">
        <is>
          <t>People Manager</t>
        </is>
      </c>
      <c r="I34" s="42" t="inlineStr">
        <is>
          <t>Not in current mapping files</t>
        </is>
      </c>
      <c r="J34" s="20" t="inlineStr">
        <is>
          <t>B2</t>
        </is>
      </c>
      <c r="K34" s="21" t="inlineStr">
        <is>
          <t>Manager</t>
        </is>
      </c>
      <c r="L34" s="79" t="inlineStr">
        <is>
          <t>● Newly mapped</t>
        </is>
      </c>
      <c r="M34" s="12" t="inlineStr">
        <is>
          <t>CARBON · Functional · Band B · People Manager</t>
        </is>
      </c>
      <c r="N34" s="42" t="n">
        <v>5</v>
      </c>
      <c r="O34" s="42" t="n">
        <v>5</v>
      </c>
      <c r="P34" s="42" t="n">
        <v>5</v>
      </c>
      <c r="Q34" s="42" t="n">
        <v>4</v>
      </c>
      <c r="R34" s="42" t="n">
        <v>7.5</v>
      </c>
      <c r="S34" s="80" t="n">
        <v>5</v>
      </c>
      <c r="T34" s="81">
        <f>IF(OR($M34="",COUNT(N34,O34,P34,Q34,R34,S34)&lt;6),"",IFERROR(N34*INDEX(WM_C,MATCH($M34,WM_KEY,0))+O34*INDEX(WM_AU,MATCH($M34,WM_KEY,0))+P34*INDEX(WM_AC,MATCH($M34,WM_KEY,0))+Q34*INDEX(WM_L,MATCH($M34,WM_KEY,0))+R34*INDEX(WM_E,MATCH($M34,WM_KEY,0))+S34*INDEX(WM_BI,MATCH($M34,WM_KEY,0)),""))</f>
        <v>5.1</v>
      </c>
      <c r="U34" s="42" t="str">
        <f>IF(T34="","",INDEX({"A1","A2","A3","B1","B2","B3","C1","C2","D1","D2","E1","E2"},MAX(1,MIN(12,ROUND(T34,0)))))</f>
        <v>B2</v>
      </c>
      <c r="V34" s="12" t="inlineStr">
        <is>
          <r>
            <rPr>
              <rFont val="Calibri"/>
              <sz val="10"/>
            </rPr>
            <t xml:space="preserve">New level B2 · Manager. Current level on record: Not in current mapping files. Change: ● Newly mapped.
Score 5.10 on the ladder scale → indicated level B2.
</t>
          </r>
          <r>
            <rPr>
              <rFont val="Calibri"/>
              <b val="1"/>
              <sz val="10"/>
            </rPr>
            <t>Weights:</t>
          </r>
          <r>
            <rPr>
              <rFont val="Calibri"/>
              <sz val="10"/>
            </rPr>
            <t xml:space="preserve"> Complexity 37% · Autonomy 18% · Leadership 15% · Accountability 11%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4" s="12" t="inlineStr">
        <is>
          <r>
            <rPr>
              <rFont val="Calibri"/>
              <b val="1"/>
              <sz val="10"/>
            </rPr>
            <t>Complexity &amp; Expertise:</t>
          </r>
          <r>
            <rPr>
              <rFont val="Calibri"/>
              <sz val="10"/>
            </rPr>
            <t xml:space="preserve"> 5 of 12 — Start: 5.0 · manager / senior specialist title; Evidence reads like B2: own survey / KRA answers · summarised by the rater; not quoted → matches the start
</t>
          </r>
          <r>
            <rPr>
              <rFont val="Calibri"/>
              <b val="1"/>
              <sz val="10"/>
            </rPr>
            <t>Autonomy &amp; Decision:</t>
          </r>
          <r>
            <rPr>
              <rFont val="Calibri"/>
              <sz val="10"/>
            </rPr>
            <t xml:space="preserve"> 5 of 12 — Start: 5.0 · manager / senior specialist title; Evidence reads like B2: Decides 'most things' per self and manager note; no specific decisions named → matches the start
</t>
          </r>
          <r>
            <rPr>
              <rFont val="Calibri"/>
              <b val="1"/>
              <sz val="10"/>
            </rPr>
            <t>Accountability &amp; Impact:</t>
          </r>
          <r>
            <rPr>
              <rFont val="Calibri"/>
              <sz val="10"/>
            </rPr>
            <t xml:space="preserve"> 5 of 12 — Start: 4.5 · manager / senior specialist title; 5 direct reports, 6 people below; Evidence reads like B2: States 'everything' for the ESG product in market; team of 5 → moved up 0.5
</t>
          </r>
          <r>
            <rPr>
              <rFont val="Calibri"/>
              <b val="1"/>
              <sz val="10"/>
            </rPr>
            <t>Leadership &amp; Strategy:</t>
          </r>
          <r>
            <rPr>
              <rFont val="Calibri"/>
              <sz val="10"/>
            </rPr>
            <t xml:space="preserve"> 4 of 12 — Start: 4.0; Evidence reads like B1: Runs weekly reviews and updates; 5 direct reports → matches the start; Team: 5 direct reports · People Manager
</t>
          </r>
          <r>
            <rPr>
              <rFont val="Calibri"/>
              <b val="1"/>
              <sz val="10"/>
            </rPr>
            <t>Experience &amp; Qualification:</t>
          </r>
          <r>
            <rPr>
              <rFont val="Calibri"/>
              <sz val="10"/>
            </rPr>
            <t xml:space="preserve"> 7.5 of 12 · between C1 and C2 — Experience: 10.7 yrs total · 9.2 before IRIS + 1.5 at IRIS = 6.3 on the experience scale; Qualification: CA · professional, relevant to the work → +1.0
</t>
          </r>
          <r>
            <rPr>
              <rFont val="Calibri"/>
              <b val="1"/>
              <sz val="10"/>
            </rPr>
            <t>Business Impact:</t>
          </r>
          <r>
            <rPr>
              <rFont val="Calibri"/>
              <sz val="10"/>
            </rPr>
            <t xml:space="preserve"> 5 of 12 — a starting estimate. —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r>
        </is>
      </c>
      <c r="X34"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SaaS product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Pragmatic Institute Framework; AIPMM</t>
          </r>
        </is>
      </c>
      <c r="Y34" s="12" t="inlineStr">
        <is>
          <r>
            <rPr>
              <rFont val="Calibri"/>
              <sz val="10"/>
            </rPr>
            <t xml:space="preserve">✓ HRIS: 10.7 yrs, CA, 5 direct reports
✓ Survey: 20 of 20 questions answered
✓ KRAs: reported deliverables
✓ Manager mapping: rating, 9-box — filled from talent-mapping files: 9-box · CARBON grid
✓ Job description
</t>
          </r>
          <r>
            <rPr>
              <rFont val="Calibri"/>
              <b val="1"/>
              <sz val="10"/>
            </rPr>
            <t>Confidence:</t>
          </r>
          <r>
            <rPr>
              <rFont val="Calibri"/>
              <sz val="10"/>
            </rPr>
            <t xml:space="preserve"> Medium</t>
          </r>
        </is>
      </c>
      <c r="Z34" s="12" t="inlineStr">
        <is>
          <t>—</t>
        </is>
      </c>
      <c r="AA34" s="12" t="inlineStr">
        <is>
          <t>Nothing outstanding</t>
        </is>
      </c>
      <c r="AB34"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5 direct reports.
</t>
          </r>
          <r>
            <rPr>
              <rFont val="Calibri"/>
              <b val="1"/>
              <sz val="10"/>
            </rPr>
            <t>If the work is missed · role-holders' themes:</t>
          </r>
          <r>
            <rPr>
              <rFont val="Calibri"/>
              <sz val="10"/>
            </rPr>
            <t xml:space="preserve"> delays · client · revenue.
</t>
          </r>
          <r>
            <rPr>
              <rFont val="Calibri"/>
              <b val="1"/>
              <sz val="10"/>
            </rPr>
            <t>Measured on · manager-set KRA themes:</t>
          </r>
          <r>
            <rPr>
              <rFont val="Calibri"/>
              <sz val="10"/>
            </rPr>
            <t xml:space="preserve"> development participation · cash · market requirements · tech learning · support organizational · profitability.
Manager talent mapping — Latest rating: Not rated · manager · 9-Box Grid placement: Underperformer / Exit Risk.</t>
          </r>
        </is>
      </c>
      <c r="AC34" s="84" t="n"/>
      <c r="AD34" s="84" t="n"/>
      <c r="AE34" s="84" t="n"/>
      <c r="AF34" s="12" t="n">
        <v>5</v>
      </c>
    </row>
    <row r="35" ht="379" customHeight="1">
      <c r="A35" s="12" t="inlineStr">
        <is>
          <t>IRIS2143</t>
        </is>
      </c>
      <c r="B35" s="10" t="inlineStr">
        <is>
          <t>Shambo Mitra</t>
        </is>
      </c>
      <c r="C35" s="12" t="inlineStr">
        <is>
          <t>Functional</t>
        </is>
      </c>
      <c r="D35" s="12" t="inlineStr">
        <is>
          <t>ESG - Subject Matter Expert</t>
        </is>
      </c>
      <c r="E35" s="85" t="inlineStr">
        <is>
          <t>Senior Functional Specialist</t>
        </is>
      </c>
      <c r="F35" s="12" t="inlineStr">
        <is>
          <t>Solution Consulting &amp; Implementation</t>
        </is>
      </c>
      <c r="G35" s="12" t="inlineStr">
        <is>
          <t>Solution Consulting &amp; Implementation</t>
        </is>
      </c>
      <c r="H35" s="12" t="inlineStr">
        <is>
          <t>IC</t>
        </is>
      </c>
      <c r="I35" s="42" t="inlineStr">
        <is>
          <t>L3 – Professional / Associate</t>
        </is>
      </c>
      <c r="J35" s="20" t="inlineStr">
        <is>
          <t>B2</t>
        </is>
      </c>
      <c r="K35" s="21" t="inlineStr">
        <is>
          <t>Senior Specialist</t>
        </is>
      </c>
      <c r="L35" s="87" t="inlineStr">
        <is>
          <t>▲ Up</t>
        </is>
      </c>
      <c r="M35" s="12" t="inlineStr">
        <is>
          <t>CARBON · Functional · Band B · Expert / POD Lead</t>
        </is>
      </c>
      <c r="N35" s="42" t="n">
        <v>5</v>
      </c>
      <c r="O35" s="42" t="n">
        <v>5</v>
      </c>
      <c r="P35" s="42" t="n">
        <v>5</v>
      </c>
      <c r="Q35" s="42" t="n">
        <v>4</v>
      </c>
      <c r="R35" s="42" t="n">
        <v>5.5</v>
      </c>
      <c r="S35" s="80" t="n">
        <v>5.5</v>
      </c>
      <c r="T35" s="81">
        <f>IF(OR($M35="",COUNT(N35,O35,P35,Q35,R35,S35)&lt;6),"",IFERROR(N35*INDEX(WM_C,MATCH($M35,WM_KEY,0))+O35*INDEX(WM_AU,MATCH($M35,WM_KEY,0))+P35*INDEX(WM_AC,MATCH($M35,WM_KEY,0))+Q35*INDEX(WM_L,MATCH($M35,WM_KEY,0))+R35*INDEX(WM_E,MATCH($M35,WM_KEY,0))+S35*INDEX(WM_BI,MATCH($M35,WM_KEY,0)),""))</f>
        <v>5.035</v>
      </c>
      <c r="U35" s="42" t="str">
        <f>IF(T35="","",INDEX({"A1","A2","A3","B1","B2","B3","C1","C2","D1","D2","E1","E2"},MAX(1,MIN(12,ROUND(T35,0)))))</f>
        <v>B2</v>
      </c>
      <c r="V35" s="12" t="inlineStr">
        <is>
          <r>
            <rPr>
              <rFont val="Calibri"/>
              <sz val="10"/>
            </rPr>
            <t xml:space="preserve">New level B2 · Senior Specialist. Current level on record: L3 – Professional / Associate. Change: ▲ Up.
Score 5.04 on the ladder scale → indicated level B2.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5" s="12" t="inlineStr">
        <is>
          <r>
            <rPr>
              <rFont val="Calibri"/>
              <b val="1"/>
              <sz val="10"/>
            </rPr>
            <t>Complexity &amp; Expertise:</t>
          </r>
          <r>
            <rPr>
              <rFont val="Calibri"/>
              <sz val="10"/>
            </rPr>
            <t xml:space="preserve"> 5 of 12 — Start: 6.0 · senior manager / lead specialist title; Evidence reads like B1: Implements ESG product to client requirements; needs in-depth ESG framework and KPI knowledge → moved down 1; KRA: “Refer to a separate sheet”
</t>
          </r>
          <r>
            <rPr>
              <rFont val="Calibri"/>
              <b val="1"/>
              <sz val="10"/>
            </rPr>
            <t>Autonomy &amp; Decision:</t>
          </r>
          <r>
            <rPr>
              <rFont val="Calibri"/>
              <sz val="10"/>
            </rPr>
            <t xml:space="preserve"> 5 of 12 — Start: 6.0 · senior manager / lead specialist title; Evidence reads like A3: Prioritises own tasks across implementation work → moved down 1
</t>
          </r>
          <r>
            <rPr>
              <rFont val="Calibri"/>
              <b val="1"/>
              <sz val="10"/>
            </rPr>
            <t>Accountability &amp; Impact:</t>
          </r>
          <r>
            <rPr>
              <rFont val="Calibri"/>
              <sz val="10"/>
            </rPr>
            <t xml:space="preserve"> 5 of 12 — Start: 6.0 · senior manager / lead specialist title; Evidence reads like B1: Implementation and post-go-live support for ESG clients; client escalation if wrong → moved down 1; KRA: “Refer to a separate sheet”
</t>
          </r>
          <r>
            <rPr>
              <rFont val="Calibri"/>
              <b val="1"/>
              <sz val="10"/>
            </rPr>
            <t>Leadership &amp; Strategy:</t>
          </r>
          <r>
            <rPr>
              <rFont val="Calibri"/>
              <sz val="10"/>
            </rPr>
            <t xml:space="preserve"> 4 of 12 — Start: 5.0 · individual contributor, so influence only; Evidence reads like A2: Relays client requirements to product team; trains clients, not colleagues → moved down 1; Team: 0 direct reports · IC
</t>
          </r>
          <r>
            <rPr>
              <rFont val="Calibri"/>
              <b val="1"/>
              <sz val="10"/>
            </rPr>
            <t>Experience &amp; Qualification:</t>
          </r>
          <r>
            <rPr>
              <rFont val="Calibri"/>
              <sz val="10"/>
            </rPr>
            <t xml:space="preserve"> 5.5 of 12 · between B2 and B3 — Experience: 7.3 yrs total · 4.0 before IRIS + 3.3 at IRIS = 4.9 on the experience scale; Qualification: MBA · postgraduate, relevant to the work → +0.5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35" s="12" t="inlineStr">
        <is>
          <r>
            <rPr>
              <rFont val="Calibri"/>
              <b val="1"/>
              <sz val="10"/>
            </rPr>
            <t>Market level:</t>
          </r>
          <r>
            <rPr>
              <rFont val="Calibri"/>
              <sz val="10"/>
            </rPr>
            <t xml:space="preserve"> P4 / M3 · SFIA 4–5
</t>
          </r>
          <r>
            <rPr>
              <rFont val="Calibri"/>
              <b val="1"/>
              <sz val="10"/>
            </rPr>
            <t>Typical title:</t>
          </r>
          <r>
            <rPr>
              <rFont val="Calibri"/>
              <sz val="10"/>
            </rPr>
            <t xml:space="preserve"> Lead Consultant
</t>
          </r>
          <r>
            <rPr>
              <rFont val="Calibri"/>
              <b val="1"/>
              <sz val="10"/>
            </rPr>
            <t>At peers:</t>
          </r>
          <r>
            <rPr>
              <rFont val="Calibri"/>
              <sz val="10"/>
            </rPr>
            <t xml:space="preserve"> Big Four – Manager · Regnology – Senior BA
</t>
          </r>
          <r>
            <rPr>
              <rFont val="Calibri"/>
              <b val="1"/>
              <sz val="10"/>
            </rPr>
            <t>Typical experience:</t>
          </r>
          <r>
            <rPr>
              <rFont val="Calibri"/>
              <sz val="10"/>
            </rPr>
            <t xml:space="preserve"> 6–10 yrs · IRIS guide 6–9
</t>
          </r>
          <r>
            <rPr>
              <rFont val="Calibri"/>
              <b val="1"/>
              <sz val="10"/>
            </rPr>
            <t>Standard:</t>
          </r>
          <r>
            <rPr>
              <rFont val="Calibri"/>
              <sz val="10"/>
            </rPr>
            <t xml:space="preserve"> TSIA professional services; PMI</t>
          </r>
        </is>
      </c>
      <c r="Y35" s="12" t="inlineStr">
        <is>
          <r>
            <rPr>
              <rFont val="Calibri"/>
              <sz val="10"/>
            </rPr>
            <t xml:space="preserve">✓ HRIS: 7.3 yrs, MBA,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35" s="12" t="inlineStr">
        <is>
          <t>—</t>
        </is>
      </c>
      <c r="AA35" s="12" t="inlineStr">
        <is>
          <t>Nothing outstanding</t>
        </is>
      </c>
      <c r="AB35"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no.
</t>
          </r>
          <r>
            <rPr>
              <rFont val="Calibri"/>
              <b val="1"/>
              <sz val="10"/>
            </rPr>
            <t>If the work is missed · role-holders' themes:</t>
          </r>
          <r>
            <rPr>
              <rFont val="Calibri"/>
              <sz val="10"/>
            </rPr>
            <t xml:space="preserve"> client · market.
Manager talent mapping — Latest rating: 3 · Potential: Medium · 9-Box Grid placement: Reliable Specialist.</t>
          </r>
        </is>
      </c>
      <c r="AC35" s="84" t="n"/>
      <c r="AD35" s="84" t="n"/>
      <c r="AE35" s="84" t="n"/>
      <c r="AF35" s="12" t="n">
        <v>5.5</v>
      </c>
    </row>
    <row r="36" ht="379" customHeight="1">
      <c r="A36" s="12" t="inlineStr">
        <is>
          <t>IRIS2372</t>
        </is>
      </c>
      <c r="B36" s="10" t="inlineStr">
        <is>
          <t>Aakanksha Swaminathan</t>
        </is>
      </c>
      <c r="C36" s="12" t="inlineStr">
        <is>
          <t>Functional</t>
        </is>
      </c>
      <c r="D36" s="12" t="inlineStr">
        <is>
          <t>Functional Specialist</t>
        </is>
      </c>
      <c r="E36" s="85" t="inlineStr">
        <is>
          <t>Senior Customer Success Specialist – POD Lead</t>
        </is>
      </c>
      <c r="F36" s="12" t="inlineStr">
        <is>
          <t>Customer Success &amp; Support</t>
        </is>
      </c>
      <c r="G36" s="12" t="inlineStr">
        <is>
          <t>Customer Success &amp; Account Management</t>
        </is>
      </c>
      <c r="H36" s="12" t="inlineStr">
        <is>
          <t>POD Lead</t>
        </is>
      </c>
      <c r="I36" s="42" t="inlineStr">
        <is>
          <t>L3 – Professional / Associate</t>
        </is>
      </c>
      <c r="J36" s="20" t="inlineStr">
        <is>
          <t>B1</t>
        </is>
      </c>
      <c r="K36" s="21" t="inlineStr">
        <is>
          <t>Specialist · POD Lead</t>
        </is>
      </c>
      <c r="L36" s="87" t="inlineStr">
        <is>
          <t>▲ Up</t>
        </is>
      </c>
      <c r="M36" s="12" t="inlineStr">
        <is>
          <t>CARBON · Functional · Band B · Expert / POD Lead</t>
        </is>
      </c>
      <c r="N36" s="42" t="n">
        <v>4</v>
      </c>
      <c r="O36" s="42" t="n">
        <v>4</v>
      </c>
      <c r="P36" s="42" t="n">
        <v>4.5</v>
      </c>
      <c r="Q36" s="42" t="n">
        <v>3.5</v>
      </c>
      <c r="R36" s="42" t="n">
        <v>6.5</v>
      </c>
      <c r="S36" s="80" t="n">
        <v>4.5</v>
      </c>
      <c r="T36" s="81">
        <f>IF(OR($M36="",COUNT(N36,O36,P36,Q36,R36,S36)&lt;6),"",IFERROR(N36*INDEX(WM_C,MATCH($M36,WM_KEY,0))+O36*INDEX(WM_AU,MATCH($M36,WM_KEY,0))+P36*INDEX(WM_AC,MATCH($M36,WM_KEY,0))+Q36*INDEX(WM_L,MATCH($M36,WM_KEY,0))+R36*INDEX(WM_E,MATCH($M36,WM_KEY,0))+S36*INDEX(WM_BI,MATCH($M36,WM_KEY,0)),""))</f>
        <v>4.31</v>
      </c>
      <c r="U36" s="42" t="str">
        <f>IF(T36="","",INDEX({"A1","A2","A3","B1","B2","B3","C1","C2","D1","D2","E1","E2"},MAX(1,MIN(12,ROUND(T36,0)))))</f>
        <v>B1</v>
      </c>
      <c r="V36" s="12" t="inlineStr">
        <is>
          <r>
            <rPr>
              <rFont val="Calibri"/>
              <sz val="10"/>
            </rPr>
            <t xml:space="preserve">New level B1 · Specialist · POD Lead. Current level on record: L3 – Professional / Associate. Change: ▲ Up.
Score 4.31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6" s="12" t="inlineStr">
        <is>
          <r>
            <rPr>
              <rFont val="Calibri"/>
              <b val="1"/>
              <sz val="10"/>
            </rPr>
            <t>Complexity &amp; Expertise:</t>
          </r>
          <r>
            <rPr>
              <rFont val="Calibri"/>
              <sz val="10"/>
            </rPr>
            <t xml:space="preserve"> 4 of 12 — Start: 4.0 · lead / specialist title; Evidence reads like B1: Names complex implementations, new-market GTM, Asia sales, partnerships; no specifics → matches the start; KRA: “1. Annual Target · ARR - INR 1 Cr from India Cross-Sell / Net-New - 100% 2. Support or own customer marketing initiatives - 4 3. Own India…”
</t>
          </r>
          <r>
            <rPr>
              <rFont val="Calibri"/>
              <b val="1"/>
              <sz val="10"/>
            </rPr>
            <t>Autonomy &amp; Decision:</t>
          </r>
          <r>
            <rPr>
              <rFont val="Calibri"/>
              <sz val="10"/>
            </rPr>
            <t xml:space="preserve"> 4 of 12 — Start: 4.0 · lead / specialist title; Evidence reads like B1: Claims 'Everything'; no concrete decisions named → matches the start
</t>
          </r>
          <r>
            <rPr>
              <rFont val="Calibri"/>
              <b val="1"/>
              <sz val="10"/>
            </rPr>
            <t>Accountability &amp; Impact:</t>
          </r>
          <r>
            <rPr>
              <rFont val="Calibri"/>
              <sz val="10"/>
            </rPr>
            <t xml:space="preserve"> 4.5 of 12 · between B1 and B2 — Start: 4.0 · lead / specialist title; 2 direct reports; Evidence reads like B2: New business and sales for Asia plus existing complex clients; states 'All' → moved up 0.5; KRA: “1. Annual Target · ARR - INR 1 Cr from India Cross-Sell / Net-New - 100% 2. Support or own customer marketing initiatives - 4 3. Own India…”
</t>
          </r>
          <r>
            <rPr>
              <rFont val="Calibri"/>
              <b val="1"/>
              <sz val="10"/>
            </rPr>
            <t>Leadership &amp; Strategy:</t>
          </r>
          <r>
            <rPr>
              <rFont val="Calibri"/>
              <sz val="10"/>
            </rPr>
            <t xml:space="preserve"> 3.5 of 12 · between A3 and B1 — Start: 4.0; Evidence reads like A3: Upskilling of department listed; 2 direct reports → moved down 0.5; Team: 2 direct reports · POD Lead
</t>
          </r>
          <r>
            <rPr>
              <rFont val="Calibri"/>
              <b val="1"/>
              <sz val="10"/>
            </rPr>
            <t>Experience &amp; Qualification:</t>
          </r>
          <r>
            <rPr>
              <rFont val="Calibri"/>
              <sz val="10"/>
            </rPr>
            <t xml:space="preserve"> 6.5 of 12 · between B3 and C1 — Experience: 8.2 yrs total · 6.8 before IRIS + 1.4 at IRIS = 5.3 on the experience scale; Qualification: CA · professional, relevant to the work → +1.0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36"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CSM / Support Specialist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Y36" s="12" t="inlineStr">
        <is>
          <r>
            <rPr>
              <rFont val="Calibri"/>
              <sz val="10"/>
            </rPr>
            <t xml:space="preserve">✓ HRIS: 8.2 yrs, CA, 2 direct reports
✓ Survey: 16 of 20 questions answered
✓ KRAs: submitted
✓ Manager mapping: rating, potential, 9-box
✗ Job description: not on file
</t>
          </r>
          <r>
            <rPr>
              <rFont val="Calibri"/>
              <b val="1"/>
              <sz val="10"/>
            </rPr>
            <t>Confidence:</t>
          </r>
          <r>
            <rPr>
              <rFont val="Calibri"/>
              <sz val="10"/>
            </rPr>
            <t xml:space="preserve"> Medium</t>
          </r>
        </is>
      </c>
      <c r="Z36" s="12" t="inlineStr">
        <is>
          <t>—</t>
        </is>
      </c>
      <c r="AA36" s="12" t="inlineStr">
        <is>
          <t>Nothing outstanding</t>
        </is>
      </c>
      <c r="AB36"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Leads 2 direct reports.
</t>
          </r>
          <r>
            <rPr>
              <rFont val="Calibri"/>
              <b val="1"/>
              <sz val="10"/>
            </rPr>
            <t>If the work is missed · role-holders' themes:</t>
          </r>
          <r>
            <rPr>
              <rFont val="Calibri"/>
              <sz val="10"/>
            </rPr>
            <t xml:space="preserve"> business · impact · revenue.
Manager talent mapping — Latest rating: 5 · Potential: High · 9-Box Grid placement: Future Leader.</t>
          </r>
        </is>
      </c>
      <c r="AC36" s="84" t="n"/>
      <c r="AD36" s="84" t="n"/>
      <c r="AE36" s="84" t="n"/>
      <c r="AF36" s="12" t="n">
        <v>4.5</v>
      </c>
    </row>
    <row r="37" ht="379" customHeight="1">
      <c r="A37" s="12" t="inlineStr">
        <is>
          <t>IRIS2519</t>
        </is>
      </c>
      <c r="B37" s="10" t="inlineStr">
        <is>
          <t>Karthik Menon</t>
        </is>
      </c>
      <c r="C37" s="12" t="inlineStr">
        <is>
          <t>Functional</t>
        </is>
      </c>
      <c r="D37" s="12" t="inlineStr">
        <is>
          <t>ESG Functional Consultant</t>
        </is>
      </c>
      <c r="E37" s="85" t="inlineStr">
        <is>
          <t>Functional Specialist</t>
        </is>
      </c>
      <c r="F37" s="12" t="inlineStr">
        <is>
          <t>Customer Success &amp; Support</t>
        </is>
      </c>
      <c r="G37" s="12" t="inlineStr">
        <is>
          <t>Application &amp; Product Support</t>
        </is>
      </c>
      <c r="H37" s="12" t="inlineStr">
        <is>
          <t>IC</t>
        </is>
      </c>
      <c r="I37" s="42" t="inlineStr">
        <is>
          <t>L3 – Professional / Associate</t>
        </is>
      </c>
      <c r="J37" s="20" t="inlineStr">
        <is>
          <t>B1</t>
        </is>
      </c>
      <c r="K37" s="21" t="inlineStr">
        <is>
          <t>Specialist</t>
        </is>
      </c>
      <c r="L37" s="87" t="inlineStr">
        <is>
          <t>▲ Up</t>
        </is>
      </c>
      <c r="M37" s="12" t="inlineStr">
        <is>
          <t>CARBON · Functional · Band B · Expert / POD Lead</t>
        </is>
      </c>
      <c r="N37" s="42" t="n">
        <v>3.5</v>
      </c>
      <c r="O37" s="42" t="n">
        <v>3</v>
      </c>
      <c r="P37" s="42" t="n">
        <v>3.5</v>
      </c>
      <c r="Q37" s="42" t="n">
        <v>2</v>
      </c>
      <c r="R37" s="42" t="n">
        <v>5</v>
      </c>
      <c r="S37" s="80" t="n">
        <v>4</v>
      </c>
      <c r="T37" s="81">
        <f>IF(OR($M37="",COUNT(N37,O37,P37,Q37,R37,S37)&lt;6),"",IFERROR(N37*INDEX(WM_C,MATCH($M37,WM_KEY,0))+O37*INDEX(WM_AU,MATCH($M37,WM_KEY,0))+P37*INDEX(WM_AC,MATCH($M37,WM_KEY,0))+Q37*INDEX(WM_L,MATCH($M37,WM_KEY,0))+R37*INDEX(WM_E,MATCH($M37,WM_KEY,0))+S37*INDEX(WM_BI,MATCH($M37,WM_KEY,0)),""))</f>
        <v>3.525</v>
      </c>
      <c r="U37" s="42" t="str">
        <f>IF(T37="","",INDEX({"A1","A2","A3","B1","B2","B3","C1","C2","D1","D2","E1","E2"},MAX(1,MIN(12,ROUND(T37,0)))))</f>
        <v>B1</v>
      </c>
      <c r="V37" s="12" t="inlineStr">
        <is>
          <r>
            <rPr>
              <rFont val="Calibri"/>
              <sz val="10"/>
            </rPr>
            <t xml:space="preserve">New level B1 · Specialist. Current level on record: L3 – Professional / Associate. Change: ▲ Up.
Score 3.53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7" s="12" t="inlineStr">
        <is>
          <r>
            <rPr>
              <rFont val="Calibri"/>
              <b val="1"/>
              <sz val="10"/>
            </rPr>
            <t>Complexity &amp; Expertise:</t>
          </r>
          <r>
            <rPr>
              <rFont val="Calibri"/>
              <sz val="10"/>
            </rPr>
            <t xml:space="preserve"> 3.5 of 12 · between A3 and B1 — Start: 4.0 · lead / specialist title; Evidence reads like A3: Builds sales material, tracks deals in CRM, ESG market research, reviews product releases → moved down 0.5; KRA: “Refer to a separate sheet”
</t>
          </r>
          <r>
            <rPr>
              <rFont val="Calibri"/>
              <b val="1"/>
              <sz val="10"/>
            </rPr>
            <t>Autonomy &amp; Decision:</t>
          </r>
          <r>
            <rPr>
              <rFont val="Calibri"/>
              <sz val="10"/>
            </rPr>
            <t xml:space="preserve"> 3 of 12 — Start: 4.0 · lead / specialist title; Evidence reads like A2: Raises product requirements, reviews releases, follows up prospects; works closely with manager → moved down 1
</t>
          </r>
          <r>
            <rPr>
              <rFont val="Calibri"/>
              <b val="1"/>
              <sz val="10"/>
            </rPr>
            <t>Accountability &amp; Impact:</t>
          </r>
          <r>
            <rPr>
              <rFont val="Calibri"/>
              <sz val="10"/>
            </rPr>
            <t xml:space="preserve"> 3.5 of 12 · between A3 and B1 — Start: 4.0 · lead / specialist title; Evidence reads like A3: Deal tracking, CRM hygiene and prospect follow-ups affecting conversion → moved down 0.5; KRA: “Refer to a separate sheet”
</t>
          </r>
          <r>
            <rPr>
              <rFont val="Calibri"/>
              <b val="1"/>
              <sz val="10"/>
            </rPr>
            <t>Leadership &amp; Strategy:</t>
          </r>
          <r>
            <rPr>
              <rFont val="Calibri"/>
              <sz val="10"/>
            </rPr>
            <t xml:space="preserve"> 2 of 12 — Start: 3.0 · individual contributor, so influence only; Evidence reads like A1: No guidance of others described; being 'number 2' is an aspiration → moved down 1; Team: 0 direct reports · IC
</t>
          </r>
          <r>
            <rPr>
              <rFont val="Calibri"/>
              <b val="1"/>
              <sz val="10"/>
            </rPr>
            <t>Experience &amp; Qualification:</t>
          </r>
          <r>
            <rPr>
              <rFont val="Calibri"/>
              <sz val="10"/>
            </rPr>
            <t xml:space="preserve"> 5 of 12 — Experience: 6.2 yrs total · 5.8 before IRIS + 0.4 at IRIS = 4.3 on the experience scale; Qualification: MBA · postgraduate, relevant to the work → +0.5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37"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Executive / CSM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Y37" s="12" t="inlineStr">
        <is>
          <r>
            <rPr>
              <rFont val="Calibri"/>
              <sz val="10"/>
            </rPr>
            <t xml:space="preserve">✓ HRIS: 6.2 yrs, MBA, 0 direct reports
✓ Survey: 19 of 20 questions answered
✓ KRAs: submitted, reported deliverables
✓ Manager mapping: rating, potential, 9-box
✓ Job description
</t>
          </r>
          <r>
            <rPr>
              <rFont val="Calibri"/>
              <b val="1"/>
              <sz val="10"/>
            </rPr>
            <t>Confidence:</t>
          </r>
          <r>
            <rPr>
              <rFont val="Calibri"/>
              <sz val="10"/>
            </rPr>
            <t xml:space="preserve"> Medium</t>
          </r>
        </is>
      </c>
      <c r="Z37" s="82" t="inlineStr">
        <is>
          <r>
            <rPr>
              <rFont val="Calibri"/>
              <color rgb="009C5700"/>
              <sz val="10"/>
            </rPr>
            <t xml:space="preserve">• </t>
          </r>
          <r>
            <rPr>
              <rFont val="Calibri"/>
              <b val="1"/>
              <color rgb="009C5700"/>
              <sz val="10"/>
            </rPr>
            <t>Close call:</t>
          </r>
          <r>
            <rPr>
              <rFont val="Calibri"/>
              <color rgb="009C5700"/>
              <sz val="10"/>
            </rPr>
            <t xml:space="preserve"> score 3.53 is within 0.05 of a rounding point</t>
          </r>
        </is>
      </c>
      <c r="AA37" s="12" t="inlineStr">
        <is>
          <t>Nothing outstanding</t>
        </is>
      </c>
      <c r="AB3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yes; successor named: no.
</t>
          </r>
          <r>
            <rPr>
              <rFont val="Calibri"/>
              <b val="1"/>
              <sz val="10"/>
            </rPr>
            <t>If the work is missed · role-holders' themes:</t>
          </r>
          <r>
            <rPr>
              <rFont val="Calibri"/>
              <sz val="10"/>
            </rPr>
            <t xml:space="preserve"> tracking · client · result.
</t>
          </r>
          <r>
            <rPr>
              <rFont val="Calibri"/>
              <b val="1"/>
              <sz val="10"/>
            </rPr>
            <t>Measured on · manager-set KRA themes:</t>
          </r>
          <r>
            <rPr>
              <rFont val="Calibri"/>
              <sz val="10"/>
            </rPr>
            <t xml:space="preserve"> accounts · csat · documentation · reduce · drive · keep.
Manager talent mapping — Latest rating: 4 · Potential: High · 9-Box Grid placement: High Impact / Growth Talent.</t>
          </r>
        </is>
      </c>
      <c r="AC37" s="84" t="n"/>
      <c r="AD37" s="84" t="n"/>
      <c r="AE37" s="84" t="n"/>
      <c r="AF37" s="12" t="n">
        <v>4</v>
      </c>
    </row>
    <row r="38" ht="379" customHeight="1">
      <c r="A38" s="12" t="inlineStr">
        <is>
          <t>IRIS2233</t>
        </is>
      </c>
      <c r="B38" s="10" t="inlineStr">
        <is>
          <t>Biswajit Biswal</t>
        </is>
      </c>
      <c r="C38" s="12" t="inlineStr">
        <is>
          <t>Functional</t>
        </is>
      </c>
      <c r="D38" s="12" t="inlineStr">
        <is>
          <t>ESG Executive</t>
        </is>
      </c>
      <c r="E38" s="85" t="inlineStr">
        <is>
          <t>Associate Product Manager – POD Lead</t>
        </is>
      </c>
      <c r="F38" s="12" t="inlineStr">
        <is>
          <t>Product Management</t>
        </is>
      </c>
      <c r="G38" s="12" t="inlineStr">
        <is>
          <t>Product Management</t>
        </is>
      </c>
      <c r="H38" s="12" t="inlineStr">
        <is>
          <t>POD Lead</t>
        </is>
      </c>
      <c r="I38" s="42" t="inlineStr">
        <is>
          <t>L3 – Professional / Associate</t>
        </is>
      </c>
      <c r="J38" s="20" t="inlineStr">
        <is>
          <t>B1</t>
        </is>
      </c>
      <c r="K38" s="21" t="inlineStr">
        <is>
          <t>Specialist · POD Lead</t>
        </is>
      </c>
      <c r="L38" s="87" t="inlineStr">
        <is>
          <t>▲ Up</t>
        </is>
      </c>
      <c r="M38" s="12" t="inlineStr">
        <is>
          <t>CARBON · Functional · Band B · Expert / POD Lead</t>
        </is>
      </c>
      <c r="N38" s="42" t="n">
        <v>3</v>
      </c>
      <c r="O38" s="42" t="n">
        <v>3</v>
      </c>
      <c r="P38" s="42" t="n">
        <v>4</v>
      </c>
      <c r="Q38" s="42" t="n">
        <v>3</v>
      </c>
      <c r="R38" s="42" t="n">
        <v>4.5</v>
      </c>
      <c r="S38" s="80" t="n">
        <v>4.5</v>
      </c>
      <c r="T38" s="81">
        <f>IF(OR($M38="",COUNT(N38,O38,P38,Q38,R38,S38)&lt;6),"",IFERROR(N38*INDEX(WM_C,MATCH($M38,WM_KEY,0))+O38*INDEX(WM_AU,MATCH($M38,WM_KEY,0))+P38*INDEX(WM_AC,MATCH($M38,WM_KEY,0))+Q38*INDEX(WM_L,MATCH($M38,WM_KEY,0))+R38*INDEX(WM_E,MATCH($M38,WM_KEY,0))+S38*INDEX(WM_BI,MATCH($M38,WM_KEY,0)),""))</f>
        <v>3.355</v>
      </c>
      <c r="U38" s="42" t="str">
        <f>IF(T38="","",INDEX({"A1","A2","A3","B1","B2","B3","C1","C2","D1","D2","E1","E2"},MAX(1,MIN(12,ROUND(T38,0)))))</f>
        <v>A3</v>
      </c>
      <c r="V38" s="12" t="inlineStr">
        <is>
          <r>
            <rPr>
              <rFont val="Calibri"/>
              <sz val="10"/>
            </rPr>
            <t xml:space="preserve">New level B1 · Specialist · POD Lead. Current level on record: L3 – Professional / Associate. Change: ▲ Up.
Score 3.35 on the ladder scale → indicated level A3.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W38" s="12" t="inlineStr">
        <is>
          <r>
            <rPr>
              <rFont val="Calibri"/>
              <b val="1"/>
              <sz val="10"/>
            </rPr>
            <t>Complexity &amp; Expertise:</t>
          </r>
          <r>
            <rPr>
              <rFont val="Calibri"/>
              <sz val="10"/>
            </rPr>
            <t xml:space="preserve"> 3 of 12 — Start: 2.0 · practitioner title; Evidence reads like B1: Writes PRDs, builds prototypes, market and competitor research, functional testing for ESG product → moved up 1; KRA: “Refer to a separate sheet”
</t>
          </r>
          <r>
            <rPr>
              <rFont val="Calibri"/>
              <b val="1"/>
              <sz val="10"/>
            </rPr>
            <t>Autonomy &amp; Decision:</t>
          </r>
          <r>
            <rPr>
              <rFont val="Calibri"/>
              <sz val="10"/>
            </rPr>
            <t xml:space="preserve"> 3 of 12 — Start: 2.5 · practitioner title; reporting lines show a bigger role: 1 direct report; Evidence reads like B1: Decides product ideas and product roadmap → moved up 0.5
</t>
          </r>
          <r>
            <rPr>
              <rFont val="Calibri"/>
              <b val="1"/>
              <sz val="10"/>
            </rPr>
            <t>Accountability &amp; Impact:</t>
          </r>
          <r>
            <rPr>
              <rFont val="Calibri"/>
              <sz val="10"/>
            </rPr>
            <t xml:space="preserve"> 4 of 12 — Start: 3.5 · practitioner title; 1 direct report; Evidence reads like B1: Final product functionality, requirements and handover to engineering → moved up 0.5; KRA: “Refer to a separate sheet”
</t>
          </r>
          <r>
            <rPr>
              <rFont val="Calibri"/>
              <b val="1"/>
              <sz val="10"/>
            </rPr>
            <t>Leadership &amp; Strategy:</t>
          </r>
          <r>
            <rPr>
              <rFont val="Calibri"/>
              <sz val="10"/>
            </rPr>
            <t xml:space="preserve"> 3 of 12 — Start: 3.5; Evidence reads like A3: Hand-holds developers and manages cross-functional stakeholders; 1 direct report → moved down 0.5; Team: 1 direct report · POD Lead
</t>
          </r>
          <r>
            <rPr>
              <rFont val="Calibri"/>
              <b val="1"/>
              <sz val="10"/>
            </rPr>
            <t>Experience &amp; Qualification:</t>
          </r>
          <r>
            <rPr>
              <rFont val="Calibri"/>
              <sz val="10"/>
            </rPr>
            <t xml:space="preserve"> 4.5 of 12 · between B1 and B2 — Experience: 6.2 yrs total · 3.7 before IRIS + 2.5 at IRIS = 4.3 on the experience scale; Qualification: B.Tech · graduate → no change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38" s="12" t="inlineStr">
        <is>
          <r>
            <rPr>
              <rFont val="Calibri"/>
              <b val="1"/>
              <sz val="10"/>
            </rPr>
            <t>Market level:</t>
          </r>
          <r>
            <rPr>
              <rFont val="Calibri"/>
              <sz val="10"/>
            </rPr>
            <t xml:space="preserve"> P3 / M2 · SFIA 4 Enable
</t>
          </r>
          <r>
            <rPr>
              <rFont val="Calibri"/>
              <b val="1"/>
              <sz val="10"/>
            </rPr>
            <t>Typical title:</t>
          </r>
          <r>
            <rPr>
              <rFont val="Calibri"/>
              <sz val="10"/>
            </rPr>
            <t xml:space="preserve"> Product Manager
</t>
          </r>
          <r>
            <rPr>
              <rFont val="Calibri"/>
              <b val="1"/>
              <sz val="10"/>
            </rPr>
            <t>At peers:</t>
          </r>
          <r>
            <rPr>
              <rFont val="Calibri"/>
              <sz val="10"/>
            </rPr>
            <t xml:space="preserve"> IRIS Vs Competitor Benchmark — SaaS product ladder: Product Manager
</t>
          </r>
          <r>
            <rPr>
              <rFont val="Calibri"/>
              <b val="1"/>
              <sz val="10"/>
            </rPr>
            <t>Typical experience:</t>
          </r>
          <r>
            <rPr>
              <rFont val="Calibri"/>
              <sz val="10"/>
            </rPr>
            <t xml:space="preserve"> 4–8 yrs · IRIS guide 4–7
</t>
          </r>
          <r>
            <rPr>
              <rFont val="Calibri"/>
              <b val="1"/>
              <sz val="10"/>
            </rPr>
            <t>Standard:</t>
          </r>
          <r>
            <rPr>
              <rFont val="Calibri"/>
              <sz val="10"/>
            </rPr>
            <t xml:space="preserve"> Pragmatic Institute Framework; AIPMM</t>
          </r>
        </is>
      </c>
      <c r="Y38" s="12" t="inlineStr">
        <is>
          <r>
            <rPr>
              <rFont val="Calibri"/>
              <sz val="10"/>
            </rPr>
            <t xml:space="preserve">✓ HRIS: 6.2 yrs, B.Tech, 1 direct report
✓ Survey: 20 of 20 questions answered
✓ KRAs: submitted, reported deliverables
✓ Manager mapping: rating, potential, 9-box
✓ Job description
</t>
          </r>
          <r>
            <rPr>
              <rFont val="Calibri"/>
              <b val="1"/>
              <sz val="10"/>
            </rPr>
            <t>Confidence:</t>
          </r>
          <r>
            <rPr>
              <rFont val="Calibri"/>
              <sz val="10"/>
            </rPr>
            <t xml:space="preserve"> Medium</t>
          </r>
        </is>
      </c>
      <c r="Z38" s="82"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38" s="12" t="inlineStr">
        <is>
          <t>Nothing outstanding</t>
        </is>
      </c>
      <c r="AB38"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critical role: yes; successor named: no.
</t>
          </r>
          <r>
            <rPr>
              <rFont val="Calibri"/>
              <b val="1"/>
              <sz val="10"/>
            </rPr>
            <t>If the work is missed · role-holders' themes:</t>
          </r>
          <r>
            <rPr>
              <rFont val="Calibri"/>
              <sz val="10"/>
            </rPr>
            <t xml:space="preserve"> delayed · roadmap · customer.
Manager talent mapping — Latest rating: 4 · Potential: High · 9-Box Grid placement: High Impact / Growth Talent.</t>
          </r>
        </is>
      </c>
      <c r="AC38" s="84" t="n"/>
      <c r="AD38" s="84" t="n"/>
      <c r="AE38" s="84" t="n"/>
      <c r="AF38" s="12" t="n">
        <v>4.5</v>
      </c>
    </row>
    <row r="39" ht="379" customHeight="1">
      <c r="A39" s="12" t="inlineStr">
        <is>
          <t>IRIS2344</t>
        </is>
      </c>
      <c r="B39" s="10" t="inlineStr">
        <is>
          <t>Medha Ganti</t>
        </is>
      </c>
      <c r="C39" s="12" t="inlineStr">
        <is>
          <t>Functional</t>
        </is>
      </c>
      <c r="D39" s="12" t="inlineStr">
        <is>
          <t>Functional Specialist</t>
        </is>
      </c>
      <c r="E39" s="85" t="inlineStr">
        <is>
          <t>Associate Product Manager – POD Lead</t>
        </is>
      </c>
      <c r="F39" s="12" t="inlineStr">
        <is>
          <t>Product Management</t>
        </is>
      </c>
      <c r="G39" s="12" t="inlineStr">
        <is>
          <t>Product Management</t>
        </is>
      </c>
      <c r="H39" s="12" t="inlineStr">
        <is>
          <t>POD Lead</t>
        </is>
      </c>
      <c r="I39" s="42" t="inlineStr">
        <is>
          <t>L3 – Professional / Associate</t>
        </is>
      </c>
      <c r="J39" s="20" t="inlineStr">
        <is>
          <t>B1</t>
        </is>
      </c>
      <c r="K39" s="21" t="inlineStr">
        <is>
          <t>Specialist · POD Lead</t>
        </is>
      </c>
      <c r="L39" s="87" t="inlineStr">
        <is>
          <t>▲ Up</t>
        </is>
      </c>
      <c r="M39" s="12" t="inlineStr">
        <is>
          <t>CARBON · Functional · Band B · Expert / POD Lead</t>
        </is>
      </c>
      <c r="N39" s="42" t="n">
        <v>4</v>
      </c>
      <c r="O39" s="42" t="n">
        <v>4</v>
      </c>
      <c r="P39" s="42" t="n">
        <v>4</v>
      </c>
      <c r="Q39" s="42" t="n">
        <v>3</v>
      </c>
      <c r="R39" s="42" t="n">
        <v>5</v>
      </c>
      <c r="S39" s="80" t="n">
        <v>4.5</v>
      </c>
      <c r="T39" s="81">
        <f>IF(OR($M39="",COUNT(N39,O39,P39,Q39,R39,S39)&lt;6),"",IFERROR(N39*INDEX(WM_C,MATCH($M39,WM_KEY,0))+O39*INDEX(WM_AU,MATCH($M39,WM_KEY,0))+P39*INDEX(WM_AC,MATCH($M39,WM_KEY,0))+Q39*INDEX(WM_L,MATCH($M39,WM_KEY,0))+R39*INDEX(WM_E,MATCH($M39,WM_KEY,0))+S39*INDEX(WM_BI,MATCH($M39,WM_KEY,0)),""))</f>
        <v>4.085</v>
      </c>
      <c r="U39" s="42" t="str">
        <f>IF(T39="","",INDEX({"A1","A2","A3","B1","B2","B3","C1","C2","D1","D2","E1","E2"},MAX(1,MIN(12,ROUND(T39,0)))))</f>
        <v>B1</v>
      </c>
      <c r="V39" s="12" t="inlineStr">
        <is>
          <r>
            <rPr>
              <rFont val="Calibri"/>
              <sz val="10"/>
            </rPr>
            <t xml:space="preserve">New level B1 · Specialist · POD Lead. Current level on record: L3 – Professional / Associate. Change: ▲ Up.
Score 4.08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39" s="12" t="inlineStr">
        <is>
          <r>
            <rPr>
              <rFont val="Calibri"/>
              <b val="1"/>
              <sz val="10"/>
            </rPr>
            <t>Complexity &amp; Expertise:</t>
          </r>
          <r>
            <rPr>
              <rFont val="Calibri"/>
              <sz val="10"/>
            </rPr>
            <t xml:space="preserve"> 4 of 12 — Start: 4.0 · lead / specialist title; Evidence reads like B1: Product roadmap planning, end-to-end RFP management, competitive intelligence, demos and POCs → matches the start; KRA: “1. Complete Enterprise implementation projects e.g. Petrobras on or before agreed timelines. Also define, institutionalize and take back…”
</t>
          </r>
          <r>
            <rPr>
              <rFont val="Calibri"/>
              <b val="1"/>
              <sz val="10"/>
            </rPr>
            <t>Autonomy &amp; Decision:</t>
          </r>
          <r>
            <rPr>
              <rFont val="Calibri"/>
              <sz val="10"/>
            </rPr>
            <t xml:space="preserve"> 4 of 12 — Start: 4.0 · lead / specialist title; Evidence reads like B1: Decides RFP answers, demo flow and competitive research priorities → matches the start
</t>
          </r>
          <r>
            <rPr>
              <rFont val="Calibri"/>
              <b val="1"/>
              <sz val="10"/>
            </rPr>
            <t>Accountability &amp; Impact:</t>
          </r>
          <r>
            <rPr>
              <rFont val="Calibri"/>
              <sz val="10"/>
            </rPr>
            <t xml:space="preserve"> 4 of 12 — Start: 3.8 · lead / specialist title; 1 direct report; Evidence reads like B1: own survey / KRA answers · summarised by the rater; not quoted → moved up 0.2; KRA: “1. Complete Enterprise implementation projects e.g. Petrobras on or before agreed timelines. Also define, institutionalize and take back…”
</t>
          </r>
          <r>
            <rPr>
              <rFont val="Calibri"/>
              <b val="1"/>
              <sz val="10"/>
            </rPr>
            <t>Leadership &amp; Strategy:</t>
          </r>
          <r>
            <rPr>
              <rFont val="Calibri"/>
              <sz val="10"/>
            </rPr>
            <t xml:space="preserve"> 3 of 12 — Start: 3.5; Evidence reads like A3: Aligns stakeholders on the roadmap; 1 direct report → moved down 0.5; Team: 1 direct report · POD Lead
</t>
          </r>
          <r>
            <rPr>
              <rFont val="Calibri"/>
              <b val="1"/>
              <sz val="10"/>
            </rPr>
            <t>Experience &amp; Qualification:</t>
          </r>
          <r>
            <rPr>
              <rFont val="Calibri"/>
              <sz val="10"/>
            </rPr>
            <t xml:space="preserve"> 5 of 12 — Experience: 5.6 yrs total · 4.0 before IRIS + 1.6 at IRIS = 4.0 on the experience scale; Qualification: CA · professional, relevant to the work → +1.0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39" s="12" t="inlineStr">
        <is>
          <r>
            <rPr>
              <rFont val="Calibri"/>
              <b val="1"/>
              <sz val="10"/>
            </rPr>
            <t>Market level:</t>
          </r>
          <r>
            <rPr>
              <rFont val="Calibri"/>
              <sz val="10"/>
            </rPr>
            <t xml:space="preserve"> P3 / M2 · SFIA 4 Enable
</t>
          </r>
          <r>
            <rPr>
              <rFont val="Calibri"/>
              <b val="1"/>
              <sz val="10"/>
            </rPr>
            <t>Typical title:</t>
          </r>
          <r>
            <rPr>
              <rFont val="Calibri"/>
              <sz val="10"/>
            </rPr>
            <t xml:space="preserve"> Product Manager
</t>
          </r>
          <r>
            <rPr>
              <rFont val="Calibri"/>
              <b val="1"/>
              <sz val="10"/>
            </rPr>
            <t>At peers:</t>
          </r>
          <r>
            <rPr>
              <rFont val="Calibri"/>
              <sz val="10"/>
            </rPr>
            <t xml:space="preserve"> IRIS Vs Competitor Benchmark — SaaS product ladder: Product Manager
</t>
          </r>
          <r>
            <rPr>
              <rFont val="Calibri"/>
              <b val="1"/>
              <sz val="10"/>
            </rPr>
            <t>Typical experience:</t>
          </r>
          <r>
            <rPr>
              <rFont val="Calibri"/>
              <sz val="10"/>
            </rPr>
            <t xml:space="preserve"> 4–8 yrs · IRIS guide 4–7
</t>
          </r>
          <r>
            <rPr>
              <rFont val="Calibri"/>
              <b val="1"/>
              <sz val="10"/>
            </rPr>
            <t>Standard:</t>
          </r>
          <r>
            <rPr>
              <rFont val="Calibri"/>
              <sz val="10"/>
            </rPr>
            <t xml:space="preserve"> Pragmatic Institute Framework; AIPMM</t>
          </r>
        </is>
      </c>
      <c r="Y39" s="12" t="inlineStr">
        <is>
          <r>
            <rPr>
              <rFont val="Calibri"/>
              <sz val="10"/>
            </rPr>
            <t xml:space="preserve">✓ HRIS: 5.6 yrs, CA, 1 direct report
✓ Survey: 20 of 20 questions answered
✓ KRAs: submitted
✓ Manager mapping: rating, potential, 9-box
✓ Job description
</t>
          </r>
          <r>
            <rPr>
              <rFont val="Calibri"/>
              <b val="1"/>
              <sz val="10"/>
            </rPr>
            <t>Confidence:</t>
          </r>
          <r>
            <rPr>
              <rFont val="Calibri"/>
              <sz val="10"/>
            </rPr>
            <t xml:space="preserve"> High</t>
          </r>
        </is>
      </c>
      <c r="Z39" s="82"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39" s="12" t="inlineStr">
        <is>
          <t>Nothing outstanding</t>
        </is>
      </c>
      <c r="AB39"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critical role: yes; successor named: no.
</t>
          </r>
          <r>
            <rPr>
              <rFont val="Calibri"/>
              <b val="1"/>
              <sz val="10"/>
            </rPr>
            <t>If the work is missed · role-holders' themes:</t>
          </r>
          <r>
            <rPr>
              <rFont val="Calibri"/>
              <sz val="10"/>
            </rPr>
            <t xml:space="preserve"> delayed · roadmap · customer.
Manager talent mapping — Latest rating: 3 · Potential: Medium · 9-Box Grid placement: High Impact / Growth Talent.</t>
          </r>
        </is>
      </c>
      <c r="AC39" s="84" t="n"/>
      <c r="AD39" s="84" t="n"/>
      <c r="AE39" s="84" t="n"/>
      <c r="AF39" s="12" t="n">
        <v>4.5</v>
      </c>
    </row>
    <row r="40" ht="379" customHeight="1">
      <c r="A40" s="12" t="inlineStr">
        <is>
          <t>IRIS2301</t>
        </is>
      </c>
      <c r="B40" s="10" t="inlineStr">
        <is>
          <t>Priyadarsini Kairali</t>
        </is>
      </c>
      <c r="C40" s="12" t="inlineStr">
        <is>
          <t>Functional</t>
        </is>
      </c>
      <c r="D40" s="12" t="inlineStr">
        <is>
          <t>Functional Specialist</t>
        </is>
      </c>
      <c r="E40" s="85" t="inlineStr">
        <is>
          <t>Associate Product Manager – POD Lead</t>
        </is>
      </c>
      <c r="F40" s="12" t="inlineStr">
        <is>
          <t>Product Management</t>
        </is>
      </c>
      <c r="G40" s="12" t="inlineStr">
        <is>
          <t>Product Management</t>
        </is>
      </c>
      <c r="H40" s="12" t="inlineStr">
        <is>
          <t>POD Lead</t>
        </is>
      </c>
      <c r="I40" s="42" t="inlineStr">
        <is>
          <t>L3 – Professional / Associate</t>
        </is>
      </c>
      <c r="J40" s="20" t="inlineStr">
        <is>
          <t>B1</t>
        </is>
      </c>
      <c r="K40" s="21" t="inlineStr">
        <is>
          <t>Specialist · POD Lead</t>
        </is>
      </c>
      <c r="L40" s="87" t="inlineStr">
        <is>
          <t>▲ Up</t>
        </is>
      </c>
      <c r="M40" s="12" t="inlineStr">
        <is>
          <t>CARBON · Functional · Band B · Expert / POD Lead</t>
        </is>
      </c>
      <c r="N40" s="42" t="n">
        <v>4</v>
      </c>
      <c r="O40" s="42" t="n">
        <v>3.5</v>
      </c>
      <c r="P40" s="42" t="n">
        <v>3.5</v>
      </c>
      <c r="Q40" s="42" t="n">
        <v>3.5</v>
      </c>
      <c r="R40" s="42" t="n">
        <v>5.5</v>
      </c>
      <c r="S40" s="80" t="n">
        <v>4</v>
      </c>
      <c r="T40" s="81">
        <f>IF(OR($M40="",COUNT(N40,O40,P40,Q40,R40,S40)&lt;6),"",IFERROR(N40*INDEX(WM_C,MATCH($M40,WM_KEY,0))+O40*INDEX(WM_AU,MATCH($M40,WM_KEY,0))+P40*INDEX(WM_AC,MATCH($M40,WM_KEY,0))+Q40*INDEX(WM_L,MATCH($M40,WM_KEY,0))+R40*INDEX(WM_E,MATCH($M40,WM_KEY,0))+S40*INDEX(WM_BI,MATCH($M40,WM_KEY,0)),""))</f>
        <v>3.99</v>
      </c>
      <c r="U40" s="42" t="str">
        <f>IF(T40="","",INDEX({"A1","A2","A3","B1","B2","B3","C1","C2","D1","D2","E1","E2"},MAX(1,MIN(12,ROUND(T40,0)))))</f>
        <v>B1</v>
      </c>
      <c r="V40" s="12" t="inlineStr">
        <is>
          <r>
            <rPr>
              <rFont val="Calibri"/>
              <sz val="10"/>
            </rPr>
            <t xml:space="preserve">New level B1 · Specialist · POD Lead. Current level on record: L3 – Professional / Associate. Change: ▲ Up.
Score 3.99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0" s="12" t="inlineStr">
        <is>
          <r>
            <rPr>
              <rFont val="Calibri"/>
              <b val="1"/>
              <sz val="10"/>
            </rPr>
            <t>Complexity &amp; Expertise:</t>
          </r>
          <r>
            <rPr>
              <rFont val="Calibri"/>
              <sz val="10"/>
            </rPr>
            <t xml:space="preserve"> 4 of 12 — Start: 4.0 · lead / specialist title; Evidence reads like B1: Discovery calls and demos for enterprise customers, pricing inputs, partner and customer enablement → matches the start; KRA: “1. Drive Mid-Market and SMB implementation projects on or before agreed timelines. --&gt; 100% 2. Maintain a high CSAT score during the…”
</t>
          </r>
          <r>
            <rPr>
              <rFont val="Calibri"/>
              <b val="1"/>
              <sz val="10"/>
            </rPr>
            <t>Autonomy &amp; Decision:</t>
          </r>
          <r>
            <rPr>
              <rFont val="Calibri"/>
              <sz val="10"/>
            </rPr>
            <t xml:space="preserve"> 3.5 of 12 · between A3 and B1 — Start: 4.0 · lead / specialist title; Evidence reads like A3: Decides approach for client calls, how to pitch and feedback given → moved down 0.5
</t>
          </r>
          <r>
            <rPr>
              <rFont val="Calibri"/>
              <b val="1"/>
              <sz val="10"/>
            </rPr>
            <t>Accountability &amp; Impact:</t>
          </r>
          <r>
            <rPr>
              <rFont val="Calibri"/>
              <sz val="10"/>
            </rPr>
            <t xml:space="preserve"> 3.5 of 12 · between A3 and B1 — Start: 4.0 · lead / specialist title; 2 direct reports; Evidence reads like A3: Customer clarity on product capability; errors delay revenue or cool prospects → moved down 0.5; KRA: “1. Drive Mid-Market and SMB implementation projects on or before agreed timelines. --&gt; 100% 2. Maintain a high CSAT score during the…”
</t>
          </r>
          <r>
            <rPr>
              <rFont val="Calibri"/>
              <b val="1"/>
              <sz val="10"/>
            </rPr>
            <t>Leadership &amp; Strategy:</t>
          </r>
          <r>
            <rPr>
              <rFont val="Calibri"/>
              <sz val="10"/>
            </rPr>
            <t xml:space="preserve"> 3.5 of 12 · between A3 and B1 — Start: 4.0; Evidence reads like A3: Enables partners and customers; 2 direct reports → moved down 0.5; Team: 2 direct reports · POD Lead
</t>
          </r>
          <r>
            <rPr>
              <rFont val="Calibri"/>
              <b val="1"/>
              <sz val="10"/>
            </rPr>
            <t>Experience &amp; Qualification:</t>
          </r>
          <r>
            <rPr>
              <rFont val="Calibri"/>
              <sz val="10"/>
            </rPr>
            <t xml:space="preserve"> 5.5 of 12 · between B2 and B3 — Experience: 7.9 yrs total · 5.8 before IRIS + 2.1 at IRIS = 5.2 on the experience scale; Qualification: MBA · postgraduate, relevant to the work → +0.5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40" s="12" t="inlineStr">
        <is>
          <r>
            <rPr>
              <rFont val="Calibri"/>
              <b val="1"/>
              <sz val="10"/>
            </rPr>
            <t>Market level:</t>
          </r>
          <r>
            <rPr>
              <rFont val="Calibri"/>
              <sz val="10"/>
            </rPr>
            <t xml:space="preserve"> P3 / M2 · SFIA 4 Enable
</t>
          </r>
          <r>
            <rPr>
              <rFont val="Calibri"/>
              <b val="1"/>
              <sz val="10"/>
            </rPr>
            <t>Typical title:</t>
          </r>
          <r>
            <rPr>
              <rFont val="Calibri"/>
              <sz val="10"/>
            </rPr>
            <t xml:space="preserve"> Product Manager
</t>
          </r>
          <r>
            <rPr>
              <rFont val="Calibri"/>
              <b val="1"/>
              <sz val="10"/>
            </rPr>
            <t>At peers:</t>
          </r>
          <r>
            <rPr>
              <rFont val="Calibri"/>
              <sz val="10"/>
            </rPr>
            <t xml:space="preserve"> IRIS Vs Competitor Benchmark — SaaS product ladder: Product Manager
</t>
          </r>
          <r>
            <rPr>
              <rFont val="Calibri"/>
              <b val="1"/>
              <sz val="10"/>
            </rPr>
            <t>Typical experience:</t>
          </r>
          <r>
            <rPr>
              <rFont val="Calibri"/>
              <sz val="10"/>
            </rPr>
            <t xml:space="preserve"> 4–8 yrs · IRIS guide 4–7
</t>
          </r>
          <r>
            <rPr>
              <rFont val="Calibri"/>
              <b val="1"/>
              <sz val="10"/>
            </rPr>
            <t>Standard:</t>
          </r>
          <r>
            <rPr>
              <rFont val="Calibri"/>
              <sz val="10"/>
            </rPr>
            <t xml:space="preserve"> Pragmatic Institute Framework; AIPMM</t>
          </r>
        </is>
      </c>
      <c r="Y40" s="12" t="inlineStr">
        <is>
          <r>
            <rPr>
              <rFont val="Calibri"/>
              <sz val="10"/>
            </rPr>
            <t xml:space="preserve">✓ HRIS: 7.9 yrs, MBA, 2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40" s="82"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40" s="12" t="inlineStr">
        <is>
          <t>Nothing outstanding</t>
        </is>
      </c>
      <c r="AB40"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2 direct reports.
From the survey and manager mapping — critical role: yes; successor named: no.
</t>
          </r>
          <r>
            <rPr>
              <rFont val="Calibri"/>
              <b val="1"/>
              <sz val="10"/>
            </rPr>
            <t>If the work is missed · role-holders' themes:</t>
          </r>
          <r>
            <rPr>
              <rFont val="Calibri"/>
              <sz val="10"/>
            </rPr>
            <t xml:space="preserve"> delayed · roadmap · customer.
Manager talent mapping — Latest rating: 3 · Potential: Medium · 9-Box Grid placement: High Impact / Growth Talent.</t>
          </r>
        </is>
      </c>
      <c r="AC40" s="84" t="n"/>
      <c r="AD40" s="84" t="n"/>
      <c r="AE40" s="84" t="n"/>
      <c r="AF40" s="12" t="n">
        <v>4</v>
      </c>
    </row>
    <row r="41" ht="379" customHeight="1">
      <c r="A41" s="12" t="inlineStr">
        <is>
          <t>IRIS2419</t>
        </is>
      </c>
      <c r="B41" s="10" t="inlineStr">
        <is>
          <t>Alizah Noorani</t>
        </is>
      </c>
      <c r="C41" s="12" t="inlineStr">
        <is>
          <t>Functional</t>
        </is>
      </c>
      <c r="D41" s="12" t="inlineStr">
        <is>
          <t>ESG Implementation Consultant</t>
        </is>
      </c>
      <c r="E41" s="85" t="inlineStr">
        <is>
          <t>Functional Specialist</t>
        </is>
      </c>
      <c r="F41" s="12" t="inlineStr">
        <is>
          <t>Solution Consulting &amp; Implementation</t>
        </is>
      </c>
      <c r="G41" s="12" t="inlineStr">
        <is>
          <t>Solution Consulting &amp; Implementation</t>
        </is>
      </c>
      <c r="H41" s="12" t="inlineStr">
        <is>
          <t>IC</t>
        </is>
      </c>
      <c r="I41" s="42" t="inlineStr">
        <is>
          <t>L3 – Professional / Associate</t>
        </is>
      </c>
      <c r="J41" s="20" t="inlineStr">
        <is>
          <t>B1</t>
        </is>
      </c>
      <c r="K41" s="21" t="inlineStr">
        <is>
          <t>Specialist</t>
        </is>
      </c>
      <c r="L41" s="87" t="inlineStr">
        <is>
          <t>▲ Up</t>
        </is>
      </c>
      <c r="M41" s="12" t="inlineStr">
        <is>
          <t>CARBON · Functional · Band B · Expert / POD Lead</t>
        </is>
      </c>
      <c r="N41" s="42" t="n">
        <v>4</v>
      </c>
      <c r="O41" s="42" t="n">
        <v>4</v>
      </c>
      <c r="P41" s="42" t="n">
        <v>4</v>
      </c>
      <c r="Q41" s="42" t="n">
        <v>3</v>
      </c>
      <c r="R41" s="42" t="n">
        <v>3.5</v>
      </c>
      <c r="S41" s="80" t="n">
        <v>4.5</v>
      </c>
      <c r="T41" s="81">
        <f>IF(OR($M41="",COUNT(N41,O41,P41,Q41,R41,S41)&lt;6),"",IFERROR(N41*INDEX(WM_C,MATCH($M41,WM_KEY,0))+O41*INDEX(WM_AU,MATCH($M41,WM_KEY,0))+P41*INDEX(WM_AC,MATCH($M41,WM_KEY,0))+Q41*INDEX(WM_L,MATCH($M41,WM_KEY,0))+R41*INDEX(WM_E,MATCH($M41,WM_KEY,0))+S41*INDEX(WM_BI,MATCH($M41,WM_KEY,0)),""))</f>
        <v>3.935</v>
      </c>
      <c r="U41" s="42" t="str">
        <f>IF(T41="","",INDEX({"A1","A2","A3","B1","B2","B3","C1","C2","D1","D2","E1","E2"},MAX(1,MIN(12,ROUND(T41,0)))))</f>
        <v>B1</v>
      </c>
      <c r="V41" s="12" t="inlineStr">
        <is>
          <r>
            <rPr>
              <rFont val="Calibri"/>
              <sz val="10"/>
            </rPr>
            <t xml:space="preserve">New level B1 · Specialist. Current level on record: L3 – Professional / Associate. Change: ▲ Up.
Score 3.94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1" s="12" t="inlineStr">
        <is>
          <r>
            <rPr>
              <rFont val="Calibri"/>
              <b val="1"/>
              <sz val="10"/>
            </rPr>
            <t>Complexity &amp; Expertise:</t>
          </r>
          <r>
            <rPr>
              <rFont val="Calibri"/>
              <sz val="10"/>
            </rPr>
            <t xml:space="preserve"> 4 of 12 — Start: 4.0 · lead / specialist title; Evidence reads like B1: Configures platform for clients, translates requirements into features, tests, runs sprints, reviews ESG content → matches the start; KRA: “Refer to a separate sheet”
</t>
          </r>
          <r>
            <rPr>
              <rFont val="Calibri"/>
              <b val="1"/>
              <sz val="10"/>
            </rPr>
            <t>Autonomy &amp; Decision:</t>
          </r>
          <r>
            <rPr>
              <rFont val="Calibri"/>
              <sz val="10"/>
            </rPr>
            <t xml:space="preserve"> 4 of 12 — Start: 4.0 · lead / specialist title; Evidence reads like B1: Decides project activities and timelines; reviews and accepts content assets → matches the start
</t>
          </r>
          <r>
            <rPr>
              <rFont val="Calibri"/>
              <b val="1"/>
              <sz val="10"/>
            </rPr>
            <t>Accountability &amp; Impact:</t>
          </r>
          <r>
            <rPr>
              <rFont val="Calibri"/>
              <sz val="10"/>
            </rPr>
            <t xml:space="preserve"> 4 of 12 — Start: 4.0 · lead / specialist title; Evidence reads like B1: Assigned ESG client implementation projects, client demos, partly marketing assets → matches the start; KRA: “Refer to a separate sheet”
</t>
          </r>
          <r>
            <rPr>
              <rFont val="Calibri"/>
              <b val="1"/>
              <sz val="10"/>
            </rPr>
            <t>Leadership &amp; Strategy:</t>
          </r>
          <r>
            <rPr>
              <rFont val="Calibri"/>
              <sz val="10"/>
            </rPr>
            <t xml:space="preserve"> 3 of 12 — Start: 3.0 · individual contributor, so influence only; Evidence reads like A3: Trains new team members; reviews the marketing team's ESG content → matches the start; Team: 0 direct reports · IC
</t>
          </r>
          <r>
            <rPr>
              <rFont val="Calibri"/>
              <b val="1"/>
              <sz val="10"/>
            </rPr>
            <t>Experience &amp; Qualification:</t>
          </r>
          <r>
            <rPr>
              <rFont val="Calibri"/>
              <sz val="10"/>
            </rPr>
            <t xml:space="preserve"> 3.5 of 12 · between A3 and B1 — Experience: 4.2 yrs total · 3.1 before IRIS + 1.1 at IRIS = 3.5 on the experience scale; Qualification: M.Sc · postgraduate → no change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41"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t>
          </r>
          <r>
            <rPr>
              <rFont val="Calibri"/>
              <b val="1"/>
              <sz val="10"/>
            </rPr>
            <t>At peers:</t>
          </r>
          <r>
            <rPr>
              <rFont val="Calibri"/>
              <sz val="10"/>
            </rPr>
            <t xml:space="preserve"> Big Four – Senior Consultant · Regnology – BA · Reg Reporting
</t>
          </r>
          <r>
            <rPr>
              <rFont val="Calibri"/>
              <b val="1"/>
              <sz val="10"/>
            </rPr>
            <t>Typical experience:</t>
          </r>
          <r>
            <rPr>
              <rFont val="Calibri"/>
              <sz val="10"/>
            </rPr>
            <t xml:space="preserve"> 4–8 yrs · IRIS guide 4–7
</t>
          </r>
          <r>
            <rPr>
              <rFont val="Calibri"/>
              <b val="1"/>
              <sz val="10"/>
            </rPr>
            <t>Standard:</t>
          </r>
          <r>
            <rPr>
              <rFont val="Calibri"/>
              <sz val="10"/>
            </rPr>
            <t xml:space="preserve"> TSIA professional services; PMI</t>
          </r>
        </is>
      </c>
      <c r="Y41" s="12" t="inlineStr">
        <is>
          <r>
            <rPr>
              <rFont val="Calibri"/>
              <sz val="10"/>
            </rPr>
            <t xml:space="preserve">✓ HRIS: 4.2 yrs, M.Sc,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41" s="12" t="inlineStr">
        <is>
          <t>—</t>
        </is>
      </c>
      <c r="AA41" s="12" t="inlineStr">
        <is>
          <t>Nothing outstanding</t>
        </is>
      </c>
      <c r="AB41"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From the survey and manager mapping — critical role: yes; successor named: no.
</t>
          </r>
          <r>
            <rPr>
              <rFont val="Calibri"/>
              <b val="1"/>
              <sz val="10"/>
            </rPr>
            <t>If the work is missed · role-holders' themes:</t>
          </r>
          <r>
            <rPr>
              <rFont val="Calibri"/>
              <sz val="10"/>
            </rPr>
            <t xml:space="preserve"> client · market.
Manager talent mapping — Latest rating: 3 · Potential: Medium · 9-Box Grid placement: Core Contributor.</t>
          </r>
        </is>
      </c>
      <c r="AC41" s="84" t="n"/>
      <c r="AD41" s="84" t="n"/>
      <c r="AE41" s="84" t="n"/>
      <c r="AF41" s="12" t="n">
        <v>4.5</v>
      </c>
    </row>
    <row r="42" ht="379" customHeight="1">
      <c r="A42" s="12" t="inlineStr">
        <is>
          <t>IRIS2510</t>
        </is>
      </c>
      <c r="B42" s="10" t="inlineStr">
        <is>
          <t>Chirag Shah</t>
        </is>
      </c>
      <c r="C42" s="12" t="inlineStr">
        <is>
          <t>Functional</t>
        </is>
      </c>
      <c r="D42" s="12" t="inlineStr">
        <is>
          <t>Functional Specialist</t>
        </is>
      </c>
      <c r="E42" s="12" t="inlineStr">
        <is>
          <t>Functional Specialist</t>
        </is>
      </c>
      <c r="F42" s="12" t="inlineStr">
        <is>
          <t>Solution Consulting &amp; Implementation</t>
        </is>
      </c>
      <c r="G42" s="12" t="inlineStr">
        <is>
          <t>Solution Consulting &amp; Implementation</t>
        </is>
      </c>
      <c r="H42" s="12" t="inlineStr">
        <is>
          <t>IC</t>
        </is>
      </c>
      <c r="I42" s="42" t="inlineStr">
        <is>
          <t>L3 – Professional / Associate</t>
        </is>
      </c>
      <c r="J42" s="20" t="inlineStr">
        <is>
          <t>B1</t>
        </is>
      </c>
      <c r="K42" s="21" t="inlineStr">
        <is>
          <t>Specialist</t>
        </is>
      </c>
      <c r="L42" s="87" t="inlineStr">
        <is>
          <t>▲ Up</t>
        </is>
      </c>
      <c r="M42" s="12" t="inlineStr">
        <is>
          <t>CARBON · Functional · Band B · Expert / POD Lead</t>
        </is>
      </c>
      <c r="N42" s="42" t="n">
        <v>3.5</v>
      </c>
      <c r="O42" s="42" t="n">
        <v>3.5</v>
      </c>
      <c r="P42" s="42" t="n">
        <v>3.5</v>
      </c>
      <c r="Q42" s="42" t="n">
        <v>2</v>
      </c>
      <c r="R42" s="42" t="n">
        <v>4.5</v>
      </c>
      <c r="S42" s="80" t="n">
        <v>3.5</v>
      </c>
      <c r="T42" s="81">
        <f>IF(OR($M42="",COUNT(N42,O42,P42,Q42,R42,S42)&lt;6),"",IFERROR(N42*INDEX(WM_C,MATCH($M42,WM_KEY,0))+O42*INDEX(WM_AU,MATCH($M42,WM_KEY,0))+P42*INDEX(WM_AC,MATCH($M42,WM_KEY,0))+Q42*INDEX(WM_L,MATCH($M42,WM_KEY,0))+R42*INDEX(WM_E,MATCH($M42,WM_KEY,0))+S42*INDEX(WM_BI,MATCH($M42,WM_KEY,0)),""))</f>
        <v>3.525</v>
      </c>
      <c r="U42" s="42" t="str">
        <f>IF(T42="","",INDEX({"A1","A2","A3","B1","B2","B3","C1","C2","D1","D2","E1","E2"},MAX(1,MIN(12,ROUND(T42,0)))))</f>
        <v>B1</v>
      </c>
      <c r="V42" s="12" t="inlineStr">
        <is>
          <r>
            <rPr>
              <rFont val="Calibri"/>
              <sz val="10"/>
            </rPr>
            <t xml:space="preserve">New level B1 · Specialist. Current level on record: L3 – Professional / Associate. Change: ▲ Up.
Score 3.53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2" s="12" t="inlineStr">
        <is>
          <r>
            <rPr>
              <rFont val="Calibri"/>
              <b val="1"/>
              <sz val="10"/>
            </rPr>
            <t>Complexity &amp; Expertise:</t>
          </r>
          <r>
            <rPr>
              <rFont val="Calibri"/>
              <sz val="10"/>
            </rPr>
            <t xml:space="preserve"> 3.5 of 12 · between A3 and B1 — Start: 4.0 · lead / specialist title; Evidence reads like A3: Understands client reporting needs, tailors DM platform demos, tests features, helps implement reports → moved down 0.5; KRA: “1. Drive Mid-Market and SMB implementation projects on or before agreed timelines. --&gt; 100% 2. Maintain a high CSAT score during the…”
</t>
          </r>
          <r>
            <rPr>
              <rFont val="Calibri"/>
              <b val="1"/>
              <sz val="10"/>
            </rPr>
            <t>Autonomy &amp; Decision:</t>
          </r>
          <r>
            <rPr>
              <rFont val="Calibri"/>
              <sz val="10"/>
            </rPr>
            <t xml:space="preserve"> 3.5 of 12 · between A3 and B1 — Start: 4.0 · lead / specialist title; Evidence reads like A3: Decides which features to focus on in demos → moved down 0.5
</t>
          </r>
          <r>
            <rPr>
              <rFont val="Calibri"/>
              <b val="1"/>
              <sz val="10"/>
            </rPr>
            <t>Accountability &amp; Impact:</t>
          </r>
          <r>
            <rPr>
              <rFont val="Calibri"/>
              <sz val="10"/>
            </rPr>
            <t xml:space="preserve"> 3.5 of 12 · between A3 and B1 — Start: 4.0 · lead / specialist title; Evidence reads like A3: Pre-sales demos and implementation; a poor demo can lose the conversion → moved down 0.5; KRA: “1. Drive Mid-Market and SMB implementation projects on or before agreed timelines. --&gt; 100% 2. Maintain a high CSAT score during the…”
</t>
          </r>
          <r>
            <rPr>
              <rFont val="Calibri"/>
              <b val="1"/>
              <sz val="10"/>
            </rPr>
            <t>Leadership &amp; Strategy:</t>
          </r>
          <r>
            <rPr>
              <rFont val="Calibri"/>
              <sz val="10"/>
            </rPr>
            <t xml:space="preserve"> 2 of 12 — Start: 3.0 · individual contributor, so influence only; Evidence reads like A1: No guidance of others described; only forwards client feedback → moved down 1; Team: 0 direct reports · IC
</t>
          </r>
          <r>
            <rPr>
              <rFont val="Calibri"/>
              <b val="1"/>
              <sz val="10"/>
            </rPr>
            <t>Experience &amp; Qualification:</t>
          </r>
          <r>
            <rPr>
              <rFont val="Calibri"/>
              <sz val="10"/>
            </rPr>
            <t xml:space="preserve"> 4.5 of 12 · between B1 and B2 — Experience: 4.4 yrs total · 4.0 before IRIS + 0.4 at IRIS = 3.6 on the experience scale; Qualification: CA · professional, relevant to the work → +1.0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42"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t>
          </r>
          <r>
            <rPr>
              <rFont val="Calibri"/>
              <b val="1"/>
              <sz val="10"/>
            </rPr>
            <t>At peers:</t>
          </r>
          <r>
            <rPr>
              <rFont val="Calibri"/>
              <sz val="10"/>
            </rPr>
            <t xml:space="preserve"> Big Four – Senior Consultant · Regnology – BA · Reg Reporting
</t>
          </r>
          <r>
            <rPr>
              <rFont val="Calibri"/>
              <b val="1"/>
              <sz val="10"/>
            </rPr>
            <t>Typical experience:</t>
          </r>
          <r>
            <rPr>
              <rFont val="Calibri"/>
              <sz val="10"/>
            </rPr>
            <t xml:space="preserve"> 4–8 yrs · IRIS guide 4–7
</t>
          </r>
          <r>
            <rPr>
              <rFont val="Calibri"/>
              <b val="1"/>
              <sz val="10"/>
            </rPr>
            <t>Standard:</t>
          </r>
          <r>
            <rPr>
              <rFont val="Calibri"/>
              <sz val="10"/>
            </rPr>
            <t xml:space="preserve"> TSIA professional services; PMI</t>
          </r>
        </is>
      </c>
      <c r="Y42" s="12" t="inlineStr">
        <is>
          <r>
            <rPr>
              <rFont val="Calibri"/>
              <sz val="10"/>
            </rPr>
            <t xml:space="preserve">✓ HRIS: 4.4 yrs, CA,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42" s="82" t="inlineStr">
        <is>
          <r>
            <rPr>
              <rFont val="Calibri"/>
              <color rgb="009C5700"/>
              <sz val="10"/>
            </rPr>
            <t xml:space="preserve">• </t>
          </r>
          <r>
            <rPr>
              <rFont val="Calibri"/>
              <b val="1"/>
              <color rgb="009C5700"/>
              <sz val="10"/>
            </rPr>
            <t>Close call:</t>
          </r>
          <r>
            <rPr>
              <rFont val="Calibri"/>
              <color rgb="009C5700"/>
              <sz val="10"/>
            </rPr>
            <t xml:space="preserve"> score 3.53 is within 0.05 of a rounding point</t>
          </r>
        </is>
      </c>
      <c r="AA42" s="12" t="inlineStr">
        <is>
          <t>Nothing outstanding</t>
        </is>
      </c>
      <c r="AB42"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client · market.
Manager talent mapping — Latest rating: 3 · Potential: Medium · 9-Box Grid placement: Core Contributor.</t>
          </r>
        </is>
      </c>
      <c r="AC42" s="84" t="n"/>
      <c r="AD42" s="84" t="n"/>
      <c r="AE42" s="84" t="n"/>
      <c r="AF42" s="12" t="n">
        <v>3.5</v>
      </c>
    </row>
    <row r="43" ht="379" customHeight="1">
      <c r="A43" s="12" t="inlineStr">
        <is>
          <t>IRIS2463</t>
        </is>
      </c>
      <c r="B43" s="10" t="inlineStr">
        <is>
          <t>Nandit Verma</t>
        </is>
      </c>
      <c r="C43" s="12" t="inlineStr">
        <is>
          <t>Functional</t>
        </is>
      </c>
      <c r="D43" s="12" t="inlineStr">
        <is>
          <t>Functional Specialist</t>
        </is>
      </c>
      <c r="E43" s="12" t="inlineStr">
        <is>
          <t>Functional Specialist</t>
        </is>
      </c>
      <c r="F43" s="12" t="inlineStr">
        <is>
          <t>Solution Consulting &amp; Implementation</t>
        </is>
      </c>
      <c r="G43" s="12" t="inlineStr">
        <is>
          <t>Solution Consulting &amp; Implementation</t>
        </is>
      </c>
      <c r="H43" s="12" t="inlineStr">
        <is>
          <t>IC</t>
        </is>
      </c>
      <c r="I43" s="42" t="inlineStr">
        <is>
          <t>L3 – Professional / Associate</t>
        </is>
      </c>
      <c r="J43" s="20" t="inlineStr">
        <is>
          <t>B1</t>
        </is>
      </c>
      <c r="K43" s="21" t="inlineStr">
        <is>
          <t>Specialist</t>
        </is>
      </c>
      <c r="L43" s="87" t="inlineStr">
        <is>
          <t>▲ Up</t>
        </is>
      </c>
      <c r="M43" s="12" t="inlineStr">
        <is>
          <t>CARBON · Functional · Band B · Expert / POD Lead</t>
        </is>
      </c>
      <c r="N43" s="42" t="n">
        <v>4</v>
      </c>
      <c r="O43" s="42" t="n">
        <v>3.5</v>
      </c>
      <c r="P43" s="42" t="n">
        <v>4</v>
      </c>
      <c r="Q43" s="42" t="n">
        <v>2.5</v>
      </c>
      <c r="R43" s="42" t="n">
        <v>4</v>
      </c>
      <c r="S43" s="80" t="n">
        <v>4</v>
      </c>
      <c r="T43" s="81">
        <f>IF(OR($M43="",COUNT(N43,O43,P43,Q43,R43,S43)&lt;6),"",IFERROR(N43*INDEX(WM_C,MATCH($M43,WM_KEY,0))+O43*INDEX(WM_AU,MATCH($M43,WM_KEY,0))+P43*INDEX(WM_AC,MATCH($M43,WM_KEY,0))+Q43*INDEX(WM_L,MATCH($M43,WM_KEY,0))+R43*INDEX(WM_E,MATCH($M43,WM_KEY,0))+S43*INDEX(WM_BI,MATCH($M43,WM_KEY,0)),""))</f>
        <v>3.84</v>
      </c>
      <c r="U43" s="42" t="str">
        <f>IF(T43="","",INDEX({"A1","A2","A3","B1","B2","B3","C1","C2","D1","D2","E1","E2"},MAX(1,MIN(12,ROUND(T43,0)))))</f>
        <v>B1</v>
      </c>
      <c r="V43" s="12" t="inlineStr">
        <is>
          <r>
            <rPr>
              <rFont val="Calibri"/>
              <sz val="10"/>
            </rPr>
            <t xml:space="preserve">New level B1 · Specialist. Current level on record: L3 – Professional / Associate. Change: ▲ Up.
Score 3.84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3" s="12" t="inlineStr">
        <is>
          <r>
            <rPr>
              <rFont val="Calibri"/>
              <b val="1"/>
              <sz val="10"/>
            </rPr>
            <t>Complexity &amp; Expertise:</t>
          </r>
          <r>
            <rPr>
              <rFont val="Calibri"/>
              <sz val="10"/>
            </rPr>
            <t xml:space="preserve"> 4 of 12 — Start: 4.0 · lead / specialist title; Evidence reads like B1: Translates client requirements into implementations; US/EMEA financial reporting and XBRL mandate knowledge; bug testing → matches the start; KRA: “OKR Link”
</t>
          </r>
          <r>
            <rPr>
              <rFont val="Calibri"/>
              <b val="1"/>
              <sz val="10"/>
            </rPr>
            <t>Autonomy &amp; Decision:</t>
          </r>
          <r>
            <rPr>
              <rFont val="Calibri"/>
              <sz val="10"/>
            </rPr>
            <t xml:space="preserve"> 3.5 of 12 · between A3 and B1 — Start: 4.0 · lead / specialist title; Evidence reads like A3: Decides project set-up activities; suggests product features → moved down 0.5
</t>
          </r>
          <r>
            <rPr>
              <rFont val="Calibri"/>
              <b val="1"/>
              <sz val="10"/>
            </rPr>
            <t>Accountability &amp; Impact:</t>
          </r>
          <r>
            <rPr>
              <rFont val="Calibri"/>
              <sz val="10"/>
            </rPr>
            <t xml:space="preserve"> 4 of 12 — Start: 4.0 · lead / specialist title; Evidence reads like B1: own survey / KRA answers · summarised by the rater; not quoted → matches the start; KRA: “OKR Link”
</t>
          </r>
          <r>
            <rPr>
              <rFont val="Calibri"/>
              <b val="1"/>
              <sz val="10"/>
            </rPr>
            <t>Leadership &amp; Strategy:</t>
          </r>
          <r>
            <rPr>
              <rFont val="Calibri"/>
              <sz val="10"/>
            </rPr>
            <t xml:space="preserve"> 2.5 of 12 · between A2 and A3 — Start: 3.0 · individual contributor, so influence only; Evidence reads like A2: Coordinates internal teams on bugs and gaps; no juniors guided → moved down 0.5; Team: 0 direct reports · IC
</t>
          </r>
          <r>
            <rPr>
              <rFont val="Calibri"/>
              <b val="1"/>
              <sz val="10"/>
            </rPr>
            <t>Experience &amp; Qualification:</t>
          </r>
          <r>
            <rPr>
              <rFont val="Calibri"/>
              <sz val="10"/>
            </rPr>
            <t xml:space="preserve"> 4 of 12 — Experience: 4.9 yrs total · 4.2 before IRIS + 0.7 at IRIS = 3.8 on the experience scale; Qualification: B.E · graduate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43"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t>
          </r>
          <r>
            <rPr>
              <rFont val="Calibri"/>
              <b val="1"/>
              <sz val="10"/>
            </rPr>
            <t>At peers:</t>
          </r>
          <r>
            <rPr>
              <rFont val="Calibri"/>
              <sz val="10"/>
            </rPr>
            <t xml:space="preserve"> Big Four – Senior Consultant · Regnology – BA · Reg Reporting
</t>
          </r>
          <r>
            <rPr>
              <rFont val="Calibri"/>
              <b val="1"/>
              <sz val="10"/>
            </rPr>
            <t>Typical experience:</t>
          </r>
          <r>
            <rPr>
              <rFont val="Calibri"/>
              <sz val="10"/>
            </rPr>
            <t xml:space="preserve"> 4–8 yrs · IRIS guide 4–7
</t>
          </r>
          <r>
            <rPr>
              <rFont val="Calibri"/>
              <b val="1"/>
              <sz val="10"/>
            </rPr>
            <t>Standard:</t>
          </r>
          <r>
            <rPr>
              <rFont val="Calibri"/>
              <sz val="10"/>
            </rPr>
            <t xml:space="preserve"> TSIA professional services; PMI</t>
          </r>
        </is>
      </c>
      <c r="Y43" s="12" t="inlineStr">
        <is>
          <r>
            <rPr>
              <rFont val="Calibri"/>
              <sz val="10"/>
            </rPr>
            <t xml:space="preserve">✓ HRIS: 4.9 yrs, B.E,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43" s="12" t="inlineStr">
        <is>
          <t>—</t>
        </is>
      </c>
      <c r="AA43" s="12" t="inlineStr">
        <is>
          <t>Nothing outstanding</t>
        </is>
      </c>
      <c r="AB43"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t>
          </r>
          <r>
            <rPr>
              <rFont val="Calibri"/>
              <b val="1"/>
              <sz val="10"/>
            </rPr>
            <t>If the work is missed · role-holders' themes:</t>
          </r>
          <r>
            <rPr>
              <rFont val="Calibri"/>
              <sz val="10"/>
            </rPr>
            <t xml:space="preserve"> client · market.
Manager talent mapping — Latest rating: 4 · Potential: Medium · 9-Box Grid placement: High Impact / Growth Talent.</t>
          </r>
        </is>
      </c>
      <c r="AC43" s="84" t="n"/>
      <c r="AD43" s="84" t="n"/>
      <c r="AE43" s="84" t="n"/>
      <c r="AF43" s="12" t="n">
        <v>4</v>
      </c>
    </row>
    <row r="44" ht="379" customHeight="1">
      <c r="A44" s="12" t="inlineStr">
        <is>
          <t>IRIS1970</t>
        </is>
      </c>
      <c r="B44" s="10" t="inlineStr">
        <is>
          <t>Sharanya Balachandran</t>
        </is>
      </c>
      <c r="C44" s="12" t="inlineStr">
        <is>
          <t>Functional</t>
        </is>
      </c>
      <c r="D44" s="12" t="inlineStr">
        <is>
          <t>Business Consultant</t>
        </is>
      </c>
      <c r="E44" s="85" t="inlineStr">
        <is>
          <t>Functional Specialist – POD Lead</t>
        </is>
      </c>
      <c r="F44" s="12" t="inlineStr">
        <is>
          <t>Solution Consulting &amp; Implementation</t>
        </is>
      </c>
      <c r="G44" s="12" t="inlineStr">
        <is>
          <t>Solution Consulting &amp; Implementation</t>
        </is>
      </c>
      <c r="H44" s="12" t="inlineStr">
        <is>
          <t>POD Lead</t>
        </is>
      </c>
      <c r="I44" s="42" t="inlineStr">
        <is>
          <t>L3 – Professional / Associate</t>
        </is>
      </c>
      <c r="J44" s="20" t="inlineStr">
        <is>
          <t>B1</t>
        </is>
      </c>
      <c r="K44" s="21" t="inlineStr">
        <is>
          <t>Specialist · POD Lead</t>
        </is>
      </c>
      <c r="L44" s="87" t="inlineStr">
        <is>
          <t>▲ Up</t>
        </is>
      </c>
      <c r="M44" s="12" t="inlineStr">
        <is>
          <t>CARBON · Functional · Band B · Expert / POD Lead</t>
        </is>
      </c>
      <c r="N44" s="42" t="n">
        <v>4</v>
      </c>
      <c r="O44" s="42" t="n">
        <v>4</v>
      </c>
      <c r="P44" s="42" t="n">
        <v>4</v>
      </c>
      <c r="Q44" s="42" t="n">
        <v>3.5</v>
      </c>
      <c r="R44" s="42" t="n">
        <v>4.5</v>
      </c>
      <c r="S44" s="80" t="n">
        <v>4.5</v>
      </c>
      <c r="T44" s="81">
        <f>IF(OR($M44="",COUNT(N44,O44,P44,Q44,R44,S44)&lt;6),"",IFERROR(N44*INDEX(WM_C,MATCH($M44,WM_KEY,0))+O44*INDEX(WM_AU,MATCH($M44,WM_KEY,0))+P44*INDEX(WM_AC,MATCH($M44,WM_KEY,0))+Q44*INDEX(WM_L,MATCH($M44,WM_KEY,0))+R44*INDEX(WM_E,MATCH($M44,WM_KEY,0))+S44*INDEX(WM_BI,MATCH($M44,WM_KEY,0)),""))</f>
        <v>4.06</v>
      </c>
      <c r="U44" s="42" t="str">
        <f>IF(T44="","",INDEX({"A1","A2","A3","B1","B2","B3","C1","C2","D1","D2","E1","E2"},MAX(1,MIN(12,ROUND(T44,0)))))</f>
        <v>B1</v>
      </c>
      <c r="V44" s="12" t="inlineStr">
        <is>
          <r>
            <rPr>
              <rFont val="Calibri"/>
              <sz val="10"/>
            </rPr>
            <t xml:space="preserve">New level B1 · Specialist · POD Lead. Current level on record: L3 – Professional / Associate. Change: ▲ Up.
Score 4.06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4" s="12" t="inlineStr">
        <is>
          <r>
            <rPr>
              <rFont val="Calibri"/>
              <b val="1"/>
              <sz val="10"/>
            </rPr>
            <t>Complexity &amp; Expertise:</t>
          </r>
          <r>
            <rPr>
              <rFont val="Calibri"/>
              <sz val="10"/>
            </rPr>
            <t xml:space="preserve"> 4 of 12 — Start: 4.0 · lead / specialist title; Evidence: no survey answers or KRAs on file → rating stays at the start; KRA: “1. % Roadmap items with defined success metric - 100% 2. Monthly Meeting Minutes with clear roadmap presentation 3. % Quarterly commitments…”
</t>
          </r>
          <r>
            <rPr>
              <rFont val="Calibri"/>
              <b val="1"/>
              <sz val="10"/>
            </rPr>
            <t>Autonomy &amp; Decision:</t>
          </r>
          <r>
            <rPr>
              <rFont val="Calibri"/>
              <sz val="10"/>
            </rPr>
            <t xml:space="preserve"> 4 of 12 — Start: 4.0 · lead / specialist title; Evidence: no survey answers or KRAs on file → rating stays at the start
</t>
          </r>
          <r>
            <rPr>
              <rFont val="Calibri"/>
              <b val="1"/>
              <sz val="10"/>
            </rPr>
            <t>Accountability &amp; Impact:</t>
          </r>
          <r>
            <rPr>
              <rFont val="Calibri"/>
              <sz val="10"/>
            </rPr>
            <t xml:space="preserve"> 4 of 12 — Start: 3.8 · lead / specialist title; 1 direct report; Evidence: no survey answers or KRAs on file → rating stays at the start; KRA: “1. % Roadmap items with defined success metric - 100% 2. Monthly Meeting Minutes with clear roadmap presentation 3. % Quarterly commitments…”
</t>
          </r>
          <r>
            <rPr>
              <rFont val="Calibri"/>
              <b val="1"/>
              <sz val="10"/>
            </rPr>
            <t>Leadership &amp; Strategy:</t>
          </r>
          <r>
            <rPr>
              <rFont val="Calibri"/>
              <sz val="10"/>
            </rPr>
            <t xml:space="preserve"> 3.5 of 12 · between A3 and B1 — Start: 3.5; Evidence: no survey answers or KRAs on file → rating stays at the start; Team: 1 direct report · POD Lead
</t>
          </r>
          <r>
            <rPr>
              <rFont val="Calibri"/>
              <b val="1"/>
              <sz val="10"/>
            </rPr>
            <t>Experience &amp; Qualification:</t>
          </r>
          <r>
            <rPr>
              <rFont val="Calibri"/>
              <sz val="10"/>
            </rPr>
            <t xml:space="preserve"> 4.5 of 12 · between B1 and B2 — Experience: 4.8 yrs total · 4.8 at IRIS; none recorded before IRIS = 3.7 on the experience scale; Qualification: CA · professional, relevant to the work → +1.0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44"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t>
          </r>
          <r>
            <rPr>
              <rFont val="Calibri"/>
              <b val="1"/>
              <sz val="10"/>
            </rPr>
            <t>At peers:</t>
          </r>
          <r>
            <rPr>
              <rFont val="Calibri"/>
              <sz val="10"/>
            </rPr>
            <t xml:space="preserve"> Big Four – Senior Consultant · Regnology – BA · Reg Reporting
</t>
          </r>
          <r>
            <rPr>
              <rFont val="Calibri"/>
              <b val="1"/>
              <sz val="10"/>
            </rPr>
            <t>Typical experience:</t>
          </r>
          <r>
            <rPr>
              <rFont val="Calibri"/>
              <sz val="10"/>
            </rPr>
            <t xml:space="preserve"> 4–8 yrs · IRIS guide 4–7
</t>
          </r>
          <r>
            <rPr>
              <rFont val="Calibri"/>
              <b val="1"/>
              <sz val="10"/>
            </rPr>
            <t>Standard:</t>
          </r>
          <r>
            <rPr>
              <rFont val="Calibri"/>
              <sz val="10"/>
            </rPr>
            <t xml:space="preserve"> TSIA professional services; PMI</t>
          </r>
        </is>
      </c>
      <c r="Y44" s="12" t="inlineStr">
        <is>
          <r>
            <rPr>
              <rFont val="Calibri"/>
              <sz val="10"/>
            </rPr>
            <t xml:space="preserve">✓ HRIS: 4.8 yrs, CA, 1 direct report
✓ Survey: 17 of 20 questions answered
✓ KRAs: submitted
✓ Manager mapping: rating, potential, 9-box
✓ Job description
</t>
          </r>
          <r>
            <rPr>
              <rFont val="Calibri"/>
              <b val="1"/>
              <sz val="10"/>
            </rPr>
            <t>Confidence:</t>
          </r>
          <r>
            <rPr>
              <rFont val="Calibri"/>
              <sz val="10"/>
            </rPr>
            <t xml:space="preserve"> Low</t>
          </r>
        </is>
      </c>
      <c r="Z44" s="12" t="inlineStr">
        <is>
          <t>—</t>
        </is>
      </c>
      <c r="AA44" s="12" t="inlineStr">
        <is>
          <t>Nothing outstanding</t>
        </is>
      </c>
      <c r="AB4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critical role: yes; successor named: yes.
</t>
          </r>
          <r>
            <rPr>
              <rFont val="Calibri"/>
              <b val="1"/>
              <sz val="10"/>
            </rPr>
            <t>If the work is missed · role-holders' themes:</t>
          </r>
          <r>
            <rPr>
              <rFont val="Calibri"/>
              <sz val="10"/>
            </rPr>
            <t xml:space="preserve"> client · market.
Manager talent mapping — Latest rating: 5 · Potential: High · 9-Box Grid placement: Future Leader.</t>
          </r>
        </is>
      </c>
      <c r="AC44" s="84" t="n"/>
      <c r="AD44" s="84" t="n"/>
      <c r="AE44" s="84" t="n"/>
      <c r="AF44" s="12" t="n">
        <v>4.5</v>
      </c>
    </row>
    <row r="45" ht="379" customHeight="1">
      <c r="A45" s="12" t="inlineStr">
        <is>
          <t>IRIS2545</t>
        </is>
      </c>
      <c r="B45" s="10" t="inlineStr">
        <is>
          <t>Vishal Gujar</t>
        </is>
      </c>
      <c r="C45" s="12" t="inlineStr">
        <is>
          <t>Functional</t>
        </is>
      </c>
      <c r="D45" s="12" t="inlineStr">
        <is>
          <t>Functional Specialist</t>
        </is>
      </c>
      <c r="E45" s="12" t="inlineStr">
        <is>
          <t>Functional Specialist</t>
        </is>
      </c>
      <c r="F45" s="12" t="inlineStr">
        <is>
          <t>Solution Consulting &amp; Implementation</t>
        </is>
      </c>
      <c r="G45" s="12" t="inlineStr">
        <is>
          <t>Solution Consulting &amp; Implementation</t>
        </is>
      </c>
      <c r="H45" s="12" t="inlineStr">
        <is>
          <t>IC</t>
        </is>
      </c>
      <c r="I45" s="42" t="inlineStr">
        <is>
          <t>Not in current mapping files</t>
        </is>
      </c>
      <c r="J45" s="20" t="inlineStr">
        <is>
          <t>B1</t>
        </is>
      </c>
      <c r="K45" s="21" t="inlineStr">
        <is>
          <t>Specialist</t>
        </is>
      </c>
      <c r="L45" s="79" t="inlineStr">
        <is>
          <t>● Newly mapped</t>
        </is>
      </c>
      <c r="M45" s="12" t="inlineStr">
        <is>
          <t>CARBON · Functional · Band B · Expert / POD Lead</t>
        </is>
      </c>
      <c r="N45" s="42" t="n">
        <v>3.5</v>
      </c>
      <c r="O45" s="42" t="n">
        <v>3.5</v>
      </c>
      <c r="P45" s="42" t="n">
        <v>3.5</v>
      </c>
      <c r="Q45" s="42" t="n">
        <v>2</v>
      </c>
      <c r="R45" s="42" t="n">
        <v>5</v>
      </c>
      <c r="S45" s="80" t="n">
        <v>3.5</v>
      </c>
      <c r="T45" s="81">
        <f>IF(OR($M45="",COUNT(N45,O45,P45,Q45,R45,S45)&lt;6),"",IFERROR(N45*INDEX(WM_C,MATCH($M45,WM_KEY,0))+O45*INDEX(WM_AU,MATCH($M45,WM_KEY,0))+P45*INDEX(WM_AC,MATCH($M45,WM_KEY,0))+Q45*INDEX(WM_L,MATCH($M45,WM_KEY,0))+R45*INDEX(WM_E,MATCH($M45,WM_KEY,0))+S45*INDEX(WM_BI,MATCH($M45,WM_KEY,0)),""))</f>
        <v>3.575</v>
      </c>
      <c r="U45" s="42" t="str">
        <f>IF(T45="","",INDEX({"A1","A2","A3","B1","B2","B3","C1","C2","D1","D2","E1","E2"},MAX(1,MIN(12,ROUND(T45,0)))))</f>
        <v>B1</v>
      </c>
      <c r="V45" s="12" t="inlineStr">
        <is>
          <r>
            <rPr>
              <rFont val="Calibri"/>
              <sz val="10"/>
            </rPr>
            <t xml:space="preserve">New level B1 · Specialist. Current level on record: Not in current mapping files. Change: ● Newly mapped.
Score 3.58 on the ladder scale → indicated level B1.
</t>
          </r>
          <r>
            <rPr>
              <rFont val="Calibri"/>
              <b val="1"/>
              <sz val="10"/>
            </rPr>
            <t>Weights:</t>
          </r>
          <r>
            <rPr>
              <rFont val="Calibri"/>
              <sz val="10"/>
            </rPr>
            <t xml:space="preserve"> Complexity 51% · Autonomy 17% · Accountability 10%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5" s="12" t="inlineStr">
        <is>
          <r>
            <rPr>
              <rFont val="Calibri"/>
              <b val="1"/>
              <sz val="10"/>
            </rPr>
            <t>Complexity &amp; Expertise:</t>
          </r>
          <r>
            <rPr>
              <rFont val="Calibri"/>
              <sz val="10"/>
            </rPr>
            <t xml:space="preserve"> 3.5 of 12 · between A3 and B1 — Start: 4.0 · lead / specialist title; Evidence reads like A3: own survey / KRA answers · summarised by the rater; not quoted → moved down 0.5
</t>
          </r>
          <r>
            <rPr>
              <rFont val="Calibri"/>
              <b val="1"/>
              <sz val="10"/>
            </rPr>
            <t>Autonomy &amp; Decision:</t>
          </r>
          <r>
            <rPr>
              <rFont val="Calibri"/>
              <sz val="10"/>
            </rPr>
            <t xml:space="preserve"> 3.5 of 12 · between A3 and B1 — Start: 4.0 · lead / specialist title; Evidence reads like A3: Decides implementation approach for own clients → moved down 0.5
</t>
          </r>
          <r>
            <rPr>
              <rFont val="Calibri"/>
              <b val="1"/>
              <sz val="10"/>
            </rPr>
            <t>Accountability &amp; Impact:</t>
          </r>
          <r>
            <rPr>
              <rFont val="Calibri"/>
              <sz val="10"/>
            </rPr>
            <t xml:space="preserve"> 3.5 of 12 · between A3 and B1 — Start: 4.0 · lead / specialist title; Evidence reads like A3: Demos, training and smooth implementation; customer may go to other vendors → moved down 0.5
</t>
          </r>
          <r>
            <rPr>
              <rFont val="Calibri"/>
              <b val="1"/>
              <sz val="10"/>
            </rPr>
            <t>Leadership &amp; Strategy:</t>
          </r>
          <r>
            <rPr>
              <rFont val="Calibri"/>
              <sz val="10"/>
            </rPr>
            <t xml:space="preserve"> 2 of 12 — Start: 3.0 · individual contributor, so influence only; Evidence reads like A1: No guidance or leadership of others described → moved down 1; Team: 0 direct reports · IC
</t>
          </r>
          <r>
            <rPr>
              <rFont val="Calibri"/>
              <b val="1"/>
              <sz val="10"/>
            </rPr>
            <t>Experience &amp; Qualification:</t>
          </r>
          <r>
            <rPr>
              <rFont val="Calibri"/>
              <sz val="10"/>
            </rPr>
            <t xml:space="preserve"> 5 of 12 — Experience: 6.0 yrs total · 5.8 before IRIS + 0.2 at IRIS = 4.2 on the experience scale; Qualification: MBA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45"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Consultant
</t>
          </r>
          <r>
            <rPr>
              <rFont val="Calibri"/>
              <b val="1"/>
              <sz val="10"/>
            </rPr>
            <t>At peers:</t>
          </r>
          <r>
            <rPr>
              <rFont val="Calibri"/>
              <sz val="10"/>
            </rPr>
            <t xml:space="preserve"> Big Four – Senior Consultant · Regnology – BA · Reg Reporting
</t>
          </r>
          <r>
            <rPr>
              <rFont val="Calibri"/>
              <b val="1"/>
              <sz val="10"/>
            </rPr>
            <t>Typical experience:</t>
          </r>
          <r>
            <rPr>
              <rFont val="Calibri"/>
              <sz val="10"/>
            </rPr>
            <t xml:space="preserve"> 4–8 yrs · IRIS guide 4–7
</t>
          </r>
          <r>
            <rPr>
              <rFont val="Calibri"/>
              <b val="1"/>
              <sz val="10"/>
            </rPr>
            <t>Standard:</t>
          </r>
          <r>
            <rPr>
              <rFont val="Calibri"/>
              <sz val="10"/>
            </rPr>
            <t xml:space="preserve"> TSIA professional services; PMI</t>
          </r>
        </is>
      </c>
      <c r="Y45" s="12" t="inlineStr">
        <is>
          <r>
            <rPr>
              <rFont val="Calibri"/>
              <sz val="10"/>
            </rPr>
            <t xml:space="preserve">✓ HRIS: 6.0 yrs, MBA, 0 direct reports
✓ Survey: 20 of 20 questions answered
✓ KRAs: reported deliverables
✓ Manager mapping: rating, 9-box
✗ Job description: not on file
</t>
          </r>
          <r>
            <rPr>
              <rFont val="Calibri"/>
              <b val="1"/>
              <sz val="10"/>
            </rPr>
            <t>Confidence:</t>
          </r>
          <r>
            <rPr>
              <rFont val="Calibri"/>
              <sz val="10"/>
            </rPr>
            <t xml:space="preserve"> Medium</t>
          </r>
        </is>
      </c>
      <c r="Z45" s="12" t="inlineStr">
        <is>
          <t>—</t>
        </is>
      </c>
      <c r="AA45" s="12" t="inlineStr">
        <is>
          <t>Nothing outstanding</t>
        </is>
      </c>
      <c r="AB45"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client · market.
Manager talent mapping — Latest rating: Not rated · manager · 9-Box Grid placement: Not placed · manager.</t>
          </r>
        </is>
      </c>
      <c r="AC45" s="84" t="n"/>
      <c r="AD45" s="84" t="n"/>
      <c r="AE45" s="84" t="n"/>
      <c r="AF45" s="12" t="n">
        <v>3.5</v>
      </c>
    </row>
    <row r="46" ht="379" customHeight="1">
      <c r="A46" s="12" t="inlineStr">
        <is>
          <t>IRIS2493</t>
        </is>
      </c>
      <c r="B46" s="10" t="inlineStr">
        <is>
          <t>Watan Kumar Meena</t>
        </is>
      </c>
      <c r="C46" s="12" t="inlineStr">
        <is>
          <t>Functional</t>
        </is>
      </c>
      <c r="D46" s="12" t="inlineStr">
        <is>
          <t>Product Associate</t>
        </is>
      </c>
      <c r="E46" s="85" t="inlineStr">
        <is>
          <t>Senior Product Associate</t>
        </is>
      </c>
      <c r="F46" s="12" t="inlineStr">
        <is>
          <t>Product Management</t>
        </is>
      </c>
      <c r="G46" s="12" t="inlineStr">
        <is>
          <t>Product Management</t>
        </is>
      </c>
      <c r="H46" s="12" t="inlineStr">
        <is>
          <t>IC</t>
        </is>
      </c>
      <c r="I46" s="42" t="inlineStr">
        <is>
          <t>L3 – Professional / Associate</t>
        </is>
      </c>
      <c r="J46" s="16" t="inlineStr">
        <is>
          <t>A3</t>
        </is>
      </c>
      <c r="K46" s="17" t="inlineStr">
        <is>
          <t>Senior Associate</t>
        </is>
      </c>
      <c r="L46" s="87" t="inlineStr">
        <is>
          <t>▲ Up</t>
        </is>
      </c>
      <c r="M46" s="12" t="inlineStr">
        <is>
          <t>CARBON · Functional · Band A · Early career</t>
        </is>
      </c>
      <c r="N46" s="42" t="n">
        <v>2.5</v>
      </c>
      <c r="O46" s="42" t="n">
        <v>2</v>
      </c>
      <c r="P46" s="42" t="n">
        <v>2.5</v>
      </c>
      <c r="Q46" s="42" t="n">
        <v>1.5</v>
      </c>
      <c r="R46" s="42" t="n">
        <v>4</v>
      </c>
      <c r="S46" s="80" t="n">
        <v>3</v>
      </c>
      <c r="T46" s="81">
        <f>IF(OR($M46="",COUNT(N46,O46,P46,Q46,R46,S46)&lt;6),"",IFERROR(N46*INDEX(WM_C,MATCH($M46,WM_KEY,0))+O46*INDEX(WM_AU,MATCH($M46,WM_KEY,0))+P46*INDEX(WM_AC,MATCH($M46,WM_KEY,0))+Q46*INDEX(WM_L,MATCH($M46,WM_KEY,0))+R46*INDEX(WM_E,MATCH($M46,WM_KEY,0))+S46*INDEX(WM_BI,MATCH($M46,WM_KEY,0)),""))</f>
        <v>2.6</v>
      </c>
      <c r="U46" s="42" t="str">
        <f>IF(T46="","",INDEX({"A1","A2","A3","B1","B2","B3","C1","C2","D1","D2","E1","E2"},MAX(1,MIN(12,ROUND(T46,0)))))</f>
        <v>A3</v>
      </c>
      <c r="V46" s="12" t="inlineStr">
        <is>
          <r>
            <rPr>
              <rFont val="Calibri"/>
              <sz val="10"/>
            </rPr>
            <t xml:space="preserve">New level A3 · Senior Associate. Current level on record: L3 – Professional / Associate. Change: ▲ Up.
Score 2.60 on the ladder scale → indicated level A3.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6" s="12" t="inlineStr">
        <is>
          <r>
            <rPr>
              <rFont val="Calibri"/>
              <b val="1"/>
              <sz val="10"/>
            </rPr>
            <t>Complexity &amp; Expertise:</t>
          </r>
          <r>
            <rPr>
              <rFont val="Calibri"/>
              <sz val="10"/>
            </rPr>
            <t xml:space="preserve"> 2.5 of 12 · between A2 and A3 — Start: 2.0 · practitioner title; Evidence reads like A3: Creates PRDs and prototypes for ESG client features using basic coding → moved up 0.5; KRA: “`”
</t>
          </r>
          <r>
            <rPr>
              <rFont val="Calibri"/>
              <b val="1"/>
              <sz val="10"/>
            </rPr>
            <t>Autonomy &amp; Decision:</t>
          </r>
          <r>
            <rPr>
              <rFont val="Calibri"/>
              <sz val="10"/>
            </rPr>
            <t xml:space="preserve"> 2 of 12 — Start: 2.0 · practitioner title; Evidence reads like A2: Only stakeholder engagement named as an independent decision → matches the start
</t>
          </r>
          <r>
            <rPr>
              <rFont val="Calibri"/>
              <b val="1"/>
              <sz val="10"/>
            </rPr>
            <t>Accountability &amp; Impact:</t>
          </r>
          <r>
            <rPr>
              <rFont val="Calibri"/>
              <sz val="10"/>
            </rPr>
            <t xml:space="preserve"> 2.5 of 12 · between A2 and A3 — Start: 2.0 · practitioner title; Evidence reads like A3: Feature success metrics and client feedback; redesigns feature if results are poor → moved up 0.5; KRA: “`”
</t>
          </r>
          <r>
            <rPr>
              <rFont val="Calibri"/>
              <b val="1"/>
              <sz val="10"/>
            </rPr>
            <t>Leadership &amp; Strategy:</t>
          </r>
          <r>
            <rPr>
              <rFont val="Calibri"/>
              <sz val="10"/>
            </rPr>
            <t xml:space="preserve"> 1.5 of 12 · between A1 and A2 — not counted: the weight is 0% at this level — Start: 1.0 · individual contributor, so influence only; Evidence reads like A2: Helps development team build features; no guiding role → moved up 0.5; Team: 0 direct reports · IC
</t>
          </r>
          <r>
            <rPr>
              <rFont val="Calibri"/>
              <b val="1"/>
              <sz val="10"/>
            </rPr>
            <t>Experience &amp; Qualification:</t>
          </r>
          <r>
            <rPr>
              <rFont val="Calibri"/>
              <sz val="10"/>
            </rPr>
            <t xml:space="preserve"> 4 of 12 — Experience: 4.9 yrs total · 4.4 before IRIS + 0.5 at IRIS = 3.8 on the experience scale; Qualification: B.Tech · graduate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46" s="12" t="inlineStr">
        <is>
          <r>
            <rPr>
              <rFont val="Calibri"/>
              <b val="1"/>
              <sz val="10"/>
            </rPr>
            <t>Market level:</t>
          </r>
          <r>
            <rPr>
              <rFont val="Calibri"/>
              <sz val="10"/>
            </rPr>
            <t xml:space="preserve"> P2 · SFIA 3 Apply
</t>
          </r>
          <r>
            <rPr>
              <rFont val="Calibri"/>
              <b val="1"/>
              <sz val="10"/>
            </rPr>
            <t>Typical title:</t>
          </r>
          <r>
            <rPr>
              <rFont val="Calibri"/>
              <sz val="10"/>
            </rPr>
            <t xml:space="preserve"> Associate Product Manager
</t>
          </r>
          <r>
            <rPr>
              <rFont val="Calibri"/>
              <b val="1"/>
              <sz val="10"/>
            </rPr>
            <t>At peers:</t>
          </r>
          <r>
            <rPr>
              <rFont val="Calibri"/>
              <sz val="10"/>
            </rPr>
            <t xml:space="preserve"> IRIS Vs Competitor Benchmark — SaaS product ladder: Associate PM
</t>
          </r>
          <r>
            <rPr>
              <rFont val="Calibri"/>
              <b val="1"/>
              <sz val="10"/>
            </rPr>
            <t>Typical experience:</t>
          </r>
          <r>
            <rPr>
              <rFont val="Calibri"/>
              <sz val="10"/>
            </rPr>
            <t xml:space="preserve"> 2–5 yrs · IRIS guide 2–4
</t>
          </r>
          <r>
            <rPr>
              <rFont val="Calibri"/>
              <b val="1"/>
              <sz val="10"/>
            </rPr>
            <t>Standard:</t>
          </r>
          <r>
            <rPr>
              <rFont val="Calibri"/>
              <sz val="10"/>
            </rPr>
            <t xml:space="preserve"> Pragmatic Institute Framework; AIPMM</t>
          </r>
        </is>
      </c>
      <c r="Y46" s="12" t="inlineStr">
        <is>
          <r>
            <rPr>
              <rFont val="Calibri"/>
              <sz val="10"/>
            </rPr>
            <t xml:space="preserve">✓ HRIS: 4.9 yrs, B.Tech, 0 direct reports
✓ Survey: 19 of 20 questions answered
✓ KRAs: submitted, reported deliverables
✓ Manager mapping: rating, potential, 9-box
✓ Job description
</t>
          </r>
          <r>
            <rPr>
              <rFont val="Calibri"/>
              <b val="1"/>
              <sz val="10"/>
            </rPr>
            <t>Confidence:</t>
          </r>
          <r>
            <rPr>
              <rFont val="Calibri"/>
              <sz val="10"/>
            </rPr>
            <t xml:space="preserve"> High</t>
          </r>
        </is>
      </c>
      <c r="Z46" s="12" t="inlineStr">
        <is>
          <t>—</t>
        </is>
      </c>
      <c r="AA46" s="12" t="inlineStr">
        <is>
          <t>Nothing outstanding</t>
        </is>
      </c>
      <c r="AB4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delays · customer · delayed · revenue.
Manager talent mapping — Latest rating: 3 · Potential: Medium · 9-Box Grid placement: Emerging Talent.</t>
          </r>
        </is>
      </c>
      <c r="AC46" s="84" t="n"/>
      <c r="AD46" s="84" t="n"/>
      <c r="AE46" s="84" t="n"/>
      <c r="AF46" s="12" t="n">
        <v>3</v>
      </c>
    </row>
    <row r="47" ht="379" customHeight="1">
      <c r="A47" s="12" t="inlineStr">
        <is>
          <t>IRIS2421</t>
        </is>
      </c>
      <c r="B47" s="10" t="inlineStr">
        <is>
          <t>Prathamesh Patil</t>
        </is>
      </c>
      <c r="C47" s="12" t="inlineStr">
        <is>
          <t>Functional</t>
        </is>
      </c>
      <c r="D47" s="12" t="inlineStr">
        <is>
          <t>Functional Analyst</t>
        </is>
      </c>
      <c r="E47" s="85" t="inlineStr">
        <is>
          <t>Senior Functional Analyst</t>
        </is>
      </c>
      <c r="F47" s="12" t="inlineStr">
        <is>
          <t>Solution Consulting &amp; Implementation</t>
        </is>
      </c>
      <c r="G47" s="12" t="inlineStr">
        <is>
          <t>Solution Consulting &amp; Implementation</t>
        </is>
      </c>
      <c r="H47" s="12" t="inlineStr">
        <is>
          <t>IC</t>
        </is>
      </c>
      <c r="I47" s="42" t="inlineStr">
        <is>
          <t>L3 – Professional / Associate</t>
        </is>
      </c>
      <c r="J47" s="16" t="inlineStr">
        <is>
          <t>A3</t>
        </is>
      </c>
      <c r="K47" s="17" t="inlineStr">
        <is>
          <t>Senior Associate</t>
        </is>
      </c>
      <c r="L47" s="87" t="inlineStr">
        <is>
          <t>▲ Up</t>
        </is>
      </c>
      <c r="M47" s="12" t="inlineStr">
        <is>
          <t>CARBON · Functional · Band A · Early career</t>
        </is>
      </c>
      <c r="N47" s="42" t="n">
        <v>3</v>
      </c>
      <c r="O47" s="42" t="n">
        <v>2.5</v>
      </c>
      <c r="P47" s="42" t="n">
        <v>3</v>
      </c>
      <c r="Q47" s="42" t="n">
        <v>1.5</v>
      </c>
      <c r="R47" s="42" t="n">
        <v>3</v>
      </c>
      <c r="S47" s="80" t="n">
        <v>3</v>
      </c>
      <c r="T47" s="81">
        <f>IF(OR($M47="",COUNT(N47,O47,P47,Q47,R47,S47)&lt;6),"",IFERROR(N47*INDEX(WM_C,MATCH($M47,WM_KEY,0))+O47*INDEX(WM_AU,MATCH($M47,WM_KEY,0))+P47*INDEX(WM_AC,MATCH($M47,WM_KEY,0))+Q47*INDEX(WM_L,MATCH($M47,WM_KEY,0))+R47*INDEX(WM_E,MATCH($M47,WM_KEY,0))+S47*INDEX(WM_BI,MATCH($M47,WM_KEY,0)),""))</f>
        <v>2.92</v>
      </c>
      <c r="U47" s="42" t="str">
        <f>IF(T47="","",INDEX({"A1","A2","A3","B1","B2","B3","C1","C2","D1","D2","E1","E2"},MAX(1,MIN(12,ROUND(T47,0)))))</f>
        <v>A3</v>
      </c>
      <c r="V47" s="12" t="inlineStr">
        <is>
          <r>
            <rPr>
              <rFont val="Calibri"/>
              <sz val="10"/>
            </rPr>
            <t xml:space="preserve">New level A3 · Senior Associate. Current level on record: L3 – Professional / Associate. Change: ▲ Up.
Score 2.92 on the ladder scale → indicated level A3.
</t>
          </r>
          <r>
            <rPr>
              <rFont val="Calibri"/>
              <b val="1"/>
              <sz val="10"/>
            </rPr>
            <t>Weights:</t>
          </r>
          <r>
            <rPr>
              <rFont val="Calibri"/>
              <sz val="10"/>
            </rPr>
            <t xml:space="preserve"> Complexity 59% · Autonomy 16% · Experience 10% · Accountability 9%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regulatory consulting balances expertise and accountability, so no change.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7" s="12" t="inlineStr">
        <is>
          <r>
            <rPr>
              <rFont val="Calibri"/>
              <b val="1"/>
              <sz val="10"/>
            </rPr>
            <t>Complexity &amp; Expertise:</t>
          </r>
          <r>
            <rPr>
              <rFont val="Calibri"/>
              <sz val="10"/>
            </rPr>
            <t xml:space="preserve"> 3 of 12 — Start: 2.0 · practitioner title; Evidence reads like B1: Plans, designs, tests and implements client set-ups; devises workarounds; structures demo flows → moved up 1
</t>
          </r>
          <r>
            <rPr>
              <rFont val="Calibri"/>
              <b val="1"/>
              <sz val="10"/>
            </rPr>
            <t>Autonomy &amp; Decision:</t>
          </r>
          <r>
            <rPr>
              <rFont val="Calibri"/>
              <sz val="10"/>
            </rPr>
            <t xml:space="preserve"> 2.5 of 12 · between A2 and A3 — Start: 2.0 · practitioner title; Evidence reads like A3: Decides project set-up strategies for own implementations → moved up 0.5
</t>
          </r>
          <r>
            <rPr>
              <rFont val="Calibri"/>
              <b val="1"/>
              <sz val="10"/>
            </rPr>
            <t>Accountability &amp; Impact:</t>
          </r>
          <r>
            <rPr>
              <rFont val="Calibri"/>
              <sz val="10"/>
            </rPr>
            <t xml:space="preserve"> 3 of 12 — Start: 2.0 · practitioner title; Evidence reads like B1: Client implementations and set-up strategy; poor set-up risks adoption and churn → moved up 1
</t>
          </r>
          <r>
            <rPr>
              <rFont val="Calibri"/>
              <b val="1"/>
              <sz val="10"/>
            </rPr>
            <t>Leadership &amp; Strategy:</t>
          </r>
          <r>
            <rPr>
              <rFont val="Calibri"/>
              <sz val="10"/>
            </rPr>
            <t xml:space="preserve"> 1.5 of 12 · between A1 and A2 — not counted: the weight is 0% at this level — Start: 1.0 · individual contributor, so influence only; Evidence reads like A2: Trains internal and external users; bridges client and product team → moved up 0.5; Team: 0 direct reports · IC
</t>
          </r>
          <r>
            <rPr>
              <rFont val="Calibri"/>
              <b val="1"/>
              <sz val="10"/>
            </rPr>
            <t>Experience &amp; Qualification:</t>
          </r>
          <r>
            <rPr>
              <rFont val="Calibri"/>
              <sz val="10"/>
            </rPr>
            <t xml:space="preserve"> 3 of 12 — Experience: 1.6 yrs total · 0.5 before IRIS + 1.1 at IRIS = 2.3 on the experience scale; Qualification: MMS · postgraduate, relevant to the work → +0.5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47" s="12" t="inlineStr">
        <is>
          <r>
            <rPr>
              <rFont val="Calibri"/>
              <b val="1"/>
              <sz val="10"/>
            </rPr>
            <t>Market level:</t>
          </r>
          <r>
            <rPr>
              <rFont val="Calibri"/>
              <sz val="10"/>
            </rPr>
            <t xml:space="preserve"> P2 · SFIA 3 Apply
</t>
          </r>
          <r>
            <rPr>
              <rFont val="Calibri"/>
              <b val="1"/>
              <sz val="10"/>
            </rPr>
            <t>Typical title:</t>
          </r>
          <r>
            <rPr>
              <rFont val="Calibri"/>
              <sz val="10"/>
            </rPr>
            <t xml:space="preserve"> Implementation Consultant
</t>
          </r>
          <r>
            <rPr>
              <rFont val="Calibri"/>
              <b val="1"/>
              <sz val="10"/>
            </rPr>
            <t>At peers:</t>
          </r>
          <r>
            <rPr>
              <rFont val="Calibri"/>
              <sz val="10"/>
            </rPr>
            <t xml:space="preserve"> Big Four – Consultant · Regnology – Junior BA
</t>
          </r>
          <r>
            <rPr>
              <rFont val="Calibri"/>
              <b val="1"/>
              <sz val="10"/>
            </rPr>
            <t>Typical experience:</t>
          </r>
          <r>
            <rPr>
              <rFont val="Calibri"/>
              <sz val="10"/>
            </rPr>
            <t xml:space="preserve"> 2–5 yrs · IRIS guide 2–4
</t>
          </r>
          <r>
            <rPr>
              <rFont val="Calibri"/>
              <b val="1"/>
              <sz val="10"/>
            </rPr>
            <t>Standard:</t>
          </r>
          <r>
            <rPr>
              <rFont val="Calibri"/>
              <sz val="10"/>
            </rPr>
            <t xml:space="preserve"> TSIA professional services; PMI</t>
          </r>
        </is>
      </c>
      <c r="Y47" s="12" t="inlineStr">
        <is>
          <r>
            <rPr>
              <rFont val="Calibri"/>
              <sz val="10"/>
            </rPr>
            <t xml:space="preserve">✓ HRIS: 1.6 yrs, MMS, 0 direct reports
✓ Survey: 19 of 20 questions answered
✓ KRAs: reported deliverables
✓ Manager mapping: rating, 9-box
✓ Job description
</t>
          </r>
          <r>
            <rPr>
              <rFont val="Calibri"/>
              <b val="1"/>
              <sz val="10"/>
            </rPr>
            <t>Confidence:</t>
          </r>
          <r>
            <rPr>
              <rFont val="Calibri"/>
              <sz val="10"/>
            </rPr>
            <t xml:space="preserve"> High</t>
          </r>
        </is>
      </c>
      <c r="Z47" s="12" t="inlineStr">
        <is>
          <t>—</t>
        </is>
      </c>
      <c r="AA47" s="12" t="inlineStr">
        <is>
          <t>Nothing outstanding</t>
        </is>
      </c>
      <c r="AB4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client · market.
Manager talent mapping — Latest rating: Not rated · manager · 9-Box Grid placement: Not placed · manager.</t>
          </r>
        </is>
      </c>
      <c r="AC47" s="84" t="n"/>
      <c r="AD47" s="84" t="n"/>
      <c r="AE47" s="84" t="n"/>
      <c r="AF47" s="12" t="n">
        <v>3</v>
      </c>
    </row>
    <row r="48" ht="379" customHeight="1">
      <c r="A48" s="12" t="inlineStr">
        <is>
          <t>IRIS2239</t>
        </is>
      </c>
      <c r="B48" s="10" t="inlineStr">
        <is>
          <t>Saahit Togaru</t>
        </is>
      </c>
      <c r="C48" s="12" t="inlineStr">
        <is>
          <t>Marketing</t>
        </is>
      </c>
      <c r="D48" s="12" t="inlineStr">
        <is>
          <t>Senior Manager - Strategy &amp; Product Marketing</t>
        </is>
      </c>
      <c r="E48" s="85" t="inlineStr">
        <is>
          <t>Senior Marketing Manager</t>
        </is>
      </c>
      <c r="F48" s="12" t="inlineStr">
        <is>
          <t>Marketing &amp; Communications</t>
        </is>
      </c>
      <c r="G48" s="12" t="inlineStr">
        <is>
          <t>Marketing Leadership</t>
        </is>
      </c>
      <c r="H48" s="12" t="inlineStr">
        <is>
          <t>People Manager</t>
        </is>
      </c>
      <c r="I48" s="42" t="inlineStr">
        <is>
          <t>Not in current mapping files</t>
        </is>
      </c>
      <c r="J48" s="20" t="inlineStr">
        <is>
          <t>B3</t>
        </is>
      </c>
      <c r="K48" s="21" t="inlineStr">
        <is>
          <t>Senior Manager</t>
        </is>
      </c>
      <c r="L48" s="79" t="inlineStr">
        <is>
          <t>● Newly mapped</t>
        </is>
      </c>
      <c r="M48" s="12" t="inlineStr">
        <is>
          <t>CARBON · Marketing · Band B · People Manager</t>
        </is>
      </c>
      <c r="N48" s="42" t="n">
        <v>5.5</v>
      </c>
      <c r="O48" s="42" t="n">
        <v>5.5</v>
      </c>
      <c r="P48" s="42" t="n">
        <v>6.5</v>
      </c>
      <c r="Q48" s="42" t="n">
        <v>6.5</v>
      </c>
      <c r="R48" s="42" t="n">
        <v>7</v>
      </c>
      <c r="S48" s="80" t="n">
        <v>6.5</v>
      </c>
      <c r="T48" s="81">
        <f>IF(OR($M48="",COUNT(N48,O48,P48,Q48,R48,S48)&lt;6),"",IFERROR(N48*INDEX(WM_C,MATCH($M48,WM_KEY,0))+O48*INDEX(WM_AU,MATCH($M48,WM_KEY,0))+P48*INDEX(WM_AC,MATCH($M48,WM_KEY,0))+Q48*INDEX(WM_L,MATCH($M48,WM_KEY,0))+R48*INDEX(WM_E,MATCH($M48,WM_KEY,0))+S48*INDEX(WM_BI,MATCH($M48,WM_KEY,0)),""))</f>
        <v>6</v>
      </c>
      <c r="U48" s="42" t="str">
        <f>IF(T48="","",INDEX({"A1","A2","A3","B1","B2","B3","C1","C2","D1","D2","E1","E2"},MAX(1,MIN(12,ROUND(T48,0)))))</f>
        <v>B3</v>
      </c>
      <c r="V48" s="12" t="inlineStr">
        <is>
          <r>
            <rPr>
              <rFont val="Calibri"/>
              <sz val="10"/>
            </rPr>
            <t xml:space="preserve">New level B3 · Senior Manager. Current level on record: Not in current mapping files. Change: ● Newly mapped.
Score 6.00 on the ladder scale → indicated level B3.
</t>
          </r>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8" s="12" t="inlineStr">
        <is>
          <r>
            <rPr>
              <rFont val="Calibri"/>
              <b val="1"/>
              <sz val="10"/>
            </rPr>
            <t>Complexity &amp; Expertise:</t>
          </r>
          <r>
            <rPr>
              <rFont val="Calibri"/>
              <sz val="10"/>
            </rPr>
            <t xml:space="preserve"> 5.5 of 12 · between B2 and B3 — Start: 6.0 · senior manager / lead specialist title; Evidence reads like B1: Analyses internal and external data sets to map market demand, position brand and build pipeline → moved down 0.5
</t>
          </r>
          <r>
            <rPr>
              <rFont val="Calibri"/>
              <b val="1"/>
              <sz val="10"/>
            </rPr>
            <t>Autonomy &amp; Decision:</t>
          </r>
          <r>
            <rPr>
              <rFont val="Calibri"/>
              <sz val="10"/>
            </rPr>
            <t xml:space="preserve"> 5.5 of 12 · between B2 and B3 — Start: 6.0 · senior manager / lead specialist title; Evidence reads like B2: Decides marketing, demand generation, demand capture and GTM strategies → moved down 0.5
</t>
          </r>
          <r>
            <rPr>
              <rFont val="Calibri"/>
              <b val="1"/>
              <sz val="10"/>
            </rPr>
            <t>Accountability &amp; Impact:</t>
          </r>
          <r>
            <rPr>
              <rFont val="Calibri"/>
              <sz val="10"/>
            </rPr>
            <t xml:space="preserve"> 6.5 of 12 · between B3 and C1 — Start: 7.0 · senior manager / lead specialist title; 5 direct reports, 26 people below, 4 of them lead teams; Evidence reads like B2: Accountable for marketing pipeline, revenue contribution, brand and product positioning; five-person team → moved down 0.5
</t>
          </r>
          <r>
            <rPr>
              <rFont val="Calibri"/>
              <b val="1"/>
              <sz val="10"/>
            </rPr>
            <t>Leadership &amp; Strategy:</t>
          </r>
          <r>
            <rPr>
              <rFont val="Calibri"/>
              <sz val="10"/>
            </rPr>
            <t xml:space="preserve"> 6.5 of 12 · between B3 and C1 — Start: 7.0; Evidence reads like B1: Five direct reports in HR data; text does not describe people management → moved down 0.5; Team: 5 direct reports · People Manager
</t>
          </r>
          <r>
            <rPr>
              <rFont val="Calibri"/>
              <b val="1"/>
              <sz val="10"/>
            </rPr>
            <t>Experience &amp; Qualification:</t>
          </r>
          <r>
            <rPr>
              <rFont val="Calibri"/>
              <sz val="10"/>
            </rPr>
            <t xml:space="preserve"> 7 of 12 — Experience: 10.7 yrs total · 8.3 before IRIS + 2.4 at IRIS = 6.3 on the experience scale; Qualification: Masters in Liberal Arts · postgraduate, relevant to the work → +0.5
</t>
          </r>
          <r>
            <rPr>
              <rFont val="Calibri"/>
              <b val="1"/>
              <sz val="10"/>
            </rPr>
            <t>Business Impact:</t>
          </r>
          <r>
            <rPr>
              <rFont val="Calibri"/>
              <sz val="10"/>
            </rPr>
            <t xml:space="preserve"> 6.5 of 12 — a starting estimate. — Start: 6.5,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 · C1 = Changes results across a sub-function or across products</t>
          </r>
        </is>
      </c>
      <c r="X48"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Senior Manager
</t>
          </r>
          <r>
            <rPr>
              <rFont val="Calibri"/>
              <b val="1"/>
              <sz val="10"/>
            </rPr>
            <t>At peers:</t>
          </r>
          <r>
            <rPr>
              <rFont val="Calibri"/>
              <sz val="10"/>
            </rPr>
            <t xml:space="preserve"> IRIS Vs Market Benchmark — CIM proficiency scale: 4 Accomplished · IRIS Vs Competitor Benchmark — SaaS marketing ladder: Senior Marketing Manager
</t>
          </r>
          <r>
            <rPr>
              <rFont val="Calibri"/>
              <b val="1"/>
              <sz val="10"/>
            </rPr>
            <t>Typical experience:</t>
          </r>
          <r>
            <rPr>
              <rFont val="Calibri"/>
              <sz val="10"/>
            </rPr>
            <t xml:space="preserve"> 8–13 yrs · IRIS guide 8–12
</t>
          </r>
          <r>
            <rPr>
              <rFont val="Calibri"/>
              <b val="1"/>
              <sz val="10"/>
            </rPr>
            <t>Standard:</t>
          </r>
          <r>
            <rPr>
              <rFont val="Calibri"/>
              <sz val="10"/>
            </rPr>
            <t xml:space="preserve"> CIM Global Professional Marketing Framework — proficiency Aware → Active learner → Able → Accomplished → Authoritative</t>
          </r>
        </is>
      </c>
      <c r="Y48" s="12" t="inlineStr">
        <is>
          <r>
            <rPr>
              <rFont val="Calibri"/>
              <sz val="10"/>
            </rPr>
            <t xml:space="preserve">✓ HRIS: 10.7 yrs, Masters in Liberal Arts, 5 direct reports
✓ Survey: 20 of 20 questions answered
✓ KRAs: reported deliverables
✓ Manager mapping: rating, 9-box — filled from talent-mapping files: 9-box · CARBON grid
✓ Job description
</t>
          </r>
          <r>
            <rPr>
              <rFont val="Calibri"/>
              <b val="1"/>
              <sz val="10"/>
            </rPr>
            <t>Confidence:</t>
          </r>
          <r>
            <rPr>
              <rFont val="Calibri"/>
              <sz val="10"/>
            </rPr>
            <t xml:space="preserve"> Medium</t>
          </r>
        </is>
      </c>
      <c r="Z48" s="82" t="inlineStr">
        <is>
          <r>
            <rPr>
              <rFont val="Calibri"/>
              <color rgb="009C5700"/>
              <sz val="10"/>
            </rPr>
            <t xml:space="preserve">• </t>
          </r>
          <r>
            <rPr>
              <rFont val="Calibri"/>
              <b val="1"/>
              <color rgb="009C5700"/>
              <sz val="10"/>
            </rPr>
            <t>B+ watch:</t>
          </r>
          <r>
            <rPr>
              <rFont val="Calibri"/>
              <color rgb="009C5700"/>
              <sz val="10"/>
            </rPr>
            <t xml:space="preserve"> leads people, Player-Coach score 5.93 · needs 6.25, C–A average 6.00 · needs 5.5</t>
          </r>
        </is>
      </c>
      <c r="AA48" s="12" t="inlineStr">
        <is>
          <t>Nothing outstanding</t>
        </is>
      </c>
      <c r="AB48"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6.5 of 12 · B3-level impact.
Leads 5 direct reports.
From the survey and manager mapping — successor named: yes.
Manager talent mapping — Latest rating: Not rated · manager · 9-Box Grid placement: Underperformer / Exit Risk.</t>
          </r>
        </is>
      </c>
      <c r="AC48" s="84" t="n"/>
      <c r="AD48" s="84" t="n"/>
      <c r="AE48" s="84" t="n"/>
      <c r="AF48" s="12" t="n">
        <v>6.5</v>
      </c>
    </row>
    <row r="49" ht="379" customHeight="1">
      <c r="A49" s="12" t="inlineStr">
        <is>
          <t>IRIS2358</t>
        </is>
      </c>
      <c r="B49" s="10" t="inlineStr">
        <is>
          <t>Sobhan Pramanik</t>
        </is>
      </c>
      <c r="C49" s="12" t="inlineStr">
        <is>
          <t>Marketing</t>
        </is>
      </c>
      <c r="D49" s="12" t="inlineStr">
        <is>
          <t>Manager - Marketing</t>
        </is>
      </c>
      <c r="E49" s="85" t="inlineStr">
        <is>
          <t>Marketing Manager</t>
        </is>
      </c>
      <c r="F49" s="12" t="inlineStr">
        <is>
          <t>Marketing &amp; Communications</t>
        </is>
      </c>
      <c r="G49" s="12" t="inlineStr">
        <is>
          <t>Demand Generation, Brand &amp; Events</t>
        </is>
      </c>
      <c r="H49" s="12" t="inlineStr">
        <is>
          <t>People Manager</t>
        </is>
      </c>
      <c r="I49" s="42" t="inlineStr">
        <is>
          <t>L5 – Manager</t>
        </is>
      </c>
      <c r="J49" s="20" t="inlineStr">
        <is>
          <t>B2</t>
        </is>
      </c>
      <c r="K49" s="21" t="inlineStr">
        <is>
          <t>Manager</t>
        </is>
      </c>
      <c r="L49" s="88" t="inlineStr">
        <is>
          <t>• Same level</t>
        </is>
      </c>
      <c r="M49" s="12" t="inlineStr">
        <is>
          <t>CARBON · Marketing · Band B · People Manager</t>
        </is>
      </c>
      <c r="N49" s="42" t="n">
        <v>5</v>
      </c>
      <c r="O49" s="42" t="n">
        <v>5</v>
      </c>
      <c r="P49" s="42" t="n">
        <v>5</v>
      </c>
      <c r="Q49" s="42" t="n">
        <v>5</v>
      </c>
      <c r="R49" s="42" t="n">
        <v>5.5</v>
      </c>
      <c r="S49" s="80" t="n">
        <v>5.5</v>
      </c>
      <c r="T49" s="81">
        <f>IF(OR($M49="",COUNT(N49,O49,P49,Q49,R49,S49)&lt;6),"",IFERROR(N49*INDEX(WM_C,MATCH($M49,WM_KEY,0))+O49*INDEX(WM_AU,MATCH($M49,WM_KEY,0))+P49*INDEX(WM_AC,MATCH($M49,WM_KEY,0))+Q49*INDEX(WM_L,MATCH($M49,WM_KEY,0))+R49*INDEX(WM_E,MATCH($M49,WM_KEY,0))+S49*INDEX(WM_BI,MATCH($M49,WM_KEY,0)),""))</f>
        <v>5.12</v>
      </c>
      <c r="U49" s="42" t="str">
        <f>IF(T49="","",INDEX({"A1","A2","A3","B1","B2","B3","C1","C2","D1","D2","E1","E2"},MAX(1,MIN(12,ROUND(T49,0)))))</f>
        <v>B2</v>
      </c>
      <c r="V49" s="12" t="inlineStr">
        <is>
          <r>
            <rPr>
              <rFont val="Calibri"/>
              <sz val="10"/>
            </rPr>
            <t xml:space="preserve">New level B2 · Manager. Current level on record: L5 – Manager. Change: • Same level.
Score 5.12 on the ladder scale → indicated level B2.
</t>
          </r>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49" s="12" t="inlineStr">
        <is>
          <r>
            <rPr>
              <rFont val="Calibri"/>
              <b val="1"/>
              <sz val="10"/>
            </rPr>
            <t>Complexity &amp; Expertise:</t>
          </r>
          <r>
            <rPr>
              <rFont val="Calibri"/>
              <sz val="10"/>
            </rPr>
            <t xml:space="preserve"> 5 of 12 — Start: 5.0 · manager / senior specialist title; Evidence reads like B2: Runs marketing across organic/SEO, paid, events, PR and analyst relations; builds messaging and team processes → matches the start; KRA: “OKR Tracker - Marketing 2026.xlsx”
</t>
          </r>
          <r>
            <rPr>
              <rFont val="Calibri"/>
              <b val="1"/>
              <sz val="10"/>
            </rPr>
            <t>Autonomy &amp; Decision:</t>
          </r>
          <r>
            <rPr>
              <rFont val="Calibri"/>
              <sz val="10"/>
            </rPr>
            <t xml:space="preserve"> 5 of 12 — Start: 5.0 · manager / senior specialist title; Evidence reads like B2: Decides content strategy; manages the team and institutionalises its processes → matches the start
</t>
          </r>
          <r>
            <rPr>
              <rFont val="Calibri"/>
              <b val="1"/>
              <sz val="10"/>
            </rPr>
            <t>Accountability &amp; Impact:</t>
          </r>
          <r>
            <rPr>
              <rFont val="Calibri"/>
              <sz val="10"/>
            </rPr>
            <t xml:space="preserve"> 5 of 12 — Start: 5.0 · manager / senior specialist title; 7 direct reports, 8 people below; Evidence reads like B2: MQL volume plus brand messaging and visual consistency for IRIS CARBON → matches the start; KRA: “OKR Tracker - Marketing 2026.xlsx”
</t>
          </r>
          <r>
            <rPr>
              <rFont val="Calibri"/>
              <b val="1"/>
              <sz val="10"/>
            </rPr>
            <t>Leadership &amp; Strategy:</t>
          </r>
          <r>
            <rPr>
              <rFont val="Calibri"/>
              <sz val="10"/>
            </rPr>
            <t xml:space="preserve"> 5 of 12 — Start: 5.0; Evidence reads like B2: Team management listed; 7 direct reports → matches the start; Team: 7 direct reports · People Manager
</t>
          </r>
          <r>
            <rPr>
              <rFont val="Calibri"/>
              <b val="1"/>
              <sz val="10"/>
            </rPr>
            <t>Experience &amp; Qualification:</t>
          </r>
          <r>
            <rPr>
              <rFont val="Calibri"/>
              <sz val="10"/>
            </rPr>
            <t xml:space="preserve"> 5.5 of 12 · between B2 and B3 — Experience: 8.5 yrs total · 7.0 before IRIS + 1.5 at IRIS = 5.4 on the experience scale; Qualification: B.Tech · graduate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49"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Market Benchmark — CIM proficiency scale: 3–4 · IRIS Vs Competitor Benchmark — SaaS marketing ladder: Marketing Manager
</t>
          </r>
          <r>
            <rPr>
              <rFont val="Calibri"/>
              <b val="1"/>
              <sz val="10"/>
            </rPr>
            <t>Typical experience:</t>
          </r>
          <r>
            <rPr>
              <rFont val="Calibri"/>
              <sz val="10"/>
            </rPr>
            <t xml:space="preserve"> 6–10 yrs · IRIS guide 6–9
</t>
          </r>
          <r>
            <rPr>
              <rFont val="Calibri"/>
              <b val="1"/>
              <sz val="10"/>
            </rPr>
            <t>Standard:</t>
          </r>
          <r>
            <rPr>
              <rFont val="Calibri"/>
              <sz val="10"/>
            </rPr>
            <t xml:space="preserve"> CIM Global Professional Marketing Framework — proficiency Aware → Active learner → Able → Accomplished → Authoritative</t>
          </r>
        </is>
      </c>
      <c r="Y49" s="12" t="inlineStr">
        <is>
          <r>
            <rPr>
              <rFont val="Calibri"/>
              <sz val="10"/>
            </rPr>
            <t xml:space="preserve">✓ HRIS: 8.5 yrs, B.Tech, 7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49" s="12" t="inlineStr">
        <is>
          <t>—</t>
        </is>
      </c>
      <c r="AA49" s="12" t="inlineStr">
        <is>
          <t>Nothing outstanding</t>
        </is>
      </c>
      <c r="AB49"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7 direct reports.
From the survey and manager mapping — critical role: yes; successor named: yes.
</t>
          </r>
          <r>
            <rPr>
              <rFont val="Calibri"/>
              <b val="1"/>
              <sz val="10"/>
            </rPr>
            <t>If the work is missed · role-holders' themes:</t>
          </r>
          <r>
            <rPr>
              <rFont val="Calibri"/>
              <sz val="10"/>
            </rPr>
            <t xml:space="preserve"> pipeline.
Manager talent mapping — Latest rating: 3 · Potential: High · 9-Box Grid placement: Future Leader.</t>
          </r>
        </is>
      </c>
      <c r="AC49" s="84" t="n"/>
      <c r="AD49" s="84" t="n"/>
      <c r="AE49" s="84" t="n"/>
      <c r="AF49" s="12" t="n">
        <v>5.5</v>
      </c>
    </row>
    <row r="50" ht="379" customHeight="1">
      <c r="A50" s="12" t="inlineStr">
        <is>
          <t>IRIS2502</t>
        </is>
      </c>
      <c r="B50" s="10" t="inlineStr">
        <is>
          <t>Sudipta Kundu</t>
        </is>
      </c>
      <c r="C50" s="12" t="inlineStr">
        <is>
          <t>Marketing</t>
        </is>
      </c>
      <c r="D50" s="12" t="inlineStr">
        <is>
          <t>Marketing Manager- Partner and Automation</t>
        </is>
      </c>
      <c r="E50" s="85" t="inlineStr">
        <is>
          <t>Senior Marketing Specialist – POD Lead</t>
        </is>
      </c>
      <c r="F50" s="12" t="inlineStr">
        <is>
          <t>Marketing &amp; Communications</t>
        </is>
      </c>
      <c r="G50" s="12" t="inlineStr">
        <is>
          <t>Demand Generation, Brand &amp; Events</t>
        </is>
      </c>
      <c r="H50" s="12" t="inlineStr">
        <is>
          <t>POD Lead</t>
        </is>
      </c>
      <c r="I50" s="42" t="inlineStr">
        <is>
          <t>L5 – Manager</t>
        </is>
      </c>
      <c r="J50" s="20" t="inlineStr">
        <is>
          <t>B2</t>
        </is>
      </c>
      <c r="K50" s="21" t="inlineStr">
        <is>
          <t>Senior Specialist · POD Lead</t>
        </is>
      </c>
      <c r="L50" s="88" t="inlineStr">
        <is>
          <t>• Same level</t>
        </is>
      </c>
      <c r="M50" s="12" t="inlineStr">
        <is>
          <t>CARBON · Marketing · Band B · Expert / POD Lead</t>
        </is>
      </c>
      <c r="N50" s="42" t="n">
        <v>4.5</v>
      </c>
      <c r="O50" s="42" t="n">
        <v>4.5</v>
      </c>
      <c r="P50" s="42" t="n">
        <v>4</v>
      </c>
      <c r="Q50" s="42" t="n">
        <v>4</v>
      </c>
      <c r="R50" s="42" t="n">
        <v>6</v>
      </c>
      <c r="S50" s="80" t="n">
        <v>4</v>
      </c>
      <c r="T50" s="81">
        <f>IF(OR($M50="",COUNT(N50,O50,P50,Q50,R50,S50)&lt;6),"",IFERROR(N50*INDEX(WM_C,MATCH($M50,WM_KEY,0))+O50*INDEX(WM_AU,MATCH($M50,WM_KEY,0))+P50*INDEX(WM_AC,MATCH($M50,WM_KEY,0))+Q50*INDEX(WM_L,MATCH($M50,WM_KEY,0))+R50*INDEX(WM_E,MATCH($M50,WM_KEY,0))+S50*INDEX(WM_BI,MATCH($M50,WM_KEY,0)),""))</f>
        <v>4.54</v>
      </c>
      <c r="U50" s="42" t="str">
        <f>IF(T50="","",INDEX({"A1","A2","A3","B1","B2","B3","C1","C2","D1","D2","E1","E2"},MAX(1,MIN(12,ROUND(T50,0)))))</f>
        <v>B2</v>
      </c>
      <c r="V50" s="12" t="inlineStr">
        <is>
          <r>
            <rPr>
              <rFont val="Calibri"/>
              <sz val="10"/>
            </rPr>
            <t xml:space="preserve">New level B2 · Senior Specialist · POD Lead. Current level on record: L5 – Manager. Change: • Same level.
Score 4.54 on the ladder scale → indicated level B2.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0" s="12" t="inlineStr">
        <is>
          <r>
            <rPr>
              <rFont val="Calibri"/>
              <b val="1"/>
              <sz val="10"/>
            </rPr>
            <t>Complexity &amp; Expertise:</t>
          </r>
          <r>
            <rPr>
              <rFont val="Calibri"/>
              <sz val="10"/>
            </rPr>
            <t xml:space="preserve"> 4.5 of 12 · between B1 and B2 — Start: 5.0 · manager / senior specialist title; Evidence reads like B1: Manages partner GTM, CRM, partner marketing, automation and events across multiple stakeholders and tools → moved down 0.5; KRA: “OKR Tracker - Marketing 2026.xlsx”
</t>
          </r>
          <r>
            <rPr>
              <rFont val="Calibri"/>
              <b val="1"/>
              <sz val="10"/>
            </rPr>
            <t>Autonomy &amp; Decision:</t>
          </r>
          <r>
            <rPr>
              <rFont val="Calibri"/>
              <sz val="10"/>
            </rPr>
            <t xml:space="preserve"> 4.5 of 12 · between B1 and B2 — Start: 5.0 · manager / senior specialist title; Evidence reads like B1: Decides on database, partner relationships and database health score for the area → moved down 0.5
</t>
          </r>
          <r>
            <rPr>
              <rFont val="Calibri"/>
              <b val="1"/>
              <sz val="10"/>
            </rPr>
            <t>Accountability &amp; Impact:</t>
          </r>
          <r>
            <rPr>
              <rFont val="Calibri"/>
              <sz val="10"/>
            </rPr>
            <t xml:space="preserve"> 4 of 12 — Start: 4.5 · manager / senior specialist title; 3 direct reports, 5 people below, 1 of them leads a team; Evidence reads like B1: own survey / KRA answers · summarised by the rater; not quoted → moved down 0.5; KRA: “OKR Tracker - Marketing 2026.xlsx”
</t>
          </r>
          <r>
            <rPr>
              <rFont val="Calibri"/>
              <b val="1"/>
              <sz val="10"/>
            </rPr>
            <t>Leadership &amp; Strategy:</t>
          </r>
          <r>
            <rPr>
              <rFont val="Calibri"/>
              <sz val="10"/>
            </rPr>
            <t xml:space="preserve"> 4 of 12 — Start: 4.0; Evidence reads like B1: Lists team management; three direct reports → matches the start; Team: 3 direct reports · POD Lead
</t>
          </r>
          <r>
            <rPr>
              <rFont val="Calibri"/>
              <b val="1"/>
              <sz val="10"/>
            </rPr>
            <t>Experience &amp; Qualification:</t>
          </r>
          <r>
            <rPr>
              <rFont val="Calibri"/>
              <sz val="10"/>
            </rPr>
            <t xml:space="preserve"> 6 of 12 — Experience: 8.8 yrs total · 8.3 before IRIS + 0.5 at IRIS = 5.5 on the experience scale; Qualification: MBA · postgraduate, relevant to the work → +0.5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50" s="12" t="inlineStr">
        <is>
          <r>
            <rPr>
              <rFont val="Calibri"/>
              <b val="1"/>
              <sz val="10"/>
            </rPr>
            <t>Market level:</t>
          </r>
          <r>
            <rPr>
              <rFont val="Calibri"/>
              <sz val="10"/>
            </rPr>
            <t xml:space="preserve"> P4 / M3 · SFIA 4–5
</t>
          </r>
          <r>
            <rPr>
              <rFont val="Calibri"/>
              <b val="1"/>
              <sz val="10"/>
            </rPr>
            <t>Typical title:</t>
          </r>
          <r>
            <rPr>
              <rFont val="Calibri"/>
              <sz val="10"/>
            </rPr>
            <t xml:space="preserve"> Senior Marketing Specialist
</t>
          </r>
          <r>
            <rPr>
              <rFont val="Calibri"/>
              <b val="1"/>
              <sz val="10"/>
            </rPr>
            <t>At peers:</t>
          </r>
          <r>
            <rPr>
              <rFont val="Calibri"/>
              <sz val="10"/>
            </rPr>
            <t xml:space="preserve"> IRIS Vs Market Benchmark — CIM proficiency scale: 3–4 · IRIS Vs Competitor Benchmark — SaaS marketing ladder: Marketing Manager
</t>
          </r>
          <r>
            <rPr>
              <rFont val="Calibri"/>
              <b val="1"/>
              <sz val="10"/>
            </rPr>
            <t>Typical experience:</t>
          </r>
          <r>
            <rPr>
              <rFont val="Calibri"/>
              <sz val="10"/>
            </rPr>
            <t xml:space="preserve"> 6–10 yrs · IRIS guide 6–9
</t>
          </r>
          <r>
            <rPr>
              <rFont val="Calibri"/>
              <b val="1"/>
              <sz val="10"/>
            </rPr>
            <t>Standard:</t>
          </r>
          <r>
            <rPr>
              <rFont val="Calibri"/>
              <sz val="10"/>
            </rPr>
            <t xml:space="preserve"> CIM Global Professional Marketing Framework — proficiency Aware → Active learner → Able → Accomplished → Authoritative</t>
          </r>
        </is>
      </c>
      <c r="Y50" s="12" t="inlineStr">
        <is>
          <r>
            <rPr>
              <rFont val="Calibri"/>
              <sz val="10"/>
            </rPr>
            <t xml:space="preserve">✓ HRIS: 8.8 yrs, MBA, 3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50" s="82" t="inlineStr">
        <is>
          <r>
            <rPr>
              <rFont val="Calibri"/>
              <color rgb="009C5700"/>
              <sz val="10"/>
            </rPr>
            <t xml:space="preserve">• </t>
          </r>
          <r>
            <rPr>
              <rFont val="Calibri"/>
              <b val="1"/>
              <color rgb="009C5700"/>
              <sz val="10"/>
            </rPr>
            <t>Close call:</t>
          </r>
          <r>
            <rPr>
              <rFont val="Calibri"/>
              <color rgb="009C5700"/>
              <sz val="10"/>
            </rPr>
            <t xml:space="preserve"> score 4.54 is within 0.05 of a rounding point</t>
          </r>
        </is>
      </c>
      <c r="AA50" s="12" t="inlineStr">
        <is>
          <t>Nothing outstanding</t>
        </is>
      </c>
      <c r="AB50"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3 direct reports.
</t>
          </r>
          <r>
            <rPr>
              <rFont val="Calibri"/>
              <b val="1"/>
              <sz val="10"/>
            </rPr>
            <t>If the work is missed · role-holders' themes:</t>
          </r>
          <r>
            <rPr>
              <rFont val="Calibri"/>
              <sz val="10"/>
            </rPr>
            <t xml:space="preserve"> pipeline.
Manager talent mapping — Latest rating: 2 · Potential: Medium · 9-Box Grid placement: Reliable Specialist.</t>
          </r>
        </is>
      </c>
      <c r="AC50" s="84" t="n"/>
      <c r="AD50" s="84" t="n"/>
      <c r="AE50" s="84" t="n"/>
      <c r="AF50" s="12" t="n">
        <v>4</v>
      </c>
    </row>
    <row r="51" ht="379" customHeight="1">
      <c r="A51" s="12" t="inlineStr">
        <is>
          <t>IRIS2553</t>
        </is>
      </c>
      <c r="B51" s="10" t="inlineStr">
        <is>
          <t>Prashant Sharad Jadhav</t>
        </is>
      </c>
      <c r="C51" s="12" t="inlineStr">
        <is>
          <t>Marketing</t>
        </is>
      </c>
      <c r="D51" s="12" t="inlineStr">
        <is>
          <t>SDR Manager</t>
        </is>
      </c>
      <c r="E51" s="85" t="inlineStr">
        <is>
          <t>Senior Account Executive – POD Lead</t>
        </is>
      </c>
      <c r="F51" s="12" t="inlineStr">
        <is>
          <t>Sales &amp; Business Development</t>
        </is>
      </c>
      <c r="G51" s="12" t="inlineStr">
        <is>
          <t>Sales Development &amp; Prospecting</t>
        </is>
      </c>
      <c r="H51" s="12" t="inlineStr">
        <is>
          <t>POD Lead</t>
        </is>
      </c>
      <c r="I51" s="42" t="inlineStr">
        <is>
          <t>Not in current mapping files</t>
        </is>
      </c>
      <c r="J51" s="20" t="inlineStr">
        <is>
          <t>B2</t>
        </is>
      </c>
      <c r="K51" s="21" t="inlineStr">
        <is>
          <t>Senior Specialist · POD Lead</t>
        </is>
      </c>
      <c r="L51" s="79" t="inlineStr">
        <is>
          <t>● Newly mapped</t>
        </is>
      </c>
      <c r="M51" s="12" t="inlineStr">
        <is>
          <t>CARBON · Marketing · Band B · Expert / POD Lead</t>
        </is>
      </c>
      <c r="N51" s="42" t="n">
        <v>4.5</v>
      </c>
      <c r="O51" s="42" t="n">
        <v>5</v>
      </c>
      <c r="P51" s="42" t="n">
        <v>4</v>
      </c>
      <c r="Q51" s="42" t="n">
        <v>4</v>
      </c>
      <c r="R51" s="42" t="n">
        <v>9</v>
      </c>
      <c r="S51" s="80" t="n">
        <v>4</v>
      </c>
      <c r="T51" s="81">
        <f>IF(OR($M51="",COUNT(N51,O51,P51,Q51,R51,S51)&lt;6),"",IFERROR(N51*INDEX(WM_C,MATCH($M51,WM_KEY,0))+O51*INDEX(WM_AU,MATCH($M51,WM_KEY,0))+P51*INDEX(WM_AC,MATCH($M51,WM_KEY,0))+Q51*INDEX(WM_L,MATCH($M51,WM_KEY,0))+R51*INDEX(WM_E,MATCH($M51,WM_KEY,0))+S51*INDEX(WM_BI,MATCH($M51,WM_KEY,0)),""))</f>
        <v>4.95</v>
      </c>
      <c r="U51" s="42" t="str">
        <f>IF(T51="","",INDEX({"A1","A2","A3","B1","B2","B3","C1","C2","D1","D2","E1","E2"},MAX(1,MIN(12,ROUND(T51,0)))))</f>
        <v>B2</v>
      </c>
      <c r="V51" s="12" t="inlineStr">
        <is>
          <r>
            <rPr>
              <rFont val="Calibri"/>
              <sz val="10"/>
            </rPr>
            <t xml:space="preserve">New level B2 · Senior Specialist · POD Lead. Current level on record: Not in current mapping files. Change: ● Newly mapped.
Score 4.95 on the ladder scale → indicated level B2.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1" s="12" t="inlineStr">
        <is>
          <r>
            <rPr>
              <rFont val="Calibri"/>
              <b val="1"/>
              <sz val="10"/>
            </rPr>
            <t>Complexity &amp; Expertise:</t>
          </r>
          <r>
            <rPr>
              <rFont val="Calibri"/>
              <sz val="10"/>
            </rPr>
            <t xml:space="preserve"> 4.5 of 12 · between B1 and B2 — Start: 5.0 · manager / senior specialist title; Evidence reads like B1: Builds US/Canada SDR pipeline; analyses what drives or blocks conversion; needs SEC/XBRL use-case knowledge → moved down 0.5
</t>
          </r>
          <r>
            <rPr>
              <rFont val="Calibri"/>
              <b val="1"/>
              <sz val="10"/>
            </rPr>
            <t>Autonomy &amp; Decision:</t>
          </r>
          <r>
            <rPr>
              <rFont val="Calibri"/>
              <sz val="10"/>
            </rPr>
            <t xml:space="preserve"> 5 of 12 — Start: 5.0 · manager / senior specialist title; Evidence reads like B2: Sets daily prospecting priorities, assigns SDRs, adjusts messaging and calling approach within agreed targets → matches the start
</t>
          </r>
          <r>
            <rPr>
              <rFont val="Calibri"/>
              <b val="1"/>
              <sz val="10"/>
            </rPr>
            <t>Accountability &amp; Impact:</t>
          </r>
          <r>
            <rPr>
              <rFont val="Calibri"/>
              <sz val="10"/>
            </rPr>
            <t xml:space="preserve"> 4 of 12 — Start: 4.5 · manager / senior specialist title; 3 direct reports; Evidence reads like B1: Accountable for the SDR team's qualified meetings, targeting quality and pipeline reporting; three reports → moved down 0.5
</t>
          </r>
          <r>
            <rPr>
              <rFont val="Calibri"/>
              <b val="1"/>
              <sz val="10"/>
            </rPr>
            <t>Leadership &amp; Strategy:</t>
          </r>
          <r>
            <rPr>
              <rFont val="Calibri"/>
              <sz val="10"/>
            </rPr>
            <t xml:space="preserve"> 4 of 12 — Start: 4.0; Evidence reads like B1: Coaches each SDR from call evidence and addresses performance gaps; three direct reports → matches the start; Team: 3 direct reports · POD Lead
</t>
          </r>
          <r>
            <rPr>
              <rFont val="Calibri"/>
              <b val="1"/>
              <sz val="10"/>
            </rPr>
            <t>Experience &amp; Qualification:</t>
          </r>
          <r>
            <rPr>
              <rFont val="Calibri"/>
              <sz val="10"/>
            </rPr>
            <t xml:space="preserve"> 9 of 12 — Experience: 16.0 yrs total · 15.9 before IRIS + 0.1 at IRIS = 8.5 on the experience scale; Qualification: MBA · postgraduate, relevant to the work → +0.5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51" s="12" t="inlineStr">
        <is>
          <r>
            <rPr>
              <rFont val="Calibri"/>
              <b val="1"/>
              <sz val="10"/>
            </rPr>
            <t>Market level:</t>
          </r>
          <r>
            <rPr>
              <rFont val="Calibri"/>
              <sz val="10"/>
            </rPr>
            <t xml:space="preserve"> P4 / M3 · SFIA 4–5
</t>
          </r>
          <r>
            <rPr>
              <rFont val="Calibri"/>
              <b val="1"/>
              <sz val="10"/>
            </rPr>
            <t>Typical title:</t>
          </r>
          <r>
            <rPr>
              <rFont val="Calibri"/>
              <sz val="10"/>
            </rPr>
            <t xml:space="preserve"> Senior Account Executive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Y51" s="12" t="inlineStr">
        <is>
          <r>
            <rPr>
              <rFont val="Calibri"/>
              <sz val="10"/>
            </rPr>
            <t xml:space="preserve">✓ HRIS: 16.0 yrs, MBA, 3 direct reports
✓ Survey: 20 of 20 questions answered
✗ KRAs: none on file
✓ Manager mapping: rating, 9-box
✗ Job description: not on file
</t>
          </r>
          <r>
            <rPr>
              <rFont val="Calibri"/>
              <b val="1"/>
              <sz val="10"/>
            </rPr>
            <t>Confidence:</t>
          </r>
          <r>
            <rPr>
              <rFont val="Calibri"/>
              <sz val="10"/>
            </rPr>
            <t xml:space="preserve"> High</t>
          </r>
        </is>
      </c>
      <c r="Z51" s="12" t="inlineStr">
        <is>
          <t>—</t>
        </is>
      </c>
      <c r="AA51" s="12" t="inlineStr">
        <is>
          <t>Nothing outstanding</t>
        </is>
      </c>
      <c r="AB51"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3 direct reports.
</t>
          </r>
          <r>
            <rPr>
              <rFont val="Calibri"/>
              <b val="1"/>
              <sz val="10"/>
            </rPr>
            <t>If the work is missed · role-holders' themes:</t>
          </r>
          <r>
            <rPr>
              <rFont val="Calibri"/>
              <sz val="10"/>
            </rPr>
            <t xml:space="preserve"> pipeline · lead · meetings · time · outreach.
Manager talent mapping — Latest rating: Not rated · manager · 9-Box Grid placement: Not placed · manager.</t>
          </r>
        </is>
      </c>
      <c r="AC51" s="84" t="n"/>
      <c r="AD51" s="84" t="n"/>
      <c r="AE51" s="84" t="n"/>
      <c r="AF51" s="12" t="n">
        <v>4</v>
      </c>
    </row>
    <row r="52" ht="379" customHeight="1">
      <c r="A52" s="12" t="inlineStr">
        <is>
          <t>IRIS2400</t>
        </is>
      </c>
      <c r="B52" s="10" t="inlineStr">
        <is>
          <t>Bharani Kumar</t>
        </is>
      </c>
      <c r="C52" s="12" t="inlineStr">
        <is>
          <t>Marketing</t>
        </is>
      </c>
      <c r="D52" s="12" t="inlineStr">
        <is>
          <t>Creative Lead</t>
        </is>
      </c>
      <c r="E52" s="85" t="inlineStr">
        <is>
          <t>Design Specialist – POD Lead</t>
        </is>
      </c>
      <c r="F52" s="12" t="inlineStr">
        <is>
          <t>Design &amp; Creative</t>
        </is>
      </c>
      <c r="G52" s="12" t="inlineStr">
        <is>
          <t>Brand, Graphic &amp; Video Design</t>
        </is>
      </c>
      <c r="H52" s="12" t="inlineStr">
        <is>
          <t>POD Lead</t>
        </is>
      </c>
      <c r="I52" s="42" t="inlineStr">
        <is>
          <t>L5 – Lead · IC</t>
        </is>
      </c>
      <c r="J52" s="20" t="inlineStr">
        <is>
          <t>B1</t>
        </is>
      </c>
      <c r="K52" s="21" t="inlineStr">
        <is>
          <t>Specialist · POD Lead</t>
        </is>
      </c>
      <c r="L52" s="86" t="inlineStr">
        <is>
          <t>▼ Down · pay &amp; title protected</t>
        </is>
      </c>
      <c r="M52" s="12" t="inlineStr">
        <is>
          <t>CARBON · Marketing · Band B · Expert / POD Lead</t>
        </is>
      </c>
      <c r="N52" s="42" t="n">
        <v>4</v>
      </c>
      <c r="O52" s="42" t="n">
        <v>4</v>
      </c>
      <c r="P52" s="42" t="n">
        <v>4</v>
      </c>
      <c r="Q52" s="42" t="n">
        <v>3</v>
      </c>
      <c r="R52" s="42" t="n">
        <v>7</v>
      </c>
      <c r="S52" s="80" t="n">
        <v>4</v>
      </c>
      <c r="T52" s="81">
        <f>IF(OR($M52="",COUNT(N52,O52,P52,Q52,R52,S52)&lt;6),"",IFERROR(N52*INDEX(WM_C,MATCH($M52,WM_KEY,0))+O52*INDEX(WM_AU,MATCH($M52,WM_KEY,0))+P52*INDEX(WM_AC,MATCH($M52,WM_KEY,0))+Q52*INDEX(WM_L,MATCH($M52,WM_KEY,0))+R52*INDEX(WM_E,MATCH($M52,WM_KEY,0))+S52*INDEX(WM_BI,MATCH($M52,WM_KEY,0)),""))</f>
        <v>4.25</v>
      </c>
      <c r="U52" s="42" t="str">
        <f>IF(T52="","",INDEX({"A1","A2","A3","B1","B2","B3","C1","C2","D1","D2","E1","E2"},MAX(1,MIN(12,ROUND(T52,0)))))</f>
        <v>B1</v>
      </c>
      <c r="V52" s="12" t="inlineStr">
        <is>
          <r>
            <rPr>
              <rFont val="Calibri"/>
              <sz val="10"/>
            </rPr>
            <t xml:space="preserve">New level B1 · Specialist · POD Lead. Current level on record: L5 – Lead · IC. Change: ▼ Down · pay &amp; title protected.
Score 4.25 on the ladder scale → indicated level B1.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52" s="12" t="inlineStr">
        <is>
          <r>
            <rPr>
              <rFont val="Calibri"/>
              <b val="1"/>
              <sz val="10"/>
            </rPr>
            <t>Complexity &amp; Expertise:</t>
          </r>
          <r>
            <rPr>
              <rFont val="Calibri"/>
              <sz val="10"/>
            </rPr>
            <t xml:space="preserve"> 4 of 12 — Start: 4.0 · lead / specialist title; Evidence reads like B1: Designs brand visuals, sales decks, motion graphics and video; owns brand design rules → matches the start; KRA: “c”
</t>
          </r>
          <r>
            <rPr>
              <rFont val="Calibri"/>
              <b val="1"/>
              <sz val="10"/>
            </rPr>
            <t>Autonomy &amp; Decision:</t>
          </r>
          <r>
            <rPr>
              <rFont val="Calibri"/>
              <sz val="10"/>
            </rPr>
            <t xml:space="preserve"> 4 of 12 — Start: 4.0 · lead / specialist title; Evidence reads like B1: Decides design direction, visual style, motion approach and design standards used across decks and videos → matches the start
</t>
          </r>
          <r>
            <rPr>
              <rFont val="Calibri"/>
              <b val="1"/>
              <sz val="10"/>
            </rPr>
            <t>Accountability &amp; Impact:</t>
          </r>
          <r>
            <rPr>
              <rFont val="Calibri"/>
              <sz val="10"/>
            </rPr>
            <t xml:space="preserve"> 4 of 12 — Start: 3.8 · lead / specialist title; 1 direct report; Evidence reads like B1: Brand and visual design, motion/video content and decks that customers see → moved up 0.2; KRA: “c”
</t>
          </r>
          <r>
            <rPr>
              <rFont val="Calibri"/>
              <b val="1"/>
              <sz val="10"/>
            </rPr>
            <t>Leadership &amp; Strategy:</t>
          </r>
          <r>
            <rPr>
              <rFont val="Calibri"/>
              <sz val="10"/>
            </rPr>
            <t xml:space="preserve"> 3 of 12 — Start: 3.5; Evidence reads like A2: Sets design standards others follow; no people guidance described · 1 report in HR → moved down 0.5; Team: 1 direct report · POD Lead
</t>
          </r>
          <r>
            <rPr>
              <rFont val="Calibri"/>
              <b val="1"/>
              <sz val="10"/>
            </rPr>
            <t>Experience &amp; Qualification:</t>
          </r>
          <r>
            <rPr>
              <rFont val="Calibri"/>
              <sz val="10"/>
            </rPr>
            <t xml:space="preserve"> 7 of 12 — Experience: 12.2 yrs total · 11.0 before IRIS + 1.2 at IRIS = 7.1 on the experience scale; Qualification: BA · graduate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52"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Designer
</t>
          </r>
          <r>
            <rPr>
              <rFont val="Calibri"/>
              <b val="1"/>
              <sz val="10"/>
            </rPr>
            <t>At peers:</t>
          </r>
          <r>
            <rPr>
              <rFont val="Calibri"/>
              <sz val="10"/>
            </rPr>
            <t xml:space="preserve"> IRIS Vs Competitor Benchmark — UX / design ladder: UX Designer
</t>
          </r>
          <r>
            <rPr>
              <rFont val="Calibri"/>
              <b val="1"/>
              <sz val="10"/>
            </rPr>
            <t>Typical experience:</t>
          </r>
          <r>
            <rPr>
              <rFont val="Calibri"/>
              <sz val="10"/>
            </rPr>
            <t xml:space="preserve"> 4–8 yrs · IRIS guide 4–7
</t>
          </r>
          <r>
            <rPr>
              <rFont val="Calibri"/>
              <b val="1"/>
              <sz val="10"/>
            </rPr>
            <t>Standard:</t>
          </r>
          <r>
            <rPr>
              <rFont val="Calibri"/>
              <sz val="10"/>
            </rPr>
            <t xml:space="preserve"> UX career ladder Junior → Designer → Senior → Lead → Principal; WCAG accessibility</t>
          </r>
        </is>
      </c>
      <c r="Y52" s="12" t="inlineStr">
        <is>
          <r>
            <rPr>
              <rFont val="Calibri"/>
              <sz val="10"/>
            </rPr>
            <t xml:space="preserve">✓ HRIS: 12.2 yrs, BA, 1 direct report
✓ Survey: 20 of 20 questions answered
✓ KRAs: submitted, reported deliverables
✓ Manager mapping: rating, potential, 9-box
✓ Job description
</t>
          </r>
          <r>
            <rPr>
              <rFont val="Calibri"/>
              <b val="1"/>
              <sz val="10"/>
            </rPr>
            <t>Confidence:</t>
          </r>
          <r>
            <rPr>
              <rFont val="Calibri"/>
              <sz val="10"/>
            </rPr>
            <t xml:space="preserve"> High</t>
          </r>
        </is>
      </c>
      <c r="Z52" s="82" t="inlineStr">
        <is>
          <r>
            <rPr>
              <rFont val="Calibri"/>
              <color rgb="009C5700"/>
              <sz val="10"/>
            </rPr>
            <t xml:space="preserve">• </t>
          </r>
          <r>
            <rPr>
              <rFont val="Calibri"/>
              <b val="1"/>
              <color rgb="009C5700"/>
              <sz val="10"/>
            </rPr>
            <t>Moves down:</t>
          </r>
          <r>
            <rPr>
              <rFont val="Calibri"/>
              <color rgb="009C5700"/>
              <sz val="10"/>
            </rPr>
            <t xml:space="preserve"> protected for one cycle</t>
          </r>
        </is>
      </c>
      <c r="AA52" s="12" t="inlineStr">
        <is>
          <t>Nothing outstanding</t>
        </is>
      </c>
      <c r="AB52"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t>
          </r>
          <r>
            <rPr>
              <rFont val="Calibri"/>
              <b val="1"/>
              <sz val="10"/>
            </rPr>
            <t>If the work is missed · role-holders' themes:</t>
          </r>
          <r>
            <rPr>
              <rFont val="Calibri"/>
              <sz val="10"/>
            </rPr>
            <t xml:space="preserve"> sales.
Manager talent mapping — Latest rating: Not rated · manager · Potential: Medium · 9-Box Grid placement: Core Contributor.</t>
          </r>
        </is>
      </c>
      <c r="AC52" s="84" t="n"/>
      <c r="AD52" s="84" t="n"/>
      <c r="AE52" s="84" t="n"/>
      <c r="AF52" s="12" t="n">
        <v>4</v>
      </c>
    </row>
    <row r="53" ht="379" customHeight="1">
      <c r="A53" s="12" t="inlineStr">
        <is>
          <t>IRIS2412</t>
        </is>
      </c>
      <c r="B53" s="10" t="inlineStr">
        <is>
          <t>Anand Chiluka</t>
        </is>
      </c>
      <c r="C53" s="12" t="inlineStr">
        <is>
          <t>Marketing</t>
        </is>
      </c>
      <c r="D53" s="12" t="inlineStr">
        <is>
          <t>Team Lead SDR</t>
        </is>
      </c>
      <c r="E53" s="85" t="inlineStr">
        <is>
          <t>Account Executive</t>
        </is>
      </c>
      <c r="F53" s="12" t="inlineStr">
        <is>
          <t>Sales &amp; Business Development</t>
        </is>
      </c>
      <c r="G53" s="12" t="inlineStr">
        <is>
          <t>Sales Development &amp; Prospecting</t>
        </is>
      </c>
      <c r="H53" s="12" t="inlineStr">
        <is>
          <t>IC</t>
        </is>
      </c>
      <c r="I53" s="42" t="inlineStr">
        <is>
          <t>L5 – Lead · IC</t>
        </is>
      </c>
      <c r="J53" s="20" t="inlineStr">
        <is>
          <t>B1</t>
        </is>
      </c>
      <c r="K53" s="21" t="inlineStr">
        <is>
          <t>Specialist</t>
        </is>
      </c>
      <c r="L53" s="86" t="inlineStr">
        <is>
          <t>▼ Down · pay &amp; title protected</t>
        </is>
      </c>
      <c r="M53" s="12" t="inlineStr">
        <is>
          <t>CARBON · Marketing · Band B · Expert / POD Lead</t>
        </is>
      </c>
      <c r="N53" s="42" t="n">
        <v>3.5</v>
      </c>
      <c r="O53" s="42" t="n">
        <v>3.5</v>
      </c>
      <c r="P53" s="42" t="n">
        <v>3.5</v>
      </c>
      <c r="Q53" s="42" t="n">
        <v>2.5</v>
      </c>
      <c r="R53" s="42" t="n">
        <v>6.5</v>
      </c>
      <c r="S53" s="80" t="n">
        <v>3.5</v>
      </c>
      <c r="T53" s="81">
        <f>IF(OR($M53="",COUNT(N53,O53,P53,Q53,R53,S53)&lt;6),"",IFERROR(N53*INDEX(WM_C,MATCH($M53,WM_KEY,0))+O53*INDEX(WM_AU,MATCH($M53,WM_KEY,0))+P53*INDEX(WM_AC,MATCH($M53,WM_KEY,0))+Q53*INDEX(WM_L,MATCH($M53,WM_KEY,0))+R53*INDEX(WM_E,MATCH($M53,WM_KEY,0))+S53*INDEX(WM_BI,MATCH($M53,WM_KEY,0)),""))</f>
        <v>3.75</v>
      </c>
      <c r="U53" s="42" t="str">
        <f>IF(T53="","",INDEX({"A1","A2","A3","B1","B2","B3","C1","C2","D1","D2","E1","E2"},MAX(1,MIN(12,ROUND(T53,0)))))</f>
        <v>B1</v>
      </c>
      <c r="V53" s="12" t="inlineStr">
        <is>
          <r>
            <rPr>
              <rFont val="Calibri"/>
              <sz val="10"/>
            </rPr>
            <t xml:space="preserve">New level B1 · Specialist. Current level on record: L5 – Lead · IC. Change: ▼ Down · pay &amp; title protected.
Score 3.75 on the ladder scale → indicated level B1.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53" s="12" t="inlineStr">
        <is>
          <r>
            <rPr>
              <rFont val="Calibri"/>
              <b val="1"/>
              <sz val="10"/>
            </rPr>
            <t>Complexity &amp; Expertise:</t>
          </r>
          <r>
            <rPr>
              <rFont val="Calibri"/>
              <sz val="10"/>
            </rPr>
            <t xml:space="preserve"> 3.5 of 12 · between A3 and B1 — Start: 4.0 · lead / specialist title; Evidence reads like A2: Outreach, cold calling, LinkedIn outreach and database building to get qualified meetings → moved down 0.5
</t>
          </r>
          <r>
            <rPr>
              <rFont val="Calibri"/>
              <b val="1"/>
              <sz val="10"/>
            </rPr>
            <t>Autonomy &amp; Decision:</t>
          </r>
          <r>
            <rPr>
              <rFont val="Calibri"/>
              <sz val="10"/>
            </rPr>
            <t xml:space="preserve"> 3.5 of 12 · between A3 and B1 — Start: 4.0 · lead / specialist title; Evidence reads like A2: Decides own outreach emails, calls and number of dials → moved down 0.5
</t>
          </r>
          <r>
            <rPr>
              <rFont val="Calibri"/>
              <b val="1"/>
              <sz val="10"/>
            </rPr>
            <t>Accountability &amp; Impact:</t>
          </r>
          <r>
            <rPr>
              <rFont val="Calibri"/>
              <sz val="10"/>
            </rPr>
            <t xml:space="preserve"> 3.5 of 12 · between A3 and B1 — Start: 4.0 · lead / specialist title; Evidence reads like A2: Accountable for own meetings and numbers, including no-shows and cancellations → moved down 0.5
</t>
          </r>
          <r>
            <rPr>
              <rFont val="Calibri"/>
              <b val="1"/>
              <sz val="10"/>
            </rPr>
            <t>Leadership &amp; Strategy:</t>
          </r>
          <r>
            <rPr>
              <rFont val="Calibri"/>
              <sz val="10"/>
            </rPr>
            <t xml:space="preserve"> 2.5 of 12 · between A2 and A3 — Start: 3.0 · individual contributor, so influence only; Evidence reads like A1: No team leadership described; zero direct reports despite Team Lead title → moved down 0.5; Team: 0 direct reports · IC
</t>
          </r>
          <r>
            <rPr>
              <rFont val="Calibri"/>
              <b val="1"/>
              <sz val="10"/>
            </rPr>
            <t>Experience &amp; Qualification:</t>
          </r>
          <r>
            <rPr>
              <rFont val="Calibri"/>
              <sz val="10"/>
            </rPr>
            <t xml:space="preserve"> 6.5 of 12 · between B3 and C1 — Experience: 11.1 yrs total · 10.0 before IRIS + 1.1 at IRIS = 6.5 on the experience scale; Qualification: B.E · graduate → no change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53" s="12" t="inlineStr">
        <is>
          <r>
            <rPr>
              <rFont val="Calibri"/>
              <b val="1"/>
              <sz val="10"/>
            </rPr>
            <t>Market level:</t>
          </r>
          <r>
            <rPr>
              <rFont val="Calibri"/>
              <sz val="10"/>
            </rPr>
            <t xml:space="preserve"> P3 / M2 · SFIA 4 Enable
</t>
          </r>
          <r>
            <rPr>
              <rFont val="Calibri"/>
              <b val="1"/>
              <sz val="10"/>
            </rPr>
            <t>Typical title:</t>
          </r>
          <r>
            <rPr>
              <rFont val="Calibri"/>
              <sz val="10"/>
            </rPr>
            <t xml:space="preserve"> Account Executive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Y53" s="12" t="inlineStr">
        <is>
          <r>
            <rPr>
              <rFont val="Calibri"/>
              <sz val="10"/>
            </rPr>
            <t xml:space="preserve">✓ HRIS: 11.1 yrs, B.E, 0 direct reports
✓ Survey: 20 of 20 questions answered
✓ KRAs: reported deliverables
✓ Manager mapping: rating, 9-box
✓ Job description
</t>
          </r>
          <r>
            <rPr>
              <rFont val="Calibri"/>
              <b val="1"/>
              <sz val="10"/>
            </rPr>
            <t>Confidence:</t>
          </r>
          <r>
            <rPr>
              <rFont val="Calibri"/>
              <sz val="10"/>
            </rPr>
            <t xml:space="preserve"> Medium</t>
          </r>
        </is>
      </c>
      <c r="Z53" s="82" t="inlineStr">
        <is>
          <r>
            <rPr>
              <rFont val="Calibri"/>
              <color rgb="009C5700"/>
              <sz val="10"/>
            </rPr>
            <t xml:space="preserve">• </t>
          </r>
          <r>
            <rPr>
              <rFont val="Calibri"/>
              <b val="1"/>
              <color rgb="009C5700"/>
              <sz val="10"/>
            </rPr>
            <t>Moves down:</t>
          </r>
          <r>
            <rPr>
              <rFont val="Calibri"/>
              <color rgb="009C5700"/>
              <sz val="10"/>
            </rPr>
            <t xml:space="preserve"> protected for one cycle
• </t>
          </r>
          <r>
            <rPr>
              <rFont val="Calibri"/>
              <b val="1"/>
              <color rgb="009C5700"/>
              <sz val="10"/>
            </rPr>
            <t>Title check:</t>
          </r>
          <r>
            <rPr>
              <rFont val="Calibri"/>
              <color rgb="009C5700"/>
              <sz val="10"/>
            </rPr>
            <t xml:space="preserve"> Market-standard role title</t>
          </r>
        </is>
      </c>
      <c r="AA53" s="12" t="inlineStr">
        <is>
          <t>Nothing outstanding</t>
        </is>
      </c>
      <c r="AB53"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pipeline · lead · meetings · time · outreach.
Manager talent mapping — Latest rating: Not rated · manager · 9-Box Grid placement: Not placed · manager.</t>
          </r>
        </is>
      </c>
      <c r="AC53" s="84" t="n"/>
      <c r="AD53" s="84" t="n"/>
      <c r="AE53" s="84" t="n"/>
      <c r="AF53" s="12" t="n">
        <v>3.5</v>
      </c>
    </row>
    <row r="54" ht="379" customHeight="1">
      <c r="A54" s="12" t="inlineStr">
        <is>
          <t>IRIS2324</t>
        </is>
      </c>
      <c r="B54" s="10" t="inlineStr">
        <is>
          <t>Priyadarshini Dey</t>
        </is>
      </c>
      <c r="C54" s="12" t="inlineStr">
        <is>
          <t>Marketing</t>
        </is>
      </c>
      <c r="D54" s="12" t="inlineStr">
        <is>
          <t>Team Lead SDR</t>
        </is>
      </c>
      <c r="E54" s="85" t="inlineStr">
        <is>
          <t>Team Lead – Sales Development</t>
        </is>
      </c>
      <c r="F54" s="12" t="inlineStr">
        <is>
          <t>Sales &amp; Business Development</t>
        </is>
      </c>
      <c r="G54" s="12" t="inlineStr">
        <is>
          <t>Sales Development &amp; Prospecting</t>
        </is>
      </c>
      <c r="H54" s="12" t="inlineStr">
        <is>
          <t>People Manager</t>
        </is>
      </c>
      <c r="I54" s="42" t="inlineStr">
        <is>
          <t>L4 – Senior</t>
        </is>
      </c>
      <c r="J54" s="20" t="inlineStr">
        <is>
          <t>B1</t>
        </is>
      </c>
      <c r="K54" s="21" t="inlineStr">
        <is>
          <t>Team Lead</t>
        </is>
      </c>
      <c r="L54" s="87" t="inlineStr">
        <is>
          <t>▲ Up</t>
        </is>
      </c>
      <c r="M54" s="12" t="inlineStr">
        <is>
          <t>CARBON · Marketing · Band B · People Manager</t>
        </is>
      </c>
      <c r="N54" s="42" t="n">
        <v>3.5</v>
      </c>
      <c r="O54" s="42" t="n">
        <v>4</v>
      </c>
      <c r="P54" s="42" t="n">
        <v>4</v>
      </c>
      <c r="Q54" s="42" t="n">
        <v>4</v>
      </c>
      <c r="R54" s="42" t="n">
        <v>3.5</v>
      </c>
      <c r="S54" s="80" t="n">
        <v>4</v>
      </c>
      <c r="T54" s="81">
        <f>IF(OR($M54="",COUNT(N54,O54,P54,Q54,R54,S54)&lt;6),"",IFERROR(N54*INDEX(WM_C,MATCH($M54,WM_KEY,0))+O54*INDEX(WM_AU,MATCH($M54,WM_KEY,0))+P54*INDEX(WM_AC,MATCH($M54,WM_KEY,0))+Q54*INDEX(WM_L,MATCH($M54,WM_KEY,0))+R54*INDEX(WM_E,MATCH($M54,WM_KEY,0))+S54*INDEX(WM_BI,MATCH($M54,WM_KEY,0)),""))</f>
        <v>3.79</v>
      </c>
      <c r="U54" s="42" t="str">
        <f>IF(T54="","",INDEX({"A1","A2","A3","B1","B2","B3","C1","C2","D1","D2","E1","E2"},MAX(1,MIN(12,ROUND(T54,0)))))</f>
        <v>B1</v>
      </c>
      <c r="V54" s="12" t="inlineStr">
        <is>
          <r>
            <rPr>
              <rFont val="Calibri"/>
              <sz val="10"/>
            </rPr>
            <t xml:space="preserve">New level B1 · Team Lead. Current level on record: L4 – Senior. Change: ▲ Up.
Score 3.79 on the ladder scale → indicated level B1.
</t>
          </r>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4" s="12" t="inlineStr">
        <is>
          <r>
            <rPr>
              <rFont val="Calibri"/>
              <b val="1"/>
              <sz val="10"/>
            </rPr>
            <t>Complexity &amp; Expertise:</t>
          </r>
          <r>
            <rPr>
              <rFont val="Calibri"/>
              <sz val="10"/>
            </rPr>
            <t xml:space="preserve"> 3.5 of 12 · between A3 and B1 — Start: 4.0 · lead / specialist title; Evidence reads like A3: Player-coach: own consultative outreach and lead qualification plus working out new strategies for SDR team → moved down 0.5; KRA: “1. Build a strong pipeline of qualified leads through close sales collaboration and complete 8 Discovery Calls · DCCs per month (~96…”
</t>
          </r>
          <r>
            <rPr>
              <rFont val="Calibri"/>
              <b val="1"/>
              <sz val="10"/>
            </rPr>
            <t>Autonomy &amp; Decision:</t>
          </r>
          <r>
            <rPr>
              <rFont val="Calibri"/>
              <sz val="10"/>
            </rPr>
            <t xml:space="preserve"> 4 of 12 — Start: 4.0 · lead / specialist title; Evidence reads like B1: Decides outreach, pipeline generation and strategies for the team → matches the start
</t>
          </r>
          <r>
            <rPr>
              <rFont val="Calibri"/>
              <b val="1"/>
              <sz val="10"/>
            </rPr>
            <t>Accountability &amp; Impact:</t>
          </r>
          <r>
            <rPr>
              <rFont val="Calibri"/>
              <sz val="10"/>
            </rPr>
            <t xml:space="preserve"> 4 of 12 — Start: 4.0 · lead / specialist title; 4 direct reports; Evidence reads like B1: Leads an SDR team delivering qualified leads and pipeline; four reports → matches the start; KRA: “1. Build a strong pipeline of qualified leads through close sales collaboration and complete 8 Discovery Calls · DCCs per month (~96…”
</t>
          </r>
          <r>
            <rPr>
              <rFont val="Calibri"/>
              <b val="1"/>
              <sz val="10"/>
            </rPr>
            <t>Leadership &amp; Strategy:</t>
          </r>
          <r>
            <rPr>
              <rFont val="Calibri"/>
              <sz val="10"/>
            </rPr>
            <t xml:space="preserve"> 4 of 12 — Start: 4.0; Evidence reads like B1: Leads an SDR team as player and coach; four direct reports → matches the start; Team: 4 direct reports · People Manager
</t>
          </r>
          <r>
            <rPr>
              <rFont val="Calibri"/>
              <b val="1"/>
              <sz val="10"/>
            </rPr>
            <t>Experience &amp; Qualification:</t>
          </r>
          <r>
            <rPr>
              <rFont val="Calibri"/>
              <sz val="10"/>
            </rPr>
            <t xml:space="preserve"> 3.5 of 12 · between A3 and B1 — Experience: 4.2 yrs total · 2.3 before IRIS + 1.9 at IRIS = 3.5 on the experience scale; Qualification: B.Tech · graduate → no change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54" s="12"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Y54" s="12" t="inlineStr">
        <is>
          <r>
            <rPr>
              <rFont val="Calibri"/>
              <sz val="10"/>
            </rPr>
            <t xml:space="preserve">✓ HRIS: 4.2 yrs, B.Tech, 4 direct reports
✓ Survey: 20 of 20 questions answered
✓ KRAs: submitted, reported deliverables
✓ Manager mapping: rating, 9-box — filled from talent-mapping files: 9-box · CARBON grid
✓ Job description
</t>
          </r>
          <r>
            <rPr>
              <rFont val="Calibri"/>
              <b val="1"/>
              <sz val="10"/>
            </rPr>
            <t>Confidence:</t>
          </r>
          <r>
            <rPr>
              <rFont val="Calibri"/>
              <sz val="10"/>
            </rPr>
            <t xml:space="preserve"> High</t>
          </r>
        </is>
      </c>
      <c r="Z54" s="12" t="inlineStr">
        <is>
          <t>—</t>
        </is>
      </c>
      <c r="AA54" s="12" t="inlineStr">
        <is>
          <t>Nothing outstanding</t>
        </is>
      </c>
      <c r="AB5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4 direct reports.
</t>
          </r>
          <r>
            <rPr>
              <rFont val="Calibri"/>
              <b val="1"/>
              <sz val="10"/>
            </rPr>
            <t>If the work is missed · role-holders' themes:</t>
          </r>
          <r>
            <rPr>
              <rFont val="Calibri"/>
              <sz val="10"/>
            </rPr>
            <t xml:space="preserve"> pipeline · lead · meetings · time · outreach.
Manager talent mapping — Latest rating: Not rated · manager · 9-Box Grid placement: Underperformer / Exit Risk.</t>
          </r>
        </is>
      </c>
      <c r="AC54" s="84" t="n"/>
      <c r="AD54" s="84" t="n"/>
      <c r="AE54" s="84" t="n"/>
      <c r="AF54" s="12" t="n">
        <v>4</v>
      </c>
    </row>
    <row r="55" ht="379" customHeight="1">
      <c r="A55" s="12" t="inlineStr">
        <is>
          <t>IRIS2345</t>
        </is>
      </c>
      <c r="B55" s="10" t="inlineStr">
        <is>
          <t>Vijay Krishna Chintha</t>
        </is>
      </c>
      <c r="C55" s="12" t="inlineStr">
        <is>
          <t>Marketing</t>
        </is>
      </c>
      <c r="D55" s="12" t="inlineStr">
        <is>
          <t>Team Lead SDR</t>
        </is>
      </c>
      <c r="E55" s="85" t="inlineStr">
        <is>
          <t>Team Lead – Sales Development</t>
        </is>
      </c>
      <c r="F55" s="12" t="inlineStr">
        <is>
          <t>Sales &amp; Business Development</t>
        </is>
      </c>
      <c r="G55" s="12" t="inlineStr">
        <is>
          <t>Sales Development &amp; Prospecting</t>
        </is>
      </c>
      <c r="H55" s="12" t="inlineStr">
        <is>
          <t>People Manager</t>
        </is>
      </c>
      <c r="I55" s="42" t="inlineStr">
        <is>
          <t>L4 – Senior</t>
        </is>
      </c>
      <c r="J55" s="20" t="inlineStr">
        <is>
          <t>B1</t>
        </is>
      </c>
      <c r="K55" s="21" t="inlineStr">
        <is>
          <t>Team Lead</t>
        </is>
      </c>
      <c r="L55" s="87" t="inlineStr">
        <is>
          <t>▲ Up</t>
        </is>
      </c>
      <c r="M55" s="12" t="inlineStr">
        <is>
          <t>CARBON · Marketing · Band B · People Manager</t>
        </is>
      </c>
      <c r="N55" s="42" t="n">
        <v>3.5</v>
      </c>
      <c r="O55" s="42" t="n">
        <v>3.5</v>
      </c>
      <c r="P55" s="42" t="n">
        <v>3.5</v>
      </c>
      <c r="Q55" s="42" t="n">
        <v>4</v>
      </c>
      <c r="R55" s="42" t="n">
        <v>5</v>
      </c>
      <c r="S55" s="80" t="n">
        <v>3.5</v>
      </c>
      <c r="T55" s="81">
        <f>IF(OR($M55="",COUNT(N55,O55,P55,Q55,R55,S55)&lt;6),"",IFERROR(N55*INDEX(WM_C,MATCH($M55,WM_KEY,0))+O55*INDEX(WM_AU,MATCH($M55,WM_KEY,0))+P55*INDEX(WM_AC,MATCH($M55,WM_KEY,0))+Q55*INDEX(WM_L,MATCH($M55,WM_KEY,0))+R55*INDEX(WM_E,MATCH($M55,WM_KEY,0))+S55*INDEX(WM_BI,MATCH($M55,WM_KEY,0)),""))</f>
        <v>3.725</v>
      </c>
      <c r="U55" s="42" t="str">
        <f>IF(T55="","",INDEX({"A1","A2","A3","B1","B2","B3","C1","C2","D1","D2","E1","E2"},MAX(1,MIN(12,ROUND(T55,0)))))</f>
        <v>B1</v>
      </c>
      <c r="V55" s="12" t="inlineStr">
        <is>
          <r>
            <rPr>
              <rFont val="Calibri"/>
              <sz val="10"/>
            </rPr>
            <t xml:space="preserve">New level B1 · Team Lead. Current level on record: L4 – Senior. Change: ▲ Up.
Score 3.73 on the ladder scale → indicated level B1.
</t>
          </r>
          <r>
            <rPr>
              <rFont val="Calibri"/>
              <b val="1"/>
              <sz val="10"/>
            </rPr>
            <t>Weights:</t>
          </r>
          <r>
            <rPr>
              <rFont val="Calibri"/>
              <sz val="10"/>
            </rPr>
            <t xml:space="preserve"> Complexity 32% · Autonomy 23% · Leadership 15% · Business impact 14% · Experience 10%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5" s="12" t="inlineStr">
        <is>
          <r>
            <rPr>
              <rFont val="Calibri"/>
              <b val="1"/>
              <sz val="10"/>
            </rPr>
            <t>Complexity &amp; Expertise:</t>
          </r>
          <r>
            <rPr>
              <rFont val="Calibri"/>
              <sz val="10"/>
            </rPr>
            <t xml:space="preserve"> 3.5 of 12 · between A3 and B1 — Start: 4.0 · lead / specialist title; Evidence reads like A2: Cold calling, email and LinkedIn outreach to generate sales-accepted leads, plus team management → moved down 0.5; KRA: “1. Build a strong pipeline of qualified leads through close sales collaboration and complete 8 Discovery Calls · DCCs per month (~96…”
</t>
          </r>
          <r>
            <rPr>
              <rFont val="Calibri"/>
              <b val="1"/>
              <sz val="10"/>
            </rPr>
            <t>Autonomy &amp; Decision:</t>
          </r>
          <r>
            <rPr>
              <rFont val="Calibri"/>
              <sz val="10"/>
            </rPr>
            <t xml:space="preserve"> 3.5 of 12 · between A3 and B1 — Start: 4.0 · lead / specialist title; Evidence reads like A2: Only stated independent decision is channels of outreach → moved down 0.5
</t>
          </r>
          <r>
            <rPr>
              <rFont val="Calibri"/>
              <b val="1"/>
              <sz val="10"/>
            </rPr>
            <t>Accountability &amp; Impact:</t>
          </r>
          <r>
            <rPr>
              <rFont val="Calibri"/>
              <sz val="10"/>
            </rPr>
            <t xml:space="preserve"> 3.5 of 12 · between A3 and B1 — Start: 4.0 · lead / specialist title; 4 direct reports; Evidence reads like A3: own survey / KRA answers · summarised by the rater; not quoted → moved down 0.5; KRA: “1. Build a strong pipeline of qualified leads through close sales collaboration and complete 8 Discovery Calls · DCCs per month (~96…”
</t>
          </r>
          <r>
            <rPr>
              <rFont val="Calibri"/>
              <b val="1"/>
              <sz val="10"/>
            </rPr>
            <t>Leadership &amp; Strategy:</t>
          </r>
          <r>
            <rPr>
              <rFont val="Calibri"/>
              <sz val="10"/>
            </rPr>
            <t xml:space="preserve"> 4 of 12 — Start: 4.0; Evidence reads like B1: Lists team management; four direct reports → matches the start; Team: 4 direct reports · People Manager
</t>
          </r>
          <r>
            <rPr>
              <rFont val="Calibri"/>
              <b val="1"/>
              <sz val="10"/>
            </rPr>
            <t>Experience &amp; Qualification:</t>
          </r>
          <r>
            <rPr>
              <rFont val="Calibri"/>
              <sz val="10"/>
            </rPr>
            <t xml:space="preserve"> 5 of 12 — Experience: 6.8 yrs total · 5.2 before IRIS + 1.6 at IRIS = 4.7 on the experience scale; Qualification: PGDM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55" s="12"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Y55" s="12" t="inlineStr">
        <is>
          <r>
            <rPr>
              <rFont val="Calibri"/>
              <sz val="10"/>
            </rPr>
            <t xml:space="preserve">✓ HRIS: 6.8 yrs, PGDM, 4 direct reports
✓ Survey: 20 of 20 questions answered
✓ KRAs: submitted, reported deliverables
✓ Manager mapping: rating, potential, 9-box — filled from talent-mapping files: 9-box · CARBON grid
✓ Job description
</t>
          </r>
          <r>
            <rPr>
              <rFont val="Calibri"/>
              <b val="1"/>
              <sz val="10"/>
            </rPr>
            <t>Confidence:</t>
          </r>
          <r>
            <rPr>
              <rFont val="Calibri"/>
              <sz val="10"/>
            </rPr>
            <t xml:space="preserve"> Medium</t>
          </r>
        </is>
      </c>
      <c r="Z55" s="12" t="inlineStr">
        <is>
          <t>—</t>
        </is>
      </c>
      <c r="AA55" s="12" t="inlineStr">
        <is>
          <t>Nothing outstanding</t>
        </is>
      </c>
      <c r="AB55"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4 direct reports.
</t>
          </r>
          <r>
            <rPr>
              <rFont val="Calibri"/>
              <b val="1"/>
              <sz val="10"/>
            </rPr>
            <t>If the work is missed · role-holders' themes:</t>
          </r>
          <r>
            <rPr>
              <rFont val="Calibri"/>
              <sz val="10"/>
            </rPr>
            <t xml:space="preserve"> pipeline · lead · meetings · time · outreach.
Manager talent mapping — Latest rating: 2 · Potential: Low · 9-Box Grid placement: Underperformer / Exit Risk.</t>
          </r>
        </is>
      </c>
      <c r="AC55" s="84" t="n"/>
      <c r="AD55" s="84" t="n"/>
      <c r="AE55" s="84" t="n"/>
      <c r="AF55" s="12" t="n">
        <v>3.5</v>
      </c>
    </row>
    <row r="56" ht="379" customHeight="1">
      <c r="A56" s="12" t="inlineStr">
        <is>
          <t>IRIS2387</t>
        </is>
      </c>
      <c r="B56" s="10" t="inlineStr">
        <is>
          <t>Avidi Jeevitesh</t>
        </is>
      </c>
      <c r="C56" s="12" t="inlineStr">
        <is>
          <t>Marketing</t>
        </is>
      </c>
      <c r="D56" s="12" t="inlineStr">
        <is>
          <t>Senior Designer</t>
        </is>
      </c>
      <c r="E56" s="12" t="inlineStr">
        <is>
          <t>Senior Designer</t>
        </is>
      </c>
      <c r="F56" s="12" t="inlineStr">
        <is>
          <t>Design &amp; Creative</t>
        </is>
      </c>
      <c r="G56" s="12" t="inlineStr">
        <is>
          <t>Brand, Graphic &amp; Video Design</t>
        </is>
      </c>
      <c r="H56" s="12" t="inlineStr">
        <is>
          <t>IC</t>
        </is>
      </c>
      <c r="I56" s="42" t="inlineStr">
        <is>
          <t>L4 – Senior</t>
        </is>
      </c>
      <c r="J56" s="16" t="inlineStr">
        <is>
          <t>A3</t>
        </is>
      </c>
      <c r="K56" s="17" t="inlineStr">
        <is>
          <t>Senior Associate</t>
        </is>
      </c>
      <c r="L56" s="88" t="inlineStr">
        <is>
          <t>• Same level</t>
        </is>
      </c>
      <c r="M56" s="12" t="inlineStr">
        <is>
          <t>CARBON · Marketing · Band A · Early career</t>
        </is>
      </c>
      <c r="N56" s="42" t="n">
        <v>2.5</v>
      </c>
      <c r="O56" s="42" t="n">
        <v>2.5</v>
      </c>
      <c r="P56" s="42" t="n">
        <v>2.5</v>
      </c>
      <c r="Q56" s="42" t="n">
        <v>1.5</v>
      </c>
      <c r="R56" s="42" t="n">
        <v>6</v>
      </c>
      <c r="S56" s="80" t="n">
        <v>2.5</v>
      </c>
      <c r="T56" s="81">
        <f>IF(OR($M56="",COUNT(N56,O56,P56,Q56,R56,S56)&lt;6),"",IFERROR(N56*INDEX(WM_C,MATCH($M56,WM_KEY,0))+O56*INDEX(WM_AU,MATCH($M56,WM_KEY,0))+P56*INDEX(WM_AC,MATCH($M56,WM_KEY,0))+Q56*INDEX(WM_L,MATCH($M56,WM_KEY,0))+R56*INDEX(WM_E,MATCH($M56,WM_KEY,0))+S56*INDEX(WM_BI,MATCH($M56,WM_KEY,0)),""))</f>
        <v>2.85</v>
      </c>
      <c r="U56" s="42" t="str">
        <f>IF(T56="","",INDEX({"A1","A2","A3","B1","B2","B3","C1","C2","D1","D2","E1","E2"},MAX(1,MIN(12,ROUND(T56,0)))))</f>
        <v>A3</v>
      </c>
      <c r="V56" s="12" t="inlineStr">
        <is>
          <r>
            <rPr>
              <rFont val="Calibri"/>
              <sz val="10"/>
            </rPr>
            <t xml:space="preserve">New level A3 · Senior Associate. Current level on record: L4 – Senior. Change: • Same level.
Score 2.85 on the ladder scale → indicated level A3.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6" s="12" t="inlineStr">
        <is>
          <r>
            <rPr>
              <rFont val="Calibri"/>
              <b val="1"/>
              <sz val="10"/>
            </rPr>
            <t>Complexity &amp; Expertise:</t>
          </r>
          <r>
            <rPr>
              <rFont val="Calibri"/>
              <sz val="10"/>
            </rPr>
            <t xml:space="preserve"> 2.5 of 12 · between A2 and A3 — Start: 3.0 · senior practitioner title; Evidence reads like A2: Designs ebooks, social posts, solution briefs, print and landing-page assets in Adobe tools → moved down 0.5
</t>
          </r>
          <r>
            <rPr>
              <rFont val="Calibri"/>
              <b val="1"/>
              <sz val="10"/>
            </rPr>
            <t>Autonomy &amp; Decision:</t>
          </r>
          <r>
            <rPr>
              <rFont val="Calibri"/>
              <sz val="10"/>
            </rPr>
            <t xml:space="preserve"> 2.5 of 12 · between A2 and A3 — Start: 3.0 · senior practitioner title; Evidence reads like A2: Decides document sizes and layout → moved down 0.5
</t>
          </r>
          <r>
            <rPr>
              <rFont val="Calibri"/>
              <b val="1"/>
              <sz val="10"/>
            </rPr>
            <t>Accountability &amp; Impact:</t>
          </r>
          <r>
            <rPr>
              <rFont val="Calibri"/>
              <sz val="10"/>
            </rPr>
            <t xml:space="preserve"> 2.5 of 12 · between A2 and A3 — Start: 3.0 · senior practitioner title; Evidence reads like A2: Accountable for print files matching specifications and correct details such as CTA links → moved down 0.5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6 of 12 — Experience: 10.6 yrs total · 9.3 before IRIS + 1.3 at IRIS = 6.3 on the experience scale; Qualification: Under Gratuate · below graduate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56" s="12" t="inlineStr">
        <is>
          <r>
            <rPr>
              <rFont val="Calibri"/>
              <b val="1"/>
              <sz val="10"/>
            </rPr>
            <t>Market level:</t>
          </r>
          <r>
            <rPr>
              <rFont val="Calibri"/>
              <sz val="10"/>
            </rPr>
            <t xml:space="preserve"> P2 · SFIA 3 Apply
</t>
          </r>
          <r>
            <rPr>
              <rFont val="Calibri"/>
              <b val="1"/>
              <sz val="10"/>
            </rPr>
            <t>Typical title:</t>
          </r>
          <r>
            <rPr>
              <rFont val="Calibri"/>
              <sz val="10"/>
            </rPr>
            <t xml:space="preserve"> Designer
</t>
          </r>
          <r>
            <rPr>
              <rFont val="Calibri"/>
              <b val="1"/>
              <sz val="10"/>
            </rPr>
            <t>At peers:</t>
          </r>
          <r>
            <rPr>
              <rFont val="Calibri"/>
              <sz val="10"/>
            </rPr>
            <t xml:space="preserve"> IRIS Vs Competitor Benchmark — UX / design ladder: Designer
</t>
          </r>
          <r>
            <rPr>
              <rFont val="Calibri"/>
              <b val="1"/>
              <sz val="10"/>
            </rPr>
            <t>Typical experience:</t>
          </r>
          <r>
            <rPr>
              <rFont val="Calibri"/>
              <sz val="10"/>
            </rPr>
            <t xml:space="preserve"> 2–5 yrs · IRIS guide 2–4
</t>
          </r>
          <r>
            <rPr>
              <rFont val="Calibri"/>
              <b val="1"/>
              <sz val="10"/>
            </rPr>
            <t>Standard:</t>
          </r>
          <r>
            <rPr>
              <rFont val="Calibri"/>
              <sz val="10"/>
            </rPr>
            <t xml:space="preserve"> UX career ladder Junior → Designer → Senior → Lead → Principal; WCAG accessibility</t>
          </r>
        </is>
      </c>
      <c r="Y56" s="12" t="inlineStr">
        <is>
          <r>
            <rPr>
              <rFont val="Calibri"/>
              <sz val="10"/>
            </rPr>
            <t xml:space="preserve">✓ HRIS: 10.6 yrs, Under Gratuate, 0 direct reports
✓ Survey: 20 of 20 questions answered
✓ KRAs: reported deliverables
✓ Manager mapping: rating, potential, 9-box
✓ Job description
</t>
          </r>
          <r>
            <rPr>
              <rFont val="Calibri"/>
              <b val="1"/>
              <sz val="10"/>
            </rPr>
            <t>Confidence:</t>
          </r>
          <r>
            <rPr>
              <rFont val="Calibri"/>
              <sz val="10"/>
            </rPr>
            <t xml:space="preserve"> High</t>
          </r>
        </is>
      </c>
      <c r="Z56" s="12" t="inlineStr">
        <is>
          <t>—</t>
        </is>
      </c>
      <c r="AA56" s="12" t="inlineStr">
        <is>
          <t>Nothing outstanding</t>
        </is>
      </c>
      <c r="AB5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sales.
Manager talent mapping — Latest rating: Not rated · manager · Potential: Medium · 9-Box Grid placement: Reliable Specialist.</t>
          </r>
        </is>
      </c>
      <c r="AC56" s="84" t="n"/>
      <c r="AD56" s="84" t="n"/>
      <c r="AE56" s="84" t="n"/>
      <c r="AF56" s="12" t="n">
        <v>2.5</v>
      </c>
    </row>
    <row r="57" ht="379" customHeight="1">
      <c r="A57" s="12" t="inlineStr">
        <is>
          <t>IRIS2348</t>
        </is>
      </c>
      <c r="B57" s="10" t="inlineStr">
        <is>
          <t>Alisha Sheikh</t>
        </is>
      </c>
      <c r="C57" s="12" t="inlineStr">
        <is>
          <t>Marketing</t>
        </is>
      </c>
      <c r="D57" s="12" t="inlineStr">
        <is>
          <t>Content Marketer</t>
        </is>
      </c>
      <c r="E57" s="85" t="inlineStr">
        <is>
          <t>Senior Content Marketing Associate</t>
        </is>
      </c>
      <c r="F57" s="12" t="inlineStr">
        <is>
          <t>Marketing &amp; Communications</t>
        </is>
      </c>
      <c r="G57" s="12" t="inlineStr">
        <is>
          <t>Content Marketing</t>
        </is>
      </c>
      <c r="H57" s="12" t="inlineStr">
        <is>
          <t>IC</t>
        </is>
      </c>
      <c r="I57" s="42" t="inlineStr">
        <is>
          <t>L3 – Professional / Associate</t>
        </is>
      </c>
      <c r="J57" s="16" t="inlineStr">
        <is>
          <t>A3</t>
        </is>
      </c>
      <c r="K57" s="17" t="inlineStr">
        <is>
          <t>Senior Associate</t>
        </is>
      </c>
      <c r="L57" s="87" t="inlineStr">
        <is>
          <t>▲ Up</t>
        </is>
      </c>
      <c r="M57" s="12" t="inlineStr">
        <is>
          <t>CARBON · Marketing · Band A · Early career</t>
        </is>
      </c>
      <c r="N57" s="42" t="n">
        <v>2.5</v>
      </c>
      <c r="O57" s="42" t="n">
        <v>2.5</v>
      </c>
      <c r="P57" s="42" t="n">
        <v>2.5</v>
      </c>
      <c r="Q57" s="42" t="n">
        <v>1</v>
      </c>
      <c r="R57" s="42" t="n">
        <v>3.5</v>
      </c>
      <c r="S57" s="80" t="n">
        <v>3</v>
      </c>
      <c r="T57" s="81">
        <f>IF(OR($M57="",COUNT(N57,O57,P57,Q57,R57,S57)&lt;6),"",IFERROR(N57*INDEX(WM_C,MATCH($M57,WM_KEY,0))+O57*INDEX(WM_AU,MATCH($M57,WM_KEY,0))+P57*INDEX(WM_AC,MATCH($M57,WM_KEY,0))+Q57*INDEX(WM_L,MATCH($M57,WM_KEY,0))+R57*INDEX(WM_E,MATCH($M57,WM_KEY,0))+S57*INDEX(WM_BI,MATCH($M57,WM_KEY,0)),""))</f>
        <v>2.655</v>
      </c>
      <c r="U57" s="42" t="str">
        <f>IF(T57="","",INDEX({"A1","A2","A3","B1","B2","B3","C1","C2","D1","D2","E1","E2"},MAX(1,MIN(12,ROUND(T57,0)))))</f>
        <v>A3</v>
      </c>
      <c r="V57" s="12" t="inlineStr">
        <is>
          <r>
            <rPr>
              <rFont val="Calibri"/>
              <sz val="10"/>
            </rPr>
            <t xml:space="preserve">New level A3 · Senior Associate. Current level on record: L3 – Professional / Associate. Change: ▲ Up.
Score 2.66 on the ladder scale → indicated level A3.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7" s="12" t="inlineStr">
        <is>
          <r>
            <rPr>
              <rFont val="Calibri"/>
              <b val="1"/>
              <sz val="10"/>
            </rPr>
            <t>Complexity &amp; Expertise:</t>
          </r>
          <r>
            <rPr>
              <rFont val="Calibri"/>
              <sz val="10"/>
            </rPr>
            <t xml:space="preserve"> 2.5 of 12 · between A2 and A3 — Start: 2.0 · practitioner title; Evidence reads like A3: Writes blogs, social, SEO, sales-enablement and demand-generation content, video scripts; builds content plans → moved up 0.5
</t>
          </r>
          <r>
            <rPr>
              <rFont val="Calibri"/>
              <b val="1"/>
              <sz val="10"/>
            </rPr>
            <t>Autonomy &amp; Decision:</t>
          </r>
          <r>
            <rPr>
              <rFont val="Calibri"/>
              <sz val="10"/>
            </rPr>
            <t xml:space="preserve"> 2.5 of 12 · between A2 and A3 — Start: 2.0 · practitioner title; Evidence reads like A3: Decides social posts, captions, content calendars, blog SEO and images → moved up 0.5
</t>
          </r>
          <r>
            <rPr>
              <rFont val="Calibri"/>
              <b val="1"/>
              <sz val="10"/>
            </rPr>
            <t>Accountability &amp; Impact:</t>
          </r>
          <r>
            <rPr>
              <rFont val="Calibri"/>
              <sz val="10"/>
            </rPr>
            <t xml:space="preserve"> 2.5 of 12 · between A2 and A3 — Start: 2.0 · practitioner title; Evidence reads like A3: own survey / KRA answers · summarised by the rater; not quoted → moved up 0.5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3.5 of 12 · between A3 and B1 — Experience: 3.0 yrs total · 1.4 before IRIS + 1.6 at IRIS = 3.0 on the experience scale; Qualification: MBA · postgraduate, relevant to the work → +0.5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57" s="12"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Y57" s="12" t="inlineStr">
        <is>
          <r>
            <rPr>
              <rFont val="Calibri"/>
              <sz val="10"/>
            </rPr>
            <t xml:space="preserve">✓ HRIS: 3.0 yrs, MBA, 0 direct reports
✓ Survey: 20 of 20 questions answered
✓ KRAs: reported deliverables
✓ Manager mapping: rating, potential, 9-box
✓ Job description
</t>
          </r>
          <r>
            <rPr>
              <rFont val="Calibri"/>
              <b val="1"/>
              <sz val="10"/>
            </rPr>
            <t>Confidence:</t>
          </r>
          <r>
            <rPr>
              <rFont val="Calibri"/>
              <sz val="10"/>
            </rPr>
            <t xml:space="preserve"> High</t>
          </r>
        </is>
      </c>
      <c r="Z57" s="12" t="inlineStr">
        <is>
          <t>—</t>
        </is>
      </c>
      <c r="AA57" s="12" t="inlineStr">
        <is>
          <t>Nothing outstanding</t>
        </is>
      </c>
      <c r="AB5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ranking.
Manager talent mapping — Latest rating: 4 · Potential: Medium · 9-Box Grid placement: High Impact / Growth Talent.</t>
          </r>
        </is>
      </c>
      <c r="AC57" s="84" t="n"/>
      <c r="AD57" s="84" t="n"/>
      <c r="AE57" s="84" t="n"/>
      <c r="AF57" s="12" t="n">
        <v>3</v>
      </c>
    </row>
    <row r="58" ht="379" customHeight="1">
      <c r="A58" s="12" t="inlineStr">
        <is>
          <t>IRIS2005</t>
        </is>
      </c>
      <c r="B58" s="10" t="inlineStr">
        <is>
          <t>Danish Baksh</t>
        </is>
      </c>
      <c r="C58" s="12" t="inlineStr">
        <is>
          <t>Marketing</t>
        </is>
      </c>
      <c r="D58" s="12" t="inlineStr">
        <is>
          <t>Marketing Web Developer</t>
        </is>
      </c>
      <c r="E58" s="85" t="inlineStr">
        <is>
          <t>Senior Digital Marketing Associate</t>
        </is>
      </c>
      <c r="F58" s="12" t="inlineStr">
        <is>
          <t>Marketing &amp; Communications</t>
        </is>
      </c>
      <c r="G58" s="12" t="inlineStr">
        <is>
          <t>Digital Marketing, Web &amp; Social</t>
        </is>
      </c>
      <c r="H58" s="12" t="inlineStr">
        <is>
          <t>IC</t>
        </is>
      </c>
      <c r="I58" s="42" t="inlineStr">
        <is>
          <t>L3 – Professional / Associate</t>
        </is>
      </c>
      <c r="J58" s="16" t="inlineStr">
        <is>
          <t>A3</t>
        </is>
      </c>
      <c r="K58" s="17" t="inlineStr">
        <is>
          <t>Senior Associate</t>
        </is>
      </c>
      <c r="L58" s="87" t="inlineStr">
        <is>
          <t>▲ Up</t>
        </is>
      </c>
      <c r="M58" s="12" t="inlineStr">
        <is>
          <t>CARBON · Marketing · Band A · Early career</t>
        </is>
      </c>
      <c r="N58" s="42" t="n">
        <v>3</v>
      </c>
      <c r="O58" s="42" t="n">
        <v>3</v>
      </c>
      <c r="P58" s="42" t="n">
        <v>3</v>
      </c>
      <c r="Q58" s="42" t="n">
        <v>1.5</v>
      </c>
      <c r="R58" s="42" t="n">
        <v>6</v>
      </c>
      <c r="S58" s="80" t="n">
        <v>3</v>
      </c>
      <c r="T58" s="81">
        <f>IF(OR($M58="",COUNT(N58,O58,P58,Q58,R58,S58)&lt;6),"",IFERROR(N58*INDEX(WM_C,MATCH($M58,WM_KEY,0))+O58*INDEX(WM_AU,MATCH($M58,WM_KEY,0))+P58*INDEX(WM_AC,MATCH($M58,WM_KEY,0))+Q58*INDEX(WM_L,MATCH($M58,WM_KEY,0))+R58*INDEX(WM_E,MATCH($M58,WM_KEY,0))+S58*INDEX(WM_BI,MATCH($M58,WM_KEY,0)),""))</f>
        <v>3.3</v>
      </c>
      <c r="U58" s="42" t="str">
        <f>IF(T58="","",INDEX({"A1","A2","A3","B1","B2","B3","C1","C2","D1","D2","E1","E2"},MAX(1,MIN(12,ROUND(T58,0)))))</f>
        <v>A3</v>
      </c>
      <c r="V58" s="12" t="inlineStr">
        <is>
          <r>
            <rPr>
              <rFont val="Calibri"/>
              <sz val="10"/>
            </rPr>
            <t xml:space="preserve">New level A3 · Senior Associate. Current level on record: L3 – Professional / Associate. Change: ▲ Up.
Score 3.30 on the ladder scale → indicated level A3.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8" s="12" t="inlineStr">
        <is>
          <r>
            <rPr>
              <rFont val="Calibri"/>
              <b val="1"/>
              <sz val="10"/>
            </rPr>
            <t>Complexity &amp; Expertise:</t>
          </r>
          <r>
            <rPr>
              <rFont val="Calibri"/>
              <sz val="10"/>
            </rPr>
            <t xml:space="preserve"> 3 of 12 — Start: 3.0 · senior practitioner title; Evidence reads like A3: Builds and runs WordPress websites, landing pages, technical SEO, email campaigns and marketing automation → matches the start; KRA: “1. Secure Top 20 organic rankings for 20 high-value keywords 2. Maintain 95% website uptime and resolve critical website issues within 24…”
</t>
          </r>
          <r>
            <rPr>
              <rFont val="Calibri"/>
              <b val="1"/>
              <sz val="10"/>
            </rPr>
            <t>Autonomy &amp; Decision:</t>
          </r>
          <r>
            <rPr>
              <rFont val="Calibri"/>
              <sz val="10"/>
            </rPr>
            <t xml:space="preserve"> 3 of 12 — Start: 3.0 · senior practitioner title; Evidence reads like A3: Decides keyword strategy, technical SEO, content planning, website technicalities and landing page design → matches the start
</t>
          </r>
          <r>
            <rPr>
              <rFont val="Calibri"/>
              <b val="1"/>
              <sz val="10"/>
            </rPr>
            <t>Accountability &amp; Impact:</t>
          </r>
          <r>
            <rPr>
              <rFont val="Calibri"/>
              <sz val="10"/>
            </rPr>
            <t xml:space="preserve"> 3 of 12 — Start: 3.0 · senior practitioner title; Evidence reads like A3: Accountable for websites and digital marketing except paid campaigns; broken pages or forms lose leads → matches the start; KRA: “1. Secure Top 20 organic rankings for 20 high-value keywords 2. Maintain 95% website uptime and resolve critical website issues within 24…”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6 of 12 — Experience: 10.5 yrs total · 6.0 before IRIS + 4.5 at IRIS = 6.2 on the experience scale; Qualification: B.E · graduate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58" s="12"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Y58" s="12" t="inlineStr">
        <is>
          <r>
            <rPr>
              <rFont val="Calibri"/>
              <sz val="10"/>
            </rPr>
            <t xml:space="preserve">✓ HRIS: 10.5 yrs, B.E,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58" s="12" t="inlineStr">
        <is>
          <t>—</t>
        </is>
      </c>
      <c r="AA58" s="12" t="inlineStr">
        <is>
          <t>Nothing outstanding</t>
        </is>
      </c>
      <c r="AB5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Manager talent mapping — Latest rating: 3 · Potential: Medium · 9-Box Grid placement: Reliable Specialist.</t>
          </r>
        </is>
      </c>
      <c r="AC58" s="84" t="n"/>
      <c r="AD58" s="84" t="n"/>
      <c r="AE58" s="84" t="n"/>
      <c r="AF58" s="12" t="n">
        <v>3</v>
      </c>
    </row>
    <row r="59" ht="379" customHeight="1">
      <c r="A59" s="12" t="inlineStr">
        <is>
          <t>IRIS2316</t>
        </is>
      </c>
      <c r="B59" s="10" t="inlineStr">
        <is>
          <t>Mounika Kattula</t>
        </is>
      </c>
      <c r="C59" s="12" t="inlineStr">
        <is>
          <t>Marketing</t>
        </is>
      </c>
      <c r="D59" s="12" t="inlineStr">
        <is>
          <t>Marketing Associate</t>
        </is>
      </c>
      <c r="E59" s="85" t="inlineStr">
        <is>
          <t>Senior Marketing Operations Associate</t>
        </is>
      </c>
      <c r="F59" s="12" t="inlineStr">
        <is>
          <t>Marketing &amp; Communications</t>
        </is>
      </c>
      <c r="G59" s="12" t="inlineStr">
        <is>
          <t>Marketing Operations &amp; Automation</t>
        </is>
      </c>
      <c r="H59" s="12" t="inlineStr">
        <is>
          <t>IC</t>
        </is>
      </c>
      <c r="I59" s="42" t="inlineStr">
        <is>
          <t>L3 – Professional / Associate</t>
        </is>
      </c>
      <c r="J59" s="16" t="inlineStr">
        <is>
          <t>A3</t>
        </is>
      </c>
      <c r="K59" s="17" t="inlineStr">
        <is>
          <t>Senior Associate</t>
        </is>
      </c>
      <c r="L59" s="87" t="inlineStr">
        <is>
          <t>▲ Up</t>
        </is>
      </c>
      <c r="M59" s="12" t="inlineStr">
        <is>
          <t>CARBON · Marketing · Band A · Early career</t>
        </is>
      </c>
      <c r="N59" s="42" t="n">
        <v>2.5</v>
      </c>
      <c r="O59" s="42" t="n">
        <v>3</v>
      </c>
      <c r="P59" s="42" t="n">
        <v>3.5</v>
      </c>
      <c r="Q59" s="42" t="n">
        <v>3.5</v>
      </c>
      <c r="R59" s="42" t="n">
        <v>4</v>
      </c>
      <c r="S59" s="80" t="n">
        <v>4</v>
      </c>
      <c r="T59" s="81">
        <f>IF(OR($M59="",COUNT(N59,O59,P59,Q59,R59,S59)&lt;6),"",IFERROR(N59*INDEX(WM_C,MATCH($M59,WM_KEY,0))+O59*INDEX(WM_AU,MATCH($M59,WM_KEY,0))+P59*INDEX(WM_AC,MATCH($M59,WM_KEY,0))+Q59*INDEX(WM_L,MATCH($M59,WM_KEY,0))+R59*INDEX(WM_E,MATCH($M59,WM_KEY,0))+S59*INDEX(WM_BI,MATCH($M59,WM_KEY,0)),""))</f>
        <v>2.96</v>
      </c>
      <c r="U59" s="42" t="str">
        <f>IF(T59="","",INDEX({"A1","A2","A3","B1","B2","B3","C1","C2","D1","D2","E1","E2"},MAX(1,MIN(12,ROUND(T59,0)))))</f>
        <v>A3</v>
      </c>
      <c r="V59" s="12" t="inlineStr">
        <is>
          <r>
            <rPr>
              <rFont val="Calibri"/>
              <sz val="10"/>
            </rPr>
            <t xml:space="preserve">New level A3 · Senior Associate. Current level on record: L3 – Professional / Associate. Change: ▲ Up.
Score 2.96 on the ladder scale → indicated level A3.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59" s="12" t="inlineStr">
        <is>
          <r>
            <rPr>
              <rFont val="Calibri"/>
              <b val="1"/>
              <sz val="10"/>
            </rPr>
            <t>Complexity &amp; Expertise:</t>
          </r>
          <r>
            <rPr>
              <rFont val="Calibri"/>
              <sz val="10"/>
            </rPr>
            <t xml:space="preserve"> 2.5 of 12 · between A2 and A3 — Start: 2.0 · practitioner title; Evidence reads like A3: Runs CRM data quality: enrichment, validation, auditing, tagging and process improvement on global HubSpot data → moved up 0.5; KRA: “1. Ensure 100% listed company data accuracy and &lt;10% data decay rate in HubSpot 2. Build and maintain SOPs defining database scope,…”
</t>
          </r>
          <r>
            <rPr>
              <rFont val="Calibri"/>
              <b val="1"/>
              <sz val="10"/>
            </rPr>
            <t>Autonomy &amp; Decision:</t>
          </r>
          <r>
            <rPr>
              <rFont val="Calibri"/>
              <sz val="10"/>
            </rPr>
            <t xml:space="preserve"> 3 of 12 — Start: 3.0 · practitioner title; reporting lines show a bigger role: 2 direct reports; Evidence reads like A3: Decides data quality and CRM hygiene matters independently → matches the start
</t>
          </r>
          <r>
            <rPr>
              <rFont val="Calibri"/>
              <b val="1"/>
              <sz val="10"/>
            </rPr>
            <t>Accountability &amp; Impact:</t>
          </r>
          <r>
            <rPr>
              <rFont val="Calibri"/>
              <sz val="10"/>
            </rPr>
            <t xml:space="preserve"> 3.5 of 12 · between A3 and B1 — Start: 4.0 · practitioner title; 2 direct reports; Evidence reads like A3: Accountable for data quality and CRM accuracy that outreach, reporting and SDR effort depend on → moved down 0.5; KRA: “1. Ensure 100% listed company data accuracy and &lt;10% data decay rate in HubSpot 2. Build and maintain SOPs defining database scope,…”
</t>
          </r>
          <r>
            <rPr>
              <rFont val="Calibri"/>
              <b val="1"/>
              <sz val="10"/>
            </rPr>
            <t>Leadership &amp; Strategy:</t>
          </r>
          <r>
            <rPr>
              <rFont val="Calibri"/>
              <sz val="10"/>
            </rPr>
            <t xml:space="preserve"> 3.5 of 12 · between A3 and B1 — not counted: the weight is 0% at this level — Start: 4.0; Evidence reads like A3: Two direct reports in HR data and 'we manage global data'; no leadership tasks described → moved down 0.5; Team: 2 direct reports · IC
</t>
          </r>
          <r>
            <rPr>
              <rFont val="Calibri"/>
              <b val="1"/>
              <sz val="10"/>
            </rPr>
            <t>Experience &amp; Qualification:</t>
          </r>
          <r>
            <rPr>
              <rFont val="Calibri"/>
              <sz val="10"/>
            </rPr>
            <t xml:space="preserve"> 4 of 12 — Experience: 4.1 yrs total · 2.1 before IRIS + 2.0 at IRIS = 3.4 on the experience scale; Qualification: MBA · postgraduate, relevant to the work → +0.5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59" s="12" t="inlineStr">
        <is>
          <r>
            <rPr>
              <rFont val="Calibri"/>
              <b val="1"/>
              <sz val="10"/>
            </rPr>
            <t>Market level:</t>
          </r>
          <r>
            <rPr>
              <rFont val="Calibri"/>
              <sz val="10"/>
            </rPr>
            <t xml:space="preserve"> P2 · SFIA 3 Apply
</t>
          </r>
          <r>
            <rPr>
              <rFont val="Calibri"/>
              <b val="1"/>
              <sz val="10"/>
            </rPr>
            <t>Typical title:</t>
          </r>
          <r>
            <rPr>
              <rFont val="Calibri"/>
              <sz val="10"/>
            </rPr>
            <t xml:space="preserve"> Marketing Executive
</t>
          </r>
          <r>
            <rPr>
              <rFont val="Calibri"/>
              <b val="1"/>
              <sz val="10"/>
            </rPr>
            <t>At peers:</t>
          </r>
          <r>
            <rPr>
              <rFont val="Calibri"/>
              <sz val="10"/>
            </rPr>
            <t xml:space="preserve"> IRIS Vs Market Benchmark — CIM proficiency scale: 2–3 · IRIS Vs Competitor Benchmark — SaaS marketing ladder: Marketing Specialist
</t>
          </r>
          <r>
            <rPr>
              <rFont val="Calibri"/>
              <b val="1"/>
              <sz val="10"/>
            </rPr>
            <t>Typical experience:</t>
          </r>
          <r>
            <rPr>
              <rFont val="Calibri"/>
              <sz val="10"/>
            </rPr>
            <t xml:space="preserve"> 2–5 yrs · IRIS guide 2–4
</t>
          </r>
          <r>
            <rPr>
              <rFont val="Calibri"/>
              <b val="1"/>
              <sz val="10"/>
            </rPr>
            <t>Standard:</t>
          </r>
          <r>
            <rPr>
              <rFont val="Calibri"/>
              <sz val="10"/>
            </rPr>
            <t xml:space="preserve"> CIM Global Professional Marketing Framework — proficiency Aware → Active learner → Able → Accomplished → Authoritative</t>
          </r>
        </is>
      </c>
      <c r="Y59" s="12" t="inlineStr">
        <is>
          <r>
            <rPr>
              <rFont val="Calibri"/>
              <sz val="10"/>
            </rPr>
            <t xml:space="preserve">✓ HRIS: 4.1 yrs, MBA, 2 direct reports
✓ Survey: 20 of 20 questions answered
✓ KRAs: submitted, reported deliverables
✓ Manager mapping: rating, potential, 9-box
✓ Job description
</t>
          </r>
          <r>
            <rPr>
              <rFont val="Calibri"/>
              <b val="1"/>
              <sz val="10"/>
            </rPr>
            <t>Confidence:</t>
          </r>
          <r>
            <rPr>
              <rFont val="Calibri"/>
              <sz val="10"/>
            </rPr>
            <t xml:space="preserve"> Low</t>
          </r>
        </is>
      </c>
      <c r="Z59" s="12" t="inlineStr">
        <is>
          <t>—</t>
        </is>
      </c>
      <c r="AA59" s="83" t="inlineStr">
        <is>
          <t>• Confirm the reporting line — Manager</t>
        </is>
      </c>
      <c r="AB5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From the survey and manager mapping — critical role: yes; successor named: yes.
</t>
          </r>
          <r>
            <rPr>
              <rFont val="Calibri"/>
              <b val="1"/>
              <sz val="10"/>
            </rPr>
            <t>If the work is missed · role-holders' themes:</t>
          </r>
          <r>
            <rPr>
              <rFont val="Calibri"/>
              <sz val="10"/>
            </rPr>
            <t xml:space="preserve"> wasted · data · lead.
Manager talent mapping — Latest rating: 4 · Potential: High · 9-Box Grid placement: Emerging Talent.</t>
          </r>
        </is>
      </c>
      <c r="AC59" s="84" t="n"/>
      <c r="AD59" s="84" t="n"/>
      <c r="AE59" s="84" t="n"/>
      <c r="AF59" s="12" t="n">
        <v>4</v>
      </c>
    </row>
    <row r="60" ht="379" customHeight="1">
      <c r="A60" s="12" t="inlineStr">
        <is>
          <t>IRIS2531</t>
        </is>
      </c>
      <c r="B60" s="10" t="inlineStr">
        <is>
          <t>Fatima Bhaiji</t>
        </is>
      </c>
      <c r="C60" s="12" t="inlineStr">
        <is>
          <t>Marketing</t>
        </is>
      </c>
      <c r="D60" s="12" t="inlineStr">
        <is>
          <t>Sales Development Representative</t>
        </is>
      </c>
      <c r="E60" s="85" t="inlineStr">
        <is>
          <t>Senior Sales Development Representative</t>
        </is>
      </c>
      <c r="F60" s="12" t="inlineStr">
        <is>
          <t>Sales &amp; Business Development</t>
        </is>
      </c>
      <c r="G60" s="12" t="inlineStr">
        <is>
          <t>Sales Development &amp; Prospecting</t>
        </is>
      </c>
      <c r="H60" s="12" t="inlineStr">
        <is>
          <t>IC</t>
        </is>
      </c>
      <c r="I60" s="42" t="inlineStr">
        <is>
          <t>L3 – Professional / Associate</t>
        </is>
      </c>
      <c r="J60" s="16" t="inlineStr">
        <is>
          <t>A3</t>
        </is>
      </c>
      <c r="K60" s="17" t="inlineStr">
        <is>
          <t>Senior Associate</t>
        </is>
      </c>
      <c r="L60" s="87" t="inlineStr">
        <is>
          <t>▲ Up</t>
        </is>
      </c>
      <c r="M60" s="12" t="inlineStr">
        <is>
          <t>CARBON · Marketing · Band A · Early career</t>
        </is>
      </c>
      <c r="N60" s="42" t="n">
        <v>2</v>
      </c>
      <c r="O60" s="42" t="n">
        <v>2</v>
      </c>
      <c r="P60" s="42" t="n">
        <v>2</v>
      </c>
      <c r="Q60" s="42" t="n">
        <v>1</v>
      </c>
      <c r="R60" s="42" t="n">
        <v>5</v>
      </c>
      <c r="S60" s="80" t="n">
        <v>2</v>
      </c>
      <c r="T60" s="81">
        <f>IF(OR($M60="",COUNT(N60,O60,P60,Q60,R60,S60)&lt;6),"",IFERROR(N60*INDEX(WM_C,MATCH($M60,WM_KEY,0))+O60*INDEX(WM_AU,MATCH($M60,WM_KEY,0))+P60*INDEX(WM_AC,MATCH($M60,WM_KEY,0))+Q60*INDEX(WM_L,MATCH($M60,WM_KEY,0))+R60*INDEX(WM_E,MATCH($M60,WM_KEY,0))+S60*INDEX(WM_BI,MATCH($M60,WM_KEY,0)),""))</f>
        <v>2.3</v>
      </c>
      <c r="U60" s="42" t="str">
        <f>IF(T60="","",INDEX({"A1","A2","A3","B1","B2","B3","C1","C2","D1","D2","E1","E2"},MAX(1,MIN(12,ROUND(T60,0)))))</f>
        <v>A2</v>
      </c>
      <c r="V60" s="12" t="inlineStr">
        <is>
          <r>
            <rPr>
              <rFont val="Calibri"/>
              <sz val="10"/>
            </rPr>
            <t xml:space="preserve">New level A3 · Senior Associate. Current level on record: L3 – Professional / Associate. Change: ▲ Up.
Score 2.30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7.1 years' experience is 2 years or more.
</t>
          </r>
          <r>
            <rPr>
              <rFont val="Calibri"/>
              <b val="1"/>
              <sz val="10"/>
            </rPr>
            <t>Final level:</t>
          </r>
          <r>
            <rPr>
              <rFont val="Calibri"/>
              <sz val="10"/>
            </rPr>
            <t xml:space="preserve"> A3.</t>
          </r>
        </is>
      </c>
      <c r="W60" s="12" t="inlineStr">
        <is>
          <r>
            <rPr>
              <rFont val="Calibri"/>
              <b val="1"/>
              <sz val="10"/>
            </rPr>
            <t>Complexity &amp; Expertise:</t>
          </r>
          <r>
            <rPr>
              <rFont val="Calibri"/>
              <sz val="10"/>
            </rPr>
            <t xml:space="preserve"> 2 of 12 — Start: 2.0 · practitioner title; Evidence reads like A2: Calls · about 150 daily, emailing and LinkedIn outreach to create and qualify opportunities → matches the start; KRA: “1. Build a strong pipeline of qualified leads through close sales collaboration and complete 72 DCCs annually 2. Generate 27 Sales Accepted…”
</t>
          </r>
          <r>
            <rPr>
              <rFont val="Calibri"/>
              <b val="1"/>
              <sz val="10"/>
            </rPr>
            <t>Autonomy &amp; Decision:</t>
          </r>
          <r>
            <rPr>
              <rFont val="Calibri"/>
              <sz val="10"/>
            </rPr>
            <t xml:space="preserve"> 2 of 12 — Start: 2.0 · practitioner title; Evidence reads like A2: Decides which contacts to approach → matches the start
</t>
          </r>
          <r>
            <rPr>
              <rFont val="Calibri"/>
              <b val="1"/>
              <sz val="10"/>
            </rPr>
            <t>Accountability &amp; Impact:</t>
          </r>
          <r>
            <rPr>
              <rFont val="Calibri"/>
              <sz val="10"/>
            </rPr>
            <t xml:space="preserve"> 2 of 12 — Start: 2.0 · practitioner title; Evidence reads like A2: Accountable for quality and consistency of own pipeline and outreach → matches the start; KRA: “1. Build a strong pipeline of qualified leads through close sales collaboration and complete 72 DCCs annually 2. Generate 27 Sales Accepted…”
</t>
          </r>
          <r>
            <rPr>
              <rFont val="Calibri"/>
              <b val="1"/>
              <sz val="10"/>
            </rPr>
            <t>Leadership &amp; Strategy:</t>
          </r>
          <r>
            <rPr>
              <rFont val="Calibri"/>
              <sz val="10"/>
            </rPr>
            <t xml:space="preserve"> 1 of 12 — not counted: the weight is 0% at this level — Start: 1.0 · individual contributor, so influence only; Evidence reads like A1: 'Team management' listed with no detail; zero direct reports → matches the start; Team: 0 direct reports · IC
</t>
          </r>
          <r>
            <rPr>
              <rFont val="Calibri"/>
              <b val="1"/>
              <sz val="10"/>
            </rPr>
            <t>Experience &amp; Qualification:</t>
          </r>
          <r>
            <rPr>
              <rFont val="Calibri"/>
              <sz val="10"/>
            </rPr>
            <t xml:space="preserve"> 5 of 12 — Experience: 7.1 yrs total · 6.8 before IRIS + 0.3 at IRIS = 4.8 on the experience scale; Qualification: BFM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60" s="12"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Y60" s="12" t="inlineStr">
        <is>
          <r>
            <rPr>
              <rFont val="Calibri"/>
              <sz val="10"/>
            </rPr>
            <t xml:space="preserve">✓ HRIS: 7.1 yrs, BFM,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60" s="12" t="inlineStr">
        <is>
          <t>—</t>
        </is>
      </c>
      <c r="AA60" s="12" t="inlineStr">
        <is>
          <t>Nothing outstanding</t>
        </is>
      </c>
      <c r="AB6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sales · pipeline · impact.
Manager talent mapping — Latest rating: 3 · Potential: High · 9-Box Grid placement: Emerging Talent.</t>
          </r>
        </is>
      </c>
      <c r="AC60" s="84" t="n"/>
      <c r="AD60" s="84" t="n"/>
      <c r="AE60" s="84" t="n"/>
      <c r="AF60" s="12" t="n">
        <v>2</v>
      </c>
    </row>
    <row r="61" ht="379" customHeight="1">
      <c r="A61" s="12" t="inlineStr">
        <is>
          <t>IRIS2554</t>
        </is>
      </c>
      <c r="B61" s="10" t="inlineStr">
        <is>
          <t>Mausam Thakkar</t>
        </is>
      </c>
      <c r="C61" s="12" t="inlineStr">
        <is>
          <t>Marketing</t>
        </is>
      </c>
      <c r="D61" s="12" t="inlineStr">
        <is>
          <t>Senior Sales Development Representative</t>
        </is>
      </c>
      <c r="E61" s="12" t="inlineStr">
        <is>
          <t>Senior Sales Development Representative</t>
        </is>
      </c>
      <c r="F61" s="12" t="inlineStr">
        <is>
          <t>Sales &amp; Business Development</t>
        </is>
      </c>
      <c r="G61" s="12" t="inlineStr">
        <is>
          <t>Sales Development &amp; Prospecting</t>
        </is>
      </c>
      <c r="H61" s="12" t="inlineStr">
        <is>
          <t>IC</t>
        </is>
      </c>
      <c r="I61" s="42" t="inlineStr">
        <is>
          <t>Not in current mapping files</t>
        </is>
      </c>
      <c r="J61" s="16" t="inlineStr">
        <is>
          <t>A3</t>
        </is>
      </c>
      <c r="K61" s="17" t="inlineStr">
        <is>
          <t>Senior Associate</t>
        </is>
      </c>
      <c r="L61" s="79" t="inlineStr">
        <is>
          <t>● Newly mapped</t>
        </is>
      </c>
      <c r="M61" s="12" t="inlineStr">
        <is>
          <t>CARBON · Marketing · Band A · Early career</t>
        </is>
      </c>
      <c r="N61" s="42" t="n">
        <v>3</v>
      </c>
      <c r="O61" s="42" t="n">
        <v>2.5</v>
      </c>
      <c r="P61" s="42" t="n">
        <v>2.5</v>
      </c>
      <c r="Q61" s="42" t="n">
        <v>1.5</v>
      </c>
      <c r="R61" s="42" t="n">
        <v>4.5</v>
      </c>
      <c r="S61" s="80" t="n">
        <v>2.5</v>
      </c>
      <c r="T61" s="81">
        <f>IF(OR($M61="",COUNT(N61,O61,P61,Q61,R61,S61)&lt;6),"",IFERROR(N61*INDEX(WM_C,MATCH($M61,WM_KEY,0))+O61*INDEX(WM_AU,MATCH($M61,WM_KEY,0))+P61*INDEX(WM_AC,MATCH($M61,WM_KEY,0))+Q61*INDEX(WM_L,MATCH($M61,WM_KEY,0))+R61*INDEX(WM_E,MATCH($M61,WM_KEY,0))+S61*INDEX(WM_BI,MATCH($M61,WM_KEY,0)),""))</f>
        <v>2.97</v>
      </c>
      <c r="U61" s="42" t="str">
        <f>IF(T61="","",INDEX({"A1","A2","A3","B1","B2","B3","C1","C2","D1","D2","E1","E2"},MAX(1,MIN(12,ROUND(T61,0)))))</f>
        <v>A3</v>
      </c>
      <c r="V61" s="12" t="inlineStr">
        <is>
          <r>
            <rPr>
              <rFont val="Calibri"/>
              <sz val="10"/>
            </rPr>
            <t xml:space="preserve">New level A3 · Senior Associate. Current level on record: Not in current mapping files. Change: ● Newly mapped.
Score 2.97 on the ladder scale → indicated level A3.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1" s="12" t="inlineStr">
        <is>
          <r>
            <rPr>
              <rFont val="Calibri"/>
              <b val="1"/>
              <sz val="10"/>
            </rPr>
            <t>Complexity &amp; Expertise:</t>
          </r>
          <r>
            <rPr>
              <rFont val="Calibri"/>
              <sz val="10"/>
            </rPr>
            <t xml:space="preserve"> 3 of 12 — Start: 3.0 · senior practitioner title; Evidence reads like A3: ABM outreach to multi-stakeholder enterprise buying committees with tailored messaging, intent tools, 150+ calls → matches the start
</t>
          </r>
          <r>
            <rPr>
              <rFont val="Calibri"/>
              <b val="1"/>
              <sz val="10"/>
            </rPr>
            <t>Autonomy &amp; Decision:</t>
          </r>
          <r>
            <rPr>
              <rFont val="Calibri"/>
              <sz val="10"/>
            </rPr>
            <t xml:space="preserve"> 2.5 of 12 · between A2 and A3 — Start: 3.0 · senior practitioner title; Evidence reads like A2: Decides outreach execution only → moved down 0.5
</t>
          </r>
          <r>
            <rPr>
              <rFont val="Calibri"/>
              <b val="1"/>
              <sz val="10"/>
            </rPr>
            <t>Accountability &amp; Impact:</t>
          </r>
          <r>
            <rPr>
              <rFont val="Calibri"/>
              <sz val="10"/>
            </rPr>
            <t xml:space="preserve"> 2.5 of 12 · between A2 and A3 — Start: 3.0 · senior practitioner title; Evidence reads like A2: Accountable for own quota of qualified meetings and pipeline opportunities → moved down 0.5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4.5 of 12 · between B1 and B2 — Experience: 4.9 yrs total · 4.8 before IRIS + 0.1 at IRIS = 3.8 on the experience scale; Qualification: MBA · postgraduate, relevant to the work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61" s="12"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Y61" s="12" t="inlineStr">
        <is>
          <r>
            <rPr>
              <rFont val="Calibri"/>
              <sz val="10"/>
            </rPr>
            <t xml:space="preserve">✓ HRIS: 4.9 yrs, MBA, 0 direct reports
✓ Survey: 20 of 20 questions answered
✓ KRAs: reported deliverables
✓ Manager mapping: rating, 9-box
✗ Job description: not on file
</t>
          </r>
          <r>
            <rPr>
              <rFont val="Calibri"/>
              <b val="1"/>
              <sz val="10"/>
            </rPr>
            <t>Confidence:</t>
          </r>
          <r>
            <rPr>
              <rFont val="Calibri"/>
              <sz val="10"/>
            </rPr>
            <t xml:space="preserve"> High</t>
          </r>
        </is>
      </c>
      <c r="Z61" s="12" t="inlineStr">
        <is>
          <t>—</t>
        </is>
      </c>
      <c r="AA61" s="12" t="inlineStr">
        <is>
          <t>Nothing outstanding</t>
        </is>
      </c>
      <c r="AB6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sales · pipeline · impact.
Manager talent mapping — Latest rating: Not rated · manager · 9-Box Grid placement: Not placed · manager.</t>
          </r>
        </is>
      </c>
      <c r="AC61" s="84" t="n"/>
      <c r="AD61" s="84" t="n"/>
      <c r="AE61" s="84" t="n"/>
      <c r="AF61" s="12" t="n">
        <v>2.5</v>
      </c>
    </row>
    <row r="62" ht="379" customHeight="1">
      <c r="A62" s="12" t="inlineStr">
        <is>
          <t>IRIS2543</t>
        </is>
      </c>
      <c r="B62" s="10" t="inlineStr">
        <is>
          <t>Rahul Nishikant Pawar</t>
        </is>
      </c>
      <c r="C62" s="12" t="inlineStr">
        <is>
          <t>Marketing</t>
        </is>
      </c>
      <c r="D62" s="12" t="inlineStr">
        <is>
          <t>Senior Sales Development Representative</t>
        </is>
      </c>
      <c r="E62" s="12" t="inlineStr">
        <is>
          <t>Senior Sales Development Representative</t>
        </is>
      </c>
      <c r="F62" s="12" t="inlineStr">
        <is>
          <t>Sales &amp; Business Development</t>
        </is>
      </c>
      <c r="G62" s="12" t="inlineStr">
        <is>
          <t>Sales Development &amp; Prospecting</t>
        </is>
      </c>
      <c r="H62" s="12" t="inlineStr">
        <is>
          <t>IC</t>
        </is>
      </c>
      <c r="I62" s="42" t="inlineStr">
        <is>
          <t>Not in current mapping files</t>
        </is>
      </c>
      <c r="J62" s="16" t="inlineStr">
        <is>
          <t>A3</t>
        </is>
      </c>
      <c r="K62" s="17" t="inlineStr">
        <is>
          <t>Senior Associate</t>
        </is>
      </c>
      <c r="L62" s="79" t="inlineStr">
        <is>
          <t>● Newly mapped</t>
        </is>
      </c>
      <c r="M62" s="12" t="inlineStr">
        <is>
          <t>CARBON · Marketing · Band A · Early career</t>
        </is>
      </c>
      <c r="N62" s="42" t="n">
        <v>2.5</v>
      </c>
      <c r="O62" s="42" t="n">
        <v>2.5</v>
      </c>
      <c r="P62" s="42" t="n">
        <v>2.5</v>
      </c>
      <c r="Q62" s="42" t="n">
        <v>1.5</v>
      </c>
      <c r="R62" s="42" t="n">
        <v>3.5</v>
      </c>
      <c r="S62" s="80" t="n">
        <v>2.5</v>
      </c>
      <c r="T62" s="81">
        <f>IF(OR($M62="",COUNT(N62,O62,P62,Q62,R62,S62)&lt;6),"",IFERROR(N62*INDEX(WM_C,MATCH($M62,WM_KEY,0))+O62*INDEX(WM_AU,MATCH($M62,WM_KEY,0))+P62*INDEX(WM_AC,MATCH($M62,WM_KEY,0))+Q62*INDEX(WM_L,MATCH($M62,WM_KEY,0))+R62*INDEX(WM_E,MATCH($M62,WM_KEY,0))+S62*INDEX(WM_BI,MATCH($M62,WM_KEY,0)),""))</f>
        <v>2.6</v>
      </c>
      <c r="U62" s="42" t="str">
        <f>IF(T62="","",INDEX({"A1","A2","A3","B1","B2","B3","C1","C2","D1","D2","E1","E2"},MAX(1,MIN(12,ROUND(T62,0)))))</f>
        <v>A3</v>
      </c>
      <c r="V62" s="12" t="inlineStr">
        <is>
          <r>
            <rPr>
              <rFont val="Calibri"/>
              <sz val="10"/>
            </rPr>
            <t xml:space="preserve">New level A3 · Senior Associate. Current level on record: Not in current mapping files. Change: ● Newly mapped.
Score 2.60 on the ladder scale → indicated level A3.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2" s="12" t="inlineStr">
        <is>
          <r>
            <rPr>
              <rFont val="Calibri"/>
              <b val="1"/>
              <sz val="10"/>
            </rPr>
            <t>Complexity &amp; Expertise:</t>
          </r>
          <r>
            <rPr>
              <rFont val="Calibri"/>
              <sz val="10"/>
            </rPr>
            <t xml:space="preserve"> 2.5 of 12 · between A2 and A3 — Start: 3.0 · senior practitioner title; Evidence reads like A2: Cold calls, cold emails and LinkedIn outreach with account research to schedule qualified meetings → moved down 0.5
</t>
          </r>
          <r>
            <rPr>
              <rFont val="Calibri"/>
              <b val="1"/>
              <sz val="10"/>
            </rPr>
            <t>Autonomy &amp; Decision:</t>
          </r>
          <r>
            <rPr>
              <rFont val="Calibri"/>
              <sz val="10"/>
            </rPr>
            <t xml:space="preserve"> 2.5 of 12 · between A2 and A3 — Start: 3.0 · senior practitioner title; Evidence reads like A2: Decides on alternatives and new outreach approaches; times own calling → moved down 0.5
</t>
          </r>
          <r>
            <rPr>
              <rFont val="Calibri"/>
              <b val="1"/>
              <sz val="10"/>
            </rPr>
            <t>Accountability &amp; Impact:</t>
          </r>
          <r>
            <rPr>
              <rFont val="Calibri"/>
              <sz val="10"/>
            </rPr>
            <t xml:space="preserve"> 2.5 of 12 · between A2 and A3 — Start: 3.0 · senior practitioner title; Evidence reads like A2: Accountable for own sales-qualified meetings and pipeline targets → moved down 0.5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3.5 of 12 · between A3 and B1 — Experience: 5.3 yrs total · 5.1 before IRIS + 0.2 at IRIS = 3.9 on the experience scale; Qualification: HSC · below graduate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62" s="12"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Y62" s="12" t="inlineStr">
        <is>
          <r>
            <rPr>
              <rFont val="Calibri"/>
              <sz val="10"/>
            </rPr>
            <t xml:space="preserve">✓ HRIS: 5.3 yrs, HSC, 0 direct reports
✓ Survey: 20 of 20 questions answered
✓ KRAs: reported deliverables
✓ Manager mapping: rating, 9-box
✗ Job description: not on file
</t>
          </r>
          <r>
            <rPr>
              <rFont val="Calibri"/>
              <b val="1"/>
              <sz val="10"/>
            </rPr>
            <t>Confidence:</t>
          </r>
          <r>
            <rPr>
              <rFont val="Calibri"/>
              <sz val="10"/>
            </rPr>
            <t xml:space="preserve"> Medium</t>
          </r>
        </is>
      </c>
      <c r="Z62" s="12" t="inlineStr">
        <is>
          <t>—</t>
        </is>
      </c>
      <c r="AA62" s="12" t="inlineStr">
        <is>
          <t>Nothing outstanding</t>
        </is>
      </c>
      <c r="AB6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sales · pipeline · impact.
Manager talent mapping — Latest rating: Not rated · manager · 9-Box Grid placement: Not placed · manager.</t>
          </r>
        </is>
      </c>
      <c r="AC62" s="84" t="n"/>
      <c r="AD62" s="84" t="n"/>
      <c r="AE62" s="84" t="n"/>
      <c r="AF62" s="12" t="n">
        <v>2.5</v>
      </c>
    </row>
    <row r="63" ht="379" customHeight="1">
      <c r="A63" s="12" t="inlineStr">
        <is>
          <t>IRIS2541</t>
        </is>
      </c>
      <c r="B63" s="10" t="inlineStr">
        <is>
          <t>Aakansha Gupta</t>
        </is>
      </c>
      <c r="C63" s="12" t="inlineStr">
        <is>
          <t>Marketing</t>
        </is>
      </c>
      <c r="D63" s="12" t="inlineStr">
        <is>
          <t>Marketing Associate</t>
        </is>
      </c>
      <c r="E63" s="85" t="inlineStr">
        <is>
          <t>Content Marketing Associate</t>
        </is>
      </c>
      <c r="F63" s="12" t="inlineStr">
        <is>
          <t>Marketing &amp; Communications</t>
        </is>
      </c>
      <c r="G63" s="12" t="inlineStr">
        <is>
          <t>Content Marketing</t>
        </is>
      </c>
      <c r="H63" s="12" t="inlineStr">
        <is>
          <t>IC</t>
        </is>
      </c>
      <c r="I63" s="42" t="inlineStr">
        <is>
          <t>Not in current mapping files</t>
        </is>
      </c>
      <c r="J63" s="16" t="inlineStr">
        <is>
          <t>A2</t>
        </is>
      </c>
      <c r="K63" s="17" t="inlineStr">
        <is>
          <t>Associate</t>
        </is>
      </c>
      <c r="L63" s="79" t="inlineStr">
        <is>
          <t>● Newly mapped</t>
        </is>
      </c>
      <c r="M63" s="12" t="inlineStr">
        <is>
          <t>CARBON · Marketing · Band A · Early career</t>
        </is>
      </c>
      <c r="N63" s="42" t="n">
        <v>2</v>
      </c>
      <c r="O63" s="42" t="n">
        <v>2</v>
      </c>
      <c r="P63" s="42" t="n">
        <v>2</v>
      </c>
      <c r="Q63" s="42" t="n">
        <v>1</v>
      </c>
      <c r="R63" s="42" t="n">
        <v>2.5</v>
      </c>
      <c r="S63" s="80" t="n">
        <v>2</v>
      </c>
      <c r="T63" s="81">
        <f>IF(OR($M63="",COUNT(N63,O63,P63,Q63,R63,S63)&lt;6),"",IFERROR(N63*INDEX(WM_C,MATCH($M63,WM_KEY,0))+O63*INDEX(WM_AU,MATCH($M63,WM_KEY,0))+P63*INDEX(WM_AC,MATCH($M63,WM_KEY,0))+Q63*INDEX(WM_L,MATCH($M63,WM_KEY,0))+R63*INDEX(WM_E,MATCH($M63,WM_KEY,0))+S63*INDEX(WM_BI,MATCH($M63,WM_KEY,0)),""))</f>
        <v>2.05</v>
      </c>
      <c r="U63" s="42" t="str">
        <f>IF(T63="","",INDEX({"A1","A2","A3","B1","B2","B3","C1","C2","D1","D2","E1","E2"},MAX(1,MIN(12,ROUND(T63,0)))))</f>
        <v>A2</v>
      </c>
      <c r="V63" s="12" t="inlineStr">
        <is>
          <r>
            <rPr>
              <rFont val="Calibri"/>
              <sz val="10"/>
            </rPr>
            <t xml:space="preserve">New level A2 · Associate. Current level on record: Not in current mapping files. Change: ● Newly mapped.
Score 2.05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3" s="12" t="inlineStr">
        <is>
          <r>
            <rPr>
              <rFont val="Calibri"/>
              <b val="1"/>
              <sz val="10"/>
            </rPr>
            <t>Complexity &amp; Expertise:</t>
          </r>
          <r>
            <rPr>
              <rFont val="Calibri"/>
              <sz val="10"/>
            </rPr>
            <t xml:space="preserve"> 2 of 12 — Start: 2.0 · practitioner title; Evidence reads like A2: Researches and writes blogs, assets and campaign content with SEO; one asset per week → matches the start
</t>
          </r>
          <r>
            <rPr>
              <rFont val="Calibri"/>
              <b val="1"/>
              <sz val="10"/>
            </rPr>
            <t>Autonomy &amp; Decision:</t>
          </r>
          <r>
            <rPr>
              <rFont val="Calibri"/>
              <sz val="10"/>
            </rPr>
            <t xml:space="preserve"> 2 of 12 — Start: 2.0 · practitioner title; Evidence reads like A2: Decides blog topics and SEO for own content → matches the start
</t>
          </r>
          <r>
            <rPr>
              <rFont val="Calibri"/>
              <b val="1"/>
              <sz val="10"/>
            </rPr>
            <t>Accountability &amp; Impact:</t>
          </r>
          <r>
            <rPr>
              <rFont val="Calibri"/>
              <sz val="10"/>
            </rPr>
            <t xml:space="preserve"> 2 of 12 — Start: 2.0 · practitioner title; Evidence reads like A2: Quality, accuracy and relevance of own content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2.5 of 12 · between A2 and A3 — Experience: 0.3 yrs total · 0.3 at IRIS; none recorded before IRIS = 1.3 on the experience scale; Qualification: BBA.LLB · professional, relevant to the work → +1.0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63" s="12"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Y63" s="12" t="inlineStr">
        <is>
          <r>
            <rPr>
              <rFont val="Calibri"/>
              <sz val="10"/>
            </rPr>
            <t xml:space="preserve">✓ HRIS: 0.3 yrs, BBA.LLB, 0 direct reports
✓ Survey: 20 of 20 questions answered
✓ KRAs: reported deliverables
✓ Manager mapping: rating, 9-box
✗ Job description: not on file
</t>
          </r>
          <r>
            <rPr>
              <rFont val="Calibri"/>
              <b val="1"/>
              <sz val="10"/>
            </rPr>
            <t>Confidence:</t>
          </r>
          <r>
            <rPr>
              <rFont val="Calibri"/>
              <sz val="10"/>
            </rPr>
            <t xml:space="preserve"> High</t>
          </r>
        </is>
      </c>
      <c r="Z63" s="12" t="inlineStr">
        <is>
          <t>—</t>
        </is>
      </c>
      <c r="AA63" s="12" t="inlineStr">
        <is>
          <t>Nothing outstanding</t>
        </is>
      </c>
      <c r="AB63"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ranking.
Manager talent mapping — Latest rating: Not rated · manager · 9-Box Grid placement: Not placed · manager.</t>
          </r>
        </is>
      </c>
      <c r="AC63" s="84" t="n"/>
      <c r="AD63" s="84" t="n"/>
      <c r="AE63" s="84" t="n"/>
      <c r="AF63" s="12" t="n">
        <v>2</v>
      </c>
    </row>
    <row r="64" ht="379" customHeight="1">
      <c r="A64" s="12" t="inlineStr">
        <is>
          <t>IRIS2515</t>
        </is>
      </c>
      <c r="B64" s="10" t="inlineStr">
        <is>
          <t>Aashima Singh</t>
        </is>
      </c>
      <c r="C64" s="12" t="inlineStr">
        <is>
          <t>Marketing</t>
        </is>
      </c>
      <c r="D64" s="12" t="inlineStr">
        <is>
          <t>Marketing Associate</t>
        </is>
      </c>
      <c r="E64" s="12" t="inlineStr">
        <is>
          <t>Marketing Associate</t>
        </is>
      </c>
      <c r="F64" s="12" t="inlineStr">
        <is>
          <t>Marketing &amp; Communications</t>
        </is>
      </c>
      <c r="G64" s="12" t="inlineStr">
        <is>
          <t>Demand Generation, Brand &amp; Events</t>
        </is>
      </c>
      <c r="H64" s="12" t="inlineStr">
        <is>
          <t>IC</t>
        </is>
      </c>
      <c r="I64" s="42" t="inlineStr">
        <is>
          <t>L3 – Professional / Associate</t>
        </is>
      </c>
      <c r="J64" s="16" t="inlineStr">
        <is>
          <t>A2</t>
        </is>
      </c>
      <c r="K64" s="17" t="inlineStr">
        <is>
          <t>Associate</t>
        </is>
      </c>
      <c r="L64" s="88" t="inlineStr">
        <is>
          <t>• Same level</t>
        </is>
      </c>
      <c r="M64" s="12" t="inlineStr">
        <is>
          <t>CARBON · Marketing · Band A · Early career</t>
        </is>
      </c>
      <c r="N64" s="42" t="n">
        <v>2.5</v>
      </c>
      <c r="O64" s="42" t="n">
        <v>2</v>
      </c>
      <c r="P64" s="42" t="n">
        <v>2</v>
      </c>
      <c r="Q64" s="42" t="n">
        <v>1.5</v>
      </c>
      <c r="R64" s="42" t="n">
        <v>2</v>
      </c>
      <c r="S64" s="80" t="n">
        <v>2</v>
      </c>
      <c r="T64" s="81">
        <f>IF(OR($M64="",COUNT(N64,O64,P64,Q64,R64,S64)&lt;6),"",IFERROR(N64*INDEX(WM_C,MATCH($M64,WM_KEY,0))+O64*INDEX(WM_AU,MATCH($M64,WM_KEY,0))+P64*INDEX(WM_AC,MATCH($M64,WM_KEY,0))+Q64*INDEX(WM_L,MATCH($M64,WM_KEY,0))+R64*INDEX(WM_E,MATCH($M64,WM_KEY,0))+S64*INDEX(WM_BI,MATCH($M64,WM_KEY,0)),""))</f>
        <v>2.27</v>
      </c>
      <c r="U64" s="42" t="str">
        <f>IF(T64="","",INDEX({"A1","A2","A3","B1","B2","B3","C1","C2","D1","D2","E1","E2"},MAX(1,MIN(12,ROUND(T64,0)))))</f>
        <v>A2</v>
      </c>
      <c r="V64" s="12" t="inlineStr">
        <is>
          <r>
            <rPr>
              <rFont val="Calibri"/>
              <sz val="10"/>
            </rPr>
            <t xml:space="preserve">New level A2 · Associate. Current level on record: L3 – Professional / Associate. Change: • Same level.
Score 2.27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4" s="12" t="inlineStr">
        <is>
          <r>
            <rPr>
              <rFont val="Calibri"/>
              <b val="1"/>
              <sz val="10"/>
            </rPr>
            <t>Complexity &amp; Expertise:</t>
          </r>
          <r>
            <rPr>
              <rFont val="Calibri"/>
              <sz val="10"/>
            </rPr>
            <t xml:space="preserve"> 2.5 of 12 · between A2 and A3 — Start: 2.0 · practitioner title; Evidence reads like A3: Market, regulatory and competitor research turned into GTM and outreach initiatives; no concrete examples → moved up 0.5; KRA: “1. Deliver committed marketing/content calendar with &gt;=90% on-time publishing 2. Meet campaign KPIs · leads/MQLs/engagement at &gt;=90% of…”
</t>
          </r>
          <r>
            <rPr>
              <rFont val="Calibri"/>
              <b val="1"/>
              <sz val="10"/>
            </rPr>
            <t>Autonomy &amp; Decision:</t>
          </r>
          <r>
            <rPr>
              <rFont val="Calibri"/>
              <sz val="10"/>
            </rPr>
            <t xml:space="preserve"> 2 of 12 — Start: 2.0 · practitioner title; Evidence reads like A2: Claims 'strategy development' and choosing what to pursue; no concrete decision named → matches the start
</t>
          </r>
          <r>
            <rPr>
              <rFont val="Calibri"/>
              <b val="1"/>
              <sz val="10"/>
            </rPr>
            <t>Accountability &amp; Impact:</t>
          </r>
          <r>
            <rPr>
              <rFont val="Calibri"/>
              <sz val="10"/>
            </rPr>
            <t xml:space="preserve"> 2 of 12 — Start: 2.0 · practitioner title; Evidence reads like A2: own survey / KRA answers · summarised by the rater; not quoted → matches the start; KRA: “1. Deliver committed marketing/content calendar with &gt;=90% on-time publishing 2. Meet campaign KPIs · leads/MQLs/engagement at &gt;=90% of…”
</t>
          </r>
          <r>
            <rPr>
              <rFont val="Calibri"/>
              <b val="1"/>
              <sz val="10"/>
            </rPr>
            <t>Leadership &amp; Strategy:</t>
          </r>
          <r>
            <rPr>
              <rFont val="Calibri"/>
              <sz val="10"/>
            </rPr>
            <t xml:space="preserve"> 1.5 of 12 · between A1 and A2 — not counted: the weight is 0% at this level — Start: 1.0 · individual contributor, so influence only; Evidence reads like A2: Says builds systems so others can repeat plays; no guiding of people described → moved up 0.5; Team: 0 direct reports · IC
</t>
          </r>
          <r>
            <rPr>
              <rFont val="Calibri"/>
              <b val="1"/>
              <sz val="10"/>
            </rPr>
            <t>Experience &amp; Qualification:</t>
          </r>
          <r>
            <rPr>
              <rFont val="Calibri"/>
              <sz val="10"/>
            </rPr>
            <t xml:space="preserve"> 2 of 12 — Experience: 0.4 yrs total · 0.4 at IRIS; none recorded before IRIS = 1.4 on the experience scale; Qualification: MBA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64" s="12"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Y64" s="12" t="inlineStr">
        <is>
          <r>
            <rPr>
              <rFont val="Calibri"/>
              <sz val="10"/>
            </rPr>
            <t xml:space="preserve">✓ HRIS: 0.4 yrs, MBA, 0 direct reports
✓ Survey: 19 of 20 questions answered
✓ KRAs: submitted, reported deliverables
✓ Manager mapping: rating, potential, 9-box
✓ Job description
</t>
          </r>
          <r>
            <rPr>
              <rFont val="Calibri"/>
              <b val="1"/>
              <sz val="10"/>
            </rPr>
            <t>Confidence:</t>
          </r>
          <r>
            <rPr>
              <rFont val="Calibri"/>
              <sz val="10"/>
            </rPr>
            <t xml:space="preserve"> Medium</t>
          </r>
        </is>
      </c>
      <c r="Z64" s="12" t="inlineStr">
        <is>
          <t>—</t>
        </is>
      </c>
      <c r="AA64" s="12" t="inlineStr">
        <is>
          <t>Nothing outstanding</t>
        </is>
      </c>
      <c r="AB64"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pipeline.
Manager talent mapping — Latest rating: 3 · Potential: Medium · 9-Box Grid placement: Core Contributor.</t>
          </r>
        </is>
      </c>
      <c r="AC64" s="84" t="n"/>
      <c r="AD64" s="84" t="n"/>
      <c r="AE64" s="84" t="n"/>
      <c r="AF64" s="12" t="n">
        <v>2</v>
      </c>
    </row>
    <row r="65" ht="379" customHeight="1">
      <c r="A65" s="12" t="inlineStr">
        <is>
          <t>IRIS2514</t>
        </is>
      </c>
      <c r="B65" s="10" t="inlineStr">
        <is>
          <t>Jatin Khare</t>
        </is>
      </c>
      <c r="C65" s="12" t="inlineStr">
        <is>
          <t>Marketing</t>
        </is>
      </c>
      <c r="D65" s="12" t="inlineStr">
        <is>
          <t>Marketing Associate</t>
        </is>
      </c>
      <c r="E65" s="85" t="inlineStr">
        <is>
          <t>Content Marketing Associate</t>
        </is>
      </c>
      <c r="F65" s="12" t="inlineStr">
        <is>
          <t>Marketing &amp; Communications</t>
        </is>
      </c>
      <c r="G65" s="12" t="inlineStr">
        <is>
          <t>Content Marketing</t>
        </is>
      </c>
      <c r="H65" s="12" t="inlineStr">
        <is>
          <t>IC</t>
        </is>
      </c>
      <c r="I65" s="42" t="inlineStr">
        <is>
          <t>L3 – Professional / Associate</t>
        </is>
      </c>
      <c r="J65" s="16" t="inlineStr">
        <is>
          <t>A2</t>
        </is>
      </c>
      <c r="K65" s="17" t="inlineStr">
        <is>
          <t>Associate</t>
        </is>
      </c>
      <c r="L65" s="88" t="inlineStr">
        <is>
          <t>• Same level</t>
        </is>
      </c>
      <c r="M65" s="12" t="inlineStr">
        <is>
          <t>CARBON · Marketing · Band A · Early career</t>
        </is>
      </c>
      <c r="N65" s="42" t="n">
        <v>2</v>
      </c>
      <c r="O65" s="42" t="n">
        <v>2</v>
      </c>
      <c r="P65" s="42" t="n">
        <v>2.5</v>
      </c>
      <c r="Q65" s="42" t="n">
        <v>1</v>
      </c>
      <c r="R65" s="42" t="n">
        <v>2</v>
      </c>
      <c r="S65" s="80" t="n">
        <v>2.5</v>
      </c>
      <c r="T65" s="81">
        <f>IF(OR($M65="",COUNT(N65,O65,P65,Q65,R65,S65)&lt;6),"",IFERROR(N65*INDEX(WM_C,MATCH($M65,WM_KEY,0))+O65*INDEX(WM_AU,MATCH($M65,WM_KEY,0))+P65*INDEX(WM_AC,MATCH($M65,WM_KEY,0))+Q65*INDEX(WM_L,MATCH($M65,WM_KEY,0))+R65*INDEX(WM_E,MATCH($M65,WM_KEY,0))+S65*INDEX(WM_BI,MATCH($M65,WM_KEY,0)),""))</f>
        <v>2.075</v>
      </c>
      <c r="U65" s="42" t="str">
        <f>IF(T65="","",INDEX({"A1","A2","A3","B1","B2","B3","C1","C2","D1","D2","E1","E2"},MAX(1,MIN(12,ROUND(T65,0)))))</f>
        <v>A2</v>
      </c>
      <c r="V65" s="12" t="inlineStr">
        <is>
          <r>
            <rPr>
              <rFont val="Calibri"/>
              <sz val="10"/>
            </rPr>
            <t xml:space="preserve">New level A2 · Associate. Current level on record: L3 – Professional / Associate. Change: • Same level.
Score 2.08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5" s="12" t="inlineStr">
        <is>
          <r>
            <rPr>
              <rFont val="Calibri"/>
              <b val="1"/>
              <sz val="10"/>
            </rPr>
            <t>Complexity &amp; Expertise:</t>
          </r>
          <r>
            <rPr>
              <rFont val="Calibri"/>
              <sz val="10"/>
            </rPr>
            <t xml:space="preserve"> 2 of 12 — Start: 2.0 · practitioner title; Evidence reads like A2: Coordinates events and webinars: vendor management, stakeholder coordination, brand-aligned content, internal communication → matches the start
</t>
          </r>
          <r>
            <rPr>
              <rFont val="Calibri"/>
              <b val="1"/>
              <sz val="10"/>
            </rPr>
            <t>Autonomy &amp; Decision:</t>
          </r>
          <r>
            <rPr>
              <rFont val="Calibri"/>
              <sz val="10"/>
            </rPr>
            <t xml:space="preserve"> 2 of 12 — Start: 2.0 · practitioner title; Evidence reads like A2: Decides only 'few marketing materials'; the rest goes through stakeholders → matches the start
</t>
          </r>
          <r>
            <rPr>
              <rFont val="Calibri"/>
              <b val="1"/>
              <sz val="10"/>
            </rPr>
            <t>Accountability &amp; Impact:</t>
          </r>
          <r>
            <rPr>
              <rFont val="Calibri"/>
              <sz val="10"/>
            </rPr>
            <t xml:space="preserve"> 2.5 of 12 · between A2 and A3 — Start: 2.0 · practitioner title; Evidence reads like A3: Looks after the event and webinar channel end to end for lead generation and engagement → moved up 0.5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 of 12 — Experience: 0.4 yrs total · 0.4 at IRIS; none recorded before IRIS = 1.4 on the experience scale; Qualification: PGDM · postgraduate, relevant to the work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65" s="12"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Y65" s="12" t="inlineStr">
        <is>
          <r>
            <rPr>
              <rFont val="Calibri"/>
              <sz val="10"/>
            </rPr>
            <t xml:space="preserve">✓ HRIS: 0.4 yrs, PGDM, 0 direct reports
✓ Survey: 19 of 20 questions answered
✓ KRAs: reported deliverables
✓ Manager mapping: rating, potential, 9-box
✓ Job description
</t>
          </r>
          <r>
            <rPr>
              <rFont val="Calibri"/>
              <b val="1"/>
              <sz val="10"/>
            </rPr>
            <t>Confidence:</t>
          </r>
          <r>
            <rPr>
              <rFont val="Calibri"/>
              <sz val="10"/>
            </rPr>
            <t xml:space="preserve"> High</t>
          </r>
        </is>
      </c>
      <c r="Z65" s="12" t="inlineStr">
        <is>
          <t>—</t>
        </is>
      </c>
      <c r="AA65" s="12" t="inlineStr">
        <is>
          <t>Nothing outstanding</t>
        </is>
      </c>
      <c r="AB65"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ranking.
Manager talent mapping — Latest rating: Not rated · manager · Potential: Medium · 9-Box Grid placement: Core Contributor.</t>
          </r>
        </is>
      </c>
      <c r="AC65" s="84" t="n"/>
      <c r="AD65" s="84" t="n"/>
      <c r="AE65" s="84" t="n"/>
      <c r="AF65" s="12" t="n">
        <v>2.5</v>
      </c>
    </row>
    <row r="66" ht="379" customHeight="1">
      <c r="A66" s="12" t="inlineStr">
        <is>
          <t>IRIS2535</t>
        </is>
      </c>
      <c r="B66" s="10" t="inlineStr">
        <is>
          <t>Kaninika Kali</t>
        </is>
      </c>
      <c r="C66" s="12" t="inlineStr">
        <is>
          <t>Marketing</t>
        </is>
      </c>
      <c r="D66" s="12" t="inlineStr">
        <is>
          <t>Associate- MarkOps</t>
        </is>
      </c>
      <c r="E66" s="85" t="inlineStr">
        <is>
          <t>Marketing Operations Associate</t>
        </is>
      </c>
      <c r="F66" s="12" t="inlineStr">
        <is>
          <t>Marketing &amp; Communications</t>
        </is>
      </c>
      <c r="G66" s="12" t="inlineStr">
        <is>
          <t>Marketing Operations &amp; Automation</t>
        </is>
      </c>
      <c r="H66" s="12" t="inlineStr">
        <is>
          <t>IC</t>
        </is>
      </c>
      <c r="I66" s="42" t="inlineStr">
        <is>
          <t>L1 – Intern</t>
        </is>
      </c>
      <c r="J66" s="16" t="inlineStr">
        <is>
          <t>A2</t>
        </is>
      </c>
      <c r="K66" s="17" t="inlineStr">
        <is>
          <t>Associate</t>
        </is>
      </c>
      <c r="L66" s="87" t="inlineStr">
        <is>
          <t>▲ Up</t>
        </is>
      </c>
      <c r="M66" s="12" t="inlineStr">
        <is>
          <t>CARBON · Marketing · Band A · Early career</t>
        </is>
      </c>
      <c r="N66" s="42" t="n">
        <v>2</v>
      </c>
      <c r="O66" s="42" t="n">
        <v>2</v>
      </c>
      <c r="P66" s="42" t="n">
        <v>2</v>
      </c>
      <c r="Q66" s="42" t="n">
        <v>1</v>
      </c>
      <c r="R66" s="42" t="n">
        <v>1.5</v>
      </c>
      <c r="S66" s="80" t="n">
        <v>2</v>
      </c>
      <c r="T66" s="81">
        <f>IF(OR($M66="",COUNT(N66,O66,P66,Q66,R66,S66)&lt;6),"",IFERROR(N66*INDEX(WM_C,MATCH($M66,WM_KEY,0))+O66*INDEX(WM_AU,MATCH($M66,WM_KEY,0))+P66*INDEX(WM_AC,MATCH($M66,WM_KEY,0))+Q66*INDEX(WM_L,MATCH($M66,WM_KEY,0))+R66*INDEX(WM_E,MATCH($M66,WM_KEY,0))+S66*INDEX(WM_BI,MATCH($M66,WM_KEY,0)),""))</f>
        <v>1.95</v>
      </c>
      <c r="U66" s="42" t="str">
        <f>IF(T66="","",INDEX({"A1","A2","A3","B1","B2","B3","C1","C2","D1","D2","E1","E2"},MAX(1,MIN(12,ROUND(T66,0)))))</f>
        <v>A2</v>
      </c>
      <c r="V66" s="12" t="inlineStr">
        <is>
          <r>
            <rPr>
              <rFont val="Calibri"/>
              <sz val="10"/>
            </rPr>
            <t xml:space="preserve">New level A2 · Associate. Current level on record: L1 – Intern. Change: ▲ Up.
Score 1.95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6" s="12" t="inlineStr">
        <is>
          <r>
            <rPr>
              <rFont val="Calibri"/>
              <b val="1"/>
              <sz val="10"/>
            </rPr>
            <t>Complexity &amp; Expertise:</t>
          </r>
          <r>
            <rPr>
              <rFont val="Calibri"/>
              <sz val="10"/>
            </rPr>
            <t xml:space="preserve"> 2 of 12 — Start: 2.0 · practitioner title; Evidence reads like A2: Database research, contact and company enrichment, SDR contact assignment, HubSpot property tagging → matches the start; KRA: “1. Act as primary SPOC for ABM team and ensure 100% readiness of enterprise accounts 2. Validate and maintain 30,000 enterprise company…”
</t>
          </r>
          <r>
            <rPr>
              <rFont val="Calibri"/>
              <b val="1"/>
              <sz val="10"/>
            </rPr>
            <t>Autonomy &amp; Decision:</t>
          </r>
          <r>
            <rPr>
              <rFont val="Calibri"/>
              <sz val="10"/>
            </rPr>
            <t xml:space="preserve"> 2 of 12 — Start: 2.0 · practitioner title; Evidence reads like A2: Decides contact segments and company information within set HubSpot processes → matches the start
</t>
          </r>
          <r>
            <rPr>
              <rFont val="Calibri"/>
              <b val="1"/>
              <sz val="10"/>
            </rPr>
            <t>Accountability &amp; Impact:</t>
          </r>
          <r>
            <rPr>
              <rFont val="Calibri"/>
              <sz val="10"/>
            </rPr>
            <t xml:space="preserve"> 2 of 12 — Start: 2.0 · practitioner title; Evidence reads like A2: Correct contact/company ownership and HubSpot property tagging on own records → matches the start; KRA: “1. Act as primary SPOC for ABM team and ensure 100% readiness of enterprise accounts 2. Validate and maintain 30,000 enterprise company…”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1.5 of 12 · between A1 and A2 — Experience: 0.3 yrs total · 0.3 at IRIS; none recorded before IRIS = 1.3 on the experience scale; Qualification: B.Tech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66" s="12"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Y66" s="12" t="inlineStr">
        <is>
          <r>
            <rPr>
              <rFont val="Calibri"/>
              <sz val="10"/>
            </rPr>
            <t xml:space="preserve">✓ HRIS: 0.3 yrs, B.Tech,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66" s="12" t="inlineStr">
        <is>
          <t>—</t>
        </is>
      </c>
      <c r="AA66" s="12" t="inlineStr">
        <is>
          <t>Nothing outstanding</t>
        </is>
      </c>
      <c r="AB66"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Manager talent mapping — Latest rating: 3 · Potential: Low · 9-Box Grid placement: Core Contributor.</t>
          </r>
        </is>
      </c>
      <c r="AC66" s="84" t="n"/>
      <c r="AD66" s="84" t="n"/>
      <c r="AE66" s="84" t="n"/>
      <c r="AF66" s="12" t="n">
        <v>2</v>
      </c>
    </row>
    <row r="67" ht="379" customHeight="1">
      <c r="A67" s="12" t="inlineStr">
        <is>
          <t>IRIS2516</t>
        </is>
      </c>
      <c r="B67" s="10" t="inlineStr">
        <is>
          <t>Rimsha Khan</t>
        </is>
      </c>
      <c r="C67" s="12" t="inlineStr">
        <is>
          <t>Marketing</t>
        </is>
      </c>
      <c r="D67" s="12" t="inlineStr">
        <is>
          <t>Marketing Associate</t>
        </is>
      </c>
      <c r="E67" s="85" t="inlineStr">
        <is>
          <t>Content Marketing Associate</t>
        </is>
      </c>
      <c r="F67" s="12" t="inlineStr">
        <is>
          <t>Marketing &amp; Communications</t>
        </is>
      </c>
      <c r="G67" s="12" t="inlineStr">
        <is>
          <t>Content Marketing</t>
        </is>
      </c>
      <c r="H67" s="12" t="inlineStr">
        <is>
          <t>IC</t>
        </is>
      </c>
      <c r="I67" s="42" t="inlineStr">
        <is>
          <t>L3 – Professional / Associate</t>
        </is>
      </c>
      <c r="J67" s="16" t="inlineStr">
        <is>
          <t>A2</t>
        </is>
      </c>
      <c r="K67" s="17" t="inlineStr">
        <is>
          <t>Associate</t>
        </is>
      </c>
      <c r="L67" s="88" t="inlineStr">
        <is>
          <t>• Same level</t>
        </is>
      </c>
      <c r="M67" s="12" t="inlineStr">
        <is>
          <t>CARBON · Marketing · Band A · Early career</t>
        </is>
      </c>
      <c r="N67" s="42" t="n">
        <v>2</v>
      </c>
      <c r="O67" s="42" t="n">
        <v>2</v>
      </c>
      <c r="P67" s="42" t="n">
        <v>2</v>
      </c>
      <c r="Q67" s="42" t="n">
        <v>1</v>
      </c>
      <c r="R67" s="42" t="n">
        <v>2</v>
      </c>
      <c r="S67" s="80" t="n">
        <v>2</v>
      </c>
      <c r="T67" s="81">
        <f>IF(OR($M67="",COUNT(N67,O67,P67,Q67,R67,S67)&lt;6),"",IFERROR(N67*INDEX(WM_C,MATCH($M67,WM_KEY,0))+O67*INDEX(WM_AU,MATCH($M67,WM_KEY,0))+P67*INDEX(WM_AC,MATCH($M67,WM_KEY,0))+Q67*INDEX(WM_L,MATCH($M67,WM_KEY,0))+R67*INDEX(WM_E,MATCH($M67,WM_KEY,0))+S67*INDEX(WM_BI,MATCH($M67,WM_KEY,0)),""))</f>
        <v>2</v>
      </c>
      <c r="U67" s="42" t="str">
        <f>IF(T67="","",INDEX({"A1","A2","A3","B1","B2","B3","C1","C2","D1","D2","E1","E2"},MAX(1,MIN(12,ROUND(T67,0)))))</f>
        <v>A2</v>
      </c>
      <c r="V67" s="12" t="inlineStr">
        <is>
          <r>
            <rPr>
              <rFont val="Calibri"/>
              <sz val="10"/>
            </rPr>
            <t xml:space="preserve">New level A2 · Associate. Current level on record: L3 – Professional / Associate. Change: • Same level.
Score 2.00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7" s="12" t="inlineStr">
        <is>
          <r>
            <rPr>
              <rFont val="Calibri"/>
              <b val="1"/>
              <sz val="10"/>
            </rPr>
            <t>Complexity &amp; Expertise:</t>
          </r>
          <r>
            <rPr>
              <rFont val="Calibri"/>
              <sz val="10"/>
            </rPr>
            <t xml:space="preserve"> 2 of 12 — Start: 2.0 · practitioner title; Evidence reads like A2: Writes two ESG blogs a week and other content assets after research → matches the start
</t>
          </r>
          <r>
            <rPr>
              <rFont val="Calibri"/>
              <b val="1"/>
              <sz val="10"/>
            </rPr>
            <t>Autonomy &amp; Decision:</t>
          </r>
          <r>
            <rPr>
              <rFont val="Calibri"/>
              <sz val="10"/>
            </rPr>
            <t xml:space="preserve"> 2 of 12 — Start: 2.0 · practitioner title; Evidence reads like A2: own survey / KRA answers · summarised by the rater; not quoted → matches the start
</t>
          </r>
          <r>
            <rPr>
              <rFont val="Calibri"/>
              <b val="1"/>
              <sz val="10"/>
            </rPr>
            <t>Accountability &amp; Impact:</t>
          </r>
          <r>
            <rPr>
              <rFont val="Calibri"/>
              <sz val="10"/>
            </rPr>
            <t xml:space="preserve"> 2 of 12 — Start: 2.0 · practitioner title; Evidence reads like A2: Answerable for own content deliverables; says only 'everything'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 of 12 — Experience: 0.4 yrs total · 0.4 at IRIS; none recorded before IRIS = 1.4 on the experience scale; Qualification: PGDM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67" s="12"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Y67" s="12" t="inlineStr">
        <is>
          <r>
            <rPr>
              <rFont val="Calibri"/>
              <sz val="10"/>
            </rPr>
            <t xml:space="preserve">✓ HRIS: 0.4 yrs, PGDM, 0 direct reports
✓ Survey: 18 of 20 questions answered
✓ KRAs: reported deliverables
✓ Manager mapping: rating, potential, 9-box
✓ Job description
</t>
          </r>
          <r>
            <rPr>
              <rFont val="Calibri"/>
              <b val="1"/>
              <sz val="10"/>
            </rPr>
            <t>Confidence:</t>
          </r>
          <r>
            <rPr>
              <rFont val="Calibri"/>
              <sz val="10"/>
            </rPr>
            <t xml:space="preserve"> Medium</t>
          </r>
        </is>
      </c>
      <c r="Z67" s="12" t="inlineStr">
        <is>
          <t>—</t>
        </is>
      </c>
      <c r="AA67" s="12" t="inlineStr">
        <is>
          <t>Nothing outstanding</t>
        </is>
      </c>
      <c r="AB67"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ranking.
Manager talent mapping — Latest rating: Not rated · manager · Potential: Low · 9-Box Grid placement: Misplaced Talent / Enigma.</t>
          </r>
        </is>
      </c>
      <c r="AC67" s="84" t="n"/>
      <c r="AD67" s="84" t="n"/>
      <c r="AE67" s="84" t="n"/>
      <c r="AF67" s="12" t="n">
        <v>2</v>
      </c>
    </row>
    <row r="68" ht="379" customHeight="1">
      <c r="A68" s="12" t="inlineStr">
        <is>
          <t>IRIS2391</t>
        </is>
      </c>
      <c r="B68" s="10" t="inlineStr">
        <is>
          <t>Ritam Mukhopadhyay</t>
        </is>
      </c>
      <c r="C68" s="12" t="inlineStr">
        <is>
          <t>Marketing</t>
        </is>
      </c>
      <c r="D68" s="12" t="inlineStr">
        <is>
          <t>Marketing Operations Executive</t>
        </is>
      </c>
      <c r="E68" s="85" t="inlineStr">
        <is>
          <t>Marketing Operations Associate</t>
        </is>
      </c>
      <c r="F68" s="12" t="inlineStr">
        <is>
          <t>Marketing &amp; Communications</t>
        </is>
      </c>
      <c r="G68" s="12" t="inlineStr">
        <is>
          <t>Marketing Operations &amp; Automation</t>
        </is>
      </c>
      <c r="H68" s="12" t="inlineStr">
        <is>
          <t>IC</t>
        </is>
      </c>
      <c r="I68" s="42" t="inlineStr">
        <is>
          <t>L3 – Professional / Associate</t>
        </is>
      </c>
      <c r="J68" s="16" t="inlineStr">
        <is>
          <t>A2</t>
        </is>
      </c>
      <c r="K68" s="17" t="inlineStr">
        <is>
          <t>Associate</t>
        </is>
      </c>
      <c r="L68" s="88" t="inlineStr">
        <is>
          <t>• Same level</t>
        </is>
      </c>
      <c r="M68" s="12" t="inlineStr">
        <is>
          <t>CARBON · Marketing · Band A · Early career</t>
        </is>
      </c>
      <c r="N68" s="42" t="n">
        <v>2.5</v>
      </c>
      <c r="O68" s="42" t="n">
        <v>2</v>
      </c>
      <c r="P68" s="42" t="n">
        <v>2.5</v>
      </c>
      <c r="Q68" s="42" t="n">
        <v>1</v>
      </c>
      <c r="R68" s="42" t="n">
        <v>2</v>
      </c>
      <c r="S68" s="80" t="n">
        <v>2.5</v>
      </c>
      <c r="T68" s="81">
        <f>IF(OR($M68="",COUNT(N68,O68,P68,Q68,R68,S68)&lt;6),"",IFERROR(N68*INDEX(WM_C,MATCH($M68,WM_KEY,0))+O68*INDEX(WM_AU,MATCH($M68,WM_KEY,0))+P68*INDEX(WM_AC,MATCH($M68,WM_KEY,0))+Q68*INDEX(WM_L,MATCH($M68,WM_KEY,0))+R68*INDEX(WM_E,MATCH($M68,WM_KEY,0))+S68*INDEX(WM_BI,MATCH($M68,WM_KEY,0)),""))</f>
        <v>2.345</v>
      </c>
      <c r="U68" s="42" t="str">
        <f>IF(T68="","",INDEX({"A1","A2","A3","B1","B2","B3","C1","C2","D1","D2","E1","E2"},MAX(1,MIN(12,ROUND(T68,0)))))</f>
        <v>A2</v>
      </c>
      <c r="V68" s="12" t="inlineStr">
        <is>
          <r>
            <rPr>
              <rFont val="Calibri"/>
              <sz val="10"/>
            </rPr>
            <t xml:space="preserve">New level A2 · Associate. Current level on record: L3 – Professional / Associate. Change: • Same level.
Score 2.35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8" s="12" t="inlineStr">
        <is>
          <r>
            <rPr>
              <rFont val="Calibri"/>
              <b val="1"/>
              <sz val="10"/>
            </rPr>
            <t>Complexity &amp; Expertise:</t>
          </r>
          <r>
            <rPr>
              <rFont val="Calibri"/>
              <sz val="10"/>
            </rPr>
            <t xml:space="preserve"> 2.5 of 12 · between A2 and A3 — Start: 2.0 · practitioner title; Evidence reads like A3: Builds leadership dashboards, administers HubSpot CRM, audits marketing numbers, tracks KPIs and spends → moved up 0.5; KRA: “1. Maintain accurate multi-touch attribution and campaign performance tracking in HubSpot 2. Build and maintain real-time dashboards for…”
</t>
          </r>
          <r>
            <rPr>
              <rFont val="Calibri"/>
              <b val="1"/>
              <sz val="10"/>
            </rPr>
            <t>Autonomy &amp; Decision:</t>
          </r>
          <r>
            <rPr>
              <rFont val="Calibri"/>
              <sz val="10"/>
            </rPr>
            <t xml:space="preserve"> 2 of 12 — Start: 2.0 · practitioner title; Evidence reads like A2: Only stated independent decision is validating process numbers → matches the start
</t>
          </r>
          <r>
            <rPr>
              <rFont val="Calibri"/>
              <b val="1"/>
              <sz val="10"/>
            </rPr>
            <t>Accountability &amp; Impact:</t>
          </r>
          <r>
            <rPr>
              <rFont val="Calibri"/>
              <sz val="10"/>
            </rPr>
            <t xml:space="preserve"> 2.5 of 12 · between A2 and A3 — Start: 2.0 · practitioner title; Evidence reads like A3: own survey / KRA answers · summarised by the rater; not quoted → moved up 0.5; KRA: “1. Maintain accurate multi-touch attribution and campaign performance tracking in HubSpot 2. Build and maintain real-time dashboards for…”
</t>
          </r>
          <r>
            <rPr>
              <rFont val="Calibri"/>
              <b val="1"/>
              <sz val="10"/>
            </rPr>
            <t>Leadership &amp; Strategy:</t>
          </r>
          <r>
            <rPr>
              <rFont val="Calibri"/>
              <sz val="10"/>
            </rPr>
            <t xml:space="preserve"> 1 of 12 — not counted: the weight is 0% at this level — Start: 1.0 · individual contributor, so influence only; Evidence reads like A1: own survey / KRA answers · summarised by the rater; not quoted → matches the start; Team: 0 direct reports · IC
</t>
          </r>
          <r>
            <rPr>
              <rFont val="Calibri"/>
              <b val="1"/>
              <sz val="10"/>
            </rPr>
            <t>Experience &amp; Qualification:</t>
          </r>
          <r>
            <rPr>
              <rFont val="Calibri"/>
              <sz val="10"/>
            </rPr>
            <t xml:space="preserve"> 2 of 12 — Experience: 1.2 yrs total · 1.2 at IRIS; none recorded before IRIS = 2.1 on the experience scale; Qualification: B.Tech · graduate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68" s="12"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Y68" s="12" t="inlineStr">
        <is>
          <r>
            <rPr>
              <rFont val="Calibri"/>
              <sz val="10"/>
            </rPr>
            <t xml:space="preserve">✓ HRIS: 1.2 yrs, B.Tech,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68" s="12" t="inlineStr">
        <is>
          <t>—</t>
        </is>
      </c>
      <c r="AA68" s="12" t="inlineStr">
        <is>
          <t>Nothing outstanding</t>
        </is>
      </c>
      <c r="AB68"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Manager talent mapping — Latest rating: 3 · Potential: Medium · 9-Box Grid placement: Reliable Specialist.</t>
          </r>
        </is>
      </c>
      <c r="AC68" s="84" t="n"/>
      <c r="AD68" s="84" t="n"/>
      <c r="AE68" s="84" t="n"/>
      <c r="AF68" s="12" t="n">
        <v>2.5</v>
      </c>
    </row>
    <row r="69" ht="379" customHeight="1">
      <c r="A69" s="12" t="inlineStr">
        <is>
          <t>IRIS2517</t>
        </is>
      </c>
      <c r="B69" s="10" t="inlineStr">
        <is>
          <t>Shubhangi Sharma</t>
        </is>
      </c>
      <c r="C69" s="12" t="inlineStr">
        <is>
          <t>Marketing</t>
        </is>
      </c>
      <c r="D69" s="12" t="inlineStr">
        <is>
          <t>Marketing Associate</t>
        </is>
      </c>
      <c r="E69" s="85" t="inlineStr">
        <is>
          <t>Content Marketing Associate</t>
        </is>
      </c>
      <c r="F69" s="12" t="inlineStr">
        <is>
          <t>Marketing &amp; Communications</t>
        </is>
      </c>
      <c r="G69" s="12" t="inlineStr">
        <is>
          <t>Content Marketing</t>
        </is>
      </c>
      <c r="H69" s="12" t="inlineStr">
        <is>
          <t>IC</t>
        </is>
      </c>
      <c r="I69" s="42" t="inlineStr">
        <is>
          <t>L3 – Professional / Associate</t>
        </is>
      </c>
      <c r="J69" s="16" t="inlineStr">
        <is>
          <t>A2</t>
        </is>
      </c>
      <c r="K69" s="17" t="inlineStr">
        <is>
          <t>Associate</t>
        </is>
      </c>
      <c r="L69" s="88" t="inlineStr">
        <is>
          <t>• Same level</t>
        </is>
      </c>
      <c r="M69" s="12" t="inlineStr">
        <is>
          <t>CARBON · Marketing · Band A · Early career</t>
        </is>
      </c>
      <c r="N69" s="42" t="n">
        <v>2</v>
      </c>
      <c r="O69" s="42" t="n">
        <v>2</v>
      </c>
      <c r="P69" s="42" t="n">
        <v>2.5</v>
      </c>
      <c r="Q69" s="42" t="n">
        <v>1</v>
      </c>
      <c r="R69" s="42" t="n">
        <v>2</v>
      </c>
      <c r="S69" s="80" t="n">
        <v>2.5</v>
      </c>
      <c r="T69" s="81">
        <f>IF(OR($M69="",COUNT(N69,O69,P69,Q69,R69,S69)&lt;6),"",IFERROR(N69*INDEX(WM_C,MATCH($M69,WM_KEY,0))+O69*INDEX(WM_AU,MATCH($M69,WM_KEY,0))+P69*INDEX(WM_AC,MATCH($M69,WM_KEY,0))+Q69*INDEX(WM_L,MATCH($M69,WM_KEY,0))+R69*INDEX(WM_E,MATCH($M69,WM_KEY,0))+S69*INDEX(WM_BI,MATCH($M69,WM_KEY,0)),""))</f>
        <v>2.075</v>
      </c>
      <c r="U69" s="42" t="str">
        <f>IF(T69="","",INDEX({"A1","A2","A3","B1","B2","B3","C1","C2","D1","D2","E1","E2"},MAX(1,MIN(12,ROUND(T69,0)))))</f>
        <v>A2</v>
      </c>
      <c r="V69" s="12" t="inlineStr">
        <is>
          <r>
            <rPr>
              <rFont val="Calibri"/>
              <sz val="10"/>
            </rPr>
            <t xml:space="preserve">New level A2 · Associate. Current level on record: L3 – Professional / Associate. Change: • Same level.
Score 2.08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69" s="12" t="inlineStr">
        <is>
          <r>
            <rPr>
              <rFont val="Calibri"/>
              <b val="1"/>
              <sz val="10"/>
            </rPr>
            <t>Complexity &amp; Expertise:</t>
          </r>
          <r>
            <rPr>
              <rFont val="Calibri"/>
              <sz val="10"/>
            </rPr>
            <t xml:space="preserve"> 2 of 12 — Start: 2.0 · practitioner title; Evidence reads like A2: Produces 8-10 blogs a month and campaign deliverables; SEO/AEO optimisation using Semrush → matches the start
</t>
          </r>
          <r>
            <rPr>
              <rFont val="Calibri"/>
              <b val="1"/>
              <sz val="10"/>
            </rPr>
            <t>Autonomy &amp; Decision:</t>
          </r>
          <r>
            <rPr>
              <rFont val="Calibri"/>
              <sz val="10"/>
            </rPr>
            <t xml:space="preserve"> 2 of 12 — Start: 2.0 · practitioner title; Evidence reads like A2: Decides asset types within campaign plans → matches the start
</t>
          </r>
          <r>
            <rPr>
              <rFont val="Calibri"/>
              <b val="1"/>
              <sz val="10"/>
            </rPr>
            <t>Accountability &amp; Impact:</t>
          </r>
          <r>
            <rPr>
              <rFont val="Calibri"/>
              <sz val="10"/>
            </rPr>
            <t xml:space="preserve"> 2.5 of 12 · between A2 and A3 — Start: 2.0 · practitioner title; Evidence reads like A3: own survey / KRA answers · summarised by the rater; not quoted → moved up 0.5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 of 12 — Experience: 0.4 yrs total · 0.4 at IRIS; none recorded before IRIS = 1.4 on the experience scale; Qualification: PGDM · postgraduate, relevant to the work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69" s="12"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Y69" s="12" t="inlineStr">
        <is>
          <r>
            <rPr>
              <rFont val="Calibri"/>
              <sz val="10"/>
            </rPr>
            <t xml:space="preserve">✓ HRIS: 0.4 yrs, PGDM, 0 direct reports
✓ Survey: 20 of 20 questions answered
✓ KRAs: reported deliverables
✓ Manager mapping: rating, potential, 9-box
✓ Job description
</t>
          </r>
          <r>
            <rPr>
              <rFont val="Calibri"/>
              <b val="1"/>
              <sz val="10"/>
            </rPr>
            <t>Confidence:</t>
          </r>
          <r>
            <rPr>
              <rFont val="Calibri"/>
              <sz val="10"/>
            </rPr>
            <t xml:space="preserve"> Medium</t>
          </r>
        </is>
      </c>
      <c r="Z69" s="12" t="inlineStr">
        <is>
          <t>—</t>
        </is>
      </c>
      <c r="AA69" s="12" t="inlineStr">
        <is>
          <t>Nothing outstanding</t>
        </is>
      </c>
      <c r="AB69"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ranking.
Manager talent mapping — Latest rating: Not rated · manager · Potential: Medium · 9-Box Grid placement: Core Contributor.</t>
          </r>
        </is>
      </c>
      <c r="AC69" s="84" t="n"/>
      <c r="AD69" s="84" t="n"/>
      <c r="AE69" s="84" t="n"/>
      <c r="AF69" s="12" t="n">
        <v>2.5</v>
      </c>
    </row>
    <row r="70" ht="379" customHeight="1">
      <c r="A70" s="12" t="inlineStr">
        <is>
          <t>IRIS2534</t>
        </is>
      </c>
      <c r="B70" s="10" t="inlineStr">
        <is>
          <t>Vishal</t>
        </is>
      </c>
      <c r="C70" s="12" t="inlineStr">
        <is>
          <t>Marketing</t>
        </is>
      </c>
      <c r="D70" s="12" t="inlineStr">
        <is>
          <t>Associate- MarkOps</t>
        </is>
      </c>
      <c r="E70" s="85" t="inlineStr">
        <is>
          <t>Marketing Operations Associate</t>
        </is>
      </c>
      <c r="F70" s="12" t="inlineStr">
        <is>
          <t>Marketing &amp; Communications</t>
        </is>
      </c>
      <c r="G70" s="12" t="inlineStr">
        <is>
          <t>Marketing Operations &amp; Automation</t>
        </is>
      </c>
      <c r="H70" s="12" t="inlineStr">
        <is>
          <t>IC</t>
        </is>
      </c>
      <c r="I70" s="42" t="inlineStr">
        <is>
          <t>L1 – Intern</t>
        </is>
      </c>
      <c r="J70" s="16" t="inlineStr">
        <is>
          <t>A2</t>
        </is>
      </c>
      <c r="K70" s="17" t="inlineStr">
        <is>
          <t>Associate</t>
        </is>
      </c>
      <c r="L70" s="87" t="inlineStr">
        <is>
          <t>▲ Up</t>
        </is>
      </c>
      <c r="M70" s="12" t="inlineStr">
        <is>
          <t>CARBON · Marketing · Band A · Early career</t>
        </is>
      </c>
      <c r="N70" s="42" t="n">
        <v>2</v>
      </c>
      <c r="O70" s="42" t="n">
        <v>2</v>
      </c>
      <c r="P70" s="42" t="n">
        <v>2</v>
      </c>
      <c r="Q70" s="42" t="n">
        <v>1</v>
      </c>
      <c r="R70" s="42" t="n">
        <v>1.5</v>
      </c>
      <c r="S70" s="80" t="n">
        <v>2</v>
      </c>
      <c r="T70" s="81">
        <f>IF(OR($M70="",COUNT(N70,O70,P70,Q70,R70,S70)&lt;6),"",IFERROR(N70*INDEX(WM_C,MATCH($M70,WM_KEY,0))+O70*INDEX(WM_AU,MATCH($M70,WM_KEY,0))+P70*INDEX(WM_AC,MATCH($M70,WM_KEY,0))+Q70*INDEX(WM_L,MATCH($M70,WM_KEY,0))+R70*INDEX(WM_E,MATCH($M70,WM_KEY,0))+S70*INDEX(WM_BI,MATCH($M70,WM_KEY,0)),""))</f>
        <v>1.95</v>
      </c>
      <c r="U70" s="42" t="str">
        <f>IF(T70="","",INDEX({"A1","A2","A3","B1","B2","B3","C1","C2","D1","D2","E1","E2"},MAX(1,MIN(12,ROUND(T70,0)))))</f>
        <v>A2</v>
      </c>
      <c r="V70" s="12" t="inlineStr">
        <is>
          <r>
            <rPr>
              <rFont val="Calibri"/>
              <sz val="10"/>
            </rPr>
            <t xml:space="preserve">New level A2 · Associate. Current level on record: L1 – Intern. Change: ▲ Up.
Score 1.95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0" s="12" t="inlineStr">
        <is>
          <r>
            <rPr>
              <rFont val="Calibri"/>
              <b val="1"/>
              <sz val="10"/>
            </rPr>
            <t>Complexity &amp; Expertise:</t>
          </r>
          <r>
            <rPr>
              <rFont val="Calibri"/>
              <sz val="10"/>
            </rPr>
            <t xml:space="preserve"> 2 of 12 — Start: 2.0 · practitioner title; Evidence reads like A2: own survey / KRA answers · summarised by the rater; not quoted → matches the start; KRA: “1. Act as primary SPOC for SDR team and resolve 100% of data requests within defined SLA 2. Clean and validate 30,000 company records…”
</t>
          </r>
          <r>
            <rPr>
              <rFont val="Calibri"/>
              <b val="1"/>
              <sz val="10"/>
            </rPr>
            <t>Autonomy &amp; Decision:</t>
          </r>
          <r>
            <rPr>
              <rFont val="Calibri"/>
              <sz val="10"/>
            </rPr>
            <t xml:space="preserve"> 2 of 12 — Start: 2.0 · practitioner title; Evidence reads like A2: Decides ICP research independently; prioritises tasks by business requirement → matches the start
</t>
          </r>
          <r>
            <rPr>
              <rFont val="Calibri"/>
              <b val="1"/>
              <sz val="10"/>
            </rPr>
            <t>Accountability &amp; Impact:</t>
          </r>
          <r>
            <rPr>
              <rFont val="Calibri"/>
              <sz val="10"/>
            </rPr>
            <t xml:space="preserve"> 2 of 12 — Start: 2.0 · practitioner title; Evidence reads like A2: Data accuracy and quality in HubSpot; avoiding duplicates and outdated records → matches the start; KRA: “1. Act as primary SPOC for SDR team and resolve 100% of data requests within defined SLA 2. Clean and validate 30,000 company records…”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1.5 of 12 · between A1 and A2 — Experience: 0.3 yrs total · 0.3 at IRIS; none recorded before IRIS = 1.3 on the experience scale; Qualification: B.E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70" s="12" t="inlineStr">
        <is>
          <r>
            <rPr>
              <rFont val="Calibri"/>
              <b val="1"/>
              <sz val="10"/>
            </rPr>
            <t>Market level:</t>
          </r>
          <r>
            <rPr>
              <rFont val="Calibri"/>
              <sz val="10"/>
            </rPr>
            <t xml:space="preserve"> P1–P2 · SFIA 2 Assist
</t>
          </r>
          <r>
            <rPr>
              <rFont val="Calibri"/>
              <b val="1"/>
              <sz val="10"/>
            </rPr>
            <t>Typical title:</t>
          </r>
          <r>
            <rPr>
              <rFont val="Calibri"/>
              <sz val="10"/>
            </rPr>
            <t xml:space="preserve"> Marketing Associate / Marketing Executive
</t>
          </r>
          <r>
            <rPr>
              <rFont val="Calibri"/>
              <b val="1"/>
              <sz val="10"/>
            </rPr>
            <t>At peers:</t>
          </r>
          <r>
            <rPr>
              <rFont val="Calibri"/>
              <sz val="10"/>
            </rPr>
            <t xml:space="preserve"> IRIS Vs Market Benchmark — CIM proficiency scale: 2 Active learner · IRIS Vs Competitor Benchmark — SaaS marketing ladder: Marketing Associate
</t>
          </r>
          <r>
            <rPr>
              <rFont val="Calibri"/>
              <b val="1"/>
              <sz val="10"/>
            </rPr>
            <t>Typical experience:</t>
          </r>
          <r>
            <rPr>
              <rFont val="Calibri"/>
              <sz val="10"/>
            </rPr>
            <t xml:space="preserve"> 0–3 yrs · IRIS guide 0–2
</t>
          </r>
          <r>
            <rPr>
              <rFont val="Calibri"/>
              <b val="1"/>
              <sz val="10"/>
            </rPr>
            <t>Standard:</t>
          </r>
          <r>
            <rPr>
              <rFont val="Calibri"/>
              <sz val="10"/>
            </rPr>
            <t xml:space="preserve"> CIM Global Professional Marketing Framework — proficiency Aware → Active learner → Able → Accomplished → Authoritative</t>
          </r>
        </is>
      </c>
      <c r="Y70" s="12" t="inlineStr">
        <is>
          <r>
            <rPr>
              <rFont val="Calibri"/>
              <sz val="10"/>
            </rPr>
            <t xml:space="preserve">✓ HRIS: 0.3 yrs, B.E,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70" s="12" t="inlineStr">
        <is>
          <t>—</t>
        </is>
      </c>
      <c r="AA70" s="12" t="inlineStr">
        <is>
          <t>Nothing outstanding</t>
        </is>
      </c>
      <c r="AB70"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Manager talent mapping — Latest rating: 4 · Potential: Medium · 9-Box Grid placement: Core Contributor.</t>
          </r>
        </is>
      </c>
      <c r="AC70" s="84" t="n"/>
      <c r="AD70" s="84" t="n"/>
      <c r="AE70" s="84" t="n"/>
      <c r="AF70" s="12" t="n">
        <v>2</v>
      </c>
    </row>
    <row r="71" ht="379" customHeight="1">
      <c r="A71" s="12" t="inlineStr">
        <is>
          <t>IRIS2546</t>
        </is>
      </c>
      <c r="B71" s="10" t="inlineStr">
        <is>
          <t>Adithya Nair</t>
        </is>
      </c>
      <c r="C71" s="12" t="inlineStr">
        <is>
          <t>Marketing</t>
        </is>
      </c>
      <c r="D71" s="12" t="inlineStr">
        <is>
          <t>Sales Development Representative</t>
        </is>
      </c>
      <c r="E71" s="12" t="inlineStr">
        <is>
          <t>Sales Development Representative</t>
        </is>
      </c>
      <c r="F71" s="12" t="inlineStr">
        <is>
          <t>Sales &amp; Business Development</t>
        </is>
      </c>
      <c r="G71" s="12" t="inlineStr">
        <is>
          <t>Sales Development &amp; Prospecting</t>
        </is>
      </c>
      <c r="H71" s="12" t="inlineStr">
        <is>
          <t>IC</t>
        </is>
      </c>
      <c r="I71" s="42" t="inlineStr">
        <is>
          <t>Not in current mapping files</t>
        </is>
      </c>
      <c r="J71" s="16" t="inlineStr">
        <is>
          <t>A2</t>
        </is>
      </c>
      <c r="K71" s="17" t="inlineStr">
        <is>
          <t>Associate</t>
        </is>
      </c>
      <c r="L71" s="79" t="inlineStr">
        <is>
          <t>● Newly mapped</t>
        </is>
      </c>
      <c r="M71" s="12" t="inlineStr">
        <is>
          <t>CARBON · Marketing · Band A · Early career</t>
        </is>
      </c>
      <c r="N71" s="42" t="n">
        <v>2</v>
      </c>
      <c r="O71" s="42" t="n">
        <v>2</v>
      </c>
      <c r="P71" s="42" t="n">
        <v>2</v>
      </c>
      <c r="Q71" s="42" t="n">
        <v>1</v>
      </c>
      <c r="R71" s="42" t="n">
        <v>2</v>
      </c>
      <c r="S71" s="80" t="n">
        <v>2</v>
      </c>
      <c r="T71" s="81">
        <f>IF(OR($M71="",COUNT(N71,O71,P71,Q71,R71,S71)&lt;6),"",IFERROR(N71*INDEX(WM_C,MATCH($M71,WM_KEY,0))+O71*INDEX(WM_AU,MATCH($M71,WM_KEY,0))+P71*INDEX(WM_AC,MATCH($M71,WM_KEY,0))+Q71*INDEX(WM_L,MATCH($M71,WM_KEY,0))+R71*INDEX(WM_E,MATCH($M71,WM_KEY,0))+S71*INDEX(WM_BI,MATCH($M71,WM_KEY,0)),""))</f>
        <v>2</v>
      </c>
      <c r="U71" s="42" t="str">
        <f>IF(T71="","",INDEX({"A1","A2","A3","B1","B2","B3","C1","C2","D1","D2","E1","E2"},MAX(1,MIN(12,ROUND(T71,0)))))</f>
        <v>A2</v>
      </c>
      <c r="V71" s="12" t="inlineStr">
        <is>
          <r>
            <rPr>
              <rFont val="Calibri"/>
              <sz val="10"/>
            </rPr>
            <t xml:space="preserve">New level A2 · Associate. Current level on record: Not in current mapping files. Change: ● Newly mapped.
Score 2.00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1" s="12" t="inlineStr">
        <is>
          <r>
            <rPr>
              <rFont val="Calibri"/>
              <b val="1"/>
              <sz val="10"/>
            </rPr>
            <t>Complexity &amp; Expertise:</t>
          </r>
          <r>
            <rPr>
              <rFont val="Calibri"/>
              <sz val="10"/>
            </rPr>
            <t xml:space="preserve"> 2 of 12 — Start: 2.0 · practitioner title; Evidence reads like A2: Prospect shortlisting, personalised emails, LinkedIn and dialler outreach, lead qualification, CRM hygiene → matches the start
</t>
          </r>
          <r>
            <rPr>
              <rFont val="Calibri"/>
              <b val="1"/>
              <sz val="10"/>
            </rPr>
            <t>Autonomy &amp; Decision:</t>
          </r>
          <r>
            <rPr>
              <rFont val="Calibri"/>
              <sz val="10"/>
            </rPr>
            <t xml:space="preserve"> 2 of 12 — Start: 2.0 · practitioner title; Evidence reads like A2: Decides own outreach and emails; chooses the day's accounts → matches the start
</t>
          </r>
          <r>
            <rPr>
              <rFont val="Calibri"/>
              <b val="1"/>
              <sz val="10"/>
            </rPr>
            <t>Accountability &amp; Impact:</t>
          </r>
          <r>
            <rPr>
              <rFont val="Calibri"/>
              <sz val="10"/>
            </rPr>
            <t xml:space="preserve"> 2 of 12 — Start: 2.0 · practitioner title; Evidence reads like A2: Accountable if the booked contact does not show up or is not relevant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 of 12 — Experience: 1.3 yrs total · 1.1 before IRIS + 0.2 at IRIS = 2.1 on the experience scale; Qualification: B.Tech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71" s="12"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Y71" s="12" t="inlineStr">
        <is>
          <r>
            <rPr>
              <rFont val="Calibri"/>
              <sz val="10"/>
            </rPr>
            <t xml:space="preserve">✓ HRIS: 1.3 yrs, B.Tech, 0 direct reports
✓ Survey: 20 of 20 questions answered
✓ KRAs: reported deliverables
✓ Manager mapping: rating, 9-box
✓ Job description
</t>
          </r>
          <r>
            <rPr>
              <rFont val="Calibri"/>
              <b val="1"/>
              <sz val="10"/>
            </rPr>
            <t>Confidence:</t>
          </r>
          <r>
            <rPr>
              <rFont val="Calibri"/>
              <sz val="10"/>
            </rPr>
            <t xml:space="preserve"> High</t>
          </r>
        </is>
      </c>
      <c r="Z71" s="12" t="inlineStr">
        <is>
          <t>—</t>
        </is>
      </c>
      <c r="AA71" s="12" t="inlineStr">
        <is>
          <t>Nothing outstanding</t>
        </is>
      </c>
      <c r="AB71"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pipeline.
Manager talent mapping — Latest rating: Not rated · manager · 9-Box Grid placement: Not placed · manager.</t>
          </r>
        </is>
      </c>
      <c r="AC71" s="84" t="n"/>
      <c r="AD71" s="84" t="n"/>
      <c r="AE71" s="84" t="n"/>
      <c r="AF71" s="12" t="n">
        <v>2</v>
      </c>
    </row>
    <row r="72" ht="379" customHeight="1">
      <c r="A72" s="12" t="inlineStr">
        <is>
          <t>IRIS2518</t>
        </is>
      </c>
      <c r="B72" s="10" t="inlineStr">
        <is>
          <t>Diksha Gunjyal</t>
        </is>
      </c>
      <c r="C72" s="12" t="inlineStr">
        <is>
          <t>Marketing</t>
        </is>
      </c>
      <c r="D72" s="12" t="inlineStr">
        <is>
          <t>Marketing Associate</t>
        </is>
      </c>
      <c r="E72" s="85" t="inlineStr">
        <is>
          <t>Sales Development Representative</t>
        </is>
      </c>
      <c r="F72" s="12" t="inlineStr">
        <is>
          <t>Sales &amp; Business Development</t>
        </is>
      </c>
      <c r="G72" s="12" t="inlineStr">
        <is>
          <t>Sales Development &amp; Prospecting</t>
        </is>
      </c>
      <c r="H72" s="12" t="inlineStr">
        <is>
          <t>IC</t>
        </is>
      </c>
      <c r="I72" s="42" t="inlineStr">
        <is>
          <t>L3 – Professional / Associate</t>
        </is>
      </c>
      <c r="J72" s="16" t="inlineStr">
        <is>
          <t>A2</t>
        </is>
      </c>
      <c r="K72" s="17" t="inlineStr">
        <is>
          <t>Associate</t>
        </is>
      </c>
      <c r="L72" s="88" t="inlineStr">
        <is>
          <t>• Same level</t>
        </is>
      </c>
      <c r="M72" s="12" t="inlineStr">
        <is>
          <t>CARBON · Marketing · Band A · Early career</t>
        </is>
      </c>
      <c r="N72" s="42" t="n">
        <v>2</v>
      </c>
      <c r="O72" s="42" t="n">
        <v>2</v>
      </c>
      <c r="P72" s="42" t="n">
        <v>2</v>
      </c>
      <c r="Q72" s="42" t="n">
        <v>1</v>
      </c>
      <c r="R72" s="42" t="n">
        <v>1.5</v>
      </c>
      <c r="S72" s="80" t="n">
        <v>2</v>
      </c>
      <c r="T72" s="81">
        <f>IF(OR($M72="",COUNT(N72,O72,P72,Q72,R72,S72)&lt;6),"",IFERROR(N72*INDEX(WM_C,MATCH($M72,WM_KEY,0))+O72*INDEX(WM_AU,MATCH($M72,WM_KEY,0))+P72*INDEX(WM_AC,MATCH($M72,WM_KEY,0))+Q72*INDEX(WM_L,MATCH($M72,WM_KEY,0))+R72*INDEX(WM_E,MATCH($M72,WM_KEY,0))+S72*INDEX(WM_BI,MATCH($M72,WM_KEY,0)),""))</f>
        <v>1.95</v>
      </c>
      <c r="U72" s="42" t="str">
        <f>IF(T72="","",INDEX({"A1","A2","A3","B1","B2","B3","C1","C2","D1","D2","E1","E2"},MAX(1,MIN(12,ROUND(T72,0)))))</f>
        <v>A2</v>
      </c>
      <c r="V72" s="12" t="inlineStr">
        <is>
          <r>
            <rPr>
              <rFont val="Calibri"/>
              <sz val="10"/>
            </rPr>
            <t xml:space="preserve">New level A2 · Associate. Current level on record: L3 – Professional / Associate. Change: • Same level.
Score 1.95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2" s="12" t="inlineStr">
        <is>
          <r>
            <rPr>
              <rFont val="Calibri"/>
              <b val="1"/>
              <sz val="10"/>
            </rPr>
            <t>Complexity &amp; Expertise:</t>
          </r>
          <r>
            <rPr>
              <rFont val="Calibri"/>
              <sz val="10"/>
            </rPr>
            <t xml:space="preserve"> 2 of 12 — Start: 2.0 · practitioner title; Evidence reads like A2: Researches companies, finds ICPs, cold calls, email sequences and LinkedIn outreach to book discovery meetings → matches the start; KRA: “1.Recently joined the organization · around 3 months ago and is currently ramping up while building a strong understanding 2. Started…”
</t>
          </r>
          <r>
            <rPr>
              <rFont val="Calibri"/>
              <b val="1"/>
              <sz val="10"/>
            </rPr>
            <t>Autonomy &amp; Decision:</t>
          </r>
          <r>
            <rPr>
              <rFont val="Calibri"/>
              <sz val="10"/>
            </rPr>
            <t xml:space="preserve"> 2 of 12 — Start: 2.0 · practitioner title; Evidence reads like A2: Only stated independent decision is setting meetings; outreach follows a set process → matches the start
</t>
          </r>
          <r>
            <rPr>
              <rFont val="Calibri"/>
              <b val="1"/>
              <sz val="10"/>
            </rPr>
            <t>Accountability &amp; Impact:</t>
          </r>
          <r>
            <rPr>
              <rFont val="Calibri"/>
              <sz val="10"/>
            </rPr>
            <t xml:space="preserve"> 2 of 12 — Start: 2.0 · practitioner title; Evidence reads like A2: Answerable for booked discovery meetings and lead attendance; risk is setting wrong expectations → matches the start; KRA: “1.Recently joined the organization · around 3 months ago and is currently ramping up while building a strong understanding 2. Started…”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1.5 of 12 · between A1 and A2 — Experience: 0.4 yrs total · 0.4 at IRIS; none recorded before IRIS = 1.4 on the experience scale; Qualification: B.Sc · graduate → no change
</t>
          </r>
          <r>
            <rPr>
              <rFont val="Calibri"/>
              <b val="1"/>
              <sz val="10"/>
            </rPr>
            <t>Business Impact:</t>
          </r>
          <r>
            <rPr>
              <rFont val="Calibri"/>
              <sz val="10"/>
            </rPr>
            <t xml:space="preserve"> 2 of 12 — a starting estimate. — Start: 2, the role's accountability scope — what it answers for.; No move: the survey / manager mapping does not mark it business-critical or unique.; Managers and heads: overwrite this rating on the Weightage sheet with the business impact you see — the score updates at once.; Ladder: A2 = Own deliverables feed a team's output and turnaround</t>
          </r>
        </is>
      </c>
      <c r="X72" s="12"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Y72" s="12" t="inlineStr">
        <is>
          <r>
            <rPr>
              <rFont val="Calibri"/>
              <sz val="10"/>
            </rPr>
            <t xml:space="preserve">✓ HRIS: 0.4 yrs, B.Sc,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72" s="12" t="inlineStr">
        <is>
          <t>—</t>
        </is>
      </c>
      <c r="AA72" s="12" t="inlineStr">
        <is>
          <t>Nothing outstanding</t>
        </is>
      </c>
      <c r="AB72"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work only this person does: no; successor named: no.
</t>
          </r>
          <r>
            <rPr>
              <rFont val="Calibri"/>
              <b val="1"/>
              <sz val="10"/>
            </rPr>
            <t>If the work is missed · role-holders' themes:</t>
          </r>
          <r>
            <rPr>
              <rFont val="Calibri"/>
              <sz val="10"/>
            </rPr>
            <t xml:space="preserve"> pipeline.
Manager talent mapping — Latest rating: 1 · Potential: Low · 9-Box Grid placement: Performance Risk.</t>
          </r>
        </is>
      </c>
      <c r="AC72" s="84" t="n"/>
      <c r="AD72" s="84" t="n"/>
      <c r="AE72" s="84" t="n"/>
      <c r="AF72" s="12" t="n">
        <v>2</v>
      </c>
    </row>
    <row r="73" ht="379" customHeight="1">
      <c r="A73" s="12" t="inlineStr">
        <is>
          <t>IRIS2392</t>
        </is>
      </c>
      <c r="B73" s="10" t="inlineStr">
        <is>
          <t>Sanjana Thapa</t>
        </is>
      </c>
      <c r="C73" s="12" t="inlineStr">
        <is>
          <t>Marketing</t>
        </is>
      </c>
      <c r="D73" s="12" t="inlineStr">
        <is>
          <t>Marketing Associate - ABM</t>
        </is>
      </c>
      <c r="E73" s="85" t="inlineStr">
        <is>
          <t>Sales Development Representative</t>
        </is>
      </c>
      <c r="F73" s="12" t="inlineStr">
        <is>
          <t>Sales &amp; Business Development</t>
        </is>
      </c>
      <c r="G73" s="12" t="inlineStr">
        <is>
          <t>Sales Development &amp; Prospecting</t>
        </is>
      </c>
      <c r="H73" s="12" t="inlineStr">
        <is>
          <t>IC</t>
        </is>
      </c>
      <c r="I73" s="42" t="inlineStr">
        <is>
          <t>L3 – Professional / Associate</t>
        </is>
      </c>
      <c r="J73" s="16" t="inlineStr">
        <is>
          <t>A2</t>
        </is>
      </c>
      <c r="K73" s="17" t="inlineStr">
        <is>
          <t>Associate</t>
        </is>
      </c>
      <c r="L73" s="88" t="inlineStr">
        <is>
          <t>• Same level</t>
        </is>
      </c>
      <c r="M73" s="12" t="inlineStr">
        <is>
          <t>CARBON · Marketing · Band A · Early career</t>
        </is>
      </c>
      <c r="N73" s="42" t="n">
        <v>2.5</v>
      </c>
      <c r="O73" s="42" t="n">
        <v>2.5</v>
      </c>
      <c r="P73" s="42" t="n">
        <v>2</v>
      </c>
      <c r="Q73" s="42" t="n">
        <v>1</v>
      </c>
      <c r="R73" s="42" t="n">
        <v>2</v>
      </c>
      <c r="S73" s="80" t="n">
        <v>2.5</v>
      </c>
      <c r="T73" s="81">
        <f>IF(OR($M73="",COUNT(N73,O73,P73,Q73,R73,S73)&lt;6),"",IFERROR(N73*INDEX(WM_C,MATCH($M73,WM_KEY,0))+O73*INDEX(WM_AU,MATCH($M73,WM_KEY,0))+P73*INDEX(WM_AC,MATCH($M73,WM_KEY,0))+Q73*INDEX(WM_L,MATCH($M73,WM_KEY,0))+R73*INDEX(WM_E,MATCH($M73,WM_KEY,0))+S73*INDEX(WM_BI,MATCH($M73,WM_KEY,0)),""))</f>
        <v>2.43</v>
      </c>
      <c r="U73" s="42" t="str">
        <f>IF(T73="","",INDEX({"A1","A2","A3","B1","B2","B3","C1","C2","D1","D2","E1","E2"},MAX(1,MIN(12,ROUND(T73,0)))))</f>
        <v>A2</v>
      </c>
      <c r="V73" s="12" t="inlineStr">
        <is>
          <r>
            <rPr>
              <rFont val="Calibri"/>
              <sz val="10"/>
            </rPr>
            <t xml:space="preserve">New level A2 · Associate. Current level on record: L3 – Professional / Associate. Change: • Same level.
Score 2.43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3" s="12" t="inlineStr">
        <is>
          <r>
            <rPr>
              <rFont val="Calibri"/>
              <b val="1"/>
              <sz val="10"/>
            </rPr>
            <t>Complexity &amp; Expertise:</t>
          </r>
          <r>
            <rPr>
              <rFont val="Calibri"/>
              <sz val="10"/>
            </rPr>
            <t xml:space="preserve"> 2.5 of 12 · between A2 and A3 — Start: 2.0 · practitioner title; Evidence reads like A3: Account-based outreach for UK&amp;I and US: account research, target identification, consultative, personalised messaging → moved up 0.5; KRA: “1. Consistently met or exceeded performance targets. Achieved the highest DCS performance of 16 DCS in May'25 and 8 DCS in…”
</t>
          </r>
          <r>
            <rPr>
              <rFont val="Calibri"/>
              <b val="1"/>
              <sz val="10"/>
            </rPr>
            <t>Autonomy &amp; Decision:</t>
          </r>
          <r>
            <rPr>
              <rFont val="Calibri"/>
              <sz val="10"/>
            </rPr>
            <t xml:space="preserve"> 2.5 of 12 · between A2 and A3 — Start: 2.0 · practitioner title; Evidence reads like A3: Decides messaging approach, prospect prioritisation and engagement strategy for own accounts → moved up 0.5
</t>
          </r>
          <r>
            <rPr>
              <rFont val="Calibri"/>
              <b val="1"/>
              <sz val="10"/>
            </rPr>
            <t>Accountability &amp; Impact:</t>
          </r>
          <r>
            <rPr>
              <rFont val="Calibri"/>
              <sz val="10"/>
            </rPr>
            <t xml:space="preserve"> 2 of 12 — Start: 2.0 · practitioner title; Evidence reads like A2: own survey / KRA answers · summarised by the rater; not quoted → matches the start; KRA: “1. Consistently met or exceeded performance targets. Achieved the highest DCS performance of 16 DCS in May'25 and 8 DCS in…”
</t>
          </r>
          <r>
            <rPr>
              <rFont val="Calibri"/>
              <b val="1"/>
              <sz val="10"/>
            </rPr>
            <t>Leadership &amp; Strategy:</t>
          </r>
          <r>
            <rPr>
              <rFont val="Calibri"/>
              <sz val="10"/>
            </rPr>
            <t xml:space="preserve"> 1 of 12 — not counted: the weight is 0% at this level — Start: 1.0 · individual contributor, so influence only; Evidence reads like A1: Cross-team collaboration only; no guidance of others described → matches the start; Team: 0 direct reports · IC
</t>
          </r>
          <r>
            <rPr>
              <rFont val="Calibri"/>
              <b val="1"/>
              <sz val="10"/>
            </rPr>
            <t>Experience &amp; Qualification:</t>
          </r>
          <r>
            <rPr>
              <rFont val="Calibri"/>
              <sz val="10"/>
            </rPr>
            <t xml:space="preserve"> 2 of 12 — Experience: 1.2 yrs total · 1.2 at IRIS; none recorded before IRIS = 2.1 on the experience scale; Qualification: B.E · graduate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73" s="12"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Y73" s="12" t="inlineStr">
        <is>
          <r>
            <rPr>
              <rFont val="Calibri"/>
              <sz val="10"/>
            </rPr>
            <t xml:space="preserve">✓ HRIS: 1.2 yrs, B.E, 0 direct reports
✓ Survey: 19 of 20 questions answered
✓ KRAs: submitted, reported deliverables
✓ Manager mapping: rating, potential, 9-box
✓ Job description
</t>
          </r>
          <r>
            <rPr>
              <rFont val="Calibri"/>
              <b val="1"/>
              <sz val="10"/>
            </rPr>
            <t>Confidence:</t>
          </r>
          <r>
            <rPr>
              <rFont val="Calibri"/>
              <sz val="10"/>
            </rPr>
            <t xml:space="preserve"> High</t>
          </r>
        </is>
      </c>
      <c r="Z73" s="12" t="inlineStr">
        <is>
          <t>—</t>
        </is>
      </c>
      <c r="AA73" s="12" t="inlineStr">
        <is>
          <t>Nothing outstanding</t>
        </is>
      </c>
      <c r="AB73"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pipeline.
Manager talent mapping — Latest rating: 1 · Potential: High · 9-Box Grid placement: High Impact / Growth Talent.</t>
          </r>
        </is>
      </c>
      <c r="AC73" s="84" t="n"/>
      <c r="AD73" s="84" t="n"/>
      <c r="AE73" s="84" t="n"/>
      <c r="AF73" s="12" t="n">
        <v>2.5</v>
      </c>
    </row>
    <row r="74" ht="379" customHeight="1">
      <c r="A74" s="12" t="inlineStr">
        <is>
          <t>IRIS2513</t>
        </is>
      </c>
      <c r="B74" s="10" t="inlineStr">
        <is>
          <t>Satyarth Singh</t>
        </is>
      </c>
      <c r="C74" s="12" t="inlineStr">
        <is>
          <t>Marketing</t>
        </is>
      </c>
      <c r="D74" s="12" t="inlineStr">
        <is>
          <t>Marketing Associate</t>
        </is>
      </c>
      <c r="E74" s="85" t="inlineStr">
        <is>
          <t>Sales Development Representative</t>
        </is>
      </c>
      <c r="F74" s="12" t="inlineStr">
        <is>
          <t>Sales &amp; Business Development</t>
        </is>
      </c>
      <c r="G74" s="12" t="inlineStr">
        <is>
          <t>Sales Development &amp; Prospecting</t>
        </is>
      </c>
      <c r="H74" s="12" t="inlineStr">
        <is>
          <t>IC</t>
        </is>
      </c>
      <c r="I74" s="42" t="inlineStr">
        <is>
          <t>L3 – Professional / Associate</t>
        </is>
      </c>
      <c r="J74" s="16" t="inlineStr">
        <is>
          <t>A2</t>
        </is>
      </c>
      <c r="K74" s="17" t="inlineStr">
        <is>
          <t>Associate</t>
        </is>
      </c>
      <c r="L74" s="88" t="inlineStr">
        <is>
          <t>• Same level</t>
        </is>
      </c>
      <c r="M74" s="12" t="inlineStr">
        <is>
          <t>CARBON · Marketing · Band A · Early career</t>
        </is>
      </c>
      <c r="N74" s="42" t="n">
        <v>2</v>
      </c>
      <c r="O74" s="42" t="n">
        <v>2</v>
      </c>
      <c r="P74" s="42" t="n">
        <v>2</v>
      </c>
      <c r="Q74" s="42" t="n">
        <v>1</v>
      </c>
      <c r="R74" s="42" t="n">
        <v>2</v>
      </c>
      <c r="S74" s="80" t="n">
        <v>2</v>
      </c>
      <c r="T74" s="81">
        <f>IF(OR($M74="",COUNT(N74,O74,P74,Q74,R74,S74)&lt;6),"",IFERROR(N74*INDEX(WM_C,MATCH($M74,WM_KEY,0))+O74*INDEX(WM_AU,MATCH($M74,WM_KEY,0))+P74*INDEX(WM_AC,MATCH($M74,WM_KEY,0))+Q74*INDEX(WM_L,MATCH($M74,WM_KEY,0))+R74*INDEX(WM_E,MATCH($M74,WM_KEY,0))+S74*INDEX(WM_BI,MATCH($M74,WM_KEY,0)),""))</f>
        <v>2</v>
      </c>
      <c r="U74" s="42" t="str">
        <f>IF(T74="","",INDEX({"A1","A2","A3","B1","B2","B3","C1","C2","D1","D2","E1","E2"},MAX(1,MIN(12,ROUND(T74,0)))))</f>
        <v>A2</v>
      </c>
      <c r="V74" s="12" t="inlineStr">
        <is>
          <r>
            <rPr>
              <rFont val="Calibri"/>
              <sz val="10"/>
            </rPr>
            <t xml:space="preserve">New level A2 · Associate. Current level on record: L3 – Professional / Associate. Change: • Same level.
Score 2.00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4" s="12" t="inlineStr">
        <is>
          <r>
            <rPr>
              <rFont val="Calibri"/>
              <b val="1"/>
              <sz val="10"/>
            </rPr>
            <t>Complexity &amp; Expertise:</t>
          </r>
          <r>
            <rPr>
              <rFont val="Calibri"/>
              <sz val="10"/>
            </rPr>
            <t xml:space="preserve"> 2 of 12 — Start: 2.0 · practitioner title; Evidence reads like A2: Books discovery meetings via cold calls, emails and LinkedIn for France and Italy; researches ICPs → matches the start
</t>
          </r>
          <r>
            <rPr>
              <rFont val="Calibri"/>
              <b val="1"/>
              <sz val="10"/>
            </rPr>
            <t>Autonomy &amp; Decision:</t>
          </r>
          <r>
            <rPr>
              <rFont val="Calibri"/>
              <sz val="10"/>
            </rPr>
            <t xml:space="preserve"> 2 of 12 — Start: 2.0 · practitioner title; Evidence reads like A2: Decides the first outreach; adapts approach by region → matches the start
</t>
          </r>
          <r>
            <rPr>
              <rFont val="Calibri"/>
              <b val="1"/>
              <sz val="10"/>
            </rPr>
            <t>Accountability &amp; Impact:</t>
          </r>
          <r>
            <rPr>
              <rFont val="Calibri"/>
              <sz val="10"/>
            </rPr>
            <t xml:space="preserve"> 2 of 12 — Start: 2.0 · practitioner title; Evidence reads like A2: Accountable for ICP research and scheduling discovery calls; missed coordination loses a prospect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 of 12 — Experience: 0.4 yrs total · 0.4 at IRIS; none recorded before IRIS = 1.4 on the experience scale; Qualification: PGDM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74" s="12"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Y74" s="12" t="inlineStr">
        <is>
          <r>
            <rPr>
              <rFont val="Calibri"/>
              <sz val="10"/>
            </rPr>
            <t xml:space="preserve">✓ HRIS: 0.4 yrs, PGDM, 0 direct reports
✓ Survey: 19 of 20 questions answered
✓ KRAs: reported deliverables
✓ Manager mapping: rating, 9-box
✓ Job description
</t>
          </r>
          <r>
            <rPr>
              <rFont val="Calibri"/>
              <b val="1"/>
              <sz val="10"/>
            </rPr>
            <t>Confidence:</t>
          </r>
          <r>
            <rPr>
              <rFont val="Calibri"/>
              <sz val="10"/>
            </rPr>
            <t xml:space="preserve"> High</t>
          </r>
        </is>
      </c>
      <c r="Z74" s="12" t="inlineStr">
        <is>
          <t>—</t>
        </is>
      </c>
      <c r="AA74" s="12" t="inlineStr">
        <is>
          <t>Nothing outstanding</t>
        </is>
      </c>
      <c r="AB74"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pipeline.
Manager talent mapping — Latest rating: Not rated · manager · 9-Box Grid placement: Not placed · manager.</t>
          </r>
        </is>
      </c>
      <c r="AC74" s="84" t="n"/>
      <c r="AD74" s="84" t="n"/>
      <c r="AE74" s="84" t="n"/>
      <c r="AF74" s="12" t="n">
        <v>2</v>
      </c>
    </row>
    <row r="75" ht="379" customHeight="1">
      <c r="A75" s="12" t="inlineStr">
        <is>
          <t>IRIS2512</t>
        </is>
      </c>
      <c r="B75" s="10" t="inlineStr">
        <is>
          <t>Shobhit Dhingra</t>
        </is>
      </c>
      <c r="C75" s="12" t="inlineStr">
        <is>
          <t>Marketing</t>
        </is>
      </c>
      <c r="D75" s="12" t="inlineStr">
        <is>
          <t>Marketing Associate</t>
        </is>
      </c>
      <c r="E75" s="85" t="inlineStr">
        <is>
          <t>Sales Development Representative</t>
        </is>
      </c>
      <c r="F75" s="12" t="inlineStr">
        <is>
          <t>Sales &amp; Business Development</t>
        </is>
      </c>
      <c r="G75" s="12" t="inlineStr">
        <is>
          <t>Sales Development &amp; Prospecting</t>
        </is>
      </c>
      <c r="H75" s="12" t="inlineStr">
        <is>
          <t>IC</t>
        </is>
      </c>
      <c r="I75" s="42" t="inlineStr">
        <is>
          <t>L3 – Professional / Associate</t>
        </is>
      </c>
      <c r="J75" s="16" t="inlineStr">
        <is>
          <t>A2</t>
        </is>
      </c>
      <c r="K75" s="17" t="inlineStr">
        <is>
          <t>Associate</t>
        </is>
      </c>
      <c r="L75" s="88" t="inlineStr">
        <is>
          <t>• Same level</t>
        </is>
      </c>
      <c r="M75" s="12" t="inlineStr">
        <is>
          <t>CARBON · Marketing · Band A · Early career</t>
        </is>
      </c>
      <c r="N75" s="42" t="n">
        <v>2</v>
      </c>
      <c r="O75" s="42" t="n">
        <v>2</v>
      </c>
      <c r="P75" s="42" t="n">
        <v>2</v>
      </c>
      <c r="Q75" s="42" t="n">
        <v>1</v>
      </c>
      <c r="R75" s="42" t="n">
        <v>1.5</v>
      </c>
      <c r="S75" s="80" t="n">
        <v>2.5</v>
      </c>
      <c r="T75" s="81">
        <f>IF(OR($M75="",COUNT(N75,O75,P75,Q75,R75,S75)&lt;6),"",IFERROR(N75*INDEX(WM_C,MATCH($M75,WM_KEY,0))+O75*INDEX(WM_AU,MATCH($M75,WM_KEY,0))+P75*INDEX(WM_AC,MATCH($M75,WM_KEY,0))+Q75*INDEX(WM_L,MATCH($M75,WM_KEY,0))+R75*INDEX(WM_E,MATCH($M75,WM_KEY,0))+S75*INDEX(WM_BI,MATCH($M75,WM_KEY,0)),""))</f>
        <v>2.005</v>
      </c>
      <c r="U75" s="42" t="str">
        <f>IF(T75="","",INDEX({"A1","A2","A3","B1","B2","B3","C1","C2","D1","D2","E1","E2"},MAX(1,MIN(12,ROUND(T75,0)))))</f>
        <v>A2</v>
      </c>
      <c r="V75" s="12" t="inlineStr">
        <is>
          <r>
            <rPr>
              <rFont val="Calibri"/>
              <sz val="10"/>
            </rPr>
            <t xml:space="preserve">New level A2 · Associate. Current level on record: L3 – Professional / Associate. Change: • Same level.
Score 2.00 on the ladder scale → indicated level A2.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75" s="12" t="inlineStr">
        <is>
          <r>
            <rPr>
              <rFont val="Calibri"/>
              <b val="1"/>
              <sz val="10"/>
            </rPr>
            <t>Complexity &amp; Expertise:</t>
          </r>
          <r>
            <rPr>
              <rFont val="Calibri"/>
              <sz val="10"/>
            </rPr>
            <t xml:space="preserve"> 2 of 12 — Start: 2.0 · practitioner title; Evidence reads like A2: Pure outbound outreach to create pipeline, start the sales funnel and maintain the CRM → matches the start; KRA: “1. Recently joined the organization · around 3 months ago and is currently ramping up while building a strong understanding of sales,…”
</t>
          </r>
          <r>
            <rPr>
              <rFont val="Calibri"/>
              <b val="1"/>
              <sz val="10"/>
            </rPr>
            <t>Autonomy &amp; Decision:</t>
          </r>
          <r>
            <rPr>
              <rFont val="Calibri"/>
              <sz val="10"/>
            </rPr>
            <t xml:space="preserve"> 2 of 12 — Start: 2.0 · practitioner title; Evidence reads like A2: Decides own outreach approach, e.g. A/B tests of messaging → matches the start
</t>
          </r>
          <r>
            <rPr>
              <rFont val="Calibri"/>
              <b val="1"/>
              <sz val="10"/>
            </rPr>
            <t>Accountability &amp; Impact:</t>
          </r>
          <r>
            <rPr>
              <rFont val="Calibri"/>
              <sz val="10"/>
            </rPr>
            <t xml:space="preserve"> 2 of 12 — Start: 2.0 · practitioner title; Evidence reads like A2: own survey / KRA answers · summarised by the rater; not quoted → matches the start; KRA: “1. Recently joined the organization · around 3 months ago and is currently ramping up while building a strong understanding of sales,…”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1.5 of 12 · between A1 and A2 — Experience: 0.4 yrs total · 0.4 at IRIS; none recorded before IRIS = 1.4 on the experience scale; Qualification: B.Com · graduate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75" s="12" t="inlineStr">
        <is>
          <r>
            <rPr>
              <rFont val="Calibri"/>
              <b val="1"/>
              <sz val="10"/>
            </rPr>
            <t>Market level:</t>
          </r>
          <r>
            <rPr>
              <rFont val="Calibri"/>
              <sz val="10"/>
            </rPr>
            <t xml:space="preserve"> P1–P2 · SFIA 2 Assist
</t>
          </r>
          <r>
            <rPr>
              <rFont val="Calibri"/>
              <b val="1"/>
              <sz val="10"/>
            </rPr>
            <t>Typical title:</t>
          </r>
          <r>
            <rPr>
              <rFont val="Calibri"/>
              <sz val="10"/>
            </rPr>
            <t xml:space="preserve"> SDR · entry / SDR / Inside Sales
</t>
          </r>
          <r>
            <rPr>
              <rFont val="Calibri"/>
              <b val="1"/>
              <sz val="10"/>
            </rPr>
            <t>At peers:</t>
          </r>
          <r>
            <rPr>
              <rFont val="Calibri"/>
              <sz val="10"/>
            </rPr>
            <t xml:space="preserve"> IRIS Vs Competitor Benchmark — SaaS sales ladder — IC: SDR / BDR
</t>
          </r>
          <r>
            <rPr>
              <rFont val="Calibri"/>
              <b val="1"/>
              <sz val="10"/>
            </rPr>
            <t>Typical experience:</t>
          </r>
          <r>
            <rPr>
              <rFont val="Calibri"/>
              <sz val="10"/>
            </rPr>
            <t xml:space="preserve"> 0–3 yrs · IRIS guide 0–2
</t>
          </r>
          <r>
            <rPr>
              <rFont val="Calibri"/>
              <b val="1"/>
              <sz val="10"/>
            </rPr>
            <t>Standard:</t>
          </r>
          <r>
            <rPr>
              <rFont val="Calibri"/>
              <sz val="10"/>
            </rPr>
            <t xml:space="preserve"> SaaS sales ladder; MEDDICC-style qualification</t>
          </r>
        </is>
      </c>
      <c r="Y75" s="12" t="inlineStr">
        <is>
          <r>
            <rPr>
              <rFont val="Calibri"/>
              <sz val="10"/>
            </rPr>
            <t xml:space="preserve">✓ HRIS: 0.4 yrs, B.Com,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75" s="12" t="inlineStr">
        <is>
          <t>—</t>
        </is>
      </c>
      <c r="AA75" s="12" t="inlineStr">
        <is>
          <t>Nothing outstanding</t>
        </is>
      </c>
      <c r="AB75"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pipeline.
Manager talent mapping — Latest rating: 1 · Potential: Medium · 9-Box Grid placement: Core Contributor.</t>
          </r>
        </is>
      </c>
      <c r="AC75" s="84" t="n"/>
      <c r="AD75" s="84" t="n"/>
      <c r="AE75" s="84" t="n"/>
      <c r="AF75" s="12" t="n">
        <v>2.5</v>
      </c>
    </row>
    <row r="76" ht="80" customHeight="1">
      <c r="A76" s="12" t="inlineStr">
        <is>
          <t>INTN0287</t>
        </is>
      </c>
      <c r="B76" s="10" t="inlineStr">
        <is>
          <t>Anika Mariam</t>
        </is>
      </c>
      <c r="C76" s="12" t="inlineStr">
        <is>
          <t>Marketing</t>
        </is>
      </c>
      <c r="D76" s="12" t="inlineStr">
        <is>
          <t>Intern</t>
        </is>
      </c>
      <c r="E76" s="85" t="inlineStr">
        <is>
          <t>Intern – Sales Development &amp; Prospecting</t>
        </is>
      </c>
      <c r="F76" s="12" t="inlineStr">
        <is>
          <t>Sales &amp; Business Development</t>
        </is>
      </c>
      <c r="G76" s="12" t="inlineStr">
        <is>
          <t>Sales Development &amp; Prospecting</t>
        </is>
      </c>
      <c r="H76" s="12" t="inlineStr">
        <is>
          <t>IC</t>
        </is>
      </c>
      <c r="I76" s="42" t="inlineStr">
        <is>
          <t>L1 – Intern</t>
        </is>
      </c>
      <c r="J76" s="16" t="inlineStr">
        <is>
          <t>A1</t>
        </is>
      </c>
      <c r="K76" s="17" t="inlineStr">
        <is>
          <t>Intern / Trainee</t>
        </is>
      </c>
      <c r="L76" s="88" t="inlineStr">
        <is>
          <t>• Same level</t>
        </is>
      </c>
      <c r="M76" s="12" t="inlineStr">
        <is>
          <t>—</t>
        </is>
      </c>
      <c r="N76" s="42" t="inlineStr">
        <is>
          <t>—</t>
        </is>
      </c>
      <c r="O76" s="42" t="inlineStr">
        <is>
          <t>—</t>
        </is>
      </c>
      <c r="P76" s="42" t="inlineStr">
        <is>
          <t>—</t>
        </is>
      </c>
      <c r="Q76" s="42" t="inlineStr">
        <is>
          <t>—</t>
        </is>
      </c>
      <c r="R76" s="42" t="inlineStr">
        <is>
          <t>—</t>
        </is>
      </c>
      <c r="S76" s="80" t="inlineStr">
        <is>
          <t>—</t>
        </is>
      </c>
      <c r="T76" s="81" t="inlineStr">
        <is>
          <t>—</t>
        </is>
      </c>
      <c r="U76" s="42" t="inlineStr">
        <is>
          <t>Not scored</t>
        </is>
      </c>
      <c r="V76" s="12" t="inlineStr">
        <is>
          <t>New level A1 · Intern / Trainee. Current level on record: L1 – Intern. Change: • Same level.
Interns and first-year trainees start at A1.</t>
        </is>
      </c>
      <c r="W76" s="12" t="inlineStr">
        <is>
          <r>
            <rPr>
              <rFont val="Calibri"/>
              <b val="1"/>
              <sz val="10"/>
            </rPr>
            <t>Not scored:</t>
          </r>
          <r>
            <rPr>
              <rFont val="Calibri"/>
              <sz val="10"/>
            </rPr>
            <t xml:space="preserve"> interns and first-year trainees start at A1.</t>
          </r>
        </is>
      </c>
      <c r="X76"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SDR · entry
</t>
          </r>
          <r>
            <rPr>
              <rFont val="Calibri"/>
              <b val="1"/>
              <sz val="10"/>
            </rPr>
            <t>Standard:</t>
          </r>
          <r>
            <rPr>
              <rFont val="Calibri"/>
              <sz val="10"/>
            </rPr>
            <t xml:space="preserve"> SaaS sales ladder; MEDDICC-style qualification</t>
          </r>
        </is>
      </c>
      <c r="Y76" s="12" t="inlineStr">
        <is>
          <r>
            <rPr>
              <rFont val="Calibri"/>
              <sz val="10"/>
            </rPr>
            <t xml:space="preserve">✓ HRIS: 0.8 yrs, B.Tech, 0 direct reports
✓ Survey: 19 of 20 questions answered
✓ KRAs: submitted, reported deliverables
✓ Manager mapping: rating, potential, 9-box
✓ Job description
</t>
          </r>
          <r>
            <rPr>
              <rFont val="Calibri"/>
              <b val="1"/>
              <sz val="10"/>
            </rPr>
            <t>Confidence:</t>
          </r>
          <r>
            <rPr>
              <rFont val="Calibri"/>
              <sz val="10"/>
            </rPr>
            <t xml:space="preserve"> Medium</t>
          </r>
        </is>
      </c>
      <c r="Z76" s="12" t="inlineStr">
        <is>
          <t>—</t>
        </is>
      </c>
      <c r="AA76" s="12" t="inlineStr">
        <is>
          <t>Nothing outstanding</t>
        </is>
      </c>
      <c r="AB76"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Manager talent mapping — Latest rating: 2 · Potential: Medium · 9-Box Grid placement: Core Contributor.</t>
          </r>
        </is>
      </c>
      <c r="AC76" s="84" t="n"/>
      <c r="AD76" s="84" t="n"/>
      <c r="AE76" s="84" t="n"/>
      <c r="AF76" s="12" t="inlineStr">
        <is>
          <t>—</t>
        </is>
      </c>
    </row>
    <row r="77" ht="80" customHeight="1">
      <c r="A77" s="12" t="inlineStr">
        <is>
          <t>INTN0285</t>
        </is>
      </c>
      <c r="B77" s="10" t="inlineStr">
        <is>
          <t>Deblina Chatterjee</t>
        </is>
      </c>
      <c r="C77" s="12" t="inlineStr">
        <is>
          <t>Marketing</t>
        </is>
      </c>
      <c r="D77" s="12" t="inlineStr">
        <is>
          <t>Intern</t>
        </is>
      </c>
      <c r="E77" s="85" t="inlineStr">
        <is>
          <t>Intern – Sales Development &amp; Prospecting</t>
        </is>
      </c>
      <c r="F77" s="12" t="inlineStr">
        <is>
          <t>Sales &amp; Business Development</t>
        </is>
      </c>
      <c r="G77" s="12" t="inlineStr">
        <is>
          <t>Sales Development &amp; Prospecting</t>
        </is>
      </c>
      <c r="H77" s="12" t="inlineStr">
        <is>
          <t>IC</t>
        </is>
      </c>
      <c r="I77" s="42" t="inlineStr">
        <is>
          <t>L1 – Intern</t>
        </is>
      </c>
      <c r="J77" s="16" t="inlineStr">
        <is>
          <t>A1</t>
        </is>
      </c>
      <c r="K77" s="17" t="inlineStr">
        <is>
          <t>Intern / Trainee</t>
        </is>
      </c>
      <c r="L77" s="88" t="inlineStr">
        <is>
          <t>• Same level</t>
        </is>
      </c>
      <c r="M77" s="12" t="inlineStr">
        <is>
          <t>—</t>
        </is>
      </c>
      <c r="N77" s="42" t="inlineStr">
        <is>
          <t>—</t>
        </is>
      </c>
      <c r="O77" s="42" t="inlineStr">
        <is>
          <t>—</t>
        </is>
      </c>
      <c r="P77" s="42" t="inlineStr">
        <is>
          <t>—</t>
        </is>
      </c>
      <c r="Q77" s="42" t="inlineStr">
        <is>
          <t>—</t>
        </is>
      </c>
      <c r="R77" s="42" t="inlineStr">
        <is>
          <t>—</t>
        </is>
      </c>
      <c r="S77" s="80" t="inlineStr">
        <is>
          <t>—</t>
        </is>
      </c>
      <c r="T77" s="81" t="inlineStr">
        <is>
          <t>—</t>
        </is>
      </c>
      <c r="U77" s="42" t="inlineStr">
        <is>
          <t>Not scored</t>
        </is>
      </c>
      <c r="V77" s="12" t="inlineStr">
        <is>
          <t>New level A1 · Intern / Trainee. Current level on record: L1 – Intern. Change: • Same level.
Interns and first-year trainees start at A1.</t>
        </is>
      </c>
      <c r="W77" s="12" t="inlineStr">
        <is>
          <r>
            <rPr>
              <rFont val="Calibri"/>
              <b val="1"/>
              <sz val="10"/>
            </rPr>
            <t>Not scored:</t>
          </r>
          <r>
            <rPr>
              <rFont val="Calibri"/>
              <sz val="10"/>
            </rPr>
            <t xml:space="preserve"> interns and first-year trainees start at A1.</t>
          </r>
        </is>
      </c>
      <c r="X77"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SDR · entry
</t>
          </r>
          <r>
            <rPr>
              <rFont val="Calibri"/>
              <b val="1"/>
              <sz val="10"/>
            </rPr>
            <t>Standard:</t>
          </r>
          <r>
            <rPr>
              <rFont val="Calibri"/>
              <sz val="10"/>
            </rPr>
            <t xml:space="preserve"> SaaS sales ladder; MEDDICC-style qualification</t>
          </r>
        </is>
      </c>
      <c r="Y77" s="12" t="inlineStr">
        <is>
          <r>
            <rPr>
              <rFont val="Calibri"/>
              <sz val="10"/>
            </rPr>
            <t xml:space="preserve">✓ HRIS: 1.2 yrs, B.Tech, 0 direct reports
✓ Survey: 19 of 20 questions answered
✓ KRAs: submitted, reported deliverables
✓ Manager mapping: rating, potential, 9-box
✓ Job description
</t>
          </r>
          <r>
            <rPr>
              <rFont val="Calibri"/>
              <b val="1"/>
              <sz val="10"/>
            </rPr>
            <t>Confidence:</t>
          </r>
          <r>
            <rPr>
              <rFont val="Calibri"/>
              <sz val="10"/>
            </rPr>
            <t xml:space="preserve"> Medium</t>
          </r>
        </is>
      </c>
      <c r="Z77" s="12" t="inlineStr">
        <is>
          <t>—</t>
        </is>
      </c>
      <c r="AA77" s="12" t="inlineStr">
        <is>
          <t>Nothing outstanding</t>
        </is>
      </c>
      <c r="AB77"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Manager talent mapping — Latest rating: 3 · Potential: High · 9-Box Grid placement: Emerging Talent.</t>
          </r>
        </is>
      </c>
      <c r="AC77" s="84" t="n"/>
      <c r="AD77" s="84" t="n"/>
      <c r="AE77" s="84" t="n"/>
      <c r="AF77" s="12" t="inlineStr">
        <is>
          <t>—</t>
        </is>
      </c>
    </row>
    <row r="78" ht="80" customHeight="1">
      <c r="A78" s="12" t="inlineStr">
        <is>
          <t>INTN0286</t>
        </is>
      </c>
      <c r="B78" s="10" t="inlineStr">
        <is>
          <t>Samriddhi Kundu</t>
        </is>
      </c>
      <c r="C78" s="12" t="inlineStr">
        <is>
          <t>Marketing</t>
        </is>
      </c>
      <c r="D78" s="12" t="inlineStr">
        <is>
          <t>Intern</t>
        </is>
      </c>
      <c r="E78" s="85" t="inlineStr">
        <is>
          <t>Intern – Sales Development &amp; Prospecting</t>
        </is>
      </c>
      <c r="F78" s="12" t="inlineStr">
        <is>
          <t>Sales &amp; Business Development</t>
        </is>
      </c>
      <c r="G78" s="12" t="inlineStr">
        <is>
          <t>Sales Development &amp; Prospecting</t>
        </is>
      </c>
      <c r="H78" s="12" t="inlineStr">
        <is>
          <t>IC</t>
        </is>
      </c>
      <c r="I78" s="42" t="inlineStr">
        <is>
          <t>L1 – Intern</t>
        </is>
      </c>
      <c r="J78" s="16" t="inlineStr">
        <is>
          <t>A1</t>
        </is>
      </c>
      <c r="K78" s="17" t="inlineStr">
        <is>
          <t>Intern / Trainee</t>
        </is>
      </c>
      <c r="L78" s="88" t="inlineStr">
        <is>
          <t>• Same level</t>
        </is>
      </c>
      <c r="M78" s="12" t="inlineStr">
        <is>
          <t>—</t>
        </is>
      </c>
      <c r="N78" s="42" t="inlineStr">
        <is>
          <t>—</t>
        </is>
      </c>
      <c r="O78" s="42" t="inlineStr">
        <is>
          <t>—</t>
        </is>
      </c>
      <c r="P78" s="42" t="inlineStr">
        <is>
          <t>—</t>
        </is>
      </c>
      <c r="Q78" s="42" t="inlineStr">
        <is>
          <t>—</t>
        </is>
      </c>
      <c r="R78" s="42" t="inlineStr">
        <is>
          <t>—</t>
        </is>
      </c>
      <c r="S78" s="80" t="inlineStr">
        <is>
          <t>—</t>
        </is>
      </c>
      <c r="T78" s="81" t="inlineStr">
        <is>
          <t>—</t>
        </is>
      </c>
      <c r="U78" s="42" t="inlineStr">
        <is>
          <t>Not scored</t>
        </is>
      </c>
      <c r="V78" s="12" t="inlineStr">
        <is>
          <t>New level A1 · Intern / Trainee. Current level on record: L1 – Intern. Change: • Same level.
Interns and first-year trainees start at A1.</t>
        </is>
      </c>
      <c r="W78" s="12" t="inlineStr">
        <is>
          <r>
            <rPr>
              <rFont val="Calibri"/>
              <b val="1"/>
              <sz val="10"/>
            </rPr>
            <t>Not scored:</t>
          </r>
          <r>
            <rPr>
              <rFont val="Calibri"/>
              <sz val="10"/>
            </rPr>
            <t xml:space="preserve"> interns and first-year trainees start at A1.</t>
          </r>
        </is>
      </c>
      <c r="X78"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SDR · entry
</t>
          </r>
          <r>
            <rPr>
              <rFont val="Calibri"/>
              <b val="1"/>
              <sz val="10"/>
            </rPr>
            <t>Standard:</t>
          </r>
          <r>
            <rPr>
              <rFont val="Calibri"/>
              <sz val="10"/>
            </rPr>
            <t xml:space="preserve"> SaaS sales ladder; MEDDICC-style qualification</t>
          </r>
        </is>
      </c>
      <c r="Y78" s="12" t="inlineStr">
        <is>
          <r>
            <rPr>
              <rFont val="Calibri"/>
              <sz val="10"/>
            </rPr>
            <t xml:space="preserve">✓ HRIS: 0.9 yrs, B.Tech,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78" s="12" t="inlineStr">
        <is>
          <t>—</t>
        </is>
      </c>
      <c r="AA78" s="12" t="inlineStr">
        <is>
          <t>Nothing outstanding</t>
        </is>
      </c>
      <c r="AB78"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Manager talent mapping — Latest rating: 3 · Potential: High · 9-Box Grid placement: Emerging Talent.</t>
          </r>
        </is>
      </c>
      <c r="AC78" s="84" t="n"/>
      <c r="AD78" s="84" t="n"/>
      <c r="AE78" s="84" t="n"/>
      <c r="AF78" s="12" t="inlineStr">
        <is>
          <t>—</t>
        </is>
      </c>
    </row>
    <row r="79" ht="379" customHeight="1">
      <c r="A79" s="12" t="inlineStr">
        <is>
          <t>IRIS0591</t>
        </is>
      </c>
      <c r="B79" s="10" t="inlineStr">
        <is>
          <t>Vinod Katekar</t>
        </is>
      </c>
      <c r="C79" s="12" t="inlineStr">
        <is>
          <t>Quality Assurance</t>
        </is>
      </c>
      <c r="D79" s="12" t="inlineStr">
        <is>
          <t>QA-Lead</t>
        </is>
      </c>
      <c r="E79" s="85" t="inlineStr">
        <is>
          <t>QA Manager</t>
        </is>
      </c>
      <c r="F79" s="12" t="inlineStr">
        <is>
          <t>Quality Assurance</t>
        </is>
      </c>
      <c r="G79" s="12" t="inlineStr">
        <is>
          <t>Test Management &amp; QA Leadership</t>
        </is>
      </c>
      <c r="H79" s="12" t="inlineStr">
        <is>
          <t>People Manager</t>
        </is>
      </c>
      <c r="I79" s="42" t="inlineStr">
        <is>
          <t>L5 – Lead · IC</t>
        </is>
      </c>
      <c r="J79" s="20" t="inlineStr">
        <is>
          <t>B2</t>
        </is>
      </c>
      <c r="K79" s="21" t="inlineStr">
        <is>
          <t>Manager</t>
        </is>
      </c>
      <c r="L79" s="86" t="inlineStr">
        <is>
          <t>▼ Down · pay &amp; title protected</t>
        </is>
      </c>
      <c r="M79" s="12" t="inlineStr">
        <is>
          <t>CARBON · Quality Assurance · Band B · People Manager</t>
        </is>
      </c>
      <c r="N79" s="42" t="n">
        <v>4</v>
      </c>
      <c r="O79" s="42" t="n">
        <v>4.5</v>
      </c>
      <c r="P79" s="42" t="n">
        <v>5</v>
      </c>
      <c r="Q79" s="42" t="n">
        <v>5</v>
      </c>
      <c r="R79" s="42" t="n">
        <v>8.5</v>
      </c>
      <c r="S79" s="80" t="n">
        <v>5</v>
      </c>
      <c r="T79" s="81">
        <f>IF(OR($M79="",COUNT(N79,O79,P79,Q79,R79,S79)&lt;6),"",IFERROR(N79*INDEX(WM_C,MATCH($M79,WM_KEY,0))+O79*INDEX(WM_AU,MATCH($M79,WM_KEY,0))+P79*INDEX(WM_AC,MATCH($M79,WM_KEY,0))+Q79*INDEX(WM_L,MATCH($M79,WM_KEY,0))+R79*INDEX(WM_E,MATCH($M79,WM_KEY,0))+S79*INDEX(WM_BI,MATCH($M79,WM_KEY,0)),""))</f>
        <v>4.84</v>
      </c>
      <c r="U79" s="42" t="str">
        <f>IF(T79="","",INDEX({"A1","A2","A3","B1","B2","B3","C1","C2","D1","D2","E1","E2"},MAX(1,MIN(12,ROUND(T79,0)))))</f>
        <v>B2</v>
      </c>
      <c r="V79" s="12" t="inlineStr">
        <is>
          <r>
            <rPr>
              <rFont val="Calibri"/>
              <sz val="10"/>
            </rPr>
            <t xml:space="preserve">New level B2 · Manager. Current level on record: L5 – Lead · IC. Change: ▼ Down · pay &amp; title protected.
Score 4.84 on the ladder scale → indicated level B2.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79" s="12" t="inlineStr">
        <is>
          <r>
            <rPr>
              <rFont val="Calibri"/>
              <b val="1"/>
              <sz val="10"/>
            </rPr>
            <t>Complexity &amp; Expertise:</t>
          </r>
          <r>
            <rPr>
              <rFont val="Calibri"/>
              <sz val="10"/>
            </rPr>
            <t xml:space="preserve"> 4 of 12 — Start: 4.0 · lead / specialist title; Evidence reads like B1: Plans tests, handles the more complex testing, identifies and communicates release quality risks → matches the start; KRA: “1.Ensure 100% test coverage, release readiness, and quality sign-off for all owned modules and deliveries. 2.Drive automation strategy and…”
</t>
          </r>
          <r>
            <rPr>
              <rFont val="Calibri"/>
              <b val="1"/>
              <sz val="10"/>
            </rPr>
            <t>Autonomy &amp; Decision:</t>
          </r>
          <r>
            <rPr>
              <rFont val="Calibri"/>
              <sz val="10"/>
            </rPr>
            <t xml:space="preserve"> 4.5 of 12 · between B1 and B2 — Start: 5.0 · lead / specialist title; reporting lines show a bigger role: 5 direct reports, 8 people below, 1 of them leads a team; Evidence reads like B1: Independently sets test priorities and QA actions for the testing team → moved down 0.5
</t>
          </r>
          <r>
            <rPr>
              <rFont val="Calibri"/>
              <b val="1"/>
              <sz val="10"/>
            </rPr>
            <t>Accountability &amp; Impact:</t>
          </r>
          <r>
            <rPr>
              <rFont val="Calibri"/>
              <sz val="10"/>
            </rPr>
            <t xml:space="preserve"> 5 of 12 — Start: 6.0 · lead / specialist title; 5 direct reports, 8 people below, 1 of them leads a team; Evidence reads like B1: Gives QA sign-off; answers for tested software and visibility of defects and risks → moved down 1; KRA: “1.Ensure 100% test coverage, release readiness, and quality sign-off for all owned modules and deliveries. 2.Drive automation strategy and…”
</t>
          </r>
          <r>
            <rPr>
              <rFont val="Calibri"/>
              <b val="1"/>
              <sz val="10"/>
            </rPr>
            <t>Leadership &amp; Strategy:</t>
          </r>
          <r>
            <rPr>
              <rFont val="Calibri"/>
              <sz val="10"/>
            </rPr>
            <t xml:space="preserve"> 5 of 12 — Start: 6.0; Evidence reads like B1: Leads manual testing and coordinates a team of five reports → moved down 1; Team: 5 direct reports · People Manager
</t>
          </r>
          <r>
            <rPr>
              <rFont val="Calibri"/>
              <b val="1"/>
              <sz val="10"/>
            </rPr>
            <t>Experience &amp; Qualification:</t>
          </r>
          <r>
            <rPr>
              <rFont val="Calibri"/>
              <sz val="10"/>
            </rPr>
            <t xml:space="preserve"> 8.5 of 12 · between C2 and D1 — Experience: 15.5 yrs total · 15.5 at IRIS; none recorded before IRIS = 8.3 on the experience scale; Qualification: B.Com · graduate → no change
</t>
          </r>
          <r>
            <rPr>
              <rFont val="Calibri"/>
              <b val="1"/>
              <sz val="10"/>
            </rPr>
            <t>Business Impact:</t>
          </r>
          <r>
            <rPr>
              <rFont val="Calibri"/>
              <sz val="10"/>
            </rPr>
            <t xml:space="preserve"> 5 of 12 — a starting estimate. —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r>
        </is>
      </c>
      <c r="X79"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ISTQB Foundation → Advanced → Expert; SFIA testing</t>
          </r>
        </is>
      </c>
      <c r="Y79" s="12" t="inlineStr">
        <is>
          <r>
            <rPr>
              <rFont val="Calibri"/>
              <sz val="10"/>
            </rPr>
            <t xml:space="preserve">✓ HRIS: 15.5 yrs, B.Com, 5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79" s="82" t="inlineStr">
        <is>
          <r>
            <rPr>
              <rFont val="Calibri"/>
              <color rgb="009C5700"/>
              <sz val="10"/>
            </rPr>
            <t xml:space="preserve">• </t>
          </r>
          <r>
            <rPr>
              <rFont val="Calibri"/>
              <b val="1"/>
              <color rgb="009C5700"/>
              <sz val="10"/>
            </rPr>
            <t>Moves down:</t>
          </r>
          <r>
            <rPr>
              <rFont val="Calibri"/>
              <color rgb="009C5700"/>
              <sz val="10"/>
            </rPr>
            <t xml:space="preserve"> protected for one cycle</t>
          </r>
        </is>
      </c>
      <c r="AA79" s="83" t="inlineStr">
        <is>
          <t>• Confirm the reporting line — Manager</t>
        </is>
      </c>
      <c r="AB79"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5 direct reports.
</t>
          </r>
          <r>
            <rPr>
              <rFont val="Calibri"/>
              <b val="1"/>
              <sz val="10"/>
            </rPr>
            <t>If the work is missed · role-holders' themes:</t>
          </r>
          <r>
            <rPr>
              <rFont val="Calibri"/>
              <sz val="10"/>
            </rPr>
            <t xml:space="preserve"> delays · rework.
Manager talent mapping — Latest rating: Not rated · manager · 9-Box Grid placement: Underperformer / Exit Risk.</t>
          </r>
        </is>
      </c>
      <c r="AC79" s="84" t="n"/>
      <c r="AD79" s="84" t="n"/>
      <c r="AE79" s="84" t="n"/>
      <c r="AF79" s="12" t="n">
        <v>5</v>
      </c>
    </row>
    <row r="80" ht="379" customHeight="1">
      <c r="A80" s="12" t="inlineStr">
        <is>
          <t>IRIS1672</t>
        </is>
      </c>
      <c r="B80" s="10" t="inlineStr">
        <is>
          <t>Brehmjit Gopalkrishnan</t>
        </is>
      </c>
      <c r="C80" s="12" t="inlineStr">
        <is>
          <t>Quality Assurance</t>
        </is>
      </c>
      <c r="D80" s="12" t="inlineStr">
        <is>
          <t>Client Solutions Executive</t>
        </is>
      </c>
      <c r="E80" s="85" t="inlineStr">
        <is>
          <t>Senior QA Engineer</t>
        </is>
      </c>
      <c r="F80" s="12" t="inlineStr">
        <is>
          <t>Quality Assurance</t>
        </is>
      </c>
      <c r="G80" s="12" t="inlineStr">
        <is>
          <t>Functional &amp; Domain Testing</t>
        </is>
      </c>
      <c r="H80" s="12" t="inlineStr">
        <is>
          <t>IC</t>
        </is>
      </c>
      <c r="I80" s="42" t="inlineStr">
        <is>
          <t>L3 – Professional / Associate</t>
        </is>
      </c>
      <c r="J80" s="16" t="inlineStr">
        <is>
          <t>A3</t>
        </is>
      </c>
      <c r="K80" s="17" t="inlineStr">
        <is>
          <t>Senior Associate</t>
        </is>
      </c>
      <c r="L80" s="87" t="inlineStr">
        <is>
          <t>▲ Up</t>
        </is>
      </c>
      <c r="M80" s="12" t="inlineStr">
        <is>
          <t>CARBON · Quality Assurance · Band A · Early career</t>
        </is>
      </c>
      <c r="N80" s="42" t="n">
        <v>2</v>
      </c>
      <c r="O80" s="42" t="n">
        <v>2</v>
      </c>
      <c r="P80" s="42" t="n">
        <v>2.5</v>
      </c>
      <c r="Q80" s="42" t="n">
        <v>1</v>
      </c>
      <c r="R80" s="42" t="n">
        <v>9</v>
      </c>
      <c r="S80" s="80" t="n">
        <v>2.5</v>
      </c>
      <c r="T80" s="81">
        <f>IF(OR($M80="",COUNT(N80,O80,P80,Q80,R80,S80)&lt;6),"",IFERROR(N80*INDEX(WM_C,MATCH($M80,WM_KEY,0))+O80*INDEX(WM_AU,MATCH($M80,WM_KEY,0))+P80*INDEX(WM_AC,MATCH($M80,WM_KEY,0))+Q80*INDEX(WM_L,MATCH($M80,WM_KEY,0))+R80*INDEX(WM_E,MATCH($M80,WM_KEY,0))+S80*INDEX(WM_BI,MATCH($M80,WM_KEY,0)),""))</f>
        <v>2.75</v>
      </c>
      <c r="U80" s="42" t="str">
        <f>IF(T80="","",INDEX({"A1","A2","A3","B1","B2","B3","C1","C2","D1","D2","E1","E2"},MAX(1,MIN(12,ROUND(T80,0)))))</f>
        <v>A3</v>
      </c>
      <c r="V80" s="12" t="inlineStr">
        <is>
          <r>
            <rPr>
              <rFont val="Calibri"/>
              <sz val="10"/>
            </rPr>
            <t xml:space="preserve">New level A3 · Senior Associate. Current level on record: L3 – Professional / Associate. Change: ▲ Up.
Score 2.75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0" s="12" t="inlineStr">
        <is>
          <r>
            <rPr>
              <rFont val="Calibri"/>
              <b val="1"/>
              <sz val="10"/>
            </rPr>
            <t>Complexity &amp; Expertise:</t>
          </r>
          <r>
            <rPr>
              <rFont val="Calibri"/>
              <sz val="10"/>
            </rPr>
            <t xml:space="preserve"> 2 of 12 — Start: 2.0 · practitioner title; Evidence reads like A2: Test case execution, regression testing and defect logging across different regulators' requirements → matches the start; KRA: “1. Begin exploring and contributing to automation testing initiatives by learning the automation framework, understanding best practices,…”
</t>
          </r>
          <r>
            <rPr>
              <rFont val="Calibri"/>
              <b val="1"/>
              <sz val="10"/>
            </rPr>
            <t>Autonomy &amp; Decision:</t>
          </r>
          <r>
            <rPr>
              <rFont val="Calibri"/>
              <sz val="10"/>
            </rPr>
            <t xml:space="preserve"> 2 of 12 — Start: 2.0 · practitioner title; Evidence reads like A2: Decides testing scenarios and bug logging → matches the start
</t>
          </r>
          <r>
            <rPr>
              <rFont val="Calibri"/>
              <b val="1"/>
              <sz val="10"/>
            </rPr>
            <t>Accountability &amp; Impact:</t>
          </r>
          <r>
            <rPr>
              <rFont val="Calibri"/>
              <sz val="10"/>
            </rPr>
            <t xml:space="preserve"> 2.5 of 12 · between A2 and A3 — Start: 2.0 · practitioner title; Evidence reads like A3: own survey / KRA answers · summarised by the rater; not quoted → moved up 0.5; KRA: “1. Begin exploring and contributing to automation testing initiatives by learning the automation framework, understanding best practices,…”
</t>
          </r>
          <r>
            <rPr>
              <rFont val="Calibri"/>
              <b val="1"/>
              <sz val="10"/>
            </rPr>
            <t>Leadership &amp; Strategy:</t>
          </r>
          <r>
            <rPr>
              <rFont val="Calibri"/>
              <sz val="10"/>
            </rPr>
            <t xml:space="preserve"> 1 of 12 — not counted: the weight is 0% at this level — Start: 1.0 · individual contributor, so influence only; Evidence reads like A1: Sprint team alignment only; no guidance of others described → matches the start; Team: 0 direct reports · IC
</t>
          </r>
          <r>
            <rPr>
              <rFont val="Calibri"/>
              <b val="1"/>
              <sz val="10"/>
            </rPr>
            <t>Experience &amp; Qualification:</t>
          </r>
          <r>
            <rPr>
              <rFont val="Calibri"/>
              <sz val="10"/>
            </rPr>
            <t xml:space="preserve"> 9 of 12 — Experience: 17.0 yrs total · 8.0 before IRIS + 9.0 at IRIS = 8.8 on the experience scale; Qualification: B.Com · graduate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80"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80" s="12" t="inlineStr">
        <is>
          <r>
            <rPr>
              <rFont val="Calibri"/>
              <sz val="10"/>
            </rPr>
            <t xml:space="preserve">✓ HRIS: 17.0 yrs, B.Com,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High</t>
          </r>
        </is>
      </c>
      <c r="Z80" s="12" t="inlineStr">
        <is>
          <t>—</t>
        </is>
      </c>
      <c r="AA80" s="12" t="inlineStr">
        <is>
          <t>Nothing outstanding</t>
        </is>
      </c>
      <c r="AB8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Future Leader.</t>
          </r>
        </is>
      </c>
      <c r="AC80" s="84" t="n"/>
      <c r="AD80" s="84" t="n"/>
      <c r="AE80" s="84" t="n"/>
      <c r="AF80" s="12" t="n">
        <v>2.5</v>
      </c>
    </row>
    <row r="81" ht="379" customHeight="1">
      <c r="A81" s="12" t="inlineStr">
        <is>
          <t>IRIS2388</t>
        </is>
      </c>
      <c r="B81" s="10" t="inlineStr">
        <is>
          <t>Hrishikesh Thombare</t>
        </is>
      </c>
      <c r="C81" s="12" t="inlineStr">
        <is>
          <t>Quality Assurance</t>
        </is>
      </c>
      <c r="D81" s="12" t="inlineStr">
        <is>
          <t>QA Engineer</t>
        </is>
      </c>
      <c r="E81" s="85" t="inlineStr">
        <is>
          <t>Senior QA Engineer</t>
        </is>
      </c>
      <c r="F81" s="12" t="inlineStr">
        <is>
          <t>Quality Assurance</t>
        </is>
      </c>
      <c r="G81" s="12" t="inlineStr">
        <is>
          <t>Functional &amp; Domain Testing</t>
        </is>
      </c>
      <c r="H81" s="12" t="inlineStr">
        <is>
          <t>IC</t>
        </is>
      </c>
      <c r="I81" s="42" t="inlineStr">
        <is>
          <t>L3 – Professional / Associate</t>
        </is>
      </c>
      <c r="J81" s="16" t="inlineStr">
        <is>
          <t>A3</t>
        </is>
      </c>
      <c r="K81" s="17" t="inlineStr">
        <is>
          <t>Senior Associate</t>
        </is>
      </c>
      <c r="L81" s="87" t="inlineStr">
        <is>
          <t>▲ Up</t>
        </is>
      </c>
      <c r="M81" s="12" t="inlineStr">
        <is>
          <t>CARBON · Quality Assurance · Band A · Early career</t>
        </is>
      </c>
      <c r="N81" s="42" t="n">
        <v>2</v>
      </c>
      <c r="O81" s="42" t="n">
        <v>2</v>
      </c>
      <c r="P81" s="42" t="n">
        <v>2</v>
      </c>
      <c r="Q81" s="42" t="n">
        <v>1</v>
      </c>
      <c r="R81" s="42" t="n">
        <v>3.5</v>
      </c>
      <c r="S81" s="80" t="n">
        <v>2</v>
      </c>
      <c r="T81" s="81">
        <f>IF(OR($M81="",COUNT(N81,O81,P81,Q81,R81,S81)&lt;6),"",IFERROR(N81*INDEX(WM_C,MATCH($M81,WM_KEY,0))+O81*INDEX(WM_AU,MATCH($M81,WM_KEY,0))+P81*INDEX(WM_AC,MATCH($M81,WM_KEY,0))+Q81*INDEX(WM_L,MATCH($M81,WM_KEY,0))+R81*INDEX(WM_E,MATCH($M81,WM_KEY,0))+S81*INDEX(WM_BI,MATCH($M81,WM_KEY,0)),""))</f>
        <v>2.15</v>
      </c>
      <c r="U81" s="42" t="str">
        <f>IF(T81="","",INDEX({"A1","A2","A3","B1","B2","B3","C1","C2","D1","D2","E1","E2"},MAX(1,MIN(12,ROUND(T81,0)))))</f>
        <v>A2</v>
      </c>
      <c r="V81"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4.1 years' experience is 2 years or more.
</t>
          </r>
          <r>
            <rPr>
              <rFont val="Calibri"/>
              <b val="1"/>
              <sz val="10"/>
            </rPr>
            <t>Final level:</t>
          </r>
          <r>
            <rPr>
              <rFont val="Calibri"/>
              <sz val="10"/>
            </rPr>
            <t xml:space="preserve"> A3.</t>
          </r>
        </is>
      </c>
      <c r="W81" s="12" t="inlineStr">
        <is>
          <r>
            <rPr>
              <rFont val="Calibri"/>
              <b val="1"/>
              <sz val="10"/>
            </rPr>
            <t>Complexity &amp; Expertise:</t>
          </r>
          <r>
            <rPr>
              <rFont val="Calibri"/>
              <sz val="10"/>
            </rPr>
            <t xml:space="preserve"> 2 of 12 — Start: 2.0 · practitioner title; Evidence reads like A2: Manual functional and regression testing, test case creation on XBRL disclosure-management workflows; standard QA method → matches the start; KRA: “1.Ensure 100% execution and validation of assigned functional and regression test cases for planned releases. 2.Develop strong product and…”
</t>
          </r>
          <r>
            <rPr>
              <rFont val="Calibri"/>
              <b val="1"/>
              <sz val="10"/>
            </rPr>
            <t>Autonomy &amp; Decision:</t>
          </r>
          <r>
            <rPr>
              <rFont val="Calibri"/>
              <sz val="10"/>
            </rPr>
            <t xml:space="preserve"> 2 of 12 — Start: 2.0 · practitioner title; Evidence reads like A2: Chooses which positive, negative and boundary scenarios to cover; judges whether a retest passes → matches the start
</t>
          </r>
          <r>
            <rPr>
              <rFont val="Calibri"/>
              <b val="1"/>
              <sz val="10"/>
            </rPr>
            <t>Accountability &amp; Impact:</t>
          </r>
          <r>
            <rPr>
              <rFont val="Calibri"/>
              <sz val="10"/>
            </rPr>
            <t xml:space="preserve"> 2 of 12 — Start: 2.0 · practitioner title; Evidence reads like A2: Quality and completeness of own testing, defect documentation and fix validation → matches the start; KRA: “1.Ensure 100% execution and validation of assigned functional and regression test cases for planned releases. 2.Develop strong product and…”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3.5 of 12 · between A3 and B1 — Experience: 4.1 yrs total · 2.8 before IRIS + 1.3 at IRIS = 3.4 on the experience scale; Qualification: B.Com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81"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81" s="12" t="inlineStr">
        <is>
          <r>
            <rPr>
              <rFont val="Calibri"/>
              <sz val="10"/>
            </rPr>
            <t xml:space="preserve">✓ HRIS: 4.1 yrs, B.Com, 0 direct reports
✓ Survey: 20 of 20 questions answered
✓ KRAs: submitted
✓ Manager mapping: rating, 9-box — filled from talent-mapping files: 9-box · CARBON grid
✗ Job description: not on file
</t>
          </r>
          <r>
            <rPr>
              <rFont val="Calibri"/>
              <b val="1"/>
              <sz val="10"/>
            </rPr>
            <t>Confidence:</t>
          </r>
          <r>
            <rPr>
              <rFont val="Calibri"/>
              <sz val="10"/>
            </rPr>
            <t xml:space="preserve"> Medium</t>
          </r>
        </is>
      </c>
      <c r="Z81" s="12" t="inlineStr">
        <is>
          <t>—</t>
        </is>
      </c>
      <c r="AA81" s="12" t="inlineStr">
        <is>
          <t>Nothing outstanding</t>
        </is>
      </c>
      <c r="AB8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Reliable Specialist.</t>
          </r>
        </is>
      </c>
      <c r="AC81" s="84" t="n"/>
      <c r="AD81" s="84" t="n"/>
      <c r="AE81" s="84" t="n"/>
      <c r="AF81" s="12" t="n">
        <v>2</v>
      </c>
    </row>
    <row r="82" ht="379" customHeight="1">
      <c r="A82" s="12" t="inlineStr">
        <is>
          <t>IRIS0625</t>
        </is>
      </c>
      <c r="B82" s="10" t="inlineStr">
        <is>
          <t>Pooja Gawas</t>
        </is>
      </c>
      <c r="C82" s="12" t="inlineStr">
        <is>
          <t>Quality Assurance</t>
        </is>
      </c>
      <c r="D82" s="12" t="inlineStr">
        <is>
          <t>QA Engineer</t>
        </is>
      </c>
      <c r="E82" s="85" t="inlineStr">
        <is>
          <t>Senior QA Engineer</t>
        </is>
      </c>
      <c r="F82" s="12" t="inlineStr">
        <is>
          <t>Quality Assurance</t>
        </is>
      </c>
      <c r="G82" s="12" t="inlineStr">
        <is>
          <t>Functional &amp; Domain Testing</t>
        </is>
      </c>
      <c r="H82" s="12" t="inlineStr">
        <is>
          <t>IC</t>
        </is>
      </c>
      <c r="I82" s="42" t="inlineStr">
        <is>
          <t>L3 – Professional / Associate</t>
        </is>
      </c>
      <c r="J82" s="16" t="inlineStr">
        <is>
          <t>A3</t>
        </is>
      </c>
      <c r="K82" s="17" t="inlineStr">
        <is>
          <t>Senior Associate</t>
        </is>
      </c>
      <c r="L82" s="87" t="inlineStr">
        <is>
          <t>▲ Up</t>
        </is>
      </c>
      <c r="M82" s="12" t="inlineStr">
        <is>
          <t>CARBON · Quality Assurance · Band A · Early career</t>
        </is>
      </c>
      <c r="N82" s="42" t="n">
        <v>2</v>
      </c>
      <c r="O82" s="42" t="n">
        <v>2</v>
      </c>
      <c r="P82" s="42" t="n">
        <v>3</v>
      </c>
      <c r="Q82" s="42" t="n">
        <v>3</v>
      </c>
      <c r="R82" s="42" t="n">
        <v>8.5</v>
      </c>
      <c r="S82" s="80" t="n">
        <v>3.5</v>
      </c>
      <c r="T82" s="81">
        <f>IF(OR($M82="",COUNT(N82,O82,P82,Q82,R82,S82)&lt;6),"",IFERROR(N82*INDEX(WM_C,MATCH($M82,WM_KEY,0))+O82*INDEX(WM_AU,MATCH($M82,WM_KEY,0))+P82*INDEX(WM_AC,MATCH($M82,WM_KEY,0))+Q82*INDEX(WM_L,MATCH($M82,WM_KEY,0))+R82*INDEX(WM_E,MATCH($M82,WM_KEY,0))+S82*INDEX(WM_BI,MATCH($M82,WM_KEY,0)),""))</f>
        <v>2.78</v>
      </c>
      <c r="U82" s="42" t="str">
        <f>IF(T82="","",INDEX({"A1","A2","A3","B1","B2","B3","C1","C2","D1","D2","E1","E2"},MAX(1,MIN(12,ROUND(T82,0)))))</f>
        <v>A3</v>
      </c>
      <c r="V82" s="12" t="inlineStr">
        <is>
          <r>
            <rPr>
              <rFont val="Calibri"/>
              <sz val="10"/>
            </rPr>
            <t xml:space="preserve">New level A3 · Senior Associate. Current level on record: L3 – Professional / Associate. Change: ▲ Up.
Score 2.78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2" s="12" t="inlineStr">
        <is>
          <r>
            <rPr>
              <rFont val="Calibri"/>
              <b val="1"/>
              <sz val="10"/>
            </rPr>
            <t>Complexity &amp; Expertise:</t>
          </r>
          <r>
            <rPr>
              <rFont val="Calibri"/>
              <sz val="10"/>
            </rPr>
            <t xml:space="preserve"> 2 of 12 — Start: 2.0 · practitioner title; Evidence reads like A2: Tests features and bugs on the ESG product; writes test cases; tracked in QuickScrum → matches the start; KRA: “1.Ensure 100% functional, regression, and release validation coverage for owned modules across ESG releases. 2.Increase automation coverage…”
</t>
          </r>
          <r>
            <rPr>
              <rFont val="Calibri"/>
              <b val="1"/>
              <sz val="10"/>
            </rPr>
            <t>Autonomy &amp; Decision:</t>
          </r>
          <r>
            <rPr>
              <rFont val="Calibri"/>
              <sz val="10"/>
            </rPr>
            <t xml:space="preserve"> 2 of 12 — Start: 2.5 · practitioner title; reporting lines show a bigger role: 1 direct report; Evidence reads like A2: Names only 'test strategy execution'; no exception or priority calls described → moved down 0.5
</t>
          </r>
          <r>
            <rPr>
              <rFont val="Calibri"/>
              <b val="1"/>
              <sz val="10"/>
            </rPr>
            <t>Accountability &amp; Impact:</t>
          </r>
          <r>
            <rPr>
              <rFont val="Calibri"/>
              <sz val="10"/>
            </rPr>
            <t xml:space="preserve"> 3 of 12 — Start: 3.5 · practitioner title; 1 direct report; Evidence reads like A3: Personally gives sign-off for dev and prod environments by sign-off mail → moved down 0.5; KRA: “1.Ensure 100% functional, regression, and release validation coverage for owned modules across ESG releases. 2.Increase automation coverage…”
</t>
          </r>
          <r>
            <rPr>
              <rFont val="Calibri"/>
              <b val="1"/>
              <sz val="10"/>
            </rPr>
            <t>Leadership &amp; Strategy:</t>
          </r>
          <r>
            <rPr>
              <rFont val="Calibri"/>
              <sz val="10"/>
            </rPr>
            <t xml:space="preserve"> 3 of 12 — not counted: the weight is 0% at this level — Start: 3.5; Evidence reads like A1: One report in HR data but no guiding or leading described → moved down 0.5; Team: 1 direct report · IC
</t>
          </r>
          <r>
            <rPr>
              <rFont val="Calibri"/>
              <b val="1"/>
              <sz val="10"/>
            </rPr>
            <t>Experience &amp; Qualification:</t>
          </r>
          <r>
            <rPr>
              <rFont val="Calibri"/>
              <sz val="10"/>
            </rPr>
            <t xml:space="preserve"> 8.5 of 12 · between C2 and D1 — Experience: 15.4 yrs total · 15.4 at IRIS; none recorded before IRIS = 8.3 on the experience scale; Qualification: B.Com · graduate → no change
</t>
          </r>
          <r>
            <rPr>
              <rFont val="Calibri"/>
              <b val="1"/>
              <sz val="10"/>
            </rPr>
            <t>Business Impact:</t>
          </r>
          <r>
            <rPr>
              <rFont val="Calibri"/>
              <sz val="10"/>
            </rPr>
            <t xml:space="preserve"> 3.5 of 12 — a starting estimate. —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r>
        </is>
      </c>
      <c r="X82"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82" s="12" t="inlineStr">
        <is>
          <r>
            <rPr>
              <rFont val="Calibri"/>
              <sz val="10"/>
            </rPr>
            <t xml:space="preserve">✓ HRIS: 15.4 yrs, B.Com, 1 direct report
✓ Survey: 20 of 20 questions answered
✓ KRAs: submitted, reported deliverables
✓ Manager mapping: rating, 9-box
✗ Job description: not on file
</t>
          </r>
          <r>
            <rPr>
              <rFont val="Calibri"/>
              <b val="1"/>
              <sz val="10"/>
            </rPr>
            <t>Confidence:</t>
          </r>
          <r>
            <rPr>
              <rFont val="Calibri"/>
              <sz val="10"/>
            </rPr>
            <t xml:space="preserve"> Medium</t>
          </r>
        </is>
      </c>
      <c r="Z82" s="12" t="inlineStr">
        <is>
          <t>—</t>
        </is>
      </c>
      <c r="AA82" s="83" t="inlineStr">
        <is>
          <t>• Confirm the reporting line — Manager</t>
        </is>
      </c>
      <c r="AB8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1 direct report.
From the survey and manager mapping — work only this person does: yes; successor named: no.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Not placed · manager.</t>
          </r>
        </is>
      </c>
      <c r="AC82" s="84" t="n"/>
      <c r="AD82" s="84" t="n"/>
      <c r="AE82" s="84" t="n"/>
      <c r="AF82" s="12" t="n">
        <v>3.5</v>
      </c>
    </row>
    <row r="83" ht="379" customHeight="1">
      <c r="A83" s="12" t="inlineStr">
        <is>
          <t>IRIS2107</t>
        </is>
      </c>
      <c r="B83" s="10" t="inlineStr">
        <is>
          <t>Pratikkumar Mistry</t>
        </is>
      </c>
      <c r="C83" s="12" t="inlineStr">
        <is>
          <t>Quality Assurance</t>
        </is>
      </c>
      <c r="D83" s="12" t="inlineStr">
        <is>
          <t>QA Engineer</t>
        </is>
      </c>
      <c r="E83" s="85" t="inlineStr">
        <is>
          <t>Senior QA Engineer</t>
        </is>
      </c>
      <c r="F83" s="12" t="inlineStr">
        <is>
          <t>Quality Assurance</t>
        </is>
      </c>
      <c r="G83" s="12" t="inlineStr">
        <is>
          <t>Functional &amp; Domain Testing</t>
        </is>
      </c>
      <c r="H83" s="12" t="inlineStr">
        <is>
          <t>IC</t>
        </is>
      </c>
      <c r="I83" s="42" t="inlineStr">
        <is>
          <t>L3 – Professional / Associate</t>
        </is>
      </c>
      <c r="J83" s="16" t="inlineStr">
        <is>
          <t>A3</t>
        </is>
      </c>
      <c r="K83" s="17" t="inlineStr">
        <is>
          <t>Senior Associate</t>
        </is>
      </c>
      <c r="L83" s="87" t="inlineStr">
        <is>
          <t>▲ Up</t>
        </is>
      </c>
      <c r="M83" s="12" t="inlineStr">
        <is>
          <t>CARBON · Quality Assurance · Band A · Early career</t>
        </is>
      </c>
      <c r="N83" s="42" t="n">
        <v>2</v>
      </c>
      <c r="O83" s="42" t="n">
        <v>2</v>
      </c>
      <c r="P83" s="42" t="n">
        <v>2</v>
      </c>
      <c r="Q83" s="42" t="n">
        <v>1</v>
      </c>
      <c r="R83" s="42" t="n">
        <v>4.5</v>
      </c>
      <c r="S83" s="80" t="n">
        <v>2</v>
      </c>
      <c r="T83" s="81">
        <f>IF(OR($M83="",COUNT(N83,O83,P83,Q83,R83,S83)&lt;6),"",IFERROR(N83*INDEX(WM_C,MATCH($M83,WM_KEY,0))+O83*INDEX(WM_AU,MATCH($M83,WM_KEY,0))+P83*INDEX(WM_AC,MATCH($M83,WM_KEY,0))+Q83*INDEX(WM_L,MATCH($M83,WM_KEY,0))+R83*INDEX(WM_E,MATCH($M83,WM_KEY,0))+S83*INDEX(WM_BI,MATCH($M83,WM_KEY,0)),""))</f>
        <v>2.25</v>
      </c>
      <c r="U83" s="42" t="str">
        <f>IF(T83="","",INDEX({"A1","A2","A3","B1","B2","B3","C1","C2","D1","D2","E1","E2"},MAX(1,MIN(12,ROUND(T83,0)))))</f>
        <v>A2</v>
      </c>
      <c r="V83" s="12" t="inlineStr">
        <is>
          <r>
            <rPr>
              <rFont val="Calibri"/>
              <sz val="10"/>
            </rPr>
            <t xml:space="preserve">New level A3 · Senior Associate. Current level on record: L3 – Professional / Associate. Change: ▲ Up.
Score 2.25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6.9 years' experience is 2 years or more.
</t>
          </r>
          <r>
            <rPr>
              <rFont val="Calibri"/>
              <b val="1"/>
              <sz val="10"/>
            </rPr>
            <t>Final level:</t>
          </r>
          <r>
            <rPr>
              <rFont val="Calibri"/>
              <sz val="10"/>
            </rPr>
            <t xml:space="preserve"> A3.</t>
          </r>
        </is>
      </c>
      <c r="W83" s="12" t="inlineStr">
        <is>
          <r>
            <rPr>
              <rFont val="Calibri"/>
              <b val="1"/>
              <sz val="10"/>
            </rPr>
            <t>Complexity &amp; Expertise:</t>
          </r>
          <r>
            <rPr>
              <rFont val="Calibri"/>
              <sz val="10"/>
            </rPr>
            <t xml:space="preserve"> 2 of 12 — Start: 2.0 · practitioner title; Evidence reads like A2: Writes and executes test cases, reports defects, joins sprint grooming, replicates live issues → matches the start; KRA: “1. Own end-to-end quality assurance activities for assigned modules and ensure complete functional, regression, and release validation…”
</t>
          </r>
          <r>
            <rPr>
              <rFont val="Calibri"/>
              <b val="1"/>
              <sz val="10"/>
            </rPr>
            <t>Autonomy &amp; Decision:</t>
          </r>
          <r>
            <rPr>
              <rFont val="Calibri"/>
              <sz val="10"/>
            </rPr>
            <t xml:space="preserve"> 2 of 12 — Start: 2.0 · practitioner title; Evidence reads like A2: own survey / KRA answers · summarised by the rater; not quoted → matches the start
</t>
          </r>
          <r>
            <rPr>
              <rFont val="Calibri"/>
              <b val="1"/>
              <sz val="10"/>
            </rPr>
            <t>Accountability &amp; Impact:</t>
          </r>
          <r>
            <rPr>
              <rFont val="Calibri"/>
              <sz val="10"/>
            </rPr>
            <t xml:space="preserve"> 2 of 12 — Start: 2.0 · practitioner title; Evidence reads like A2: Assigned features' test cases, execution and bug closure across Dev, Stage and Live → matches the start; KRA: “1. Own end-to-end quality assurance activities for assigned modules and ensure complete functional, regression, and release validation…”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4.5 of 12 · between B1 and B2 — Experience: 6.9 yrs total · 3.4 before IRIS + 3.5 at IRIS = 4.7 on the experience scale; Qualification: B.E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83"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83" s="12" t="inlineStr">
        <is>
          <r>
            <rPr>
              <rFont val="Calibri"/>
              <sz val="10"/>
            </rPr>
            <t xml:space="preserve">✓ HRIS: 6.9 yrs, B.E,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83" s="12" t="inlineStr">
        <is>
          <t>—</t>
        </is>
      </c>
      <c r="AA83" s="12" t="inlineStr">
        <is>
          <t>Nothing outstanding</t>
        </is>
      </c>
      <c r="AB8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Reliable Specialist.</t>
          </r>
        </is>
      </c>
      <c r="AC83" s="84" t="n"/>
      <c r="AD83" s="84" t="n"/>
      <c r="AE83" s="84" t="n"/>
      <c r="AF83" s="12" t="n">
        <v>2</v>
      </c>
    </row>
    <row r="84" ht="379" customHeight="1">
      <c r="A84" s="12" t="inlineStr">
        <is>
          <t>IRIS2405</t>
        </is>
      </c>
      <c r="B84" s="10" t="inlineStr">
        <is>
          <t>Tasmiyah Patni</t>
        </is>
      </c>
      <c r="C84" s="12" t="inlineStr">
        <is>
          <t>Quality Assurance</t>
        </is>
      </c>
      <c r="D84" s="12" t="inlineStr">
        <is>
          <t>QA Engineer</t>
        </is>
      </c>
      <c r="E84" s="85" t="inlineStr">
        <is>
          <t>Senior QA Engineer</t>
        </is>
      </c>
      <c r="F84" s="12" t="inlineStr">
        <is>
          <t>Quality Assurance</t>
        </is>
      </c>
      <c r="G84" s="12" t="inlineStr">
        <is>
          <t>Functional &amp; Domain Testing</t>
        </is>
      </c>
      <c r="H84" s="12" t="inlineStr">
        <is>
          <t>IC</t>
        </is>
      </c>
      <c r="I84" s="42" t="inlineStr">
        <is>
          <t>L3 – Professional / Associate</t>
        </is>
      </c>
      <c r="J84" s="16" t="inlineStr">
        <is>
          <t>A3</t>
        </is>
      </c>
      <c r="K84" s="17" t="inlineStr">
        <is>
          <t>Senior Associate</t>
        </is>
      </c>
      <c r="L84" s="87" t="inlineStr">
        <is>
          <t>▲ Up</t>
        </is>
      </c>
      <c r="M84" s="12" t="inlineStr">
        <is>
          <t>CARBON · Quality Assurance · Band A · Early career</t>
        </is>
      </c>
      <c r="N84" s="42" t="n">
        <v>2</v>
      </c>
      <c r="O84" s="42" t="n">
        <v>2</v>
      </c>
      <c r="P84" s="42" t="n">
        <v>2</v>
      </c>
      <c r="Q84" s="42" t="n">
        <v>1</v>
      </c>
      <c r="R84" s="42" t="n">
        <v>3.5</v>
      </c>
      <c r="S84" s="80" t="n">
        <v>2</v>
      </c>
      <c r="T84" s="81">
        <f>IF(OR($M84="",COUNT(N84,O84,P84,Q84,R84,S84)&lt;6),"",IFERROR(N84*INDEX(WM_C,MATCH($M84,WM_KEY,0))+O84*INDEX(WM_AU,MATCH($M84,WM_KEY,0))+P84*INDEX(WM_AC,MATCH($M84,WM_KEY,0))+Q84*INDEX(WM_L,MATCH($M84,WM_KEY,0))+R84*INDEX(WM_E,MATCH($M84,WM_KEY,0))+S84*INDEX(WM_BI,MATCH($M84,WM_KEY,0)),""))</f>
        <v>2.15</v>
      </c>
      <c r="U84" s="42" t="str">
        <f>IF(T84="","",INDEX({"A1","A2","A3","B1","B2","B3","C1","C2","D1","D2","E1","E2"},MAX(1,MIN(12,ROUND(T84,0)))))</f>
        <v>A2</v>
      </c>
      <c r="V84"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4.4 years' experience is 2 years or more.
</t>
          </r>
          <r>
            <rPr>
              <rFont val="Calibri"/>
              <b val="1"/>
              <sz val="10"/>
            </rPr>
            <t>Final level:</t>
          </r>
          <r>
            <rPr>
              <rFont val="Calibri"/>
              <sz val="10"/>
            </rPr>
            <t xml:space="preserve"> A3.</t>
          </r>
        </is>
      </c>
      <c r="W84" s="12" t="inlineStr">
        <is>
          <r>
            <rPr>
              <rFont val="Calibri"/>
              <b val="1"/>
              <sz val="10"/>
            </rPr>
            <t>Complexity &amp; Expertise:</t>
          </r>
          <r>
            <rPr>
              <rFont val="Calibri"/>
              <sz val="10"/>
            </rPr>
            <t xml:space="preserve"> 2 of 12 — Start: 2.0 · practitioner title; Evidence reads like A2: Testing, test case execution, defect identification and API automation; no specifics given → matches the start; KRA: “1. Ensure 100% execution and validation of assigned functional and regression test cases for planned releases. 2.Develop strong product and…”
</t>
          </r>
          <r>
            <rPr>
              <rFont val="Calibri"/>
              <b val="1"/>
              <sz val="10"/>
            </rPr>
            <t>Autonomy &amp; Decision:</t>
          </r>
          <r>
            <rPr>
              <rFont val="Calibri"/>
              <sz val="10"/>
            </rPr>
            <t xml:space="preserve"> 2 of 12 — Start: 2.0 · practitioner title; Evidence reads like A2: States only 'testing decisions'; nothing concrete → matches the start
</t>
          </r>
          <r>
            <rPr>
              <rFont val="Calibri"/>
              <b val="1"/>
              <sz val="10"/>
            </rPr>
            <t>Accountability &amp; Impact:</t>
          </r>
          <r>
            <rPr>
              <rFont val="Calibri"/>
              <sz val="10"/>
            </rPr>
            <t xml:space="preserve"> 2 of 12 — Start: 2.0 · practitioner title; Evidence reads like A2: Own testing output meeting quality standards; no module or sign-off named → matches the start; KRA: “1. Ensure 100% execution and validation of assigned functional and regression test cases for planned releases. 2.Develop strong product and…”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3.5 of 12 · between A3 and B1 — Experience: 4.4 yrs total · 3.2 before IRIS + 1.2 at IRIS = 3.6 on the experience scale; Qualification: B.Sc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84"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84" s="12" t="inlineStr">
        <is>
          <r>
            <rPr>
              <rFont val="Calibri"/>
              <sz val="10"/>
            </rPr>
            <t xml:space="preserve">✓ HRIS: 4.4 yrs, B.Sc,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84" s="12" t="inlineStr">
        <is>
          <t>—</t>
        </is>
      </c>
      <c r="AA84" s="12" t="inlineStr">
        <is>
          <t>Nothing outstanding</t>
        </is>
      </c>
      <c r="AB8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Trusted Professional.</t>
          </r>
        </is>
      </c>
      <c r="AC84" s="84" t="n"/>
      <c r="AD84" s="84" t="n"/>
      <c r="AE84" s="84" t="n"/>
      <c r="AF84" s="12" t="n">
        <v>2</v>
      </c>
    </row>
    <row r="85" ht="379" customHeight="1">
      <c r="A85" s="12" t="inlineStr">
        <is>
          <t>IRIS2014</t>
        </is>
      </c>
      <c r="B85" s="10" t="inlineStr">
        <is>
          <t>Vishal Panchal</t>
        </is>
      </c>
      <c r="C85" s="12" t="inlineStr">
        <is>
          <t>Quality Assurance</t>
        </is>
      </c>
      <c r="D85" s="12" t="inlineStr">
        <is>
          <t>QA Engineer</t>
        </is>
      </c>
      <c r="E85" s="85" t="inlineStr">
        <is>
          <t>Senior QA Engineer</t>
        </is>
      </c>
      <c r="F85" s="12" t="inlineStr">
        <is>
          <t>Quality Assurance</t>
        </is>
      </c>
      <c r="G85" s="12" t="inlineStr">
        <is>
          <t>Functional &amp; Domain Testing</t>
        </is>
      </c>
      <c r="H85" s="12" t="inlineStr">
        <is>
          <t>IC</t>
        </is>
      </c>
      <c r="I85" s="42" t="inlineStr">
        <is>
          <t>L3 – Professional / Associate</t>
        </is>
      </c>
      <c r="J85" s="16" t="inlineStr">
        <is>
          <t>A3</t>
        </is>
      </c>
      <c r="K85" s="17" t="inlineStr">
        <is>
          <t>Senior Associate</t>
        </is>
      </c>
      <c r="L85" s="87" t="inlineStr">
        <is>
          <t>▲ Up</t>
        </is>
      </c>
      <c r="M85" s="12" t="inlineStr">
        <is>
          <t>CARBON · Quality Assurance · Band A · Early career</t>
        </is>
      </c>
      <c r="N85" s="42" t="n">
        <v>2.5</v>
      </c>
      <c r="O85" s="42" t="n">
        <v>2.5</v>
      </c>
      <c r="P85" s="42" t="n">
        <v>3.5</v>
      </c>
      <c r="Q85" s="42" t="n">
        <v>3.5</v>
      </c>
      <c r="R85" s="42" t="n">
        <v>5.5</v>
      </c>
      <c r="S85" s="80" t="n">
        <v>3.5</v>
      </c>
      <c r="T85" s="81">
        <f>IF(OR($M85="",COUNT(N85,O85,P85,Q85,R85,S85)&lt;6),"",IFERROR(N85*INDEX(WM_C,MATCH($M85,WM_KEY,0))+O85*INDEX(WM_AU,MATCH($M85,WM_KEY,0))+P85*INDEX(WM_AC,MATCH($M85,WM_KEY,0))+Q85*INDEX(WM_L,MATCH($M85,WM_KEY,0))+R85*INDEX(WM_E,MATCH($M85,WM_KEY,0))+S85*INDEX(WM_BI,MATCH($M85,WM_KEY,0)),""))</f>
        <v>2.9</v>
      </c>
      <c r="U85" s="42" t="str">
        <f>IF(T85="","",INDEX({"A1","A2","A3","B1","B2","B3","C1","C2","D1","D2","E1","E2"},MAX(1,MIN(12,ROUND(T85,0)))))</f>
        <v>A3</v>
      </c>
      <c r="V85" s="12" t="inlineStr">
        <is>
          <r>
            <rPr>
              <rFont val="Calibri"/>
              <sz val="10"/>
            </rPr>
            <t xml:space="preserve">New level A3 · Senior Associate. Current level on record: L3 – Professional / Associate. Change: ▲ Up.
Score 2.90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5" s="12" t="inlineStr">
        <is>
          <r>
            <rPr>
              <rFont val="Calibri"/>
              <b val="1"/>
              <sz val="10"/>
            </rPr>
            <t>Complexity &amp; Expertise:</t>
          </r>
          <r>
            <rPr>
              <rFont val="Calibri"/>
              <sz val="10"/>
            </rPr>
            <t xml:space="preserve"> 2.5 of 12 · between A2 and A3 — Start: 2.0 · practitioner title; Evidence reads like A3: Creates and executes test cases, regression and sanity; rechecks stories tested by teammates; gives UX input → moved up 0.5; KRA: “1.Ensure 100% functional, regression, and release validation coverage for the complete DM module across all major releases. 2.Increase…”
</t>
          </r>
          <r>
            <rPr>
              <rFont val="Calibri"/>
              <b val="1"/>
              <sz val="10"/>
            </rPr>
            <t>Autonomy &amp; Decision:</t>
          </r>
          <r>
            <rPr>
              <rFont val="Calibri"/>
              <sz val="10"/>
            </rPr>
            <t xml:space="preserve"> 2.5 of 12 · between A2 and A3 — Start: 3.0 · practitioner title; reporting lines show a bigger role: 2 direct reports; Evidence reads like A2: Decides how to cover scenarios and when to seek help; routine → moved down 0.5
</t>
          </r>
          <r>
            <rPr>
              <rFont val="Calibri"/>
              <b val="1"/>
              <sz val="10"/>
            </rPr>
            <t>Accountability &amp; Impact:</t>
          </r>
          <r>
            <rPr>
              <rFont val="Calibri"/>
              <sz val="10"/>
            </rPr>
            <t xml:space="preserve"> 3.5 of 12 · between A3 and B1 — Start: 4.0 · practitioner title; 2 direct reports; Evidence reads like A3: Gives sign-off; scenarios missed on dev/stage but found in production are their responsibility → moved down 0.5; KRA: “1.Ensure 100% functional, regression, and release validation coverage for the complete DM module across all major releases. 2.Increase…”
</t>
          </r>
          <r>
            <rPr>
              <rFont val="Calibri"/>
              <b val="1"/>
              <sz val="10"/>
            </rPr>
            <t>Leadership &amp; Strategy:</t>
          </r>
          <r>
            <rPr>
              <rFont val="Calibri"/>
              <sz val="10"/>
            </rPr>
            <t xml:space="preserve"> 3.5 of 12 · between A3 and B1 — not counted: the weight is 0% at this level — Start: 4.0; Evidence reads like A3: Rechecks stories tested by the team and shares QA status; two reports → moved down 0.5; Team: 2 direct reports · IC
</t>
          </r>
          <r>
            <rPr>
              <rFont val="Calibri"/>
              <b val="1"/>
              <sz val="10"/>
            </rPr>
            <t>Experience &amp; Qualification:</t>
          </r>
          <r>
            <rPr>
              <rFont val="Calibri"/>
              <sz val="10"/>
            </rPr>
            <t xml:space="preserve"> 5.5 of 12 · between B2 and B3 — Experience: 8.4 yrs total · 4.0 before IRIS + 4.4 at IRIS = 5.4 on the experience scale; Qualification: B.E · graduate, relevant to the work → no change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85"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85" s="12" t="inlineStr">
        <is>
          <r>
            <rPr>
              <rFont val="Calibri"/>
              <sz val="10"/>
            </rPr>
            <t xml:space="preserve">✓ HRIS: 8.4 yrs, B.E, 2 direct reports
✓ Survey: 20 of 20 questions answered
✓ KRAs: submitted, reported deliverables
✓ Manager mapping: rating, 9-box
✗ Job description: not on file
</t>
          </r>
          <r>
            <rPr>
              <rFont val="Calibri"/>
              <b val="1"/>
              <sz val="10"/>
            </rPr>
            <t>Confidence:</t>
          </r>
          <r>
            <rPr>
              <rFont val="Calibri"/>
              <sz val="10"/>
            </rPr>
            <t xml:space="preserve"> Low</t>
          </r>
        </is>
      </c>
      <c r="Z85" s="12" t="inlineStr">
        <is>
          <t>—</t>
        </is>
      </c>
      <c r="AA85" s="83" t="inlineStr">
        <is>
          <t>• Confirm the reporting line — Manager</t>
        </is>
      </c>
      <c r="AB8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Not rated · manager · 9-Box Grid placement: Not placed · manager.</t>
          </r>
        </is>
      </c>
      <c r="AC85" s="84" t="n"/>
      <c r="AD85" s="84" t="n"/>
      <c r="AE85" s="84" t="n"/>
      <c r="AF85" s="12" t="n">
        <v>3.5</v>
      </c>
    </row>
    <row r="86" ht="379" customHeight="1">
      <c r="A86" s="12" t="inlineStr">
        <is>
          <t>IRIS2112</t>
        </is>
      </c>
      <c r="B86" s="10" t="inlineStr">
        <is>
          <t>Vitiksha Gamit</t>
        </is>
      </c>
      <c r="C86" s="12" t="inlineStr">
        <is>
          <t>Quality Assurance</t>
        </is>
      </c>
      <c r="D86" s="12" t="inlineStr">
        <is>
          <t>QA Automation Engineer</t>
        </is>
      </c>
      <c r="E86" s="85" t="inlineStr">
        <is>
          <t>Senior QA Automation Engineer</t>
        </is>
      </c>
      <c r="F86" s="12" t="inlineStr">
        <is>
          <t>Quality Assurance</t>
        </is>
      </c>
      <c r="G86" s="12" t="inlineStr">
        <is>
          <t>Test Automation</t>
        </is>
      </c>
      <c r="H86" s="12" t="inlineStr">
        <is>
          <t>IC</t>
        </is>
      </c>
      <c r="I86" s="42" t="inlineStr">
        <is>
          <t>L3 – Professional / Associate</t>
        </is>
      </c>
      <c r="J86" s="16" t="inlineStr">
        <is>
          <t>A3</t>
        </is>
      </c>
      <c r="K86" s="17" t="inlineStr">
        <is>
          <t>Senior Associate</t>
        </is>
      </c>
      <c r="L86" s="87" t="inlineStr">
        <is>
          <t>▲ Up</t>
        </is>
      </c>
      <c r="M86" s="12" t="inlineStr">
        <is>
          <t>CARBON · Quality Assurance · Band A · Early career</t>
        </is>
      </c>
      <c r="N86" s="42" t="n">
        <v>2.5</v>
      </c>
      <c r="O86" s="42" t="n">
        <v>2.5</v>
      </c>
      <c r="P86" s="42" t="n">
        <v>2.5</v>
      </c>
      <c r="Q86" s="42" t="n">
        <v>1.5</v>
      </c>
      <c r="R86" s="42" t="n">
        <v>3.5</v>
      </c>
      <c r="S86" s="80" t="n">
        <v>2.5</v>
      </c>
      <c r="T86" s="81">
        <f>IF(OR($M86="",COUNT(N86,O86,P86,Q86,R86,S86)&lt;6),"",IFERROR(N86*INDEX(WM_C,MATCH($M86,WM_KEY,0))+O86*INDEX(WM_AU,MATCH($M86,WM_KEY,0))+P86*INDEX(WM_AC,MATCH($M86,WM_KEY,0))+Q86*INDEX(WM_L,MATCH($M86,WM_KEY,0))+R86*INDEX(WM_E,MATCH($M86,WM_KEY,0))+S86*INDEX(WM_BI,MATCH($M86,WM_KEY,0)),""))</f>
        <v>2.6</v>
      </c>
      <c r="U86" s="42" t="str">
        <f>IF(T86="","",INDEX({"A1","A2","A3","B1","B2","B3","C1","C2","D1","D2","E1","E2"},MAX(1,MIN(12,ROUND(T86,0)))))</f>
        <v>A3</v>
      </c>
      <c r="V86" s="12" t="inlineStr">
        <is>
          <r>
            <rPr>
              <rFont val="Calibri"/>
              <sz val="10"/>
            </rPr>
            <t xml:space="preserve">New level A3 · Senior Associate. Current level on record: L3 – Professional / Associate. Change: ▲ Up.
Score 2.60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6" s="12" t="inlineStr">
        <is>
          <r>
            <rPr>
              <rFont val="Calibri"/>
              <b val="1"/>
              <sz val="10"/>
            </rPr>
            <t>Complexity &amp; Expertise:</t>
          </r>
          <r>
            <rPr>
              <rFont val="Calibri"/>
              <sz val="10"/>
            </rPr>
            <t xml:space="preserve"> 2.5 of 12 · between A2 and A3 — Start: 3.0 · senior practitioner title; Evidence reads like A2: Creates, maintains and runs automation scripts and reports defects; no harder cases described → moved down 0.5; KRA: “1.Increase end-to-end automation coverage across all IRIS CARBON suites · DM, ESG, Carbon from current baseline to ≥ 90% regression…”
</t>
          </r>
          <r>
            <rPr>
              <rFont val="Calibri"/>
              <b val="1"/>
              <sz val="10"/>
            </rPr>
            <t>Autonomy &amp; Decision:</t>
          </r>
          <r>
            <rPr>
              <rFont val="Calibri"/>
              <sz val="10"/>
            </rPr>
            <t xml:space="preserve"> 2.5 of 12 · between A2 and A3 — Start: 3.0 · senior practitioner title; Evidence reads like A2: Only says 'freedom to try' new approaches; no concrete decisions named → moved down 0.5
</t>
          </r>
          <r>
            <rPr>
              <rFont val="Calibri"/>
              <b val="1"/>
              <sz val="10"/>
            </rPr>
            <t>Accountability &amp; Impact:</t>
          </r>
          <r>
            <rPr>
              <rFont val="Calibri"/>
              <sz val="10"/>
            </rPr>
            <t xml:space="preserve"> 2.5 of 12 · between A2 and A3 — Start: 3.0 · senior practitioner title; Evidence reads like A2: Own automation tests, execution reports and defect reports → moved down 0.5; KRA: “1.Increase end-to-end automation coverage across all IRIS CARBON suites · DM, ESG, Carbon from current baseline to ≥ 90% regression…”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3.5 of 12 · between A3 and B1 — Experience: 3.5 yrs total · 3.5 at IRIS; none recorded before IRIS = 3.2 on the experience scale; Qualification: MSC · postgraduate, relevant to the work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86"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86" s="12" t="inlineStr">
        <is>
          <r>
            <rPr>
              <rFont val="Calibri"/>
              <sz val="10"/>
            </rPr>
            <t xml:space="preserve">✓ HRIS: 3.5 yrs, MSC,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86" s="12" t="inlineStr">
        <is>
          <t>—</t>
        </is>
      </c>
      <c r="AA86" s="12" t="inlineStr">
        <is>
          <t>Nothing outstanding</t>
        </is>
      </c>
      <c r="AB8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testing · product · defects.
</t>
          </r>
          <r>
            <rPr>
              <rFont val="Calibri"/>
              <b val="1"/>
              <sz val="10"/>
            </rPr>
            <t>Measured on · manager-set KRA themes:</t>
          </r>
          <r>
            <rPr>
              <rFont val="Calibri"/>
              <sz val="10"/>
            </rPr>
            <t xml:space="preserve"> test coverage · business · automation · knowledge · activities · comprehensive.
Manager talent mapping — Latest rating: Not rated · manager · 9-Box Grid placement: Trusted Professional.</t>
          </r>
        </is>
      </c>
      <c r="AC86" s="84" t="n"/>
      <c r="AD86" s="84" t="n"/>
      <c r="AE86" s="84" t="n"/>
      <c r="AF86" s="12" t="n">
        <v>2.5</v>
      </c>
    </row>
    <row r="87" ht="379" customHeight="1">
      <c r="A87" s="12" t="inlineStr">
        <is>
          <t>IRIS2489</t>
        </is>
      </c>
      <c r="B87" s="10" t="inlineStr">
        <is>
          <t>Sreyash Duragkar</t>
        </is>
      </c>
      <c r="C87" s="12" t="inlineStr">
        <is>
          <t>Sales</t>
        </is>
      </c>
      <c r="D87" s="12" t="inlineStr">
        <is>
          <t>Director- Enterprise Sales</t>
        </is>
      </c>
      <c r="E87" s="85" t="inlineStr">
        <is>
          <t>Principal – Enterprise Sales</t>
        </is>
      </c>
      <c r="F87" s="12" t="inlineStr">
        <is>
          <t>Sales &amp; Business Development</t>
        </is>
      </c>
      <c r="G87" s="12" t="inlineStr">
        <is>
          <t>Sales Leadership</t>
        </is>
      </c>
      <c r="H87" s="12" t="inlineStr">
        <is>
          <t>IC</t>
        </is>
      </c>
      <c r="I87" s="42" t="inlineStr">
        <is>
          <t>Not in current mapping files</t>
        </is>
      </c>
      <c r="J87" s="24" t="inlineStr">
        <is>
          <t>C1</t>
        </is>
      </c>
      <c r="K87" s="25" t="inlineStr">
        <is>
          <t>Principal</t>
        </is>
      </c>
      <c r="L87" s="79" t="inlineStr">
        <is>
          <t>● Newly mapped</t>
        </is>
      </c>
      <c r="M87" s="12" t="inlineStr">
        <is>
          <t>CARBON · Sales · Band C · Principal expert</t>
        </is>
      </c>
      <c r="N87" s="42" t="n">
        <v>9</v>
      </c>
      <c r="O87" s="42" t="n">
        <v>9</v>
      </c>
      <c r="P87" s="42" t="n">
        <v>9</v>
      </c>
      <c r="Q87" s="42" t="n">
        <v>9</v>
      </c>
      <c r="R87" s="42" t="n">
        <v>3.5</v>
      </c>
      <c r="S87" s="80" t="n">
        <v>9</v>
      </c>
      <c r="T87" s="81">
        <f>IF(OR($M87="",COUNT(N87,O87,P87,Q87,R87,S87)&lt;6),"",IFERROR(N87*INDEX(WM_C,MATCH($M87,WM_KEY,0))+O87*INDEX(WM_AU,MATCH($M87,WM_KEY,0))+P87*INDEX(WM_AC,MATCH($M87,WM_KEY,0))+Q87*INDEX(WM_L,MATCH($M87,WM_KEY,0))+R87*INDEX(WM_E,MATCH($M87,WM_KEY,0))+S87*INDEX(WM_BI,MATCH($M87,WM_KEY,0)),""))</f>
        <v>8.725</v>
      </c>
      <c r="U87" s="42" t="str">
        <f>IF(T87="","",INDEX({"A1","A2","A3","B1","B2","B3","C1","C2","D1","D2","E1","E2"},MAX(1,MIN(12,ROUND(T87,0)))))</f>
        <v>D1</v>
      </c>
      <c r="V87" s="12" t="inlineStr">
        <is>
          <r>
            <rPr>
              <rFont val="Calibri"/>
              <sz val="10"/>
            </rPr>
            <t xml:space="preserve">New level C1 · Principal. Current level on record: Not in current mapping files. Change: ● Newly mapped.
Score 8.72 on the ladder scale → indicated level D1.
</t>
          </r>
          <r>
            <rPr>
              <rFont val="Calibri"/>
              <b val="1"/>
              <sz val="10"/>
            </rPr>
            <t>Weights:</t>
          </r>
          <r>
            <rPr>
              <rFont val="Calibri"/>
              <sz val="10"/>
            </rPr>
            <t xml:space="preserve"> Complexity 49% · Autonomy 23% · Business impact 13% · Accountability 5% · Leadership 5% · Experience 5%
</t>
          </r>
          <r>
            <rPr>
              <rFont val="Calibri"/>
              <b val="1"/>
              <sz val="10"/>
            </rPr>
            <t>Why:</t>
          </r>
          <r>
            <rPr>
              <rFont val="Calibri"/>
              <sz val="10"/>
            </rPr>
            <t xml:space="preserve"> a principal is judged mainly on expertise across products; experience counts only 5%.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Held at C1 instead of D1:</t>
          </r>
          <r>
            <rPr>
              <rFont val="Calibri"/>
              <sz val="10"/>
            </rPr>
            <t xml:space="preserve"> C2 needs a whole function or a company-wide discipline, and the org chart does not show this yet.
</t>
          </r>
          <r>
            <rPr>
              <rFont val="Calibri"/>
              <b val="1"/>
              <sz val="10"/>
            </rPr>
            <t>Final level:</t>
          </r>
          <r>
            <rPr>
              <rFont val="Calibri"/>
              <sz val="10"/>
            </rPr>
            <t xml:space="preserve"> C1.</t>
          </r>
        </is>
      </c>
      <c r="W87" s="12" t="inlineStr">
        <is>
          <r>
            <rPr>
              <rFont val="Calibri"/>
              <b val="1"/>
              <sz val="10"/>
            </rPr>
            <t>Complexity &amp; Expertise:</t>
          </r>
          <r>
            <rPr>
              <rFont val="Calibri"/>
              <sz val="10"/>
            </rPr>
            <t xml:space="preserve"> 9 of 12 — Start: 9.0 · business head / director title; Evidence: no survey answers or KRAs on file → rating stays at the start
</t>
          </r>
          <r>
            <rPr>
              <rFont val="Calibri"/>
              <b val="1"/>
              <sz val="10"/>
            </rPr>
            <t>Autonomy &amp; Decision:</t>
          </r>
          <r>
            <rPr>
              <rFont val="Calibri"/>
              <sz val="10"/>
            </rPr>
            <t xml:space="preserve"> 9 of 12 — Start: 9.0 · business head / director title; Evidence: no survey answers or KRAs on file → rating stays at the start
</t>
          </r>
          <r>
            <rPr>
              <rFont val="Calibri"/>
              <b val="1"/>
              <sz val="10"/>
            </rPr>
            <t>Accountability &amp; Impact:</t>
          </r>
          <r>
            <rPr>
              <rFont val="Calibri"/>
              <sz val="10"/>
            </rPr>
            <t xml:space="preserve"> 9 of 12 — Start: 9.0 · business head / director title; Evidence: no survey answers or KRAs on file → rating stays at the start
</t>
          </r>
          <r>
            <rPr>
              <rFont val="Calibri"/>
              <b val="1"/>
              <sz val="10"/>
            </rPr>
            <t>Leadership &amp; Strategy:</t>
          </r>
          <r>
            <rPr>
              <rFont val="Calibri"/>
              <sz val="10"/>
            </rPr>
            <t xml:space="preserve"> 9 of 12 — Start: 9.0 · individual contributor, so influence only; Evidence: no survey answers or KRAs on file → rating stays at the start; Team: 0 direct reports · IC
</t>
          </r>
          <r>
            <rPr>
              <rFont val="Calibri"/>
              <b val="1"/>
              <sz val="10"/>
            </rPr>
            <t>Experience &amp; Qualification:</t>
          </r>
          <r>
            <rPr>
              <rFont val="Calibri"/>
              <sz val="10"/>
            </rPr>
            <t xml:space="preserve"> 3.5 of 12 · between A3 and B1 — Experience: 2.6 yrs total · 2.0 before IRIS + 0.6 at IRIS = 2.8 on the experience scale; Note: the record looks incomplete, so this is a minimum · HR to confirm; Qualification: PGDM · postgraduate, relevant to the work → +0.5
</t>
          </r>
          <r>
            <rPr>
              <rFont val="Calibri"/>
              <b val="1"/>
              <sz val="10"/>
            </rPr>
            <t>Business Impact:</t>
          </r>
          <r>
            <rPr>
              <rFont val="Calibri"/>
              <sz val="10"/>
            </rPr>
            <t xml:space="preserve"> 9 of 12 — a starting estimate. — Start: 9, the role's accountability scope — what it answers for.; No survey or manager-mapping signal on criticality: kept at the start point.; Managers and heads: overwrite this rating on the Weightage sheet with the business impact you see — the score updates at once.; Ladder: D1 = Owns a business line's P&amp;L and growth, or a company-wide function</t>
          </r>
        </is>
      </c>
      <c r="X87" s="12" t="inlineStr">
        <is>
          <r>
            <rPr>
              <rFont val="Calibri"/>
              <b val="1"/>
              <sz val="10"/>
            </rPr>
            <t>Market level:</t>
          </r>
          <r>
            <rPr>
              <rFont val="Calibri"/>
              <sz val="10"/>
            </rPr>
            <t xml:space="preserve"> P6 / M5 · SFIA 5–6
</t>
          </r>
          <r>
            <rPr>
              <rFont val="Calibri"/>
              <b val="1"/>
              <sz val="10"/>
            </rPr>
            <t>Typical title:</t>
          </r>
          <r>
            <rPr>
              <rFont val="Calibri"/>
              <sz val="10"/>
            </rPr>
            <t xml:space="preserve"> —
</t>
          </r>
          <r>
            <rPr>
              <rFont val="Calibri"/>
              <b val="1"/>
              <sz val="10"/>
            </rPr>
            <t>At peers:</t>
          </r>
          <r>
            <rPr>
              <rFont val="Calibri"/>
              <sz val="10"/>
            </rPr>
            <t xml:space="preserve"> IRIS Vs Competitor Benchmark — SaaS sales ladder — IC: Strategic / Principal AE · IRIS Vs Competitor Benchmark — SaaS sales ladder — management: Regional Sales Head
</t>
          </r>
          <r>
            <rPr>
              <rFont val="Calibri"/>
              <b val="1"/>
              <sz val="10"/>
            </rPr>
            <t>Typical experience:</t>
          </r>
          <r>
            <rPr>
              <rFont val="Calibri"/>
              <sz val="10"/>
            </rPr>
            <t xml:space="preserve"> 12–17 yrs · IRIS guide 10–14
</t>
          </r>
          <r>
            <rPr>
              <rFont val="Calibri"/>
              <b val="1"/>
              <sz val="10"/>
            </rPr>
            <t>Standard:</t>
          </r>
          <r>
            <rPr>
              <rFont val="Calibri"/>
              <sz val="10"/>
            </rPr>
            <t xml:space="preserve"> SaaS sales ladder; MEDDICC-style qualification</t>
          </r>
        </is>
      </c>
      <c r="Y87" s="12" t="inlineStr">
        <is>
          <r>
            <rPr>
              <rFont val="Calibri"/>
              <sz val="10"/>
            </rPr>
            <t xml:space="preserve">✓ HRIS: 2.6 yrs, PGDM, 0 direct reports
✗ Survey: no response
✗ KRAs: none on file
✓ Manager mapping: rating, 9-box
✓ Job description
</t>
          </r>
          <r>
            <rPr>
              <rFont val="Calibri"/>
              <b val="1"/>
              <sz val="10"/>
            </rPr>
            <t>Confidence:</t>
          </r>
          <r>
            <rPr>
              <rFont val="Calibri"/>
              <sz val="10"/>
            </rPr>
            <t xml:space="preserve"> Low</t>
          </r>
        </is>
      </c>
      <c r="Z87" s="82" t="inlineStr">
        <is>
          <r>
            <rPr>
              <rFont val="Calibri"/>
              <color rgb="009C5700"/>
              <sz val="10"/>
            </rPr>
            <t xml:space="preserve">• </t>
          </r>
          <r>
            <rPr>
              <rFont val="Calibri"/>
              <b val="1"/>
              <color rgb="009C5700"/>
              <sz val="10"/>
            </rPr>
            <t>Senior title held at this level by the structural gate:</t>
          </r>
          <r>
            <rPr>
              <rFont val="Calibri"/>
              <color rgb="009C5700"/>
              <sz val="10"/>
            </rPr>
            <t xml:space="preserve"> confirm the scope</t>
          </r>
        </is>
      </c>
      <c r="AA87" s="83" t="inlineStr">
        <is>
          <t>• Survey response or KRAs describing the work · nothing on file — Employee + manager
• Confirm structure behind the senior title · org chart — Business head
• Correct the experience record — HR</t>
        </is>
      </c>
      <c r="AB87"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9 of 12 · D1-level impact.
From the survey and manager mapping — successor named: yes.
</t>
          </r>
          <r>
            <rPr>
              <rFont val="Calibri"/>
              <b val="1"/>
              <sz val="10"/>
            </rPr>
            <t>If the work is missed · role-holders' themes:</t>
          </r>
          <r>
            <rPr>
              <rFont val="Calibri"/>
              <sz val="10"/>
            </rPr>
            <t xml:space="preserve"> revenue · opportunities · lost.
Manager talent mapping — Latest rating: Not rated · manager · 9-Box Grid placement: Not placed · manager.</t>
          </r>
        </is>
      </c>
      <c r="AC87" s="84" t="n"/>
      <c r="AD87" s="84" t="n"/>
      <c r="AE87" s="84" t="n"/>
      <c r="AF87" s="12" t="n">
        <v>9</v>
      </c>
    </row>
    <row r="88" ht="379" customHeight="1">
      <c r="A88" s="12" t="inlineStr">
        <is>
          <t>IRIS1783</t>
        </is>
      </c>
      <c r="B88" s="10" t="inlineStr">
        <is>
          <t>Swapnil Trikane</t>
        </is>
      </c>
      <c r="C88" s="12" t="inlineStr">
        <is>
          <t>Sales</t>
        </is>
      </c>
      <c r="D88" s="12" t="inlineStr">
        <is>
          <t>Senior Manager Sales</t>
        </is>
      </c>
      <c r="E88" s="85" t="inlineStr">
        <is>
          <t>Lead Account Executive</t>
        </is>
      </c>
      <c r="F88" s="12" t="inlineStr">
        <is>
          <t>Sales &amp; Business Development</t>
        </is>
      </c>
      <c r="G88" s="12" t="inlineStr">
        <is>
          <t>Sales Leadership</t>
        </is>
      </c>
      <c r="H88" s="12" t="inlineStr">
        <is>
          <t>IC</t>
        </is>
      </c>
      <c r="I88" s="42" t="inlineStr">
        <is>
          <t>Not in current mapping files</t>
        </is>
      </c>
      <c r="J88" s="20" t="inlineStr">
        <is>
          <t>B3</t>
        </is>
      </c>
      <c r="K88" s="21" t="inlineStr">
        <is>
          <t>Lead Specialist</t>
        </is>
      </c>
      <c r="L88" s="79" t="inlineStr">
        <is>
          <t>● Newly mapped</t>
        </is>
      </c>
      <c r="M88" s="12" t="inlineStr">
        <is>
          <t>CARBON · Sales · Band B · Expert / POD Lead</t>
        </is>
      </c>
      <c r="N88" s="42" t="n">
        <v>5.5</v>
      </c>
      <c r="O88" s="42" t="n">
        <v>5.5</v>
      </c>
      <c r="P88" s="42" t="n">
        <v>5.5</v>
      </c>
      <c r="Q88" s="42" t="n">
        <v>4.5</v>
      </c>
      <c r="R88" s="42" t="n">
        <v>9</v>
      </c>
      <c r="S88" s="80" t="n">
        <v>5.5</v>
      </c>
      <c r="T88" s="81">
        <f>IF(OR($M88="",COUNT(N88,O88,P88,Q88,R88,S88)&lt;6),"",IFERROR(N88*INDEX(WM_C,MATCH($M88,WM_KEY,0))+O88*INDEX(WM_AU,MATCH($M88,WM_KEY,0))+P88*INDEX(WM_AC,MATCH($M88,WM_KEY,0))+Q88*INDEX(WM_L,MATCH($M88,WM_KEY,0))+R88*INDEX(WM_E,MATCH($M88,WM_KEY,0))+S88*INDEX(WM_BI,MATCH($M88,WM_KEY,0)),""))</f>
        <v>5.8</v>
      </c>
      <c r="U88" s="42" t="str">
        <f>IF(T88="","",INDEX({"A1","A2","A3","B1","B2","B3","C1","C2","D1","D2","E1","E2"},MAX(1,MIN(12,ROUND(T88,0)))))</f>
        <v>B3</v>
      </c>
      <c r="V88" s="12" t="inlineStr">
        <is>
          <r>
            <rPr>
              <rFont val="Calibri"/>
              <sz val="10"/>
            </rPr>
            <t xml:space="preserve">New level B3 · Lead Specialist. Current level on record: Not in current mapping files. Change: ● Newly mapped.
Score 5.80 on the ladder scale → indicated level B3.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8" s="12" t="inlineStr">
        <is>
          <r>
            <rPr>
              <rFont val="Calibri"/>
              <b val="1"/>
              <sz val="10"/>
            </rPr>
            <t>Complexity &amp; Expertise:</t>
          </r>
          <r>
            <rPr>
              <rFont val="Calibri"/>
              <sz val="10"/>
            </rPr>
            <t xml:space="preserve"> 5.5 of 12 · between B2 and B3 — Start: 6.0 · senior manager / lead specialist title; Evidence reads like B1: New-logo selling: BANT qualification, deal closures, partnership management, sales forecast and pipeline → moved down 0.5
</t>
          </r>
          <r>
            <rPr>
              <rFont val="Calibri"/>
              <b val="1"/>
              <sz val="10"/>
            </rPr>
            <t>Autonomy &amp; Decision:</t>
          </r>
          <r>
            <rPr>
              <rFont val="Calibri"/>
              <sz val="10"/>
            </rPr>
            <t xml:space="preserve"> 5.5 of 12 · between B2 and B3 — Start: 6.0 · senior manager / lead specialist title; Evidence reads like A3: Runs own deals; decision answer suggests commitments are not made alone → moved down 0.5
</t>
          </r>
          <r>
            <rPr>
              <rFont val="Calibri"/>
              <b val="1"/>
              <sz val="10"/>
            </rPr>
            <t>Accountability &amp; Impact:</t>
          </r>
          <r>
            <rPr>
              <rFont val="Calibri"/>
              <sz val="10"/>
            </rPr>
            <t xml:space="preserve"> 5.5 of 12 · between B2 and B3 — Start: 6.0 · senior manager / lead specialist title; Evidence reads like B2: own survey / KRA answers · summarised by the rater; not quoted → moved down 0.5
</t>
          </r>
          <r>
            <rPr>
              <rFont val="Calibri"/>
              <b val="1"/>
              <sz val="10"/>
            </rPr>
            <t>Leadership &amp; Strategy:</t>
          </r>
          <r>
            <rPr>
              <rFont val="Calibri"/>
              <sz val="10"/>
            </rPr>
            <t xml:space="preserve"> 4.5 of 12 · between B1 and B2 — Start: 5.0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9 of 12 — Experience: 15.5 yrs total · 8.1 before IRIS + 7.4 at IRIS = 8.3 on the experience scale; Qualification: MBA · postgraduate, relevant to the work → +0.5
</t>
          </r>
          <r>
            <rPr>
              <rFont val="Calibri"/>
              <b val="1"/>
              <sz val="10"/>
            </rPr>
            <t>Business Impact:</t>
          </r>
          <r>
            <rPr>
              <rFont val="Calibri"/>
              <sz val="10"/>
            </rPr>
            <t xml:space="preserve"> 5.5 of 12 — a starting estimate. —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88"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Enterprise / Strategic AE
</t>
          </r>
          <r>
            <rPr>
              <rFont val="Calibri"/>
              <b val="1"/>
              <sz val="10"/>
            </rPr>
            <t>At peers:</t>
          </r>
          <r>
            <rPr>
              <rFont val="Calibri"/>
              <sz val="10"/>
            </rPr>
            <t xml:space="preserve"> IRIS Vs Competitor Benchmark — SaaS sales ladder — IC: Enterprise AE · IRIS Vs Competitor Benchmark — SaaS sales ladder — management: Senior Sales Manager
</t>
          </r>
          <r>
            <rPr>
              <rFont val="Calibri"/>
              <b val="1"/>
              <sz val="10"/>
            </rPr>
            <t>Typical experience:</t>
          </r>
          <r>
            <rPr>
              <rFont val="Calibri"/>
              <sz val="10"/>
            </rPr>
            <t xml:space="preserve"> 8–13 yrs · IRIS guide 8–12
</t>
          </r>
          <r>
            <rPr>
              <rFont val="Calibri"/>
              <b val="1"/>
              <sz val="10"/>
            </rPr>
            <t>Standard:</t>
          </r>
          <r>
            <rPr>
              <rFont val="Calibri"/>
              <sz val="10"/>
            </rPr>
            <t xml:space="preserve"> SaaS sales ladder; MEDDICC-style qualification</t>
          </r>
        </is>
      </c>
      <c r="Y88" s="12" t="inlineStr">
        <is>
          <r>
            <rPr>
              <rFont val="Calibri"/>
              <sz val="10"/>
            </rPr>
            <t xml:space="preserve">✓ HRIS: 15.5 yrs, MBA, 0 direct reports
✓ Survey: 19 of 20 questions answered
✓ KRAs: reported deliverables
✓ Manager mapping: rating, 9-box
✓ Job description
</t>
          </r>
          <r>
            <rPr>
              <rFont val="Calibri"/>
              <b val="1"/>
              <sz val="10"/>
            </rPr>
            <t>Confidence:</t>
          </r>
          <r>
            <rPr>
              <rFont val="Calibri"/>
              <sz val="10"/>
            </rPr>
            <t xml:space="preserve"> Medium</t>
          </r>
        </is>
      </c>
      <c r="Z88" s="12" t="inlineStr">
        <is>
          <t>—</t>
        </is>
      </c>
      <c r="AA88" s="12" t="inlineStr">
        <is>
          <t>Nothing outstanding</t>
        </is>
      </c>
      <c r="AB88"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5.5 of 12 · B3-level impact.
From the survey and manager mapping — successor named: yes.
</t>
          </r>
          <r>
            <rPr>
              <rFont val="Calibri"/>
              <b val="1"/>
              <sz val="10"/>
            </rPr>
            <t>If the work is missed · role-holders' themes:</t>
          </r>
          <r>
            <rPr>
              <rFont val="Calibri"/>
              <sz val="10"/>
            </rPr>
            <t xml:space="preserve"> revenue · opportunities · lost.
Manager talent mapping — Latest rating: Not rated · manager · 9-Box Grid placement: Not placed · manager.</t>
          </r>
        </is>
      </c>
      <c r="AC88" s="84" t="n"/>
      <c r="AD88" s="84" t="n"/>
      <c r="AE88" s="84" t="n"/>
      <c r="AF88" s="12" t="n">
        <v>5.5</v>
      </c>
    </row>
    <row r="89" ht="379" customHeight="1">
      <c r="A89" s="12" t="inlineStr">
        <is>
          <t>IRIS1734</t>
        </is>
      </c>
      <c r="B89" s="10" t="inlineStr">
        <is>
          <t>Rohit Bansal</t>
        </is>
      </c>
      <c r="C89" s="12" t="inlineStr">
        <is>
          <t>Sales</t>
        </is>
      </c>
      <c r="D89" s="12" t="inlineStr">
        <is>
          <t>Senior Manager Sales</t>
        </is>
      </c>
      <c r="E89" s="85" t="inlineStr">
        <is>
          <t>Lead Account Executive</t>
        </is>
      </c>
      <c r="F89" s="12" t="inlineStr">
        <is>
          <t>Sales &amp; Business Development</t>
        </is>
      </c>
      <c r="G89" s="12" t="inlineStr">
        <is>
          <t>Sales Leadership</t>
        </is>
      </c>
      <c r="H89" s="12" t="inlineStr">
        <is>
          <t>IC</t>
        </is>
      </c>
      <c r="I89" s="42" t="inlineStr">
        <is>
          <t>Not in current mapping files</t>
        </is>
      </c>
      <c r="J89" s="20" t="inlineStr">
        <is>
          <t>B2</t>
        </is>
      </c>
      <c r="K89" s="21" t="inlineStr">
        <is>
          <t>Senior Specialist</t>
        </is>
      </c>
      <c r="L89" s="79" t="inlineStr">
        <is>
          <t>● Newly mapped</t>
        </is>
      </c>
      <c r="M89" s="12" t="inlineStr">
        <is>
          <t>CARBON · Sales · Band B · Expert / POD Lead</t>
        </is>
      </c>
      <c r="N89" s="42" t="n">
        <v>5</v>
      </c>
      <c r="O89" s="42" t="n">
        <v>5</v>
      </c>
      <c r="P89" s="42" t="n">
        <v>5.5</v>
      </c>
      <c r="Q89" s="42" t="n">
        <v>4</v>
      </c>
      <c r="R89" s="42" t="n">
        <v>9</v>
      </c>
      <c r="S89" s="80" t="n">
        <v>5.5</v>
      </c>
      <c r="T89" s="81">
        <f>IF(OR($M89="",COUNT(N89,O89,P89,Q89,R89,S89)&lt;6),"",IFERROR(N89*INDEX(WM_C,MATCH($M89,WM_KEY,0))+O89*INDEX(WM_AU,MATCH($M89,WM_KEY,0))+P89*INDEX(WM_AC,MATCH($M89,WM_KEY,0))+Q89*INDEX(WM_L,MATCH($M89,WM_KEY,0))+R89*INDEX(WM_E,MATCH($M89,WM_KEY,0))+S89*INDEX(WM_BI,MATCH($M89,WM_KEY,0)),""))</f>
        <v>5.435</v>
      </c>
      <c r="U89" s="42" t="str">
        <f>IF(T89="","",INDEX({"A1","A2","A3","B1","B2","B3","C1","C2","D1","D2","E1","E2"},MAX(1,MIN(12,ROUND(T89,0)))))</f>
        <v>B2</v>
      </c>
      <c r="V89" s="12" t="inlineStr">
        <is>
          <r>
            <rPr>
              <rFont val="Calibri"/>
              <sz val="10"/>
            </rPr>
            <t xml:space="preserve">New level B2 · Senior Specialist. Current level on record: Not in current mapping files. Change: ● Newly mapped.
Score 5.44 on the ladder scale → indicated level B2.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89" s="12" t="inlineStr">
        <is>
          <r>
            <rPr>
              <rFont val="Calibri"/>
              <b val="1"/>
              <sz val="10"/>
            </rPr>
            <t>Complexity &amp; Expertise:</t>
          </r>
          <r>
            <rPr>
              <rFont val="Calibri"/>
              <sz val="10"/>
            </rPr>
            <t xml:space="preserve"> 5 of 12 — Start: 6.0 · senior manager / lead specialist title; Evidence reads like B1: Consultative selling: requirements gathering, architecting deals, proposals and negotiation in financial reporting domain → moved down 1
</t>
          </r>
          <r>
            <rPr>
              <rFont val="Calibri"/>
              <b val="1"/>
              <sz val="10"/>
            </rPr>
            <t>Autonomy &amp; Decision:</t>
          </r>
          <r>
            <rPr>
              <rFont val="Calibri"/>
              <sz val="10"/>
            </rPr>
            <t xml:space="preserve"> 5 of 12 — Start: 6.0 · senior manager / lead specialist title; Evidence reads like B1: Independently drives deals, pursues opportunities and builds proposals on own key accounts → moved down 1
</t>
          </r>
          <r>
            <rPr>
              <rFont val="Calibri"/>
              <b val="1"/>
              <sz val="10"/>
            </rPr>
            <t>Accountability &amp; Impact:</t>
          </r>
          <r>
            <rPr>
              <rFont val="Calibri"/>
              <sz val="10"/>
            </rPr>
            <t xml:space="preserve"> 5.5 of 12 · between B2 and B3 — Start: 6.0 · senior manager / lead specialist title; Evidence reads like B2: Revenue generation and customer acquisition; owns key accounts and revenue targets → moved down 0.5
</t>
          </r>
          <r>
            <rPr>
              <rFont val="Calibri"/>
              <b val="1"/>
              <sz val="10"/>
            </rPr>
            <t>Leadership &amp; Strategy:</t>
          </r>
          <r>
            <rPr>
              <rFont val="Calibri"/>
              <sz val="10"/>
            </rPr>
            <t xml:space="preserve"> 4 of 12 — Start: 5.0 · individual contributor, so influence only; Evidence reads like A1: Works with cross-functional teams; no people guidance described → moved down 1; Team: 0 direct reports · IC
</t>
          </r>
          <r>
            <rPr>
              <rFont val="Calibri"/>
              <b val="1"/>
              <sz val="10"/>
            </rPr>
            <t>Experience &amp; Qualification:</t>
          </r>
          <r>
            <rPr>
              <rFont val="Calibri"/>
              <sz val="10"/>
            </rPr>
            <t xml:space="preserve"> 9 of 12 — Experience: 16.5 yrs total · 8.3 before IRIS + 8.2 at IRIS = 8.7 on the experience scale; Qualification: MBA · postgraduate, relevant to the work → +0.5
</t>
          </r>
          <r>
            <rPr>
              <rFont val="Calibri"/>
              <b val="1"/>
              <sz val="10"/>
            </rPr>
            <t>Business Impact:</t>
          </r>
          <r>
            <rPr>
              <rFont val="Calibri"/>
              <sz val="10"/>
            </rPr>
            <t xml:space="preserve"> 5.5 of 12 — a starting estimate. —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89" s="12" t="inlineStr">
        <is>
          <r>
            <rPr>
              <rFont val="Calibri"/>
              <b val="1"/>
              <sz val="10"/>
            </rPr>
            <t>Market level:</t>
          </r>
          <r>
            <rPr>
              <rFont val="Calibri"/>
              <sz val="10"/>
            </rPr>
            <t xml:space="preserve"> P4 / M3 · SFIA 4–5
</t>
          </r>
          <r>
            <rPr>
              <rFont val="Calibri"/>
              <b val="1"/>
              <sz val="10"/>
            </rPr>
            <t>Typical title:</t>
          </r>
          <r>
            <rPr>
              <rFont val="Calibri"/>
              <sz val="10"/>
            </rPr>
            <t xml:space="preserve"> Enterprise / Strategic AE
</t>
          </r>
          <r>
            <rPr>
              <rFont val="Calibri"/>
              <b val="1"/>
              <sz val="10"/>
            </rPr>
            <t>At peers:</t>
          </r>
          <r>
            <rPr>
              <rFont val="Calibri"/>
              <sz val="10"/>
            </rPr>
            <t xml:space="preserve"> IRIS Vs Competitor Benchmark — SaaS sales ladder — IC: Mid-Market AE · IRIS Vs Competitor Benchmark — SaaS sales ladder — management: Sales Manager
</t>
          </r>
          <r>
            <rPr>
              <rFont val="Calibri"/>
              <b val="1"/>
              <sz val="10"/>
            </rPr>
            <t>Typical experience:</t>
          </r>
          <r>
            <rPr>
              <rFont val="Calibri"/>
              <sz val="10"/>
            </rPr>
            <t xml:space="preserve"> 6–10 yrs · IRIS guide 6–9
</t>
          </r>
          <r>
            <rPr>
              <rFont val="Calibri"/>
              <b val="1"/>
              <sz val="10"/>
            </rPr>
            <t>Standard:</t>
          </r>
          <r>
            <rPr>
              <rFont val="Calibri"/>
              <sz val="10"/>
            </rPr>
            <t xml:space="preserve"> SaaS sales ladder; MEDDICC-style qualification</t>
          </r>
        </is>
      </c>
      <c r="Y89" s="12" t="inlineStr">
        <is>
          <r>
            <rPr>
              <rFont val="Calibri"/>
              <sz val="10"/>
            </rPr>
            <t xml:space="preserve">✓ HRIS: 16.5 yrs, MBA, 0 direct reports
✓ Survey: 20 of 20 questions answered
✓ KRAs: reported deliverables
✓ Manager mapping: rating, 9-box
✓ Job description
</t>
          </r>
          <r>
            <rPr>
              <rFont val="Calibri"/>
              <b val="1"/>
              <sz val="10"/>
            </rPr>
            <t>Confidence:</t>
          </r>
          <r>
            <rPr>
              <rFont val="Calibri"/>
              <sz val="10"/>
            </rPr>
            <t xml:space="preserve"> High</t>
          </r>
        </is>
      </c>
      <c r="Z89" s="82"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89" s="12" t="inlineStr">
        <is>
          <t>Nothing outstanding</t>
        </is>
      </c>
      <c r="AB89"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From the survey and manager mapping — successor named: yes.
</t>
          </r>
          <r>
            <rPr>
              <rFont val="Calibri"/>
              <b val="1"/>
              <sz val="10"/>
            </rPr>
            <t>If the work is missed · role-holders' themes:</t>
          </r>
          <r>
            <rPr>
              <rFont val="Calibri"/>
              <sz val="10"/>
            </rPr>
            <t xml:space="preserve"> revenue · opportunities · lost.
Manager talent mapping — Latest rating: Not rated · manager · 9-Box Grid placement: Not placed · manager.</t>
          </r>
        </is>
      </c>
      <c r="AC89" s="84" t="n"/>
      <c r="AD89" s="84" t="n"/>
      <c r="AE89" s="84" t="n"/>
      <c r="AF89" s="12" t="n">
        <v>5.5</v>
      </c>
    </row>
    <row r="90" ht="379" customHeight="1">
      <c r="A90" s="12" t="inlineStr">
        <is>
          <t>IRIS2351</t>
        </is>
      </c>
      <c r="B90" s="10" t="inlineStr">
        <is>
          <t>Aniket Das</t>
        </is>
      </c>
      <c r="C90" s="12" t="inlineStr">
        <is>
          <t>Sales</t>
        </is>
      </c>
      <c r="D90" s="12" t="inlineStr">
        <is>
          <t>Senior Analyst, Strategy and Operations</t>
        </is>
      </c>
      <c r="E90" s="85" t="inlineStr">
        <is>
          <t>Sales Operations Specialist – POD Lead</t>
        </is>
      </c>
      <c r="F90" s="12" t="inlineStr">
        <is>
          <t>Sales &amp; Business Development</t>
        </is>
      </c>
      <c r="G90" s="12" t="inlineStr">
        <is>
          <t>Bids, RFP &amp; Sales Operations</t>
        </is>
      </c>
      <c r="H90" s="12" t="inlineStr">
        <is>
          <t>POD Lead</t>
        </is>
      </c>
      <c r="I90" s="42" t="inlineStr">
        <is>
          <t>Not in current mapping files</t>
        </is>
      </c>
      <c r="J90" s="20" t="inlineStr">
        <is>
          <t>B1</t>
        </is>
      </c>
      <c r="K90" s="21" t="inlineStr">
        <is>
          <t>Specialist · POD Lead</t>
        </is>
      </c>
      <c r="L90" s="79" t="inlineStr">
        <is>
          <t>● Newly mapped</t>
        </is>
      </c>
      <c r="M90" s="12" t="inlineStr">
        <is>
          <t>CARBON · Sales · Band B · Expert / POD Lead</t>
        </is>
      </c>
      <c r="N90" s="42" t="n">
        <v>3.5</v>
      </c>
      <c r="O90" s="42" t="n">
        <v>3</v>
      </c>
      <c r="P90" s="42" t="n">
        <v>4</v>
      </c>
      <c r="Q90" s="42" t="n">
        <v>3</v>
      </c>
      <c r="R90" s="42" t="n">
        <v>4.5</v>
      </c>
      <c r="S90" s="80" t="n">
        <v>4</v>
      </c>
      <c r="T90" s="81">
        <f>IF(OR($M90="",COUNT(N90,O90,P90,Q90,R90,S90)&lt;6),"",IFERROR(N90*INDEX(WM_C,MATCH($M90,WM_KEY,0))+O90*INDEX(WM_AU,MATCH($M90,WM_KEY,0))+P90*INDEX(WM_AC,MATCH($M90,WM_KEY,0))+Q90*INDEX(WM_L,MATCH($M90,WM_KEY,0))+R90*INDEX(WM_E,MATCH($M90,WM_KEY,0))+S90*INDEX(WM_BI,MATCH($M90,WM_KEY,0)),""))</f>
        <v>3.55</v>
      </c>
      <c r="U90" s="42" t="str">
        <f>IF(T90="","",INDEX({"A1","A2","A3","B1","B2","B3","C1","C2","D1","D2","E1","E2"},MAX(1,MIN(12,ROUND(T90,0)))))</f>
        <v>B1</v>
      </c>
      <c r="V90" s="12" t="inlineStr">
        <is>
          <r>
            <rPr>
              <rFont val="Calibri"/>
              <sz val="10"/>
            </rPr>
            <t xml:space="preserve">New level B1 · Specialist · POD Lead. Current level on record: Not in current mapping files. Change: ● Newly mapped.
Score 3.55 on the ladder scale → indicated level B1.
</t>
          </r>
          <r>
            <rPr>
              <rFont val="Calibri"/>
              <b val="1"/>
              <sz val="10"/>
            </rPr>
            <t>Weights:</t>
          </r>
          <r>
            <rPr>
              <rFont val="Calibri"/>
              <sz val="10"/>
            </rPr>
            <t xml:space="preserve"> Complexity 46% · Autonomy 22% · Business impact 12% · Experience 10%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0" s="12" t="inlineStr">
        <is>
          <r>
            <rPr>
              <rFont val="Calibri"/>
              <b val="1"/>
              <sz val="10"/>
            </rPr>
            <t>Complexity &amp; Expertise:</t>
          </r>
          <r>
            <rPr>
              <rFont val="Calibri"/>
              <sz val="10"/>
            </rPr>
            <t xml:space="preserve"> 3.5 of 12 · between A3 and B1 — Start: 3.0 · senior practitioner title; Evidence reads like B1: Analyses pipeline funnel and all CARBON revenue metrics · new logos, expansion, churn for board reporting → moved up 0.5
</t>
          </r>
          <r>
            <rPr>
              <rFont val="Calibri"/>
              <b val="1"/>
              <sz val="10"/>
            </rPr>
            <t>Autonomy &amp; Decision:</t>
          </r>
          <r>
            <rPr>
              <rFont val="Calibri"/>
              <sz val="10"/>
            </rPr>
            <t xml:space="preserve"> 3 of 12 — Start: 3.0 · senior practitioner title; Evidence reads like A3: Decides on the business CRM and data hub; no wider decisions stated → matches the start
</t>
          </r>
          <r>
            <rPr>
              <rFont val="Calibri"/>
              <b val="1"/>
              <sz val="10"/>
            </rPr>
            <t>Accountability &amp; Impact:</t>
          </r>
          <r>
            <rPr>
              <rFont val="Calibri"/>
              <sz val="10"/>
            </rPr>
            <t xml:space="preserve"> 4 of 12 — Start: 3.5 · senior practitioner title; 1 direct report; Evidence reads like B1: Owns CARBON revenue metrics and HubSpot CRM; wrong numbers reach the board → moved up 0.5
</t>
          </r>
          <r>
            <rPr>
              <rFont val="Calibri"/>
              <b val="1"/>
              <sz val="10"/>
            </rPr>
            <t>Leadership &amp; Strategy:</t>
          </r>
          <r>
            <rPr>
              <rFont val="Calibri"/>
              <sz val="10"/>
            </rPr>
            <t xml:space="preserve"> 3 of 12 — Start: 3.5; Evidence reads like A2: One direct report in HR data, but no guiding or reviewing described → moved down 0.5; Team: 1 direct report · POD Lead
</t>
          </r>
          <r>
            <rPr>
              <rFont val="Calibri"/>
              <b val="1"/>
              <sz val="10"/>
            </rPr>
            <t>Experience &amp; Qualification:</t>
          </r>
          <r>
            <rPr>
              <rFont val="Calibri"/>
              <sz val="10"/>
            </rPr>
            <t xml:space="preserve"> 4.5 of 12 · between B1 and B2 — Experience: 5.2 yrs total · 3.7 before IRIS + 1.5 at IRIS = 3.9 on the experience scale; Qualification: MBA · postgraduate, relevant to the work → +0.5
</t>
          </r>
          <r>
            <rPr>
              <rFont val="Calibri"/>
              <b val="1"/>
              <sz val="10"/>
            </rPr>
            <t>Business Impact:</t>
          </r>
          <r>
            <rPr>
              <rFont val="Calibri"/>
              <sz val="10"/>
            </rPr>
            <t xml:space="preserve"> 4 of 12 — a starting estimate. — Start: 4,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t>
          </r>
        </is>
      </c>
      <c r="X90" s="12" t="inlineStr">
        <is>
          <r>
            <rPr>
              <rFont val="Calibri"/>
              <b val="1"/>
              <sz val="10"/>
            </rPr>
            <t>Market level:</t>
          </r>
          <r>
            <rPr>
              <rFont val="Calibri"/>
              <sz val="10"/>
            </rPr>
            <t xml:space="preserve"> P3 / M2 · SFIA 4 Enable
</t>
          </r>
          <r>
            <rPr>
              <rFont val="Calibri"/>
              <b val="1"/>
              <sz val="10"/>
            </rPr>
            <t>Typical title:</t>
          </r>
          <r>
            <rPr>
              <rFont val="Calibri"/>
              <sz val="10"/>
            </rPr>
            <t xml:space="preserve"> Account Executive
</t>
          </r>
          <r>
            <rPr>
              <rFont val="Calibri"/>
              <b val="1"/>
              <sz val="10"/>
            </rPr>
            <t>At peers:</t>
          </r>
          <r>
            <rPr>
              <rFont val="Calibri"/>
              <sz val="10"/>
            </rPr>
            <t xml:space="preserve"> IRIS Vs Competitor Benchmark — SaaS sales ladder — IC: Account Executive · SMB · IRIS Vs Competitor Benchmark — SaaS sales ladder — management: SDR Team Lead
</t>
          </r>
          <r>
            <rPr>
              <rFont val="Calibri"/>
              <b val="1"/>
              <sz val="10"/>
            </rPr>
            <t>Typical experience:</t>
          </r>
          <r>
            <rPr>
              <rFont val="Calibri"/>
              <sz val="10"/>
            </rPr>
            <t xml:space="preserve"> 4–8 yrs · IRIS guide 4–7
</t>
          </r>
          <r>
            <rPr>
              <rFont val="Calibri"/>
              <b val="1"/>
              <sz val="10"/>
            </rPr>
            <t>Standard:</t>
          </r>
          <r>
            <rPr>
              <rFont val="Calibri"/>
              <sz val="10"/>
            </rPr>
            <t xml:space="preserve"> SaaS sales ladder; MEDDICC-style qualification</t>
          </r>
        </is>
      </c>
      <c r="Y90" s="12" t="inlineStr">
        <is>
          <r>
            <rPr>
              <rFont val="Calibri"/>
              <sz val="10"/>
            </rPr>
            <t xml:space="preserve">✓ HRIS: 5.2 yrs, MBA, 1 direct report
✓ Survey: 20 of 20 questions answered
✓ KRAs: reported deliverables
✓ Manager mapping: rating, 9-box
✓ Job description
</t>
          </r>
          <r>
            <rPr>
              <rFont val="Calibri"/>
              <b val="1"/>
              <sz val="10"/>
            </rPr>
            <t>Confidence:</t>
          </r>
          <r>
            <rPr>
              <rFont val="Calibri"/>
              <sz val="10"/>
            </rPr>
            <t xml:space="preserve"> High</t>
          </r>
        </is>
      </c>
      <c r="Z90" s="12" t="inlineStr">
        <is>
          <t>—</t>
        </is>
      </c>
      <c r="AA90" s="12" t="inlineStr">
        <is>
          <t>Nothing outstanding</t>
        </is>
      </c>
      <c r="AB90"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 of 12 · B1-level impact.
Leads 1 direct report.
From the survey and manager mapping — successor named: yes.
Manager talent mapping — Latest rating: Not rated · manager · 9-Box Grid placement: Not placed · manager.</t>
          </r>
        </is>
      </c>
      <c r="AC90" s="84" t="n"/>
      <c r="AD90" s="84" t="n"/>
      <c r="AE90" s="84" t="n"/>
      <c r="AF90" s="12" t="n">
        <v>4</v>
      </c>
    </row>
    <row r="91" ht="379" customHeight="1">
      <c r="A91" s="12" t="inlineStr">
        <is>
          <t>IRIS2308</t>
        </is>
      </c>
      <c r="B91" s="10" t="inlineStr">
        <is>
          <t>Smriti Priya</t>
        </is>
      </c>
      <c r="C91" s="12" t="inlineStr">
        <is>
          <t>Sales</t>
        </is>
      </c>
      <c r="D91" s="12" t="inlineStr">
        <is>
          <t>Senior Analyst, Strategy and Operations</t>
        </is>
      </c>
      <c r="E91" s="85" t="inlineStr">
        <is>
          <t>Senior Sales Operations Analyst</t>
        </is>
      </c>
      <c r="F91" s="12" t="inlineStr">
        <is>
          <t>Sales &amp; Business Development</t>
        </is>
      </c>
      <c r="G91" s="12" t="inlineStr">
        <is>
          <t>Bids, RFP &amp; Sales Operations</t>
        </is>
      </c>
      <c r="H91" s="12" t="inlineStr">
        <is>
          <t>IC</t>
        </is>
      </c>
      <c r="I91" s="42" t="inlineStr">
        <is>
          <t>L4 – Senior</t>
        </is>
      </c>
      <c r="J91" s="16" t="inlineStr">
        <is>
          <t>A3</t>
        </is>
      </c>
      <c r="K91" s="17" t="inlineStr">
        <is>
          <t>Senior Associate</t>
        </is>
      </c>
      <c r="L91" s="88" t="inlineStr">
        <is>
          <t>• Same level</t>
        </is>
      </c>
      <c r="M91" s="12" t="inlineStr">
        <is>
          <t>CARBON · Sales · Band A · Early career</t>
        </is>
      </c>
      <c r="N91" s="42" t="n">
        <v>3</v>
      </c>
      <c r="O91" s="42" t="n">
        <v>3</v>
      </c>
      <c r="P91" s="42" t="n">
        <v>3</v>
      </c>
      <c r="Q91" s="42" t="n">
        <v>1.5</v>
      </c>
      <c r="R91" s="42" t="n">
        <v>4</v>
      </c>
      <c r="S91" s="80" t="n">
        <v>3</v>
      </c>
      <c r="T91" s="81">
        <f>IF(OR($M91="",COUNT(N91,O91,P91,Q91,R91,S91)&lt;6),"",IFERROR(N91*INDEX(WM_C,MATCH($M91,WM_KEY,0))+O91*INDEX(WM_AU,MATCH($M91,WM_KEY,0))+P91*INDEX(WM_AC,MATCH($M91,WM_KEY,0))+Q91*INDEX(WM_L,MATCH($M91,WM_KEY,0))+R91*INDEX(WM_E,MATCH($M91,WM_KEY,0))+S91*INDEX(WM_BI,MATCH($M91,WM_KEY,0)),""))</f>
        <v>3.1</v>
      </c>
      <c r="U91" s="42" t="str">
        <f>IF(T91="","",INDEX({"A1","A2","A3","B1","B2","B3","C1","C2","D1","D2","E1","E2"},MAX(1,MIN(12,ROUND(T91,0)))))</f>
        <v>A3</v>
      </c>
      <c r="V91" s="12" t="inlineStr">
        <is>
          <r>
            <rPr>
              <rFont val="Calibri"/>
              <sz val="10"/>
            </rPr>
            <t xml:space="preserve">New level A3 · Senior Associate. Current level on record: L4 – Senior. Change: • Same level.
Score 3.10 on the ladder scale → indicated level A3.
</t>
          </r>
          <r>
            <rPr>
              <rFont val="Calibri"/>
              <b val="1"/>
              <sz val="10"/>
            </rPr>
            <t>Weights:</t>
          </r>
          <r>
            <rPr>
              <rFont val="Calibri"/>
              <sz val="10"/>
            </rPr>
            <t xml:space="preserve"> Complexity 54% · Autonomy 21% · Business impact 11% · Experience 10%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sales and marketing are judged on pipeline and revenue, so Business Impact +5, Autonomy +5,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1" s="12" t="inlineStr">
        <is>
          <r>
            <rPr>
              <rFont val="Calibri"/>
              <b val="1"/>
              <sz val="10"/>
            </rPr>
            <t>Complexity &amp; Expertise:</t>
          </r>
          <r>
            <rPr>
              <rFont val="Calibri"/>
              <sz val="10"/>
            </rPr>
            <t xml:space="preserve"> 3 of 12 — Start: 3.0 · senior practitioner title; Evidence reads like A3: Manages RFPs/tenders, bid compliance, vendor registration, questionnaires, commission calculation and legal coordination → matches the start; KRA: “1. Achieve assigned annual sales / revenue quota · target: 100% of number 2. Build and maintain qualified pipeline of &gt;=3x quota coverage…”
</t>
          </r>
          <r>
            <rPr>
              <rFont val="Calibri"/>
              <b val="1"/>
              <sz val="10"/>
            </rPr>
            <t>Autonomy &amp; Decision:</t>
          </r>
          <r>
            <rPr>
              <rFont val="Calibri"/>
              <sz val="10"/>
            </rPr>
            <t xml:space="preserve"> 3 of 12 — Start: 3.0 · senior practitioner title; Evidence reads like A3: Decides RFP tracking, response consolidation, process improvement; judges when to deviate from the repository → matches the start
</t>
          </r>
          <r>
            <rPr>
              <rFont val="Calibri"/>
              <b val="1"/>
              <sz val="10"/>
            </rPr>
            <t>Accountability &amp; Impact:</t>
          </r>
          <r>
            <rPr>
              <rFont val="Calibri"/>
              <sz val="10"/>
            </rPr>
            <t xml:space="preserve"> 3 of 12 — Start: 3.0 · senior practitioner title; Evidence reads like A3: Accuracy and on-time submission of RFP responses; errors can cost participation in opportunities → matches the start; KRA: “1. Achieve assigned annual sales / revenue quota · target: 100% of number 2. Build and maintain qualified pipeline of &gt;=3x quota coverage…”
</t>
          </r>
          <r>
            <rPr>
              <rFont val="Calibri"/>
              <b val="1"/>
              <sz val="10"/>
            </rPr>
            <t>Leadership &amp; Strategy:</t>
          </r>
          <r>
            <rPr>
              <rFont val="Calibri"/>
              <sz val="10"/>
            </rPr>
            <t xml:space="preserve"> 1.5 of 12 · between A1 and A2 — not counted: the weight is 0% at this level — Start: 2.0 · individual contributor, so influence only; Evidence reads like A1: Coordinates cross-functional inputs; no guidance of others described → moved down 0.5; Team: 0 direct reports · IC
</t>
          </r>
          <r>
            <rPr>
              <rFont val="Calibri"/>
              <b val="1"/>
              <sz val="10"/>
            </rPr>
            <t>Experience &amp; Qualification:</t>
          </r>
          <r>
            <rPr>
              <rFont val="Calibri"/>
              <sz val="10"/>
            </rPr>
            <t xml:space="preserve"> 4 of 12 — Experience: 4.0 yrs total · 2.0 before IRIS + 2.0 at IRIS = 3.4 on the experience scale; Qualification: MBA · postgraduate, relevant to the work → +0.5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91" s="12" t="inlineStr">
        <is>
          <r>
            <rPr>
              <rFont val="Calibri"/>
              <b val="1"/>
              <sz val="10"/>
            </rPr>
            <t>Market level:</t>
          </r>
          <r>
            <rPr>
              <rFont val="Calibri"/>
              <sz val="10"/>
            </rPr>
            <t xml:space="preserve"> P2 · SFIA 3 Apply
</t>
          </r>
          <r>
            <rPr>
              <rFont val="Calibri"/>
              <b val="1"/>
              <sz val="10"/>
            </rPr>
            <t>Typical title:</t>
          </r>
          <r>
            <rPr>
              <rFont val="Calibri"/>
              <sz val="10"/>
            </rPr>
            <t xml:space="preserve"> SDR / Inside Sales
</t>
          </r>
          <r>
            <rPr>
              <rFont val="Calibri"/>
              <b val="1"/>
              <sz val="10"/>
            </rPr>
            <t>At peers:</t>
          </r>
          <r>
            <rPr>
              <rFont val="Calibri"/>
              <sz val="10"/>
            </rPr>
            <t xml:space="preserve"> IRIS Vs Competitor Benchmark — SaaS sales ladder — IC: Senior SDR
</t>
          </r>
          <r>
            <rPr>
              <rFont val="Calibri"/>
              <b val="1"/>
              <sz val="10"/>
            </rPr>
            <t>Typical experience:</t>
          </r>
          <r>
            <rPr>
              <rFont val="Calibri"/>
              <sz val="10"/>
            </rPr>
            <t xml:space="preserve"> 2–5 yrs · IRIS guide 2–4
</t>
          </r>
          <r>
            <rPr>
              <rFont val="Calibri"/>
              <b val="1"/>
              <sz val="10"/>
            </rPr>
            <t>Standard:</t>
          </r>
          <r>
            <rPr>
              <rFont val="Calibri"/>
              <sz val="10"/>
            </rPr>
            <t xml:space="preserve"> SaaS sales ladder; MEDDICC-style qualification</t>
          </r>
        </is>
      </c>
      <c r="Y91" s="12" t="inlineStr">
        <is>
          <r>
            <rPr>
              <rFont val="Calibri"/>
              <sz val="10"/>
            </rPr>
            <t xml:space="preserve">✓ HRIS: 4.0 yrs, MBA,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91" s="12" t="inlineStr">
        <is>
          <t>—</t>
        </is>
      </c>
      <c r="AA91" s="12" t="inlineStr">
        <is>
          <t>Nothing outstanding</t>
        </is>
      </c>
      <c r="AB9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Manager talent mapping — Latest rating: 3 · Potential: Low · 9-Box Grid placement: Reliable Specialist.</t>
          </r>
        </is>
      </c>
      <c r="AC91" s="84" t="n"/>
      <c r="AD91" s="84" t="n"/>
      <c r="AE91" s="84" t="n"/>
      <c r="AF91" s="12" t="n">
        <v>3</v>
      </c>
    </row>
    <row r="92" ht="145" customHeight="1">
      <c r="A92" s="12" t="inlineStr">
        <is>
          <t>IRISC345</t>
        </is>
      </c>
      <c r="B92" s="10" t="inlineStr">
        <is>
          <t>Andrea Messiga</t>
        </is>
      </c>
      <c r="C92" s="12" t="inlineStr">
        <is>
          <t>Sales</t>
        </is>
      </c>
      <c r="D92" s="12" t="inlineStr">
        <is>
          <t>Regional Manager- Business Development</t>
        </is>
      </c>
      <c r="E92" s="85" t="inlineStr">
        <is>
          <t>Senior Consultant – Enterprise Sales &amp; Account Management</t>
        </is>
      </c>
      <c r="F92" s="12" t="inlineStr">
        <is>
          <t>Sales &amp; Business Development</t>
        </is>
      </c>
      <c r="G92" s="12" t="inlineStr">
        <is>
          <t>Enterprise Sales &amp; Account Management</t>
        </is>
      </c>
      <c r="H92" s="12" t="inlineStr">
        <is>
          <t>Consultant</t>
        </is>
      </c>
      <c r="I92" s="42" t="inlineStr">
        <is>
          <t>—</t>
        </is>
      </c>
      <c r="J92" s="36" t="inlineStr">
        <is>
          <t>X3</t>
        </is>
      </c>
      <c r="K92" s="37" t="inlineStr">
        <is>
          <t>Senior Consultant / Advisor</t>
        </is>
      </c>
      <c r="L92" s="88" t="inlineStr">
        <is>
          <t>• Same level</t>
        </is>
      </c>
      <c r="M92" s="12" t="inlineStr">
        <is>
          <t>—</t>
        </is>
      </c>
      <c r="N92" s="42" t="inlineStr">
        <is>
          <t>—</t>
        </is>
      </c>
      <c r="O92" s="42" t="inlineStr">
        <is>
          <t>—</t>
        </is>
      </c>
      <c r="P92" s="42" t="inlineStr">
        <is>
          <t>—</t>
        </is>
      </c>
      <c r="Q92" s="42" t="inlineStr">
        <is>
          <t>—</t>
        </is>
      </c>
      <c r="R92" s="42" t="inlineStr">
        <is>
          <t>—</t>
        </is>
      </c>
      <c r="S92" s="80" t="inlineStr">
        <is>
          <t>—</t>
        </is>
      </c>
      <c r="T92" s="81" t="inlineStr">
        <is>
          <t>—</t>
        </is>
      </c>
      <c r="U92" s="42" t="inlineStr">
        <is>
          <t>Not scored</t>
        </is>
      </c>
      <c r="V92" s="12" t="inlineStr">
        <is>
          <r>
            <rPr>
              <rFont val="Calibri"/>
              <sz val="10"/>
            </rPr>
            <t xml:space="preserve">New level X3 · Senior Consultant / Advisor. Current level on record: —. Change: • Same level.
• Placed at X3 · consultant, outside the employee ladder by leadership decision: Leadership structure: senior consultant.
</t>
          </r>
          <r>
            <rPr>
              <rFont val="Calibri"/>
              <b val="1"/>
              <sz val="10"/>
            </rPr>
            <t>Final level:</t>
          </r>
          <r>
            <rPr>
              <rFont val="Calibri"/>
              <sz val="10"/>
            </rPr>
            <t xml:space="preserve"> X3.</t>
          </r>
        </is>
      </c>
      <c r="W92" s="12" t="inlineStr">
        <is>
          <r>
            <rPr>
              <rFont val="Calibri"/>
              <b val="1"/>
              <sz val="10"/>
            </rPr>
            <t>Not scored:</t>
          </r>
          <r>
            <rPr>
              <rFont val="Calibri"/>
              <sz val="10"/>
            </rPr>
            <t xml:space="preserve"> consultants sit outside the career ladder · X1–X3, by the scope of their statement of work.</t>
          </r>
        </is>
      </c>
      <c r="X92" s="12" t="inlineStr">
        <is>
          <r>
            <rPr>
              <rFont val="Calibri"/>
              <b val="1"/>
              <sz val="10"/>
            </rPr>
            <t>Consultant:</t>
          </r>
          <r>
            <rPr>
              <rFont val="Calibri"/>
              <sz val="10"/>
            </rPr>
            <t xml:space="preserve"> priced by rate card under the statement of work.</t>
          </r>
        </is>
      </c>
      <c r="Y92" s="12" t="inlineStr">
        <is>
          <r>
            <rPr>
              <rFont val="Calibri"/>
              <sz val="10"/>
            </rPr>
            <t xml:space="preserve">✗ HRIS: experience missing, qualification missing, 0 direct reports
✗ Survey: no response
✗ KRAs: none on file
✓ Manager mapping: rating
✓ Job description
✓ Validated inputs: Approved level: X2 → X3 · Leadership structure: senior consultant · Leadership decision · HR review of 9 Oct 2026 · 2026-10-09
</t>
          </r>
          <r>
            <rPr>
              <rFont val="Calibri"/>
              <b val="1"/>
              <sz val="10"/>
            </rPr>
            <t>Confidence:</t>
          </r>
          <r>
            <rPr>
              <rFont val="Calibri"/>
              <sz val="10"/>
            </rPr>
            <t xml:space="preserve"> —</t>
          </r>
        </is>
      </c>
      <c r="Z92" s="12" t="inlineStr">
        <is>
          <t>—</t>
        </is>
      </c>
      <c r="AA92" s="12" t="inlineStr">
        <is>
          <t>Nothing outstanding</t>
        </is>
      </c>
      <c r="AB92" s="12" t="inlineStr">
        <is>
          <r>
            <rPr>
              <rFont val="Calibri"/>
              <b val="1"/>
              <sz val="10"/>
            </rPr>
            <t>What the role answers for:</t>
          </r>
          <r>
            <rPr>
              <rFont val="Calibri"/>
              <sz val="10"/>
            </rPr>
            <t xml:space="preserve"> —.
From the survey and manager mapping — successor named: yes.
Manager talent mapping — Latest rating: Not rated · manager.</t>
          </r>
        </is>
      </c>
      <c r="AC92" s="84" t="n"/>
      <c r="AD92" s="84" t="n"/>
      <c r="AE92" s="84" t="n"/>
      <c r="AF92" s="12" t="inlineStr">
        <is>
          <t>—</t>
        </is>
      </c>
    </row>
    <row r="93" ht="379" customHeight="1">
      <c r="A93" s="12" t="inlineStr">
        <is>
          <t>IRIS0018</t>
        </is>
      </c>
      <c r="B93" s="10" t="inlineStr">
        <is>
          <t>K Ashok Kumar</t>
        </is>
      </c>
      <c r="C93" s="12" t="inlineStr">
        <is>
          <t>Services</t>
        </is>
      </c>
      <c r="D93" s="12" t="inlineStr">
        <is>
          <t>Manager Financial Analyst</t>
        </is>
      </c>
      <c r="E93" s="85" t="inlineStr">
        <is>
          <t>Associate Head – Assisted Services</t>
        </is>
      </c>
      <c r="F93" s="12" t="inlineStr">
        <is>
          <t>Consulting &amp; Professional Services</t>
        </is>
      </c>
      <c r="G93" s="12" t="inlineStr">
        <is>
          <t>Professional Services Leadership</t>
        </is>
      </c>
      <c r="H93" s="12" t="inlineStr">
        <is>
          <t>People Manager</t>
        </is>
      </c>
      <c r="I93" s="42" t="inlineStr">
        <is>
          <t>L5 – Manager</t>
        </is>
      </c>
      <c r="J93" s="24" t="inlineStr">
        <is>
          <t>C1</t>
        </is>
      </c>
      <c r="K93" s="25" t="inlineStr">
        <is>
          <t>Associate Head</t>
        </is>
      </c>
      <c r="L93" s="87" t="inlineStr">
        <is>
          <t>▲ Up</t>
        </is>
      </c>
      <c r="M93" s="12" t="inlineStr">
        <is>
          <t>CARBON · Services · Band C · Head / Manager</t>
        </is>
      </c>
      <c r="N93" s="42" t="n">
        <v>5.5</v>
      </c>
      <c r="O93" s="42" t="n">
        <v>6.5</v>
      </c>
      <c r="P93" s="42" t="n">
        <v>7.5</v>
      </c>
      <c r="Q93" s="42" t="n">
        <v>7.5</v>
      </c>
      <c r="R93" s="42" t="n">
        <v>11</v>
      </c>
      <c r="S93" s="80" t="n">
        <v>8.5</v>
      </c>
      <c r="T93" s="81">
        <f>IF(OR($M93="",COUNT(N93,O93,P93,Q93,R93,S93)&lt;6),"",IFERROR(N93*INDEX(WM_C,MATCH($M93,WM_KEY,0))+O93*INDEX(WM_AU,MATCH($M93,WM_KEY,0))+P93*INDEX(WM_AC,MATCH($M93,WM_KEY,0))+Q93*INDEX(WM_L,MATCH($M93,WM_KEY,0))+R93*INDEX(WM_E,MATCH($M93,WM_KEY,0))+S93*INDEX(WM_BI,MATCH($M93,WM_KEY,0)),""))</f>
        <v>6.815</v>
      </c>
      <c r="U93" s="42" t="str">
        <f>IF(T93="","",INDEX({"A1","A2","A3","B1","B2","B3","C1","C2","D1","D2","E1","E2"},MAX(1,MIN(12,ROUND(T93,0)))))</f>
        <v>C1</v>
      </c>
      <c r="V93" s="12" t="inlineStr">
        <is>
          <r>
            <rPr>
              <rFont val="Calibri"/>
              <sz val="10"/>
            </rPr>
            <t xml:space="preserve">New level C1 · Associate Head. Current level on record: L5 – Manager. Change: ▲ Up.
Score 6.81 on the ladder scale → indicated level C1.
</t>
          </r>
          <r>
            <rPr>
              <rFont val="Calibri"/>
              <b val="1"/>
              <sz val="10"/>
            </rPr>
            <t>Weights:</t>
          </r>
          <r>
            <rPr>
              <rFont val="Calibri"/>
              <sz val="10"/>
            </rPr>
            <t xml:space="preserve"> Complexity 38% · Autonomy 18% · Accountability 16% · Leadership 15% · Business impact 8%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3" s="12" t="inlineStr">
        <is>
          <r>
            <rPr>
              <rFont val="Calibri"/>
              <b val="1"/>
              <sz val="10"/>
            </rPr>
            <t>Complexity &amp; Expertise:</t>
          </r>
          <r>
            <rPr>
              <rFont val="Calibri"/>
              <sz val="10"/>
            </rPr>
            <t xml:space="preserve"> 5.5 of 12 · between B2 and B3 — Start: 6.0 · manager / senior specialist title; reporting lines show a bigger role: 4 direct reports, 92 people below, 3 of them lead teams; Evidence reads like B1: Plans AI testing, defines test scenarios and validation criteria, reviews AI outputs → moved down 0.5; KRA: “1. Testing of AI related features · Anomaly, MBRS and Reg AI. 2. Providing suggestions/Corrections in new and existing functionality of AI…”
</t>
          </r>
          <r>
            <rPr>
              <rFont val="Calibri"/>
              <b val="1"/>
              <sz val="10"/>
            </rPr>
            <t>Autonomy &amp; Decision:</t>
          </r>
          <r>
            <rPr>
              <rFont val="Calibri"/>
              <sz val="10"/>
            </rPr>
            <t xml:space="preserve"> 6.5 of 12 · between B3 and C1 — Start: 7.0 · manager / senior specialist title; reporting lines show a bigger role: 4 direct reports, 92 people below, 3 of them lead teams; Evidence reads like A3: Only 'testing' named; sets scenarios and criteria for the testing work itself → moved down 0.5
</t>
          </r>
          <r>
            <rPr>
              <rFont val="Calibri"/>
              <b val="1"/>
              <sz val="10"/>
            </rPr>
            <t>Accountability &amp; Impact:</t>
          </r>
          <r>
            <rPr>
              <rFont val="Calibri"/>
              <sz val="10"/>
            </rPr>
            <t xml:space="preserve"> 7.5 of 12 · between C1 and C2 — Start: 8.0 · manager / senior specialist title; 4 direct reports, 92 people below, 3 of them lead teams; Evidence reads like A3: AI test planning, execution, defect identification, reporting and test coverage → moved down 0.5; KRA: “1. Testing of AI related features · Anomaly, MBRS and Reg AI. 2. Providing suggestions/Corrections in new and existing functionality of AI…”
</t>
          </r>
          <r>
            <rPr>
              <rFont val="Calibri"/>
              <b val="1"/>
              <sz val="10"/>
            </rPr>
            <t>Leadership &amp; Strategy:</t>
          </r>
          <r>
            <rPr>
              <rFont val="Calibri"/>
              <sz val="10"/>
            </rPr>
            <t xml:space="preserve"> 7.5 of 12 · between C1 and C2 — Start: 8.0; Evidence reads like A3: States leading and coordinating AI testing; no people-management detail despite four reports → moved down 0.5; Team: 4 direct reports · People Manager
</t>
          </r>
          <r>
            <rPr>
              <rFont val="Calibri"/>
              <b val="1"/>
              <sz val="10"/>
            </rPr>
            <t>Experience &amp; Qualification:</t>
          </r>
          <r>
            <rPr>
              <rFont val="Calibri"/>
              <sz val="10"/>
            </rPr>
            <t xml:space="preserve"> 11 of 12 — Experience: 21.9 yrs total · 21.9 at IRIS; none recorded before IRIS = 10.3 on the experience scale; Qualification: M.Com · postgraduate, relevant to the work → +0.5
</t>
          </r>
          <r>
            <rPr>
              <rFont val="Calibri"/>
              <b val="1"/>
              <sz val="10"/>
            </rPr>
            <t>Business Impact:</t>
          </r>
          <r>
            <rPr>
              <rFont val="Calibri"/>
              <sz val="10"/>
            </rPr>
            <t xml:space="preserve"> 8.5 of 12 — a starting estimate. — Start: 7.5,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C2 = Drives a function's or department's results and costs · D1 = Owns a business line's P&amp;L and growth, or a company-wide function</t>
          </r>
        </is>
      </c>
      <c r="X93" s="12"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Big Four – Associate Director
</t>
          </r>
          <r>
            <rPr>
              <rFont val="Calibri"/>
              <b val="1"/>
              <sz val="10"/>
            </rPr>
            <t>Typical experience:</t>
          </r>
          <r>
            <rPr>
              <rFont val="Calibri"/>
              <sz val="10"/>
            </rPr>
            <t xml:space="preserve"> 12–17 yrs · IRIS guide 10–14
</t>
          </r>
          <r>
            <rPr>
              <rFont val="Calibri"/>
              <b val="1"/>
              <sz val="10"/>
            </rPr>
            <t>Standard:</t>
          </r>
          <r>
            <rPr>
              <rFont val="Calibri"/>
              <sz val="10"/>
            </rPr>
            <t xml:space="preserve"> XBRL US GAAP Certificate; XBRL International specifications</t>
          </r>
        </is>
      </c>
      <c r="Y93" s="12" t="inlineStr">
        <is>
          <r>
            <rPr>
              <rFont val="Calibri"/>
              <sz val="10"/>
            </rPr>
            <t xml:space="preserve">✓ HRIS: 21.9 yrs, M.Com, 4 direct reports
✓ Survey: 20 of 20 questions answered
✓ KRAs: submitted
✓ Manager mapping: rating, potential, 9-box
✓ Job description
</t>
          </r>
          <r>
            <rPr>
              <rFont val="Calibri"/>
              <b val="1"/>
              <sz val="10"/>
            </rPr>
            <t>Confidence:</t>
          </r>
          <r>
            <rPr>
              <rFont val="Calibri"/>
              <sz val="10"/>
            </rPr>
            <t xml:space="preserve"> Medium</t>
          </r>
        </is>
      </c>
      <c r="Z93" s="12" t="inlineStr">
        <is>
          <t>—</t>
        </is>
      </c>
      <c r="AA93" s="83" t="inlineStr">
        <is>
          <t>• Confirm the reporting line — Manager</t>
        </is>
      </c>
      <c r="AB93"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7.5 of 12 · C2-level impact.
Leads 4 direct reports.
From the survey and manager mapping — critical role: yes; work only this person does: yes; successor named: yes.
Manager talent mapping — Latest rating: 3 · Potential: Medium · 9-Box Grid placement: Core Contributor.</t>
          </r>
        </is>
      </c>
      <c r="AC93" s="84" t="n"/>
      <c r="AD93" s="84" t="n"/>
      <c r="AE93" s="84" t="n"/>
      <c r="AF93" s="12" t="n">
        <v>8.5</v>
      </c>
    </row>
    <row r="94" ht="379" customHeight="1">
      <c r="A94" s="12" t="inlineStr">
        <is>
          <t>IRIS0786</t>
        </is>
      </c>
      <c r="B94" s="10" t="inlineStr">
        <is>
          <t>Shashikant Mudaliar</t>
        </is>
      </c>
      <c r="C94" s="12" t="inlineStr">
        <is>
          <t>Services</t>
        </is>
      </c>
      <c r="D94" s="12" t="inlineStr">
        <is>
          <t>Head - XBRL Assisted Services</t>
        </is>
      </c>
      <c r="E94" s="85" t="inlineStr">
        <is>
          <t>Associate Head – XBRL Assisted Services</t>
        </is>
      </c>
      <c r="F94" s="12" t="inlineStr">
        <is>
          <t>Consulting &amp; Professional Services</t>
        </is>
      </c>
      <c r="G94" s="12" t="inlineStr">
        <is>
          <t>Professional Services Leadership</t>
        </is>
      </c>
      <c r="H94" s="12" t="inlineStr">
        <is>
          <t>People Manager</t>
        </is>
      </c>
      <c r="I94" s="42" t="inlineStr">
        <is>
          <t>L7 – Head / Sr Director</t>
        </is>
      </c>
      <c r="J94" s="24" t="inlineStr">
        <is>
          <t>C1</t>
        </is>
      </c>
      <c r="K94" s="25" t="inlineStr">
        <is>
          <t>Associate Head</t>
        </is>
      </c>
      <c r="L94" s="86" t="inlineStr">
        <is>
          <t>▼ Down · pay &amp; title protected</t>
        </is>
      </c>
      <c r="M94" s="12" t="inlineStr">
        <is>
          <t>CARBON · Services · Band C · Head / Manager</t>
        </is>
      </c>
      <c r="N94" s="42" t="n">
        <v>7</v>
      </c>
      <c r="O94" s="42" t="n">
        <v>7</v>
      </c>
      <c r="P94" s="42" t="n">
        <v>7</v>
      </c>
      <c r="Q94" s="42" t="n">
        <v>7</v>
      </c>
      <c r="R94" s="42" t="n">
        <v>9</v>
      </c>
      <c r="S94" s="80" t="n">
        <v>7.5</v>
      </c>
      <c r="T94" s="81">
        <f>IF(OR($M94="",COUNT(N94,O94,P94,Q94,R94,S94)&lt;6),"",IFERROR(N94*INDEX(WM_C,MATCH($M94,WM_KEY,0))+O94*INDEX(WM_AU,MATCH($M94,WM_KEY,0))+P94*INDEX(WM_AC,MATCH($M94,WM_KEY,0))+Q94*INDEX(WM_L,MATCH($M94,WM_KEY,0))+R94*INDEX(WM_E,MATCH($M94,WM_KEY,0))+S94*INDEX(WM_BI,MATCH($M94,WM_KEY,0)),""))</f>
        <v>7.14</v>
      </c>
      <c r="U94" s="42" t="str">
        <f>IF(T94="","",INDEX({"A1","A2","A3","B1","B2","B3","C1","C2","D1","D2","E1","E2"},MAX(1,MIN(12,ROUND(T94,0)))))</f>
        <v>C1</v>
      </c>
      <c r="V94" s="12" t="inlineStr">
        <is>
          <r>
            <rPr>
              <rFont val="Calibri"/>
              <sz val="10"/>
            </rPr>
            <t xml:space="preserve">New level C1 · Associate Head. Current level on record: L7 – Head / Sr Director. Change: ▼ Down · pay &amp; title protected.
Score 7.14 on the ladder scale → indicated level C1.
</t>
          </r>
          <r>
            <rPr>
              <rFont val="Calibri"/>
              <b val="1"/>
              <sz val="10"/>
            </rPr>
            <t>Weights:</t>
          </r>
          <r>
            <rPr>
              <rFont val="Calibri"/>
              <sz val="10"/>
            </rPr>
            <t xml:space="preserve"> Complexity 38% · Autonomy 18% · Accountability 16% · Leadership 15% · Business impact 8%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94" s="12" t="inlineStr">
        <is>
          <r>
            <rPr>
              <rFont val="Calibri"/>
              <b val="1"/>
              <sz val="10"/>
            </rPr>
            <t>Complexity &amp; Expertise:</t>
          </r>
          <r>
            <rPr>
              <rFont val="Calibri"/>
              <sz val="10"/>
            </rPr>
            <t xml:space="preserve"> 7 of 12 — Start: 8.0 · head-of-function title; Evidence reads like B3: Multi-market XBRL filings; makes tagging calls on complex files; changes internal review steps; researches new mandates → moved down 1; KRA: “1. Ensure files processed by team with &gt;=99% accuracy · zero critical errors. 2. Meet 100% of regulatory / client filing deadlines (no SLA…”
</t>
          </r>
          <r>
            <rPr>
              <rFont val="Calibri"/>
              <b val="1"/>
              <sz val="10"/>
            </rPr>
            <t>Autonomy &amp; Decision:</t>
          </r>
          <r>
            <rPr>
              <rFont val="Calibri"/>
              <sz val="10"/>
            </rPr>
            <t xml:space="preserve"> 7 of 12 — Start: 8.0 · head-of-function title; Evidence reads like B3: Decides allocation, who leads each team or mandate, clashing-deadline priorities, review process changes → moved down 1
</t>
          </r>
          <r>
            <rPr>
              <rFont val="Calibri"/>
              <b val="1"/>
              <sz val="10"/>
            </rPr>
            <t>Accountability &amp; Impact:</t>
          </r>
          <r>
            <rPr>
              <rFont val="Calibri"/>
              <sz val="10"/>
            </rPr>
            <t xml:space="preserve"> 7 of 12 — Start: 8.0 · head-of-function title; 8 direct reports, 40 people below, 6 of them lead teams; Evidence reads like B3: own survey / KRA answers · summarised by the rater; not quoted → moved down 1; KRA: “1. Ensure files processed by team with &gt;=99% accuracy · zero critical errors. 2. Meet 100% of regulatory / client filing deadlines (no SLA…”
</t>
          </r>
          <r>
            <rPr>
              <rFont val="Calibri"/>
              <b val="1"/>
              <sz val="10"/>
            </rPr>
            <t>Leadership &amp; Strategy:</t>
          </r>
          <r>
            <rPr>
              <rFont val="Calibri"/>
              <sz val="10"/>
            </rPr>
            <t xml:space="preserve"> 7 of 12 — Start: 8.0; Evidence reads like B3: Eight reports; appoints team/mandate leads, trains reviewers, plans capacity for reporting seasons → moved down 1; Team: 8 direct reports · People Manager
</t>
          </r>
          <r>
            <rPr>
              <rFont val="Calibri"/>
              <b val="1"/>
              <sz val="10"/>
            </rPr>
            <t>Experience &amp; Qualification:</t>
          </r>
          <r>
            <rPr>
              <rFont val="Calibri"/>
              <sz val="10"/>
            </rPr>
            <t xml:space="preserve"> 9 of 12 — Experience: 15.2 yrs total · 15.2 at IRIS; none recorded before IRIS = 8.2 on the experience scale; Qualification: CMA · professional, relevant to the work → +1.0
</t>
          </r>
          <r>
            <rPr>
              <rFont val="Calibri"/>
              <b val="1"/>
              <sz val="10"/>
            </rPr>
            <t>Business Impact:</t>
          </r>
          <r>
            <rPr>
              <rFont val="Calibri"/>
              <sz val="10"/>
            </rPr>
            <t xml:space="preserve"> 7.5 of 12 — a starting estimate. — Start: 7,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 · C2 = Drives a function's or department's results and costs</t>
          </r>
        </is>
      </c>
      <c r="X94" s="12"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Big Four – Associate Director
</t>
          </r>
          <r>
            <rPr>
              <rFont val="Calibri"/>
              <b val="1"/>
              <sz val="10"/>
            </rPr>
            <t>Typical experience:</t>
          </r>
          <r>
            <rPr>
              <rFont val="Calibri"/>
              <sz val="10"/>
            </rPr>
            <t xml:space="preserve"> 12–17 yrs · IRIS guide 10–14
</t>
          </r>
          <r>
            <rPr>
              <rFont val="Calibri"/>
              <b val="1"/>
              <sz val="10"/>
            </rPr>
            <t>Standard:</t>
          </r>
          <r>
            <rPr>
              <rFont val="Calibri"/>
              <sz val="10"/>
            </rPr>
            <t xml:space="preserve"> XBRL US GAAP Certificate; XBRL International specifications</t>
          </r>
        </is>
      </c>
      <c r="Y94" s="12" t="inlineStr">
        <is>
          <r>
            <rPr>
              <rFont val="Calibri"/>
              <sz val="10"/>
            </rPr>
            <t xml:space="preserve">✓ HRIS: 15.2 yrs, CMA, 8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94" s="82" t="inlineStr">
        <is>
          <r>
            <rPr>
              <rFont val="Calibri"/>
              <color rgb="009C5700"/>
              <sz val="10"/>
            </rPr>
            <t xml:space="preserve">• </t>
          </r>
          <r>
            <rPr>
              <rFont val="Calibri"/>
              <b val="1"/>
              <color rgb="009C5700"/>
              <sz val="10"/>
            </rPr>
            <t>Moves down:</t>
          </r>
          <r>
            <rPr>
              <rFont val="Calibri"/>
              <color rgb="009C5700"/>
              <sz val="10"/>
            </rPr>
            <t xml:space="preserve"> protected for one cycle</t>
          </r>
        </is>
      </c>
      <c r="AA94" s="12" t="inlineStr">
        <is>
          <t>Nothing outstanding</t>
        </is>
      </c>
      <c r="AB94"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7 of 12 · C1-level impact.
Leads 8 direct reports.
From the survey and manager mapping — critical role: yes; successor named: no.
Manager talent mapping — Latest rating: 5 · Potential: High · 9-Box Grid placement: Future Leader.</t>
          </r>
        </is>
      </c>
      <c r="AC94" s="84" t="n"/>
      <c r="AD94" s="84" t="n"/>
      <c r="AE94" s="84" t="n"/>
      <c r="AF94" s="12" t="n">
        <v>7.5</v>
      </c>
    </row>
    <row r="95" ht="379" customHeight="1">
      <c r="A95" s="12" t="inlineStr">
        <is>
          <t>IRIS0511</t>
        </is>
      </c>
      <c r="B95" s="10" t="inlineStr">
        <is>
          <t>Jinesh Kumar S</t>
        </is>
      </c>
      <c r="C95" s="12" t="inlineStr">
        <is>
          <t>Services</t>
        </is>
      </c>
      <c r="D95" s="12" t="inlineStr">
        <is>
          <t>Lead - Assisted Services</t>
        </is>
      </c>
      <c r="E95" s="85" t="inlineStr">
        <is>
          <t>Manager – Assisted Services</t>
        </is>
      </c>
      <c r="F95" s="12" t="inlineStr">
        <is>
          <t>Consulting &amp; Professional Services</t>
        </is>
      </c>
      <c r="G95" s="12" t="inlineStr">
        <is>
          <t>XBRL Tagging, Conversion &amp; Filing</t>
        </is>
      </c>
      <c r="H95" s="12" t="inlineStr">
        <is>
          <t>People Manager</t>
        </is>
      </c>
      <c r="I95" s="42" t="inlineStr">
        <is>
          <t>L5 – Lead · IC</t>
        </is>
      </c>
      <c r="J95" s="20" t="inlineStr">
        <is>
          <t>B2</t>
        </is>
      </c>
      <c r="K95" s="21" t="inlineStr">
        <is>
          <t>Manager</t>
        </is>
      </c>
      <c r="L95" s="86" t="inlineStr">
        <is>
          <t>▼ Down · pay &amp; title protected</t>
        </is>
      </c>
      <c r="M95" s="12" t="inlineStr">
        <is>
          <t>CARBON · Services · Band B · People Manager</t>
        </is>
      </c>
      <c r="N95" s="42" t="n">
        <v>4</v>
      </c>
      <c r="O95" s="42" t="n">
        <v>4.5</v>
      </c>
      <c r="P95" s="42" t="n">
        <v>5</v>
      </c>
      <c r="Q95" s="42" t="n">
        <v>5</v>
      </c>
      <c r="R95" s="42" t="n">
        <v>9</v>
      </c>
      <c r="S95" s="80" t="n">
        <v>5.5</v>
      </c>
      <c r="T95" s="81">
        <f>IF(OR($M95="",COUNT(N95,O95,P95,Q95,R95,S95)&lt;6),"",IFERROR(N95*INDEX(WM_C,MATCH($M95,WM_KEY,0))+O95*INDEX(WM_AU,MATCH($M95,WM_KEY,0))+P95*INDEX(WM_AC,MATCH($M95,WM_KEY,0))+Q95*INDEX(WM_L,MATCH($M95,WM_KEY,0))+R95*INDEX(WM_E,MATCH($M95,WM_KEY,0))+S95*INDEX(WM_BI,MATCH($M95,WM_KEY,0)),""))</f>
        <v>5.035</v>
      </c>
      <c r="U95" s="42" t="str">
        <f>IF(T95="","",INDEX({"A1","A2","A3","B1","B2","B3","C1","C2","D1","D2","E1","E2"},MAX(1,MIN(12,ROUND(T95,0)))))</f>
        <v>B2</v>
      </c>
      <c r="V95" s="12" t="inlineStr">
        <is>
          <r>
            <rPr>
              <rFont val="Calibri"/>
              <sz val="10"/>
            </rPr>
            <t xml:space="preserve">New level B2 · Manager. Current level on record: L5 – Lead · IC. Change: ▼ Down · pay &amp; title protected.
Score 5.04 on the ladder scale → indicated level B2.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95" s="12" t="inlineStr">
        <is>
          <r>
            <rPr>
              <rFont val="Calibri"/>
              <b val="1"/>
              <sz val="10"/>
            </rPr>
            <t>Complexity &amp; Expertise:</t>
          </r>
          <r>
            <rPr>
              <rFont val="Calibri"/>
              <sz val="10"/>
            </rPr>
            <t xml:space="preserve"> 4 of 12 — Start: 4.0 · lead / specialist title; Evidence reads like B1: Runs US SEC XBRL delivery: quality, issue resolution, product/UAT testing, process improvement → matches the start; KRA: “1. Ensure files processed by team with &gt;=99% accuracy · zero critical errors. 2. Meet 100% of regulatory / client filing deadlines (no SLA…”
</t>
          </r>
          <r>
            <rPr>
              <rFont val="Calibri"/>
              <b val="1"/>
              <sz val="10"/>
            </rPr>
            <t>Autonomy &amp; Decision:</t>
          </r>
          <r>
            <rPr>
              <rFont val="Calibri"/>
              <sz val="10"/>
            </rPr>
            <t xml:space="preserve"> 4.5 of 12 · between B1 and B2 — Start: 4.0 · lead / specialist title; Evidence reads like B2: Allocates and rebalances team workload, sets task priorities, takes corrective action within established processes → moved up 0.5
</t>
          </r>
          <r>
            <rPr>
              <rFont val="Calibri"/>
              <b val="1"/>
              <sz val="10"/>
            </rPr>
            <t>Accountability &amp; Impact:</t>
          </r>
          <r>
            <rPr>
              <rFont val="Calibri"/>
              <sz val="10"/>
            </rPr>
            <t xml:space="preserve"> 5 of 12 — Start: 5.0 · lead / specialist title; 7 direct reports; Evidence reads like B2: US SEC team's delivery, quality, timelines, escalations and process controls → matches the start; KRA: “1. Ensure files processed by team with &gt;=99% accuracy · zero critical errors. 2. Meet 100% of regulatory / client filing deadlines (no SLA…”
</t>
          </r>
          <r>
            <rPr>
              <rFont val="Calibri"/>
              <b val="1"/>
              <sz val="10"/>
            </rPr>
            <t>Leadership &amp; Strategy:</t>
          </r>
          <r>
            <rPr>
              <rFont val="Calibri"/>
              <sz val="10"/>
            </rPr>
            <t xml:space="preserve"> 5 of 12 — Start: 5.0; Evidence reads like B2: Seven direct reports; allocates work, gives day-to-day guidance and training → matches the start; Team: 7 direct reports · People Manager
</t>
          </r>
          <r>
            <rPr>
              <rFont val="Calibri"/>
              <b val="1"/>
              <sz val="10"/>
            </rPr>
            <t>Experience &amp; Qualification:</t>
          </r>
          <r>
            <rPr>
              <rFont val="Calibri"/>
              <sz val="10"/>
            </rPr>
            <t xml:space="preserve"> 9 of 12 — Experience: 16.1 yrs total · 0.4 before IRIS + 15.7 at IRIS = 8.5 on the experience scale; Qualification: M.Com · postgraduate, relevant to the work → +0.5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95"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Y95" s="12" t="inlineStr">
        <is>
          <r>
            <rPr>
              <rFont val="Calibri"/>
              <sz val="10"/>
            </rPr>
            <t xml:space="preserve">✓ HRIS: 16.1 yrs, M.Com, 7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95" s="82" t="inlineStr">
        <is>
          <r>
            <rPr>
              <rFont val="Calibri"/>
              <color rgb="009C5700"/>
              <sz val="10"/>
            </rPr>
            <t xml:space="preserve">• </t>
          </r>
          <r>
            <rPr>
              <rFont val="Calibri"/>
              <b val="1"/>
              <color rgb="009C5700"/>
              <sz val="10"/>
            </rPr>
            <t>Moves down:</t>
          </r>
          <r>
            <rPr>
              <rFont val="Calibri"/>
              <color rgb="009C5700"/>
              <sz val="10"/>
            </rPr>
            <t xml:space="preserve"> protected for one cycle</t>
          </r>
        </is>
      </c>
      <c r="AA95" s="12" t="inlineStr">
        <is>
          <t>Nothing outstanding</t>
        </is>
      </c>
      <c r="AB95"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7 direct reports.
From the survey and manager mapping — critical role: yes; successor named: no.
</t>
          </r>
          <r>
            <rPr>
              <rFont val="Calibri"/>
              <b val="1"/>
              <sz val="10"/>
            </rPr>
            <t>If the work is missed · role-holders' themes:</t>
          </r>
          <r>
            <rPr>
              <rFont val="Calibri"/>
              <sz val="10"/>
            </rPr>
            <t xml:space="preserve"> client · escalation · effort · lead.
Manager talent mapping — Latest rating: 4 · Potential: High · 9-Box Grid placement: Emerging Talent.</t>
          </r>
        </is>
      </c>
      <c r="AC95" s="84" t="n"/>
      <c r="AD95" s="84" t="n"/>
      <c r="AE95" s="84" t="n"/>
      <c r="AF95" s="12" t="n">
        <v>5.5</v>
      </c>
    </row>
    <row r="96" ht="379" customHeight="1">
      <c r="A96" s="12" t="inlineStr">
        <is>
          <t>IRIS0393</t>
        </is>
      </c>
      <c r="B96" s="10" t="inlineStr">
        <is>
          <t>Mayur Zope</t>
        </is>
      </c>
      <c r="C96" s="12" t="inlineStr">
        <is>
          <t>Services</t>
        </is>
      </c>
      <c r="D96" s="12" t="inlineStr">
        <is>
          <t>Lead Financial Analyst</t>
        </is>
      </c>
      <c r="E96" s="85" t="inlineStr">
        <is>
          <t>Senior Manager – Assisted Services</t>
        </is>
      </c>
      <c r="F96" s="12" t="inlineStr">
        <is>
          <t>Consulting &amp; Professional Services</t>
        </is>
      </c>
      <c r="G96" s="12" t="inlineStr">
        <is>
          <t>XBRL Tagging, Conversion &amp; Filing</t>
        </is>
      </c>
      <c r="H96" s="12" t="inlineStr">
        <is>
          <t>People Manager</t>
        </is>
      </c>
      <c r="I96" s="42" t="inlineStr">
        <is>
          <t>L5 – Lead · IC</t>
        </is>
      </c>
      <c r="J96" s="20" t="inlineStr">
        <is>
          <t>B2</t>
        </is>
      </c>
      <c r="K96" s="21" t="inlineStr">
        <is>
          <t>Manager</t>
        </is>
      </c>
      <c r="L96" s="88" t="inlineStr">
        <is>
          <t>• Same level</t>
        </is>
      </c>
      <c r="M96" s="12" t="inlineStr">
        <is>
          <t>CARBON · Services · Band B · People Manager</t>
        </is>
      </c>
      <c r="N96" s="42" t="n">
        <v>4</v>
      </c>
      <c r="O96" s="42" t="n">
        <v>5</v>
      </c>
      <c r="P96" s="42" t="n">
        <v>5</v>
      </c>
      <c r="Q96" s="42" t="n">
        <v>5</v>
      </c>
      <c r="R96" s="42" t="n">
        <v>10.5</v>
      </c>
      <c r="S96" s="80" t="n">
        <v>5.5</v>
      </c>
      <c r="T96" s="81">
        <f>IF(OR($M96="",COUNT(N96,O96,P96,Q96,R96,S96)&lt;6),"",IFERROR(N96*INDEX(WM_C,MATCH($M96,WM_KEY,0))+O96*INDEX(WM_AU,MATCH($M96,WM_KEY,0))+P96*INDEX(WM_AC,MATCH($M96,WM_KEY,0))+Q96*INDEX(WM_L,MATCH($M96,WM_KEY,0))+R96*INDEX(WM_E,MATCH($M96,WM_KEY,0))+S96*INDEX(WM_BI,MATCH($M96,WM_KEY,0)),""))</f>
        <v>5.275</v>
      </c>
      <c r="U96" s="42" t="str">
        <f>IF(T96="","",INDEX({"A1","A2","A3","B1","B2","B3","C1","C2","D1","D2","E1","E2"},MAX(1,MIN(12,ROUND(T96,0)))))</f>
        <v>B2</v>
      </c>
      <c r="V96" s="12" t="inlineStr">
        <is>
          <r>
            <rPr>
              <rFont val="Calibri"/>
              <sz val="10"/>
            </rPr>
            <t xml:space="preserve">New level B2 · Manager. Current level on record: L5 – Lead · IC. Change: • Same level.
Score 5.28 on the ladder scale → indicated level B2.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6" s="12" t="inlineStr">
        <is>
          <r>
            <rPr>
              <rFont val="Calibri"/>
              <b val="1"/>
              <sz val="10"/>
            </rPr>
            <t>Complexity &amp; Expertise:</t>
          </r>
          <r>
            <rPr>
              <rFont val="Calibri"/>
              <sz val="10"/>
            </rPr>
            <t xml:space="preserve"> 4 of 12 — Start: 4.0 · lead / specialist title; Evidence reads like B1: XBRL conversion for South Africa, India, Malaysia; billing, reports, process/product suggestions, AI training data testing → matches the start; KRA: “1. Ensure files processed by team with &gt;=99% accuracy · zero critical errors. 2. Meet 100% of regulatory / client filing deadlines (no SLA…”
</t>
          </r>
          <r>
            <rPr>
              <rFont val="Calibri"/>
              <b val="1"/>
              <sz val="10"/>
            </rPr>
            <t>Autonomy &amp; Decision:</t>
          </r>
          <r>
            <rPr>
              <rFont val="Calibri"/>
              <sz val="10"/>
            </rPr>
            <t xml:space="preserve"> 5 of 12 — Start: 5.0 · lead / specialist title; reporting lines show a bigger role: 4 direct reports, 16 people below, 2 of them lead teams; Evidence reads like B2: Decides invoicing and all work-related matters for the team; allocates work → matches the start
</t>
          </r>
          <r>
            <rPr>
              <rFont val="Calibri"/>
              <b val="1"/>
              <sz val="10"/>
            </rPr>
            <t>Accountability &amp; Impact:</t>
          </r>
          <r>
            <rPr>
              <rFont val="Calibri"/>
              <sz val="10"/>
            </rPr>
            <t xml:space="preserve"> 5 of 12 — Start: 6.0 · lead / specialist title; 4 direct reports, 16 people below, 2 of them lead teams; Evidence reads like B1: Timely, quality delivery of a four-person team's regulator filings, invoices and monthly reports → moved down 1; KRA: “1. Ensure files processed by team with &gt;=99% accuracy · zero critical errors. 2. Meet 100% of regulatory / client filing deadlines (no SLA…”
</t>
          </r>
          <r>
            <rPr>
              <rFont val="Calibri"/>
              <b val="1"/>
              <sz val="10"/>
            </rPr>
            <t>Leadership &amp; Strategy:</t>
          </r>
          <r>
            <rPr>
              <rFont val="Calibri"/>
              <sz val="10"/>
            </rPr>
            <t xml:space="preserve"> 5 of 12 — Start: 6.0; Evidence reads like B1: Four direct reports; allocates work and acts as backup for team members → moved down 1; Team: 4 direct reports · People Manager
</t>
          </r>
          <r>
            <rPr>
              <rFont val="Calibri"/>
              <b val="1"/>
              <sz val="10"/>
            </rPr>
            <t>Experience &amp; Qualification:</t>
          </r>
          <r>
            <rPr>
              <rFont val="Calibri"/>
              <sz val="10"/>
            </rPr>
            <t xml:space="preserve"> 10.5 of 12 · between D2 and E1 — Experience: 19.4 yrs total · 3.0 before IRIS + 16.4 at IRIS = 9.5 on the experience scale; Qualification: CA · professional, relevant to the work → +1.0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96" s="12"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Y96" s="12" t="inlineStr">
        <is>
          <r>
            <rPr>
              <rFont val="Calibri"/>
              <sz val="10"/>
            </rPr>
            <t xml:space="preserve">✓ HRIS: 19.4 yrs, CA, 4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96" s="12" t="inlineStr">
        <is>
          <t>—</t>
        </is>
      </c>
      <c r="AA96" s="83" t="inlineStr">
        <is>
          <t>• Confirm the reporting line — Manager</t>
        </is>
      </c>
      <c r="AB96"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4 direct reports.
From the survey and manager mapping — critical role: yes; successor named: no.
</t>
          </r>
          <r>
            <rPr>
              <rFont val="Calibri"/>
              <b val="1"/>
              <sz val="10"/>
            </rPr>
            <t>If the work is missed · role-holders' themes:</t>
          </r>
          <r>
            <rPr>
              <rFont val="Calibri"/>
              <sz val="10"/>
            </rPr>
            <t xml:space="preserve"> client · escalation · effort · lead.
Manager talent mapping — Latest rating: 4 · Potential: High · 9-Box Grid placement: Core Contributor.</t>
          </r>
        </is>
      </c>
      <c r="AC96" s="84" t="n"/>
      <c r="AD96" s="84" t="n"/>
      <c r="AE96" s="84" t="n"/>
      <c r="AF96" s="12" t="n">
        <v>5.5</v>
      </c>
    </row>
    <row r="97" ht="379" customHeight="1">
      <c r="A97" s="12" t="inlineStr">
        <is>
          <t>IRIS0977</t>
        </is>
      </c>
      <c r="B97" s="10" t="inlineStr">
        <is>
          <t>Mohammed Dholkawala</t>
        </is>
      </c>
      <c r="C97" s="12" t="inlineStr">
        <is>
          <t>Services</t>
        </is>
      </c>
      <c r="D97" s="12" t="inlineStr">
        <is>
          <t>Lead - Assisted Services</t>
        </is>
      </c>
      <c r="E97" s="85" t="inlineStr">
        <is>
          <t>Manager – Assisted Services</t>
        </is>
      </c>
      <c r="F97" s="12" t="inlineStr">
        <is>
          <t>Consulting &amp; Professional Services</t>
        </is>
      </c>
      <c r="G97" s="12" t="inlineStr">
        <is>
          <t>XBRL Tagging, Conversion &amp; Filing</t>
        </is>
      </c>
      <c r="H97" s="12" t="inlineStr">
        <is>
          <t>People Manager</t>
        </is>
      </c>
      <c r="I97" s="42" t="inlineStr">
        <is>
          <t>L5 – Lead · IC</t>
        </is>
      </c>
      <c r="J97" s="20" t="inlineStr">
        <is>
          <t>B2</t>
        </is>
      </c>
      <c r="K97" s="21" t="inlineStr">
        <is>
          <t>Manager</t>
        </is>
      </c>
      <c r="L97" s="86" t="inlineStr">
        <is>
          <t>▼ Down · pay &amp; title protected</t>
        </is>
      </c>
      <c r="M97" s="12" t="inlineStr">
        <is>
          <t>CARBON · Services · Band B · People Manager</t>
        </is>
      </c>
      <c r="N97" s="42" t="n">
        <v>4</v>
      </c>
      <c r="O97" s="42" t="n">
        <v>4.5</v>
      </c>
      <c r="P97" s="42" t="n">
        <v>4</v>
      </c>
      <c r="Q97" s="42" t="n">
        <v>4</v>
      </c>
      <c r="R97" s="42" t="n">
        <v>8</v>
      </c>
      <c r="S97" s="80" t="n">
        <v>4.5</v>
      </c>
      <c r="T97" s="81">
        <f>IF(OR($M97="",COUNT(N97,O97,P97,Q97,R97,S97)&lt;6),"",IFERROR(N97*INDEX(WM_C,MATCH($M97,WM_KEY,0))+O97*INDEX(WM_AU,MATCH($M97,WM_KEY,0))+P97*INDEX(WM_AC,MATCH($M97,WM_KEY,0))+Q97*INDEX(WM_L,MATCH($M97,WM_KEY,0))+R97*INDEX(WM_E,MATCH($M97,WM_KEY,0))+S97*INDEX(WM_BI,MATCH($M97,WM_KEY,0)),""))</f>
        <v>4.535</v>
      </c>
      <c r="U97" s="42" t="str">
        <f>IF(T97="","",INDEX({"A1","A2","A3","B1","B2","B3","C1","C2","D1","D2","E1","E2"},MAX(1,MIN(12,ROUND(T97,0)))))</f>
        <v>B2</v>
      </c>
      <c r="V97" s="12" t="inlineStr">
        <is>
          <r>
            <rPr>
              <rFont val="Calibri"/>
              <sz val="10"/>
            </rPr>
            <t xml:space="preserve">New level B2 · Manager. Current level on record: L5 – Lead · IC. Change: ▼ Down · pay &amp; title protected.
Score 4.54 on the ladder scale → indicated level B2.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97" s="12" t="inlineStr">
        <is>
          <r>
            <rPr>
              <rFont val="Calibri"/>
              <b val="1"/>
              <sz val="10"/>
            </rPr>
            <t>Complexity &amp; Expertise:</t>
          </r>
          <r>
            <rPr>
              <rFont val="Calibri"/>
              <sz val="10"/>
            </rPr>
            <t xml:space="preserve"> 4 of 12 — Start: 4.0 · lead / specialist title; Evidence reads like B1: Runs US mandate Disclosure Management delivery: quality, issue resolution, UAT sign-off, utilisation reporting → matches the start; KRA: “1. Ensure files processed by team with &gt;=99% accuracy · zero critical errors. 2. Meet 100% of regulatory / client filing deadlines (no SLA…”
</t>
          </r>
          <r>
            <rPr>
              <rFont val="Calibri"/>
              <b val="1"/>
              <sz val="10"/>
            </rPr>
            <t>Autonomy &amp; Decision:</t>
          </r>
          <r>
            <rPr>
              <rFont val="Calibri"/>
              <sz val="10"/>
            </rPr>
            <t xml:space="preserve"> 4.5 of 12 · between B1 and B2 — Start: 4.0 · lead / specialist title; Evidence reads like B2: Allocates and rebalances workload, prioritises tasks, takes corrective action within established processes → moved up 0.5
</t>
          </r>
          <r>
            <rPr>
              <rFont val="Calibri"/>
              <b val="1"/>
              <sz val="10"/>
            </rPr>
            <t>Accountability &amp; Impact:</t>
          </r>
          <r>
            <rPr>
              <rFont val="Calibri"/>
              <sz val="10"/>
            </rPr>
            <t xml:space="preserve"> 4 of 12 — Start: 4.0 · lead / specialist title; 5 direct reports; Evidence reads like B1: Delivery, quality and timelines of a five-person US mandate team; UAT sign-off → matches the start; KRA: “1. Ensure files processed by team with &gt;=99% accuracy · zero critical errors. 2. Meet 100% of regulatory / client filing deadlines (no SLA…”
</t>
          </r>
          <r>
            <rPr>
              <rFont val="Calibri"/>
              <b val="1"/>
              <sz val="10"/>
            </rPr>
            <t>Leadership &amp; Strategy:</t>
          </r>
          <r>
            <rPr>
              <rFont val="Calibri"/>
              <sz val="10"/>
            </rPr>
            <t xml:space="preserve"> 4 of 12 — Start: 4.0; Evidence reads like B1: Five direct reports; allocates work, day-to-day guidance, training per manager note → matches the start; Team: 5 direct reports · People Manager
</t>
          </r>
          <r>
            <rPr>
              <rFont val="Calibri"/>
              <b val="1"/>
              <sz val="10"/>
            </rPr>
            <t>Experience &amp; Qualification:</t>
          </r>
          <r>
            <rPr>
              <rFont val="Calibri"/>
              <sz val="10"/>
            </rPr>
            <t xml:space="preserve"> 8 of 12 — Experience: 15.0 yrs total · 15.0 at IRIS; none recorded before IRIS = 8.2 on the experience scale; Qualification: B.Com · graduate, relevant to the work → no change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97"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Y97" s="12" t="inlineStr">
        <is>
          <r>
            <rPr>
              <rFont val="Calibri"/>
              <sz val="10"/>
            </rPr>
            <t xml:space="preserve">✓ HRIS: 15.0 yrs, B.Com, 5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97" s="82" t="inlineStr">
        <is>
          <r>
            <rPr>
              <rFont val="Calibri"/>
              <color rgb="009C5700"/>
              <sz val="10"/>
            </rPr>
            <t xml:space="preserve">• </t>
          </r>
          <r>
            <rPr>
              <rFont val="Calibri"/>
              <b val="1"/>
              <color rgb="009C5700"/>
              <sz val="10"/>
            </rPr>
            <t>Close call:</t>
          </r>
          <r>
            <rPr>
              <rFont val="Calibri"/>
              <color rgb="009C5700"/>
              <sz val="10"/>
            </rPr>
            <t xml:space="preserve"> score 4.54 is within 0.05 of a rounding point
• </t>
          </r>
          <r>
            <rPr>
              <rFont val="Calibri"/>
              <b val="1"/>
              <color rgb="009C5700"/>
              <sz val="10"/>
            </rPr>
            <t>Moves down:</t>
          </r>
          <r>
            <rPr>
              <rFont val="Calibri"/>
              <color rgb="009C5700"/>
              <sz val="10"/>
            </rPr>
            <t xml:space="preserve"> protected for one cycle</t>
          </r>
        </is>
      </c>
      <c r="AA97" s="12" t="inlineStr">
        <is>
          <t>Nothing outstanding</t>
        </is>
      </c>
      <c r="AB97"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5 direct reports.
From the survey and manager mapping — critical role: yes; successor named: no.
</t>
          </r>
          <r>
            <rPr>
              <rFont val="Calibri"/>
              <b val="1"/>
              <sz val="10"/>
            </rPr>
            <t>If the work is missed · role-holders' themes:</t>
          </r>
          <r>
            <rPr>
              <rFont val="Calibri"/>
              <sz val="10"/>
            </rPr>
            <t xml:space="preserve"> client · escalation · effort · lead.
Manager talent mapping — Latest rating: 4 · Potential: High · 9-Box Grid placement: Emerging Talent.</t>
          </r>
        </is>
      </c>
      <c r="AC97" s="84" t="n"/>
      <c r="AD97" s="84" t="n"/>
      <c r="AE97" s="84" t="n"/>
      <c r="AF97" s="12" t="n">
        <v>4.5</v>
      </c>
    </row>
    <row r="98" ht="379" customHeight="1">
      <c r="A98" s="12" t="inlineStr">
        <is>
          <t>IRIS0616</t>
        </is>
      </c>
      <c r="B98" s="10" t="inlineStr">
        <is>
          <t>Priyanka Jadhav</t>
        </is>
      </c>
      <c r="C98" s="12" t="inlineStr">
        <is>
          <t>Services</t>
        </is>
      </c>
      <c r="D98" s="12" t="inlineStr">
        <is>
          <t>Lead - Assisted Services</t>
        </is>
      </c>
      <c r="E98" s="85" t="inlineStr">
        <is>
          <t>Manager – Assisted Services</t>
        </is>
      </c>
      <c r="F98" s="12" t="inlineStr">
        <is>
          <t>Consulting &amp; Professional Services</t>
        </is>
      </c>
      <c r="G98" s="12" t="inlineStr">
        <is>
          <t>XBRL Tagging, Conversion &amp; Filing</t>
        </is>
      </c>
      <c r="H98" s="12" t="inlineStr">
        <is>
          <t>People Manager</t>
        </is>
      </c>
      <c r="I98" s="42" t="inlineStr">
        <is>
          <t>L5 – Lead · IC</t>
        </is>
      </c>
      <c r="J98" s="20" t="inlineStr">
        <is>
          <t>B2</t>
        </is>
      </c>
      <c r="K98" s="21" t="inlineStr">
        <is>
          <t>Manager</t>
        </is>
      </c>
      <c r="L98" s="86" t="inlineStr">
        <is>
          <t>▼ Down · pay &amp; title protected</t>
        </is>
      </c>
      <c r="M98" s="12" t="inlineStr">
        <is>
          <t>CARBON · Services · Band B · People Manager</t>
        </is>
      </c>
      <c r="N98" s="42" t="n">
        <v>4.5</v>
      </c>
      <c r="O98" s="42" t="n">
        <v>4.5</v>
      </c>
      <c r="P98" s="42" t="n">
        <v>5</v>
      </c>
      <c r="Q98" s="42" t="n">
        <v>5</v>
      </c>
      <c r="R98" s="42" t="n">
        <v>8.5</v>
      </c>
      <c r="S98" s="80" t="n">
        <v>5.5</v>
      </c>
      <c r="T98" s="81">
        <f>IF(OR($M98="",COUNT(N98,O98,P98,Q98,R98,S98)&lt;6),"",IFERROR(N98*INDEX(WM_C,MATCH($M98,WM_KEY,0))+O98*INDEX(WM_AU,MATCH($M98,WM_KEY,0))+P98*INDEX(WM_AC,MATCH($M98,WM_KEY,0))+Q98*INDEX(WM_L,MATCH($M98,WM_KEY,0))+R98*INDEX(WM_E,MATCH($M98,WM_KEY,0))+S98*INDEX(WM_BI,MATCH($M98,WM_KEY,0)),""))</f>
        <v>5.145</v>
      </c>
      <c r="U98" s="42" t="str">
        <f>IF(T98="","",INDEX({"A1","A2","A3","B1","B2","B3","C1","C2","D1","D2","E1","E2"},MAX(1,MIN(12,ROUND(T98,0)))))</f>
        <v>B2</v>
      </c>
      <c r="V98" s="12" t="inlineStr">
        <is>
          <r>
            <rPr>
              <rFont val="Calibri"/>
              <sz val="10"/>
            </rPr>
            <t xml:space="preserve">New level B2 · Manager. Current level on record: L5 – Lead · IC. Change: ▼ Down · pay &amp; title protected.
Score 5.14 on the ladder scale → indicated level B2.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98" s="12" t="inlineStr">
        <is>
          <r>
            <rPr>
              <rFont val="Calibri"/>
              <b val="1"/>
              <sz val="10"/>
            </rPr>
            <t>Complexity &amp; Expertise:</t>
          </r>
          <r>
            <rPr>
              <rFont val="Calibri"/>
              <sz val="10"/>
            </rPr>
            <t xml:space="preserve"> 4.5 of 12 · between B1 and B2 — Start: 4.0 · lead / specialist title; Evidence reads like B2: Covers ESEF, KVK, InfoCamere, EU DM and ESG mandates; resolves process/tool issues; R&amp;D for new mandates → moved up 0.5; KRA: “1. Ensure files processed by team with &gt;=99% accuracy · zero critical errors. 2. Meet 100% of regulatory / client filing deadlines (no SLA…”
</t>
          </r>
          <r>
            <rPr>
              <rFont val="Calibri"/>
              <b val="1"/>
              <sz val="10"/>
            </rPr>
            <t>Autonomy &amp; Decision:</t>
          </r>
          <r>
            <rPr>
              <rFont val="Calibri"/>
              <sz val="10"/>
            </rPr>
            <t xml:space="preserve"> 4.5 of 12 · between B1 and B2 — Start: 4.0 · lead / specialist title; Evidence reads like B2: Sets priorities, allocates work and resources, changes ways of working without approval → moved up 0.5
</t>
          </r>
          <r>
            <rPr>
              <rFont val="Calibri"/>
              <b val="1"/>
              <sz val="10"/>
            </rPr>
            <t>Accountability &amp; Impact:</t>
          </r>
          <r>
            <rPr>
              <rFont val="Calibri"/>
              <sz val="10"/>
            </rPr>
            <t xml:space="preserve"> 5 of 12 — Start: 5.0 · lead / specialist title; 7 direct reports; Evidence reads like B2: own survey / KRA answers · summarised by the rater; not quoted → matches the start; KRA: “1. Ensure files processed by team with &gt;=99% accuracy · zero critical errors. 2. Meet 100% of regulatory / client filing deadlines (no SLA…”
</t>
          </r>
          <r>
            <rPr>
              <rFont val="Calibri"/>
              <b val="1"/>
              <sz val="10"/>
            </rPr>
            <t>Leadership &amp; Strategy:</t>
          </r>
          <r>
            <rPr>
              <rFont val="Calibri"/>
              <sz val="10"/>
            </rPr>
            <t xml:space="preserve"> 5 of 12 — Start: 5.0; Evidence reads like B2: Seven direct reports; manages team performance, trains and guides team on new mandates → matches the start; Team: 7 direct reports · People Manager
</t>
          </r>
          <r>
            <rPr>
              <rFont val="Calibri"/>
              <b val="1"/>
              <sz val="10"/>
            </rPr>
            <t>Experience &amp; Qualification:</t>
          </r>
          <r>
            <rPr>
              <rFont val="Calibri"/>
              <sz val="10"/>
            </rPr>
            <t xml:space="preserve"> 8.5 of 12 · between C2 and D1 — Experience: 15.4 yrs total · 15.4 at IRIS; none recorded before IRIS = 8.3 on the experience scale; Qualification: BCAF · graduate, relevant to the work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98"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Y98" s="12" t="inlineStr">
        <is>
          <r>
            <rPr>
              <rFont val="Calibri"/>
              <sz val="10"/>
            </rPr>
            <t xml:space="preserve">✓ HRIS: 15.4 yrs, BCAF, 7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98" s="82" t="inlineStr">
        <is>
          <r>
            <rPr>
              <rFont val="Calibri"/>
              <color rgb="009C5700"/>
              <sz val="10"/>
            </rPr>
            <t xml:space="preserve">• </t>
          </r>
          <r>
            <rPr>
              <rFont val="Calibri"/>
              <b val="1"/>
              <color rgb="009C5700"/>
              <sz val="10"/>
            </rPr>
            <t>Moves down:</t>
          </r>
          <r>
            <rPr>
              <rFont val="Calibri"/>
              <color rgb="009C5700"/>
              <sz val="10"/>
            </rPr>
            <t xml:space="preserve"> protected for one cycle</t>
          </r>
        </is>
      </c>
      <c r="AA98" s="12" t="inlineStr">
        <is>
          <t>Nothing outstanding</t>
        </is>
      </c>
      <c r="AB98"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Leads 7 direct reports.
From the survey and manager mapping — critical role: yes; successor named: no.
</t>
          </r>
          <r>
            <rPr>
              <rFont val="Calibri"/>
              <b val="1"/>
              <sz val="10"/>
            </rPr>
            <t>If the work is missed · role-holders' themes:</t>
          </r>
          <r>
            <rPr>
              <rFont val="Calibri"/>
              <sz val="10"/>
            </rPr>
            <t xml:space="preserve"> client · escalation · effort · lead.
Manager talent mapping — Latest rating: 4 · Potential: High · 9-Box Grid placement: Emerging Talent.</t>
          </r>
        </is>
      </c>
      <c r="AC98" s="84" t="n"/>
      <c r="AD98" s="84" t="n"/>
      <c r="AE98" s="84" t="n"/>
      <c r="AF98" s="12" t="n">
        <v>5.5</v>
      </c>
    </row>
    <row r="99" ht="379" customHeight="1">
      <c r="A99" s="12" t="inlineStr">
        <is>
          <t>IRIS0506</t>
        </is>
      </c>
      <c r="B99" s="10" t="inlineStr">
        <is>
          <t>Shailesh Kumar Sharma</t>
        </is>
      </c>
      <c r="C99" s="12" t="inlineStr">
        <is>
          <t>Services</t>
        </is>
      </c>
      <c r="D99" s="12" t="inlineStr">
        <is>
          <t>Process Manager</t>
        </is>
      </c>
      <c r="E99" s="85" t="inlineStr">
        <is>
          <t>Senior Manager – Service Delivery</t>
        </is>
      </c>
      <c r="F99" s="12" t="inlineStr">
        <is>
          <t>Consulting &amp; Professional Services</t>
        </is>
      </c>
      <c r="G99" s="12" t="inlineStr">
        <is>
          <t>Service Delivery Operations</t>
        </is>
      </c>
      <c r="H99" s="12" t="inlineStr">
        <is>
          <t>People Manager</t>
        </is>
      </c>
      <c r="I99" s="42" t="inlineStr">
        <is>
          <t>L5 – Manager</t>
        </is>
      </c>
      <c r="J99" s="20" t="inlineStr">
        <is>
          <t>B2</t>
        </is>
      </c>
      <c r="K99" s="21" t="inlineStr">
        <is>
          <t>Manager</t>
        </is>
      </c>
      <c r="L99" s="87" t="inlineStr">
        <is>
          <t>▲ Up</t>
        </is>
      </c>
      <c r="M99" s="12" t="inlineStr">
        <is>
          <t>CARBON · Services · Band B · People Manager</t>
        </is>
      </c>
      <c r="N99" s="42" t="n">
        <v>4</v>
      </c>
      <c r="O99" s="42" t="n">
        <v>5</v>
      </c>
      <c r="P99" s="42" t="n">
        <v>5.5</v>
      </c>
      <c r="Q99" s="42" t="n">
        <v>5</v>
      </c>
      <c r="R99" s="42" t="n">
        <v>8.5</v>
      </c>
      <c r="S99" s="80" t="n">
        <v>6</v>
      </c>
      <c r="T99" s="81">
        <f>IF(OR($M99="",COUNT(N99,O99,P99,Q99,R99,S99)&lt;6),"",IFERROR(N99*INDEX(WM_C,MATCH($M99,WM_KEY,0))+O99*INDEX(WM_AU,MATCH($M99,WM_KEY,0))+P99*INDEX(WM_AC,MATCH($M99,WM_KEY,0))+Q99*INDEX(WM_L,MATCH($M99,WM_KEY,0))+R99*INDEX(WM_E,MATCH($M99,WM_KEY,0))+S99*INDEX(WM_BI,MATCH($M99,WM_KEY,0)),""))</f>
        <v>5.2</v>
      </c>
      <c r="U99" s="42" t="str">
        <f>IF(T99="","",INDEX({"A1","A2","A3","B1","B2","B3","C1","C2","D1","D2","E1","E2"},MAX(1,MIN(12,ROUND(T99,0)))))</f>
        <v>B2</v>
      </c>
      <c r="V99" s="12" t="inlineStr">
        <is>
          <r>
            <rPr>
              <rFont val="Calibri"/>
              <sz val="10"/>
            </rPr>
            <t xml:space="preserve">New level B2 · Manager. Current level on record: L5 – Manager. Change: ▲ Up.
Score 5.20 on the ladder scale → indicated level B2.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99" s="12" t="inlineStr">
        <is>
          <r>
            <rPr>
              <rFont val="Calibri"/>
              <b val="1"/>
              <sz val="10"/>
            </rPr>
            <t>Complexity &amp; Expertise:</t>
          </r>
          <r>
            <rPr>
              <rFont val="Calibri"/>
              <sz val="10"/>
            </rPr>
            <t xml:space="preserve"> 4 of 12 — Start: 5.0 · manager / senior specialist title; Evidence reads like A3: PMO coordination: tracks project status, handles amendments, client coordination, billing; no technical problem-solving described → moved down 1; KRA: “1. Ensure files processed by team with &gt;=99% accuracy · zero critical errors. 2. Meet 100% of regulatory / client filing deadlines (no SLA…”
</t>
          </r>
          <r>
            <rPr>
              <rFont val="Calibri"/>
              <b val="1"/>
              <sz val="10"/>
            </rPr>
            <t>Autonomy &amp; Decision:</t>
          </r>
          <r>
            <rPr>
              <rFont val="Calibri"/>
              <sz val="10"/>
            </rPr>
            <t xml:space="preserve"> 5 of 12 — Start: 5.0 · manager / senior specialist title; Evidence reads like B2: Allocates team work, tracks projects and coordinates delivery with clients independently → matches the start
</t>
          </r>
          <r>
            <rPr>
              <rFont val="Calibri"/>
              <b val="1"/>
              <sz val="10"/>
            </rPr>
            <t>Accountability &amp; Impact:</t>
          </r>
          <r>
            <rPr>
              <rFont val="Calibri"/>
              <sz val="10"/>
            </rPr>
            <t xml:space="preserve"> 5.5 of 12 · between B2 and B3 — Start: 6.0 · manager / senior specialist title; 5 direct reports, 9 people below, 1 of them leads a team; Evidence reads like B2: own survey / KRA answers · summarised by the rater; not quoted → moved down 0.5; KRA: “1. Ensure files processed by team with &gt;=99% accuracy · zero critical errors. 2. Meet 100% of regulatory / client filing deadlines (no SLA…”
</t>
          </r>
          <r>
            <rPr>
              <rFont val="Calibri"/>
              <b val="1"/>
              <sz val="10"/>
            </rPr>
            <t>Leadership &amp; Strategy:</t>
          </r>
          <r>
            <rPr>
              <rFont val="Calibri"/>
              <sz val="10"/>
            </rPr>
            <t xml:space="preserve"> 5 of 12 — Start: 6.0; Evidence reads like B1: Five direct reports; team management and work monitoring → moved down 1; Team: 5 direct reports · People Manager
</t>
          </r>
          <r>
            <rPr>
              <rFont val="Calibri"/>
              <b val="1"/>
              <sz val="10"/>
            </rPr>
            <t>Experience &amp; Qualification:</t>
          </r>
          <r>
            <rPr>
              <rFont val="Calibri"/>
              <sz val="10"/>
            </rPr>
            <t xml:space="preserve"> 8.5 of 12 · between C2 and D1 — Experience: 16.0 yrs total · 0.3 before IRIS + 15.7 at IRIS = 8.5 on the experience scale; Qualification: B.Com · graduate, relevant to the work → no change
</t>
          </r>
          <r>
            <rPr>
              <rFont val="Calibri"/>
              <b val="1"/>
              <sz val="10"/>
            </rPr>
            <t>Business Impact:</t>
          </r>
          <r>
            <rPr>
              <rFont val="Calibri"/>
              <sz val="10"/>
            </rPr>
            <t xml:space="preserve"> 6 of 12 — a starting estimate. — Start: 5.5, the role's accountability scope — what it answers for.; Moved +0.5: the survey / manager mapping marks it business-critical.; Managers and heads: overwrite this rating on the Weightage sheet with the business impact you see — the score updates at once.; Ladder: B3 = Shapes the results of a practice or several teams</t>
          </r>
        </is>
      </c>
      <c r="X99" s="12" t="inlineStr">
        <is>
          <r>
            <rPr>
              <rFont val="Calibri"/>
              <b val="1"/>
              <sz val="10"/>
            </rPr>
            <t>Market level:</t>
          </r>
          <r>
            <rPr>
              <rFont val="Calibri"/>
              <sz val="10"/>
            </rPr>
            <t xml:space="preserve"> P4 / M3 · SFIA 4–5
</t>
          </r>
          <r>
            <rPr>
              <rFont val="Calibri"/>
              <b val="1"/>
              <sz val="10"/>
            </rPr>
            <t>Typical title:</t>
          </r>
          <r>
            <rPr>
              <rFont val="Calibri"/>
              <sz val="10"/>
            </rPr>
            <t xml:space="preserve"> Senior Manager
</t>
          </r>
          <r>
            <rPr>
              <rFont val="Calibri"/>
              <b val="1"/>
              <sz val="10"/>
            </rPr>
            <t>At peers:</t>
          </r>
          <r>
            <rPr>
              <rFont val="Calibri"/>
              <sz val="10"/>
            </rPr>
            <t xml:space="preserve"> Big Four – Manager · IRIS Vs Market Benchmark — XBRL US credential pathway: Certificate + review authority
</t>
          </r>
          <r>
            <rPr>
              <rFont val="Calibri"/>
              <b val="1"/>
              <sz val="10"/>
            </rPr>
            <t>Typical experience:</t>
          </r>
          <r>
            <rPr>
              <rFont val="Calibri"/>
              <sz val="10"/>
            </rPr>
            <t xml:space="preserve"> 6–10 yrs · IRIS guide 6–9
</t>
          </r>
          <r>
            <rPr>
              <rFont val="Calibri"/>
              <b val="1"/>
              <sz val="10"/>
            </rPr>
            <t>Standard:</t>
          </r>
          <r>
            <rPr>
              <rFont val="Calibri"/>
              <sz val="10"/>
            </rPr>
            <t xml:space="preserve"> XBRL US GAAP Certificate; XBRL International specifications</t>
          </r>
        </is>
      </c>
      <c r="Y99" s="12" t="inlineStr">
        <is>
          <r>
            <rPr>
              <rFont val="Calibri"/>
              <sz val="10"/>
            </rPr>
            <t xml:space="preserve">✓ HRIS: 16.0 yrs, B.Com, 5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99" s="12" t="inlineStr">
        <is>
          <t>—</t>
        </is>
      </c>
      <c r="AA99" s="12" t="inlineStr">
        <is>
          <t>Nothing outstanding</t>
        </is>
      </c>
      <c r="AB99"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5 direct reports.
From the survey and manager mapping — critical role: yes; successor named: no.
</t>
          </r>
          <r>
            <rPr>
              <rFont val="Calibri"/>
              <b val="1"/>
              <sz val="10"/>
            </rPr>
            <t>If the work is missed · role-holders' themes:</t>
          </r>
          <r>
            <rPr>
              <rFont val="Calibri"/>
              <sz val="10"/>
            </rPr>
            <t xml:space="preserve"> client · delays.
Manager talent mapping — Latest rating: 3 · Potential: Medium · 9-Box Grid placement: Core Contributor.</t>
          </r>
        </is>
      </c>
      <c r="AC99" s="84" t="n"/>
      <c r="AD99" s="84" t="n"/>
      <c r="AE99" s="84" t="n"/>
      <c r="AF99" s="12" t="n">
        <v>6</v>
      </c>
    </row>
    <row r="100" ht="400" customHeight="1">
      <c r="A100" s="12" t="inlineStr">
        <is>
          <t>IRIS2071</t>
        </is>
      </c>
      <c r="B100" s="10" t="inlineStr">
        <is>
          <t>Priyanka Mehra</t>
        </is>
      </c>
      <c r="C100" s="12" t="inlineStr">
        <is>
          <t>Services</t>
        </is>
      </c>
      <c r="D100" s="12" t="inlineStr">
        <is>
          <t>Project Manager Officer</t>
        </is>
      </c>
      <c r="E100" s="85" t="inlineStr">
        <is>
          <t>PMO Manager</t>
        </is>
      </c>
      <c r="F100" s="12" t="inlineStr">
        <is>
          <t>Project &amp; Program Management</t>
        </is>
      </c>
      <c r="G100" s="12" t="inlineStr">
        <is>
          <t>PMO &amp; Delivery Excellence</t>
        </is>
      </c>
      <c r="H100" s="12" t="inlineStr">
        <is>
          <t>People Manager</t>
        </is>
      </c>
      <c r="I100" s="42" t="inlineStr">
        <is>
          <t>L5 – Manager</t>
        </is>
      </c>
      <c r="J100" s="20" t="inlineStr">
        <is>
          <t>B2</t>
        </is>
      </c>
      <c r="K100" s="21" t="inlineStr">
        <is>
          <t>Manager</t>
        </is>
      </c>
      <c r="L100" s="88" t="inlineStr">
        <is>
          <t>• Same level</t>
        </is>
      </c>
      <c r="M100" s="12" t="inlineStr">
        <is>
          <t>CARBON · Services · Band B · People Manager</t>
        </is>
      </c>
      <c r="N100" s="42" t="n">
        <v>4.5</v>
      </c>
      <c r="O100" s="42" t="n">
        <v>4.5</v>
      </c>
      <c r="P100" s="42" t="n">
        <v>4.5</v>
      </c>
      <c r="Q100" s="42" t="n">
        <v>4.5</v>
      </c>
      <c r="R100" s="42" t="n">
        <v>9</v>
      </c>
      <c r="S100" s="80" t="n">
        <v>5</v>
      </c>
      <c r="T100" s="81">
        <f>IF(OR($M100="",COUNT(N100,O100,P100,Q100,R100,S100)&lt;6),"",IFERROR(N100*INDEX(WM_C,MATCH($M100,WM_KEY,0))+O100*INDEX(WM_AU,MATCH($M100,WM_KEY,0))+P100*INDEX(WM_AC,MATCH($M100,WM_KEY,0))+Q100*INDEX(WM_L,MATCH($M100,WM_KEY,0))+R100*INDEX(WM_E,MATCH($M100,WM_KEY,0))+S100*INDEX(WM_BI,MATCH($M100,WM_KEY,0)),""))</f>
        <v>4.995</v>
      </c>
      <c r="U100" s="42" t="str">
        <f>IF(T100="","",INDEX({"A1","A2","A3","B1","B2","B3","C1","C2","D1","D2","E1","E2"},MAX(1,MIN(12,ROUND(T100,0)))))</f>
        <v>B2</v>
      </c>
      <c r="V100" s="12" t="inlineStr">
        <is>
          <r>
            <rPr>
              <rFont val="Calibri"/>
              <sz val="10"/>
            </rPr>
            <t xml:space="preserve">New level B2 · Manager. Current level on record: L5 – Manager. Change: • Same level.
Score 5.00 on the ladder scale → indicated level B2.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0" s="12" t="inlineStr">
        <is>
          <r>
            <rPr>
              <rFont val="Calibri"/>
              <b val="1"/>
              <sz val="10"/>
            </rPr>
            <t>Complexity &amp; Expertise:</t>
          </r>
          <r>
            <rPr>
              <rFont val="Calibri"/>
              <sz val="10"/>
            </rPr>
            <t xml:space="preserve"> 4.5 of 12 · between B1 and B2 — Start: 5.0 · manager / senior specialist title; Evidence reads like A3: own survey / KRA answers · summarised by the rater; not quoted → moved down 0.5; KRA: “1. Ensure files processed by team with &gt;=99% accuracy · zero critical errors. 2. Meet 100% of regulatory / client filing deadlines (no SLA…”
</t>
          </r>
          <r>
            <rPr>
              <rFont val="Calibri"/>
              <b val="1"/>
              <sz val="10"/>
            </rPr>
            <t>Autonomy &amp; Decision:</t>
          </r>
          <r>
            <rPr>
              <rFont val="Calibri"/>
              <sz val="10"/>
            </rPr>
            <t xml:space="preserve"> 4.5 of 12 · between B1 and B2 — Start: 5.0 · manager / senior specialist title; Evidence reads like A2: Updates working-level process documents and follows up with clients; escalates bigger issues → moved down 0.5
</t>
          </r>
          <r>
            <rPr>
              <rFont val="Calibri"/>
              <b val="1"/>
              <sz val="10"/>
            </rPr>
            <t>Accountability &amp; Impact:</t>
          </r>
          <r>
            <rPr>
              <rFont val="Calibri"/>
              <sz val="10"/>
            </rPr>
            <t xml:space="preserve"> 4.5 of 12 · between B1 and B2 — Start: 5.0 · manager / senior specialist title; 7 direct reports; Evidence reads like A3: Accuracy of process documentation and client data; client mailing and file flow → moved down 0.5; KRA: “1. Ensure files processed by team with &gt;=99% accuracy · zero critical errors. 2. Meet 100% of regulatory / client filing deadlines (no SLA…”
</t>
          </r>
          <r>
            <rPr>
              <rFont val="Calibri"/>
              <b val="1"/>
              <sz val="10"/>
            </rPr>
            <t>Leadership &amp; Strategy:</t>
          </r>
          <r>
            <rPr>
              <rFont val="Calibri"/>
              <sz val="10"/>
            </rPr>
            <t xml:space="preserve"> 4.5 of 12 · between B1 and B2 — Start: 5.0; Evidence reads like A2: Seven reports in HR, but text only mentions understanding team problems and resolving queries → moved down 0.5; Team: 7 direct reports · People Manager
</t>
          </r>
          <r>
            <rPr>
              <rFont val="Calibri"/>
              <b val="1"/>
              <sz val="10"/>
            </rPr>
            <t>Experience &amp; Qualification:</t>
          </r>
          <r>
            <rPr>
              <rFont val="Calibri"/>
              <sz val="10"/>
            </rPr>
            <t xml:space="preserve"> 9 of 12 — Experience: 17.0 yrs total · 13.1 before IRIS + 3.9 at IRIS = 8.8 on the experience scale; Qualification: B.Com · graduate, relevant to the work → no change
</t>
          </r>
          <r>
            <rPr>
              <rFont val="Calibri"/>
              <b val="1"/>
              <sz val="10"/>
            </rPr>
            <t>Business Impact:</t>
          </r>
          <r>
            <rPr>
              <rFont val="Calibri"/>
              <sz val="10"/>
            </rPr>
            <t xml:space="preserve"> 5 of 12 — a starting estimate. —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r>
        </is>
      </c>
      <c r="X100"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Y100" s="12" t="inlineStr">
        <is>
          <r>
            <rPr>
              <rFont val="Calibri"/>
              <sz val="10"/>
            </rPr>
            <t xml:space="preserve">✓ HRIS: 17.0 yrs, B.Com, 7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00" s="12" t="inlineStr">
        <is>
          <t>—</t>
        </is>
      </c>
      <c r="AA100" s="12" t="inlineStr">
        <is>
          <t>Nothing outstanding</t>
        </is>
      </c>
      <c r="AB100"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7 direct reports.
From the survey and manager mapping — critical role: yes; successor named: no.
Manager talent mapping — Latest rating: 4 · Potential: High · 9-Box Grid placement: Core Contributor.</t>
          </r>
        </is>
      </c>
      <c r="AC100" s="84" t="n"/>
      <c r="AD100" s="84" t="n"/>
      <c r="AE100" s="84" t="n"/>
      <c r="AF100" s="12" t="n">
        <v>5</v>
      </c>
    </row>
    <row r="101" ht="400" customHeight="1">
      <c r="A101" s="12" t="inlineStr">
        <is>
          <t>IRIS0589</t>
        </is>
      </c>
      <c r="B101" s="10" t="inlineStr">
        <is>
          <t>Mohammed Sameer Shamsudin</t>
        </is>
      </c>
      <c r="C101" s="12" t="inlineStr">
        <is>
          <t>Services</t>
        </is>
      </c>
      <c r="D101" s="12" t="inlineStr">
        <is>
          <t>Lead - Assisted Services</t>
        </is>
      </c>
      <c r="E101" s="85" t="inlineStr">
        <is>
          <t>Senior QA Specialist – POD Lead</t>
        </is>
      </c>
      <c r="F101" s="12" t="inlineStr">
        <is>
          <t>Quality Assurance</t>
        </is>
      </c>
      <c r="G101" s="12" t="inlineStr">
        <is>
          <t>Functional &amp; Domain Testing</t>
        </is>
      </c>
      <c r="H101" s="12" t="inlineStr">
        <is>
          <t>POD Lead</t>
        </is>
      </c>
      <c r="I101" s="42" t="inlineStr">
        <is>
          <t>L5 – Lead · IC</t>
        </is>
      </c>
      <c r="J101" s="20" t="inlineStr">
        <is>
          <t>B2</t>
        </is>
      </c>
      <c r="K101" s="21" t="inlineStr">
        <is>
          <t>Senior Specialist · POD Lead</t>
        </is>
      </c>
      <c r="L101" s="86" t="inlineStr">
        <is>
          <t>▼ Down · pay &amp; title protected</t>
        </is>
      </c>
      <c r="M101" s="12" t="inlineStr">
        <is>
          <t>CARBON · Services · Band B · Expert / POD Lead</t>
        </is>
      </c>
      <c r="N101" s="42" t="n">
        <v>4</v>
      </c>
      <c r="O101" s="42" t="n">
        <v>4.5</v>
      </c>
      <c r="P101" s="42" t="n">
        <v>4</v>
      </c>
      <c r="Q101" s="42" t="n">
        <v>4</v>
      </c>
      <c r="R101" s="42" t="n">
        <v>8.5</v>
      </c>
      <c r="S101" s="80" t="n">
        <v>4.5</v>
      </c>
      <c r="T101" s="81">
        <f>IF(OR($M101="",COUNT(N101,O101,P101,Q101,R101,S101)&lt;6),"",IFERROR(N101*INDEX(WM_C,MATCH($M101,WM_KEY,0))+O101*INDEX(WM_AU,MATCH($M101,WM_KEY,0))+P101*INDEX(WM_AC,MATCH($M101,WM_KEY,0))+Q101*INDEX(WM_L,MATCH($M101,WM_KEY,0))+R101*INDEX(WM_E,MATCH($M101,WM_KEY,0))+S101*INDEX(WM_BI,MATCH($M101,WM_KEY,0)),""))</f>
        <v>4.57</v>
      </c>
      <c r="U101" s="42" t="str">
        <f>IF(T101="","",INDEX({"A1","A2","A3","B1","B2","B3","C1","C2","D1","D2","E1","E2"},MAX(1,MIN(12,ROUND(T101,0)))))</f>
        <v>B2</v>
      </c>
      <c r="V101" s="12" t="inlineStr">
        <is>
          <r>
            <rPr>
              <rFont val="Calibri"/>
              <sz val="10"/>
            </rPr>
            <t xml:space="preserve">New level B2 · Senior Specialist · POD Lead. Current level on record: L5 – Lead · IC. Change: ▼ Down · pay &amp; title protected.
Score 4.57 on the ladder scale → indicated level B2.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101" s="12" t="inlineStr">
        <is>
          <r>
            <rPr>
              <rFont val="Calibri"/>
              <b val="1"/>
              <sz val="10"/>
            </rPr>
            <t>Complexity &amp; Expertise:</t>
          </r>
          <r>
            <rPr>
              <rFont val="Calibri"/>
              <sz val="10"/>
            </rPr>
            <t xml:space="preserve"> 4 of 12 — Start: 4.0 · lead / specialist title; Evidence: rated like 3 colleagues in the same role and department · own answers too general to rate → no change; KRA: “1. Ensure files processed by team with &gt;=99% accuracy · zero critical errors. 2. Meet 100% of regulatory / client filing deadlines (no SLA…”
</t>
          </r>
          <r>
            <rPr>
              <rFont val="Calibri"/>
              <b val="1"/>
              <sz val="10"/>
            </rPr>
            <t>Autonomy &amp; Decision:</t>
          </r>
          <r>
            <rPr>
              <rFont val="Calibri"/>
              <sz val="10"/>
            </rPr>
            <t xml:space="preserve"> 4.5 of 12 · between B1 and B2 — Start: 4.0 · lead / specialist title; Evidence: rated like 3 colleagues in the same role and department · own answers too general to rate → moved +0.5
</t>
          </r>
          <r>
            <rPr>
              <rFont val="Calibri"/>
              <b val="1"/>
              <sz val="10"/>
            </rPr>
            <t>Accountability &amp; Impact:</t>
          </r>
          <r>
            <rPr>
              <rFont val="Calibri"/>
              <sz val="10"/>
            </rPr>
            <t xml:space="preserve"> 4 of 12 — Start: 4.0 · lead / specialist title; 2 direct reports; Evidence: rated like 3 colleagues in the same role and department · own answers too general to rate → no change; KRA: “1. Ensure files processed by team with &gt;=99% accuracy · zero critical errors. 2. Meet 100% of regulatory / client filing deadlines (no SLA…”
</t>
          </r>
          <r>
            <rPr>
              <rFont val="Calibri"/>
              <b val="1"/>
              <sz val="10"/>
            </rPr>
            <t>Leadership &amp; Strategy:</t>
          </r>
          <r>
            <rPr>
              <rFont val="Calibri"/>
              <sz val="10"/>
            </rPr>
            <t xml:space="preserve"> 4 of 12 — Start: 4.0; Evidence: rated like 3 colleagues in the same role and department · own answers too general to rate → no change; Team: 2 direct reports · POD Lead
</t>
          </r>
          <r>
            <rPr>
              <rFont val="Calibri"/>
              <b val="1"/>
              <sz val="10"/>
            </rPr>
            <t>Experience &amp; Qualification:</t>
          </r>
          <r>
            <rPr>
              <rFont val="Calibri"/>
              <sz val="10"/>
            </rPr>
            <t xml:space="preserve"> 8.5 of 12 · between C2 and D1 — Experience: 15.5 yrs total · 15.5 at IRIS; none recorded before IRIS = 8.3 on the experience scale; Qualification: B.Com · graduate, relevant to the work → no change
</t>
          </r>
          <r>
            <rPr>
              <rFont val="Calibri"/>
              <b val="1"/>
              <sz val="10"/>
            </rPr>
            <t>Business Impact:</t>
          </r>
          <r>
            <rPr>
              <rFont val="Calibri"/>
              <sz val="10"/>
            </rPr>
            <t xml:space="preserve"> 4.5 of 12 — a starting estimate. — Start: 4,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101" s="12" t="inlineStr">
        <is>
          <r>
            <rPr>
              <rFont val="Calibri"/>
              <b val="1"/>
              <sz val="10"/>
            </rPr>
            <t>Market level:</t>
          </r>
          <r>
            <rPr>
              <rFont val="Calibri"/>
              <sz val="10"/>
            </rPr>
            <t xml:space="preserve"> P4 / M3 · SFIA 4–5
</t>
          </r>
          <r>
            <rPr>
              <rFont val="Calibri"/>
              <b val="1"/>
              <sz val="10"/>
            </rPr>
            <t>Typical title:</t>
          </r>
          <r>
            <rPr>
              <rFont val="Calibri"/>
              <sz val="10"/>
            </rPr>
            <t xml:space="preserve"> QA Lead / Senior SDET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ISTQB Foundation → Advanced → Expert; SFIA testing</t>
          </r>
        </is>
      </c>
      <c r="Y101" s="12" t="inlineStr">
        <is>
          <r>
            <rPr>
              <rFont val="Calibri"/>
              <sz val="10"/>
            </rPr>
            <t xml:space="preserve">✓ HRIS: 15.5 yrs, B.Com, 2 direct reports
✓ Survey: 20 of 20 questions answered
✓ KRAs: submitted, reported deliverables
✓ Manager mapping: rating, potential, 9-box
✗ Job description: not on file
</t>
          </r>
          <r>
            <rPr>
              <rFont val="Calibri"/>
              <b val="1"/>
              <sz val="10"/>
            </rPr>
            <t>Confidence:</t>
          </r>
          <r>
            <rPr>
              <rFont val="Calibri"/>
              <sz val="10"/>
            </rPr>
            <t xml:space="preserve"> Low</t>
          </r>
        </is>
      </c>
      <c r="Z101" s="82" t="inlineStr">
        <is>
          <r>
            <rPr>
              <rFont val="Calibri"/>
              <color rgb="009C5700"/>
              <sz val="10"/>
            </rPr>
            <t xml:space="preserve">• </t>
          </r>
          <r>
            <rPr>
              <rFont val="Calibri"/>
              <b val="1"/>
              <color rgb="009C5700"/>
              <sz val="10"/>
            </rPr>
            <t>Moves down:</t>
          </r>
          <r>
            <rPr>
              <rFont val="Calibri"/>
              <color rgb="009C5700"/>
              <sz val="10"/>
            </rPr>
            <t xml:space="preserve"> protected for one cycle</t>
          </r>
        </is>
      </c>
      <c r="AA101" s="12" t="inlineStr">
        <is>
          <t>Nothing outstanding</t>
        </is>
      </c>
      <c r="AB101"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2 direct reports.
From the survey and manager mapping — critical role: yes; successor named: no.
</t>
          </r>
          <r>
            <rPr>
              <rFont val="Calibri"/>
              <b val="1"/>
              <sz val="10"/>
            </rPr>
            <t>If the work is missed · role-holders' themes:</t>
          </r>
          <r>
            <rPr>
              <rFont val="Calibri"/>
              <sz val="10"/>
            </rPr>
            <t xml:space="preserve"> rework · production · issues · client.
Manager talent mapping — Latest rating: 3 · Potential: Medium · 9-Box Grid placement: Core Contributor.</t>
          </r>
        </is>
      </c>
      <c r="AC101" s="84" t="n"/>
      <c r="AD101" s="84" t="n"/>
      <c r="AE101" s="84" t="n"/>
      <c r="AF101" s="12" t="n">
        <v>4.5</v>
      </c>
    </row>
    <row r="102" ht="400" customHeight="1">
      <c r="A102" s="12" t="inlineStr">
        <is>
          <t>IRIS0567</t>
        </is>
      </c>
      <c r="B102" s="10" t="inlineStr">
        <is>
          <t>Amruta Mirashi</t>
        </is>
      </c>
      <c r="C102" s="12" t="inlineStr">
        <is>
          <t>Services</t>
        </is>
      </c>
      <c r="D102" s="12" t="inlineStr">
        <is>
          <t>Financial Analyst</t>
        </is>
      </c>
      <c r="E102" s="85" t="inlineStr">
        <is>
          <t>XBRL Specialist</t>
        </is>
      </c>
      <c r="F102" s="12" t="inlineStr">
        <is>
          <t>Consulting &amp; Professional Services</t>
        </is>
      </c>
      <c r="G102" s="12" t="inlineStr">
        <is>
          <t>XBRL Tagging, Conversion &amp; Filing</t>
        </is>
      </c>
      <c r="H102" s="12" t="inlineStr">
        <is>
          <t>IC</t>
        </is>
      </c>
      <c r="I102" s="42" t="inlineStr">
        <is>
          <t>L3 – Professional / Associate</t>
        </is>
      </c>
      <c r="J102" s="20" t="inlineStr">
        <is>
          <t>B1</t>
        </is>
      </c>
      <c r="K102" s="21" t="inlineStr">
        <is>
          <t>Specialist</t>
        </is>
      </c>
      <c r="L102" s="87" t="inlineStr">
        <is>
          <t>▲ Up</t>
        </is>
      </c>
      <c r="M102" s="12" t="inlineStr">
        <is>
          <t>CARBON · Services · Band B · Expert / POD Lead</t>
        </is>
      </c>
      <c r="N102" s="42" t="n">
        <v>3</v>
      </c>
      <c r="O102" s="42" t="n">
        <v>3</v>
      </c>
      <c r="P102" s="42" t="n">
        <v>3</v>
      </c>
      <c r="Q102" s="42" t="n">
        <v>2</v>
      </c>
      <c r="R102" s="42" t="n">
        <v>9</v>
      </c>
      <c r="S102" s="80" t="n">
        <v>3.5</v>
      </c>
      <c r="T102" s="81">
        <f>IF(OR($M102="",COUNT(N102,O102,P102,Q102,R102,S102)&lt;6),"",IFERROR(N102*INDEX(WM_C,MATCH($M102,WM_KEY,0))+O102*INDEX(WM_AU,MATCH($M102,WM_KEY,0))+P102*INDEX(WM_AC,MATCH($M102,WM_KEY,0))+Q102*INDEX(WM_L,MATCH($M102,WM_KEY,0))+R102*INDEX(WM_E,MATCH($M102,WM_KEY,0))+S102*INDEX(WM_BI,MATCH($M102,WM_KEY,0)),""))</f>
        <v>3.585</v>
      </c>
      <c r="U102" s="42" t="str">
        <f>IF(T102="","",INDEX({"A1","A2","A3","B1","B2","B3","C1","C2","D1","D2","E1","E2"},MAX(1,MIN(12,ROUND(T102,0)))))</f>
        <v>B1</v>
      </c>
      <c r="V102" s="12" t="inlineStr">
        <is>
          <r>
            <rPr>
              <rFont val="Calibri"/>
              <sz val="10"/>
            </rPr>
            <t xml:space="preserve">New level B1 · Specialist. Current level on record: L3 – Professional / Associate. Change: ▲ Up.
Score 3.58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2" s="12" t="inlineStr">
        <is>
          <r>
            <rPr>
              <rFont val="Calibri"/>
              <b val="1"/>
              <sz val="10"/>
            </rPr>
            <t>Complexity &amp; Expertise:</t>
          </r>
          <r>
            <rPr>
              <rFont val="Calibri"/>
              <sz val="10"/>
            </rPr>
            <t xml:space="preserve"> 3 of 12 — Start: 2.0 · practitioner title; Evidence reads like B1: Tags and reviews ESEF, KVK, MCA, Infocamere and DM files; product testing; solves team doubts → moved up 1; KRA: “1. Complete assigned XBRL/conversion/filing tasks with &gt;=99% accuracy · zero critical errors 2. Meet 100% of regulatory / client filing…”
</t>
          </r>
          <r>
            <rPr>
              <rFont val="Calibri"/>
              <b val="1"/>
              <sz val="10"/>
            </rPr>
            <t>Autonomy &amp; Decision:</t>
          </r>
          <r>
            <rPr>
              <rFont val="Calibri"/>
              <sz val="10"/>
            </rPr>
            <t xml:space="preserve"> 3 of 12 — Start: 2.0 · practitioner title; Evidence reads like B1: Decides file allocation for the shift and keeps records of all requests → moved up 1
</t>
          </r>
          <r>
            <rPr>
              <rFont val="Calibri"/>
              <b val="1"/>
              <sz val="10"/>
            </rPr>
            <t>Accountability &amp; Impact:</t>
          </r>
          <r>
            <rPr>
              <rFont val="Calibri"/>
              <sz val="10"/>
            </rPr>
            <t xml:space="preserve"> 3 of 12 — Start: 2.0 · practitioner title; Evidence reads like B1: Shift's allocation and timely delivery of files, plus own tagging and review → moved up 1; KRA: “1. Complete assigned XBRL/conversion/filing tasks with &gt;=99% accuracy · zero critical errors 2. Meet 100% of regulatory / client filing…”
</t>
          </r>
          <r>
            <rPr>
              <rFont val="Calibri"/>
              <b val="1"/>
              <sz val="10"/>
            </rPr>
            <t>Leadership &amp; Strategy:</t>
          </r>
          <r>
            <rPr>
              <rFont val="Calibri"/>
              <sz val="10"/>
            </rPr>
            <t xml:space="preserve"> 2 of 12 — Start: 1.0 · individual contributor, so influence only; Evidence reads like B1: Shift lead: allocates files, solves doubts, trains team on new updates → moved up 1; Team: 0 direct reports · IC
</t>
          </r>
          <r>
            <rPr>
              <rFont val="Calibri"/>
              <b val="1"/>
              <sz val="10"/>
            </rPr>
            <t>Experience &amp; Qualification:</t>
          </r>
          <r>
            <rPr>
              <rFont val="Calibri"/>
              <sz val="10"/>
            </rPr>
            <t xml:space="preserve"> 9 of 12 — Experience: 15.5 yrs total · 15.5 at IRIS; none recorded before IRIS = 8.3 on the experience scale; Qualification: M.Com · postgraduate, relevant to the work → +0.5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02"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02" s="12" t="inlineStr">
        <is>
          <r>
            <rPr>
              <rFont val="Calibri"/>
              <sz val="10"/>
            </rPr>
            <t xml:space="preserve">✓ HRIS: 15.5 yrs, M.Com,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02" s="12" t="inlineStr">
        <is>
          <t>—</t>
        </is>
      </c>
      <c r="AA102" s="83" t="inlineStr">
        <is>
          <t>• Confirm the reporting line — Manager</t>
        </is>
      </c>
      <c r="AB102"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AC102" s="84" t="n"/>
      <c r="AD102" s="84" t="n"/>
      <c r="AE102" s="84" t="n"/>
      <c r="AF102" s="12" t="n">
        <v>3.5</v>
      </c>
    </row>
    <row r="103" ht="400" customHeight="1">
      <c r="A103" s="12" t="inlineStr">
        <is>
          <t>IRIS2169</t>
        </is>
      </c>
      <c r="B103" s="10" t="inlineStr">
        <is>
          <t>Chetan Newase</t>
        </is>
      </c>
      <c r="C103" s="12" t="inlineStr">
        <is>
          <t>Services</t>
        </is>
      </c>
      <c r="D103" s="12" t="inlineStr">
        <is>
          <t>Senior Financial Analyst</t>
        </is>
      </c>
      <c r="E103" s="85" t="inlineStr">
        <is>
          <t>XBRL Specialist</t>
        </is>
      </c>
      <c r="F103" s="12" t="inlineStr">
        <is>
          <t>Consulting &amp; Professional Services</t>
        </is>
      </c>
      <c r="G103" s="12" t="inlineStr">
        <is>
          <t>XBRL Tagging, Conversion &amp; Filing</t>
        </is>
      </c>
      <c r="H103" s="12" t="inlineStr">
        <is>
          <t>IC</t>
        </is>
      </c>
      <c r="I103" s="42" t="inlineStr">
        <is>
          <t>L4 – Senior</t>
        </is>
      </c>
      <c r="J103" s="20" t="inlineStr">
        <is>
          <t>B1</t>
        </is>
      </c>
      <c r="K103" s="21" t="inlineStr">
        <is>
          <t>Specialist</t>
        </is>
      </c>
      <c r="L103" s="87" t="inlineStr">
        <is>
          <t>▲ Up</t>
        </is>
      </c>
      <c r="M103" s="12" t="inlineStr">
        <is>
          <t>CARBON · Services · Band B · Expert / POD Lead</t>
        </is>
      </c>
      <c r="N103" s="42" t="n">
        <v>3.5</v>
      </c>
      <c r="O103" s="42" t="n">
        <v>3</v>
      </c>
      <c r="P103" s="42" t="n">
        <v>3</v>
      </c>
      <c r="Q103" s="42" t="n">
        <v>2</v>
      </c>
      <c r="R103" s="42" t="n">
        <v>9</v>
      </c>
      <c r="S103" s="80" t="n">
        <v>3.5</v>
      </c>
      <c r="T103" s="81">
        <f>IF(OR($M103="",COUNT(N103,O103,P103,Q103,R103,S103)&lt;6),"",IFERROR(N103*INDEX(WM_C,MATCH($M103,WM_KEY,0))+O103*INDEX(WM_AU,MATCH($M103,WM_KEY,0))+P103*INDEX(WM_AC,MATCH($M103,WM_KEY,0))+Q103*INDEX(WM_L,MATCH($M103,WM_KEY,0))+R103*INDEX(WM_E,MATCH($M103,WM_KEY,0))+S103*INDEX(WM_BI,MATCH($M103,WM_KEY,0)),""))</f>
        <v>3.815</v>
      </c>
      <c r="U103" s="42" t="str">
        <f>IF(T103="","",INDEX({"A1","A2","A3","B1","B2","B3","C1","C2","D1","D2","E1","E2"},MAX(1,MIN(12,ROUND(T103,0)))))</f>
        <v>B1</v>
      </c>
      <c r="V103" s="12" t="inlineStr">
        <is>
          <r>
            <rPr>
              <rFont val="Calibri"/>
              <sz val="10"/>
            </rPr>
            <t xml:space="preserve">New level B1 · Specialist. Current level on record: L4 – Senior. Change: ▲ Up.
Score 3.81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3" s="12" t="inlineStr">
        <is>
          <r>
            <rPr>
              <rFont val="Calibri"/>
              <b val="1"/>
              <sz val="10"/>
            </rPr>
            <t>Complexity &amp; Expertise:</t>
          </r>
          <r>
            <rPr>
              <rFont val="Calibri"/>
              <sz val="10"/>
            </rPr>
            <t xml:space="preserve"> 3.5 of 12 · between A3 and B1 — Start: 3.0 · senior practitioner title; Evidence reads like B1: US XBRL Excel mapping, DQC/duplicate error clearance, quality analysis, mandate-update analysis across regions → moved up 0.5; KRA: “1. Complete assigned XBRL mapping tasks with &gt;=99% accuracy · zero critical errors 2. Meet 100% of regulatory / client filing deadlines (no…”
</t>
          </r>
          <r>
            <rPr>
              <rFont val="Calibri"/>
              <b val="1"/>
              <sz val="10"/>
            </rPr>
            <t>Autonomy &amp; Decision:</t>
          </r>
          <r>
            <rPr>
              <rFont val="Calibri"/>
              <sz val="10"/>
            </rPr>
            <t xml:space="preserve"> 3 of 12 — Start: 3.0 · senior practitioner title; Evidence reads like A3: Manages own mapping, validation-error clearance and quality analysis work → matches the start
</t>
          </r>
          <r>
            <rPr>
              <rFont val="Calibri"/>
              <b val="1"/>
              <sz val="10"/>
            </rPr>
            <t>Accountability &amp; Impact:</t>
          </r>
          <r>
            <rPr>
              <rFont val="Calibri"/>
              <sz val="10"/>
            </rPr>
            <t xml:space="preserve"> 3 of 12 — Start: 3.0 · senior practitioner title; Evidence reads like A3: Quality and timeliness of mapping, validation and filing support feeding the tagging team's filings → matches the start; KRA: “1. Complete assigned XBRL mapping tasks with &gt;=99% accuracy · zero critical errors 2. Meet 100% of regulatory / client filing deadlines (no…”
</t>
          </r>
          <r>
            <rPr>
              <rFont val="Calibri"/>
              <b val="1"/>
              <sz val="10"/>
            </rPr>
            <t>Leadership &amp; Strategy:</t>
          </r>
          <r>
            <rPr>
              <rFont val="Calibri"/>
              <sz val="10"/>
            </rPr>
            <t xml:space="preserve"> 2 of 12 — Start: 2.0 · individual contributor, so influence only; Evidence reads like A2: Supports the tagging team; no standing guidance or allocation duties shown → matches the start; Team: 0 direct reports · IC
</t>
          </r>
          <r>
            <rPr>
              <rFont val="Calibri"/>
              <b val="1"/>
              <sz val="10"/>
            </rPr>
            <t>Experience &amp; Qualification:</t>
          </r>
          <r>
            <rPr>
              <rFont val="Calibri"/>
              <sz val="10"/>
            </rPr>
            <t xml:space="preserve"> 9 of 12 — Experience: 16.1 yrs total · 13.0 before IRIS + 3.1 at IRIS = 8.5 on the experience scale; Qualification: MBA · postgraduate, relevant to the work → +0.5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03"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03" s="12" t="inlineStr">
        <is>
          <r>
            <rPr>
              <rFont val="Calibri"/>
              <sz val="10"/>
            </rPr>
            <t xml:space="preserve">✓ HRIS: 16.1 yrs, MBA, 0 direct reports
✓ Survey: 18 of 20 questions answered
✓ KRAs: submitted, reported deliverables
✓ Manager mapping: rating, potential, 9-box
✗ Job description: not on file
</t>
          </r>
          <r>
            <rPr>
              <rFont val="Calibri"/>
              <b val="1"/>
              <sz val="10"/>
            </rPr>
            <t>Confidence:</t>
          </r>
          <r>
            <rPr>
              <rFont val="Calibri"/>
              <sz val="10"/>
            </rPr>
            <t xml:space="preserve"> High</t>
          </r>
        </is>
      </c>
      <c r="Z103" s="12" t="inlineStr">
        <is>
          <t>—</t>
        </is>
      </c>
      <c r="AA103" s="12" t="inlineStr">
        <is>
          <t>Nothing outstanding</t>
        </is>
      </c>
      <c r="AB103"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3 · Potential: Medium · 9-Box Grid placement: Core Contributor.</t>
          </r>
        </is>
      </c>
      <c r="AC103" s="84" t="n"/>
      <c r="AD103" s="84" t="n"/>
      <c r="AE103" s="84" t="n"/>
      <c r="AF103" s="12" t="n">
        <v>3.5</v>
      </c>
    </row>
    <row r="104" ht="400" customHeight="1">
      <c r="A104" s="12" t="inlineStr">
        <is>
          <t>IRIS0558</t>
        </is>
      </c>
      <c r="B104" s="10" t="inlineStr">
        <is>
          <t>Jayaprakash Arumugam</t>
        </is>
      </c>
      <c r="C104" s="12" t="inlineStr">
        <is>
          <t>Services</t>
        </is>
      </c>
      <c r="D104" s="12" t="inlineStr">
        <is>
          <t>Senior Financial Analyst</t>
        </is>
      </c>
      <c r="E104" s="85" t="inlineStr">
        <is>
          <t>XBRL Specialist</t>
        </is>
      </c>
      <c r="F104" s="12" t="inlineStr">
        <is>
          <t>Consulting &amp; Professional Services</t>
        </is>
      </c>
      <c r="G104" s="12" t="inlineStr">
        <is>
          <t>XBRL Tagging, Conversion &amp; Filing</t>
        </is>
      </c>
      <c r="H104" s="12" t="inlineStr">
        <is>
          <t>IC</t>
        </is>
      </c>
      <c r="I104" s="42" t="inlineStr">
        <is>
          <t>L4 – Senior</t>
        </is>
      </c>
      <c r="J104" s="20" t="inlineStr">
        <is>
          <t>B1</t>
        </is>
      </c>
      <c r="K104" s="21" t="inlineStr">
        <is>
          <t>Specialist</t>
        </is>
      </c>
      <c r="L104" s="87" t="inlineStr">
        <is>
          <t>▲ Up</t>
        </is>
      </c>
      <c r="M104" s="12" t="inlineStr">
        <is>
          <t>CARBON · Services · Band B · Expert / POD Lead</t>
        </is>
      </c>
      <c r="N104" s="42" t="n">
        <v>4</v>
      </c>
      <c r="O104" s="42" t="n">
        <v>3.5</v>
      </c>
      <c r="P104" s="42" t="n">
        <v>3</v>
      </c>
      <c r="Q104" s="42" t="n">
        <v>3</v>
      </c>
      <c r="R104" s="42" t="n">
        <v>9.5</v>
      </c>
      <c r="S104" s="80" t="n">
        <v>3.5</v>
      </c>
      <c r="T104" s="81">
        <f>IF(OR($M104="",COUNT(N104,O104,P104,Q104,R104,S104)&lt;6),"",IFERROR(N104*INDEX(WM_C,MATCH($M104,WM_KEY,0))+O104*INDEX(WM_AU,MATCH($M104,WM_KEY,0))+P104*INDEX(WM_AC,MATCH($M104,WM_KEY,0))+Q104*INDEX(WM_L,MATCH($M104,WM_KEY,0))+R104*INDEX(WM_E,MATCH($M104,WM_KEY,0))+S104*INDEX(WM_BI,MATCH($M104,WM_KEY,0)),""))</f>
        <v>4.23</v>
      </c>
      <c r="U104" s="42" t="str">
        <f>IF(T104="","",INDEX({"A1","A2","A3","B1","B2","B3","C1","C2","D1","D2","E1","E2"},MAX(1,MIN(12,ROUND(T104,0)))))</f>
        <v>B1</v>
      </c>
      <c r="V104" s="12" t="inlineStr">
        <is>
          <r>
            <rPr>
              <rFont val="Calibri"/>
              <sz val="10"/>
            </rPr>
            <t xml:space="preserve">New level B1 · Specialist. Current level on record: L4 – Senior. Change: ▲ Up.
Score 4.23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4" s="12" t="inlineStr">
        <is>
          <r>
            <rPr>
              <rFont val="Calibri"/>
              <b val="1"/>
              <sz val="10"/>
            </rPr>
            <t>Complexity &amp; Expertise:</t>
          </r>
          <r>
            <rPr>
              <rFont val="Calibri"/>
              <sz val="10"/>
            </rPr>
            <t xml:space="preserve"> 4 of 12 — Start: 3.0 · senior practitioner title; Evidence reads like B2: US Excel mapping, DQC error clearance, new-taxonomy/mandate analysis, QA for new clients; solves teams' doubts → moved up 1; KRA: “1. Complete assigned XBRL mapping tasks with &gt;=99% accuracy · zero critical errors 2. Meet 100% of regulatory / client filing deadlines (no…”
</t>
          </r>
          <r>
            <rPr>
              <rFont val="Calibri"/>
              <b val="1"/>
              <sz val="10"/>
            </rPr>
            <t>Autonomy &amp; Decision:</t>
          </r>
          <r>
            <rPr>
              <rFont val="Calibri"/>
              <sz val="10"/>
            </rPr>
            <t xml:space="preserve"> 3.5 of 12 · between A3 and B1 — Start: 3.0 · senior practitioner title; Evidence reads like B1: Decides mapping and quality-analysis outcomes and mandate interpretations that tagging/QC teams follow → moved up 0.5
</t>
          </r>
          <r>
            <rPr>
              <rFont val="Calibri"/>
              <b val="1"/>
              <sz val="10"/>
            </rPr>
            <t>Accountability &amp; Impact:</t>
          </r>
          <r>
            <rPr>
              <rFont val="Calibri"/>
              <sz val="10"/>
            </rPr>
            <t xml:space="preserve"> 3 of 12 — Start: 3.0 · senior practitioner title; Evidence reads like A3: Mapping accuracy, validation and quality analysis for existing, new and prospective client files → matches the start; KRA: “1. Complete assigned XBRL mapping tasks with &gt;=99% accuracy · zero critical errors 2. Meet 100% of regulatory / client filing deadlines (no…”
</t>
          </r>
          <r>
            <rPr>
              <rFont val="Calibri"/>
              <b val="1"/>
              <sz val="10"/>
            </rPr>
            <t>Leadership &amp; Strategy:</t>
          </r>
          <r>
            <rPr>
              <rFont val="Calibri"/>
              <sz val="10"/>
            </rPr>
            <t xml:space="preserve"> 3 of 12 — Start: 2.0 · individual contributor, so influence only; Evidence reads like B1: Periodically trains all team members on new mandates; standing doubt-solving for QC and tagging teams → moved up 1; Team: 0 direct reports · IC
</t>
          </r>
          <r>
            <rPr>
              <rFont val="Calibri"/>
              <b val="1"/>
              <sz val="10"/>
            </rPr>
            <t>Experience &amp; Qualification:</t>
          </r>
          <r>
            <rPr>
              <rFont val="Calibri"/>
              <sz val="10"/>
            </rPr>
            <t xml:space="preserve"> 9.5 of 12 · between D1 and D2 — Experience: 19.0 yrs total · 3.4 before IRIS + 15.6 at IRIS = 9.4 on the experience scale; Qualification: B.Com · graduate, relevant to the work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04"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04" s="12" t="inlineStr">
        <is>
          <r>
            <rPr>
              <rFont val="Calibri"/>
              <sz val="10"/>
            </rPr>
            <t xml:space="preserve">✓ HRIS: 19.0 yrs, B.Com, 0 direct reports
✓ Survey: 18 of 20 questions answered
✓ KRAs: submitted, reported deliverables
✓ Manager mapping: rating, potential, 9-box — filled from talent-mapping files: learning need · CARBON mapping
✗ Job description: not on file
</t>
          </r>
          <r>
            <rPr>
              <rFont val="Calibri"/>
              <b val="1"/>
              <sz val="10"/>
            </rPr>
            <t>Confidence:</t>
          </r>
          <r>
            <rPr>
              <rFont val="Calibri"/>
              <sz val="10"/>
            </rPr>
            <t xml:space="preserve"> Medium</t>
          </r>
        </is>
      </c>
      <c r="Z104" s="12" t="inlineStr">
        <is>
          <t>—</t>
        </is>
      </c>
      <c r="AA104" s="12" t="inlineStr">
        <is>
          <t>Nothing outstanding</t>
        </is>
      </c>
      <c r="AB10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AC104" s="84" t="n"/>
      <c r="AD104" s="84" t="n"/>
      <c r="AE104" s="84" t="n"/>
      <c r="AF104" s="12" t="n">
        <v>3.5</v>
      </c>
    </row>
    <row r="105" ht="400" customHeight="1">
      <c r="A105" s="12" t="inlineStr">
        <is>
          <t>IRIS0704</t>
        </is>
      </c>
      <c r="B105" s="10" t="inlineStr">
        <is>
          <t>Jivika Wadhwani</t>
        </is>
      </c>
      <c r="C105" s="12" t="inlineStr">
        <is>
          <t>Services</t>
        </is>
      </c>
      <c r="D105" s="12" t="inlineStr">
        <is>
          <t>Senior Financial Analyst</t>
        </is>
      </c>
      <c r="E105" s="85" t="inlineStr">
        <is>
          <t>XBRL Specialist – POD Lead</t>
        </is>
      </c>
      <c r="F105" s="12" t="inlineStr">
        <is>
          <t>Consulting &amp; Professional Services</t>
        </is>
      </c>
      <c r="G105" s="12" t="inlineStr">
        <is>
          <t>XBRL Tagging, Conversion &amp; Filing</t>
        </is>
      </c>
      <c r="H105" s="12" t="inlineStr">
        <is>
          <t>POD Lead</t>
        </is>
      </c>
      <c r="I105" s="42" t="inlineStr">
        <is>
          <t>L4 – Senior</t>
        </is>
      </c>
      <c r="J105" s="20" t="inlineStr">
        <is>
          <t>B1</t>
        </is>
      </c>
      <c r="K105" s="21" t="inlineStr">
        <is>
          <t>Specialist · POD Lead</t>
        </is>
      </c>
      <c r="L105" s="87" t="inlineStr">
        <is>
          <t>▲ Up</t>
        </is>
      </c>
      <c r="M105" s="12" t="inlineStr">
        <is>
          <t>CARBON · Services · Band B · Expert / POD Lead</t>
        </is>
      </c>
      <c r="N105" s="42" t="n">
        <v>3.5</v>
      </c>
      <c r="O105" s="42" t="n">
        <v>3</v>
      </c>
      <c r="P105" s="42" t="n">
        <v>3.5</v>
      </c>
      <c r="Q105" s="42" t="n">
        <v>3</v>
      </c>
      <c r="R105" s="42" t="n">
        <v>9</v>
      </c>
      <c r="S105" s="80" t="n">
        <v>4</v>
      </c>
      <c r="T105" s="81">
        <f>IF(OR($M105="",COUNT(N105,O105,P105,Q105,R105,S105)&lt;6),"",IFERROR(N105*INDEX(WM_C,MATCH($M105,WM_KEY,0))+O105*INDEX(WM_AU,MATCH($M105,WM_KEY,0))+P105*INDEX(WM_AC,MATCH($M105,WM_KEY,0))+Q105*INDEX(WM_L,MATCH($M105,WM_KEY,0))+R105*INDEX(WM_E,MATCH($M105,WM_KEY,0))+S105*INDEX(WM_BI,MATCH($M105,WM_KEY,0)),""))</f>
        <v>3.975</v>
      </c>
      <c r="U105" s="42" t="str">
        <f>IF(T105="","",INDEX({"A1","A2","A3","B1","B2","B3","C1","C2","D1","D2","E1","E2"},MAX(1,MIN(12,ROUND(T105,0)))))</f>
        <v>B1</v>
      </c>
      <c r="V105" s="12" t="inlineStr">
        <is>
          <r>
            <rPr>
              <rFont val="Calibri"/>
              <sz val="10"/>
            </rPr>
            <t xml:space="preserve">New level B1 · Specialist · POD Lead. Current level on record: L4 – Senior. Change: ▲ Up.
Score 3.98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5" s="12" t="inlineStr">
        <is>
          <r>
            <rPr>
              <rFont val="Calibri"/>
              <b val="1"/>
              <sz val="10"/>
            </rPr>
            <t>Complexity &amp; Expertise:</t>
          </r>
          <r>
            <rPr>
              <rFont val="Calibri"/>
              <sz val="10"/>
            </rPr>
            <t xml:space="preserve"> 3.5 of 12 · between A3 and B1 — Start: 3.0 · senior practitioner title; Evidence reads like B1: Maps reports to several regulators' taxonomies; extension vs reclassify calls; quality analysis of competitor filings → moved up 0.5; KRA: “1. Complete assigned XBRL mapping tasks with &gt;=99% accuracy · zero critical errors 2. Meet 100% of regulatory / client filing deadlines (no…”
</t>
          </r>
          <r>
            <rPr>
              <rFont val="Calibri"/>
              <b val="1"/>
              <sz val="10"/>
            </rPr>
            <t>Autonomy &amp; Decision:</t>
          </r>
          <r>
            <rPr>
              <rFont val="Calibri"/>
              <sz val="10"/>
            </rPr>
            <t xml:space="preserve"> 3 of 12 — Start: 3.0 · senior practitioner title; Evidence reads like A3: Selects taxonomy elements, resolves minor discrepancies, prioritises filings; escalates interpretation cases → matches the start
</t>
          </r>
          <r>
            <rPr>
              <rFont val="Calibri"/>
              <b val="1"/>
              <sz val="10"/>
            </rPr>
            <t>Accountability &amp; Impact:</t>
          </r>
          <r>
            <rPr>
              <rFont val="Calibri"/>
              <sz val="10"/>
            </rPr>
            <t xml:space="preserve"> 3.5 of 12 · between A3 and B1 — Start: 4.0 · senior practitioner title; 2 direct reports; Evidence reads like A3: own survey / KRA answers · summarised by the rater; not quoted → moved down 0.5; KRA: “1. Complete assigned XBRL mapping tasks with &gt;=99% accuracy · zero critical errors 2. Meet 100% of regulatory / client filing deadlines (no…”
</t>
          </r>
          <r>
            <rPr>
              <rFont val="Calibri"/>
              <b val="1"/>
              <sz val="10"/>
            </rPr>
            <t>Leadership &amp; Strategy:</t>
          </r>
          <r>
            <rPr>
              <rFont val="Calibri"/>
              <sz val="10"/>
            </rPr>
            <t xml:space="preserve"> 3 of 12 — Start: 4.0; Evidence reads like A1: No guiding or leading described despite two HR reports → moved down 1; Team: 2 direct reports · POD Lead
</t>
          </r>
          <r>
            <rPr>
              <rFont val="Calibri"/>
              <b val="1"/>
              <sz val="10"/>
            </rPr>
            <t>Experience &amp; Qualification:</t>
          </r>
          <r>
            <rPr>
              <rFont val="Calibri"/>
              <sz val="10"/>
            </rPr>
            <t xml:space="preserve"> 9 of 12 — Experience: 15.3 yrs total · 15.3 at IRIS; none recorded before IRIS = 8.3 on the experience scale; Qualification: MBA · postgraduate, relevant to the work → +0.5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05"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05" s="12" t="inlineStr">
        <is>
          <r>
            <rPr>
              <rFont val="Calibri"/>
              <sz val="10"/>
            </rPr>
            <t xml:space="preserve">✓ HRIS: 15.3 yrs, MBA, 2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05" s="12" t="inlineStr">
        <is>
          <t>—</t>
        </is>
      </c>
      <c r="AA105" s="12" t="inlineStr">
        <is>
          <t>Nothing outstanding</t>
        </is>
      </c>
      <c r="AB105"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2 direct reports.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AC105" s="84" t="n"/>
      <c r="AD105" s="84" t="n"/>
      <c r="AE105" s="84" t="n"/>
      <c r="AF105" s="12" t="n">
        <v>4</v>
      </c>
    </row>
    <row r="106" ht="400" customHeight="1">
      <c r="A106" s="12" t="inlineStr">
        <is>
          <t>IRIS1705</t>
        </is>
      </c>
      <c r="B106" s="10" t="inlineStr">
        <is>
          <t>Lalita Waghmare</t>
        </is>
      </c>
      <c r="C106" s="12" t="inlineStr">
        <is>
          <t>Services</t>
        </is>
      </c>
      <c r="D106" s="12" t="inlineStr">
        <is>
          <t>Financial Analyst</t>
        </is>
      </c>
      <c r="E106" s="85" t="inlineStr">
        <is>
          <t>Team Lead – Assisted Services</t>
        </is>
      </c>
      <c r="F106" s="12" t="inlineStr">
        <is>
          <t>Consulting &amp; Professional Services</t>
        </is>
      </c>
      <c r="G106" s="12" t="inlineStr">
        <is>
          <t>XBRL Tagging, Conversion &amp; Filing</t>
        </is>
      </c>
      <c r="H106" s="12" t="inlineStr">
        <is>
          <t>People Manager</t>
        </is>
      </c>
      <c r="I106" s="42" t="inlineStr">
        <is>
          <t>L3 – Professional / Associate</t>
        </is>
      </c>
      <c r="J106" s="20" t="inlineStr">
        <is>
          <t>B1</t>
        </is>
      </c>
      <c r="K106" s="21" t="inlineStr">
        <is>
          <t>Team Lead</t>
        </is>
      </c>
      <c r="L106" s="87" t="inlineStr">
        <is>
          <t>▲ Up</t>
        </is>
      </c>
      <c r="M106" s="12" t="inlineStr">
        <is>
          <t>CARBON · Services · Band B · People Manager</t>
        </is>
      </c>
      <c r="N106" s="42" t="n">
        <v>2.5</v>
      </c>
      <c r="O106" s="42" t="n">
        <v>3</v>
      </c>
      <c r="P106" s="42" t="n">
        <v>3.5</v>
      </c>
      <c r="Q106" s="42" t="n">
        <v>3</v>
      </c>
      <c r="R106" s="42" t="n">
        <v>9</v>
      </c>
      <c r="S106" s="80" t="n">
        <v>4</v>
      </c>
      <c r="T106" s="81">
        <f>IF(OR($M106="",COUNT(N106,O106,P106,Q106,R106,S106)&lt;6),"",IFERROR(N106*INDEX(WM_C,MATCH($M106,WM_KEY,0))+O106*INDEX(WM_AU,MATCH($M106,WM_KEY,0))+P106*INDEX(WM_AC,MATCH($M106,WM_KEY,0))+Q106*INDEX(WM_L,MATCH($M106,WM_KEY,0))+R106*INDEX(WM_E,MATCH($M106,WM_KEY,0))+S106*INDEX(WM_BI,MATCH($M106,WM_KEY,0)),""))</f>
        <v>3.61</v>
      </c>
      <c r="U106" s="42" t="str">
        <f>IF(T106="","",INDEX({"A1","A2","A3","B1","B2","B3","C1","C2","D1","D2","E1","E2"},MAX(1,MIN(12,ROUND(T106,0)))))</f>
        <v>B1</v>
      </c>
      <c r="V106" s="12" t="inlineStr">
        <is>
          <r>
            <rPr>
              <rFont val="Calibri"/>
              <sz val="10"/>
            </rPr>
            <t xml:space="preserve">New level B1 · Team Lead. Current level on record: L3 – Professional / Associate. Change: ▲ Up.
Score 3.61 on the ladder scale → indicated level B1.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6" s="12" t="inlineStr">
        <is>
          <r>
            <rPr>
              <rFont val="Calibri"/>
              <b val="1"/>
              <sz val="10"/>
            </rPr>
            <t>Complexity &amp; Expertise:</t>
          </r>
          <r>
            <rPr>
              <rFont val="Calibri"/>
              <sz val="10"/>
            </rPr>
            <t xml:space="preserve"> 2.5 of 12 · between A2 and A3 — Start: 2.0 · practitioner title; Evidence reads like A3: Tagging, QC, client queries and delivery for multiple MCA projects, about 150 files a month → moved up 0.5; KRA: “1. Complete assigned XBRL/conversion/filing tasks with &gt;=99% accuracy · zero critical errors 2. Meet 100% of regulatory / client filing…”
</t>
          </r>
          <r>
            <rPr>
              <rFont val="Calibri"/>
              <b val="1"/>
              <sz val="10"/>
            </rPr>
            <t>Autonomy &amp; Decision:</t>
          </r>
          <r>
            <rPr>
              <rFont val="Calibri"/>
              <sz val="10"/>
            </rPr>
            <t xml:space="preserve"> 3 of 12 — Start: 3.0 · practitioner title; reporting lines show a bigger role: 4 direct reports; Evidence reads like A3: Finalises MCA files alone, with client communication and no handover → matches the start
</t>
          </r>
          <r>
            <rPr>
              <rFont val="Calibri"/>
              <b val="1"/>
              <sz val="10"/>
            </rPr>
            <t>Accountability &amp; Impact:</t>
          </r>
          <r>
            <rPr>
              <rFont val="Calibri"/>
              <sz val="10"/>
            </rPr>
            <t xml:space="preserve"> 3.5 of 12 · between A3 and B1 — Start: 4.0 · practitioner title; 4 direct reports; Evidence reads like A3: File from start to end, delivered to clients for MCA portal filing → moved down 0.5; KRA: “1. Complete assigned XBRL/conversion/filing tasks with &gt;=99% accuracy · zero critical errors 2. Meet 100% of regulatory / client filing…”
</t>
          </r>
          <r>
            <rPr>
              <rFont val="Calibri"/>
              <b val="1"/>
              <sz val="10"/>
            </rPr>
            <t>Leadership &amp; Strategy:</t>
          </r>
          <r>
            <rPr>
              <rFont val="Calibri"/>
              <sz val="10"/>
            </rPr>
            <t xml:space="preserve"> 3 of 12 — Start: 4.0; Evidence reads like A2: Four direct reports in HR data, but no leading or guiding described → moved down 1; Team: 4 direct reports · People Manager
</t>
          </r>
          <r>
            <rPr>
              <rFont val="Calibri"/>
              <b val="1"/>
              <sz val="10"/>
            </rPr>
            <t>Experience &amp; Qualification:</t>
          </r>
          <r>
            <rPr>
              <rFont val="Calibri"/>
              <sz val="10"/>
            </rPr>
            <t xml:space="preserve"> 9 of 12 — Experience: 18.3 yrs total · 9.7 before IRIS + 8.6 at IRIS = 9.2 on the experience scale; Qualification: B.Com · graduate, relevant to the work → no change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06" s="12"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06" s="12" t="inlineStr">
        <is>
          <r>
            <rPr>
              <rFont val="Calibri"/>
              <sz val="10"/>
            </rPr>
            <t xml:space="preserve">✓ HRIS: 18.3 yrs, B.Com, 4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06" s="12" t="inlineStr">
        <is>
          <t>—</t>
        </is>
      </c>
      <c r="AA106" s="83" t="inlineStr">
        <is>
          <t>• Confirm the reporting line — Manager</t>
        </is>
      </c>
      <c r="AB106"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4 direct reports.
From the survey and manager mapping — critical role: yes; successor named: no.
</t>
          </r>
          <r>
            <rPr>
              <rFont val="Calibri"/>
              <b val="1"/>
              <sz val="10"/>
            </rPr>
            <t>If the work is missed · role-holders' themes:</t>
          </r>
          <r>
            <rPr>
              <rFont val="Calibri"/>
              <sz val="10"/>
            </rPr>
            <t xml:space="preserve"> rework · delays · quality · errors.
Manager talent mapping — Latest rating: 3 · Potential: Medium · 9-Box Grid placement: Core Contributor.</t>
          </r>
        </is>
      </c>
      <c r="AC106" s="84" t="n"/>
      <c r="AD106" s="84" t="n"/>
      <c r="AE106" s="84" t="n"/>
      <c r="AF106" s="12" t="n">
        <v>4</v>
      </c>
    </row>
    <row r="107" ht="400" customHeight="1">
      <c r="A107" s="12" t="inlineStr">
        <is>
          <t>IRIS1704</t>
        </is>
      </c>
      <c r="B107" s="10" t="inlineStr">
        <is>
          <t>Lucy Fernandes</t>
        </is>
      </c>
      <c r="C107" s="12" t="inlineStr">
        <is>
          <t>Services</t>
        </is>
      </c>
      <c r="D107" s="12" t="inlineStr">
        <is>
          <t>Senior Financial Analyst</t>
        </is>
      </c>
      <c r="E107" s="85" t="inlineStr">
        <is>
          <t>XBRL Specialist – POD Lead</t>
        </is>
      </c>
      <c r="F107" s="12" t="inlineStr">
        <is>
          <t>Consulting &amp; Professional Services</t>
        </is>
      </c>
      <c r="G107" s="12" t="inlineStr">
        <is>
          <t>XBRL Tagging, Conversion &amp; Filing</t>
        </is>
      </c>
      <c r="H107" s="12" t="inlineStr">
        <is>
          <t>POD Lead</t>
        </is>
      </c>
      <c r="I107" s="42" t="inlineStr">
        <is>
          <t>L4 – Senior</t>
        </is>
      </c>
      <c r="J107" s="20" t="inlineStr">
        <is>
          <t>B1</t>
        </is>
      </c>
      <c r="K107" s="21" t="inlineStr">
        <is>
          <t>Specialist · POD Lead</t>
        </is>
      </c>
      <c r="L107" s="87" t="inlineStr">
        <is>
          <t>▲ Up</t>
        </is>
      </c>
      <c r="M107" s="12" t="inlineStr">
        <is>
          <t>CARBON · Services · Band B · Expert / POD Lead</t>
        </is>
      </c>
      <c r="N107" s="42" t="n">
        <v>3</v>
      </c>
      <c r="O107" s="42" t="n">
        <v>3</v>
      </c>
      <c r="P107" s="42" t="n">
        <v>3</v>
      </c>
      <c r="Q107" s="42" t="n">
        <v>2.5</v>
      </c>
      <c r="R107" s="42" t="n">
        <v>8.5</v>
      </c>
      <c r="S107" s="80" t="n">
        <v>3.5</v>
      </c>
      <c r="T107" s="81">
        <f>IF(OR($M107="",COUNT(N107,O107,P107,Q107,R107,S107)&lt;6),"",IFERROR(N107*INDEX(WM_C,MATCH($M107,WM_KEY,0))+O107*INDEX(WM_AU,MATCH($M107,WM_KEY,0))+P107*INDEX(WM_AC,MATCH($M107,WM_KEY,0))+Q107*INDEX(WM_L,MATCH($M107,WM_KEY,0))+R107*INDEX(WM_E,MATCH($M107,WM_KEY,0))+S107*INDEX(WM_BI,MATCH($M107,WM_KEY,0)),""))</f>
        <v>3.56</v>
      </c>
      <c r="U107" s="42" t="str">
        <f>IF(T107="","",INDEX({"A1","A2","A3","B1","B2","B3","C1","C2","D1","D2","E1","E2"},MAX(1,MIN(12,ROUND(T107,0)))))</f>
        <v>B1</v>
      </c>
      <c r="V107" s="12" t="inlineStr">
        <is>
          <r>
            <rPr>
              <rFont val="Calibri"/>
              <sz val="10"/>
            </rPr>
            <t xml:space="preserve">New level B1 · Specialist · POD Lead. Current level on record: L4 – Senior. Change: ▲ Up.
Score 3.56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7" s="12" t="inlineStr">
        <is>
          <r>
            <rPr>
              <rFont val="Calibri"/>
              <b val="1"/>
              <sz val="10"/>
            </rPr>
            <t>Complexity &amp; Expertise:</t>
          </r>
          <r>
            <rPr>
              <rFont val="Calibri"/>
              <sz val="10"/>
            </rPr>
            <t xml:space="preserve"> 3 of 12 — Start: 3.0 · senior practitioner title; Evidence reads like A3: MCA and ESMA conversion: data mapping, extension concepts, calculation review, validation errors, client queries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3 of 12 — Start: 3.0 · senior practitioner title; Evidence reads like A3: Makes file-related decisions independently; escalates some issues to the manager → matches the start
</t>
          </r>
          <r>
            <rPr>
              <rFont val="Calibri"/>
              <b val="1"/>
              <sz val="10"/>
            </rPr>
            <t>Accountability &amp; Impact:</t>
          </r>
          <r>
            <rPr>
              <rFont val="Calibri"/>
              <sz val="10"/>
            </rPr>
            <t xml:space="preserve"> 3 of 12 — Start: 3.5 · senior practitioner title; 1 direct report; Evidence reads like A3: Solely responsible for conversion accuracy; outputs go to client/certification, resolves client queries → moved down 0.5; KRA: “1. Complete assigned XBRL/conversion/filing tasks with &gt;=99% accuracy · zero critical errors 2. Meet 100% of regulatory / client filing…”
</t>
          </r>
          <r>
            <rPr>
              <rFont val="Calibri"/>
              <b val="1"/>
              <sz val="10"/>
            </rPr>
            <t>Leadership &amp; Strategy:</t>
          </r>
          <r>
            <rPr>
              <rFont val="Calibri"/>
              <sz val="10"/>
            </rPr>
            <t xml:space="preserve"> 2.5 of 12 · between A2 and A3 — Start: 3.5; Evidence reads like A1: No guiding or leading described despite one HR report → moved down 1; Team: 1 direct report · POD Lead
</t>
          </r>
          <r>
            <rPr>
              <rFont val="Calibri"/>
              <b val="1"/>
              <sz val="10"/>
            </rPr>
            <t>Experience &amp; Qualification:</t>
          </r>
          <r>
            <rPr>
              <rFont val="Calibri"/>
              <sz val="10"/>
            </rPr>
            <t xml:space="preserve"> 8.5 of 12 · between C2 and D1 — Experience: 14.8 yrs total · 6.1 before IRIS + 8.7 at IRIS = 8.1 on the experience scale; Qualification: MBA · postgraduate, relevant to the work → +0.5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07"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07" s="12" t="inlineStr">
        <is>
          <r>
            <rPr>
              <rFont val="Calibri"/>
              <sz val="10"/>
            </rPr>
            <t xml:space="preserve">✓ HRIS: 14.8 yrs, MBA, 1 direct report
✓ Survey: 20 of 20 questions answered
✓ KRAs: submitted, reported deliverables
✓ Manager mapping: rating, potential, 9-box
✗ Job description: not on file
</t>
          </r>
          <r>
            <rPr>
              <rFont val="Calibri"/>
              <b val="1"/>
              <sz val="10"/>
            </rPr>
            <t>Confidence:</t>
          </r>
          <r>
            <rPr>
              <rFont val="Calibri"/>
              <sz val="10"/>
            </rPr>
            <t xml:space="preserve"> High</t>
          </r>
        </is>
      </c>
      <c r="Z107" s="12" t="inlineStr">
        <is>
          <t>—</t>
        </is>
      </c>
      <c r="AA107" s="12" t="inlineStr">
        <is>
          <t>Nothing outstanding</t>
        </is>
      </c>
      <c r="AB107"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AC107" s="84" t="n"/>
      <c r="AD107" s="84" t="n"/>
      <c r="AE107" s="84" t="n"/>
      <c r="AF107" s="12" t="n">
        <v>3.5</v>
      </c>
    </row>
    <row r="108" ht="400" customHeight="1">
      <c r="A108" s="12" t="inlineStr">
        <is>
          <t>IRIS1950</t>
        </is>
      </c>
      <c r="B108" s="10" t="inlineStr">
        <is>
          <t>Manish Lipcha</t>
        </is>
      </c>
      <c r="C108" s="12" t="inlineStr">
        <is>
          <t>Services</t>
        </is>
      </c>
      <c r="D108" s="12" t="inlineStr">
        <is>
          <t>Senior Financial Analyst</t>
        </is>
      </c>
      <c r="E108" s="85" t="inlineStr">
        <is>
          <t>XBRL Specialist</t>
        </is>
      </c>
      <c r="F108" s="12" t="inlineStr">
        <is>
          <t>Consulting &amp; Professional Services</t>
        </is>
      </c>
      <c r="G108" s="12" t="inlineStr">
        <is>
          <t>XBRL Tagging, Conversion &amp; Filing</t>
        </is>
      </c>
      <c r="H108" s="12" t="inlineStr">
        <is>
          <t>IC</t>
        </is>
      </c>
      <c r="I108" s="42" t="inlineStr">
        <is>
          <t>L4 – Senior</t>
        </is>
      </c>
      <c r="J108" s="20" t="inlineStr">
        <is>
          <t>B1</t>
        </is>
      </c>
      <c r="K108" s="21" t="inlineStr">
        <is>
          <t>Specialist</t>
        </is>
      </c>
      <c r="L108" s="87" t="inlineStr">
        <is>
          <t>▲ Up</t>
        </is>
      </c>
      <c r="M108" s="12" t="inlineStr">
        <is>
          <t>CARBON · Services · Band B · Expert / POD Lead</t>
        </is>
      </c>
      <c r="N108" s="42" t="n">
        <v>3.5</v>
      </c>
      <c r="O108" s="42" t="n">
        <v>3.5</v>
      </c>
      <c r="P108" s="42" t="n">
        <v>3</v>
      </c>
      <c r="Q108" s="42" t="n">
        <v>3</v>
      </c>
      <c r="R108" s="42" t="n">
        <v>6</v>
      </c>
      <c r="S108" s="80" t="n">
        <v>3.5</v>
      </c>
      <c r="T108" s="81">
        <f>IF(OR($M108="",COUNT(N108,O108,P108,Q108,R108,S108)&lt;6),"",IFERROR(N108*INDEX(WM_C,MATCH($M108,WM_KEY,0))+O108*INDEX(WM_AU,MATCH($M108,WM_KEY,0))+P108*INDEX(WM_AC,MATCH($M108,WM_KEY,0))+Q108*INDEX(WM_L,MATCH($M108,WM_KEY,0))+R108*INDEX(WM_E,MATCH($M108,WM_KEY,0))+S108*INDEX(WM_BI,MATCH($M108,WM_KEY,0)),""))</f>
        <v>3.65</v>
      </c>
      <c r="U108" s="42" t="str">
        <f>IF(T108="","",INDEX({"A1","A2","A3","B1","B2","B3","C1","C2","D1","D2","E1","E2"},MAX(1,MIN(12,ROUND(T108,0)))))</f>
        <v>B1</v>
      </c>
      <c r="V108" s="12" t="inlineStr">
        <is>
          <r>
            <rPr>
              <rFont val="Calibri"/>
              <sz val="10"/>
            </rPr>
            <t xml:space="preserve">New level B1 · Specialist. Current level on record: L4 – Senior. Change: ▲ Up.
Score 3.65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8" s="12" t="inlineStr">
        <is>
          <r>
            <rPr>
              <rFont val="Calibri"/>
              <b val="1"/>
              <sz val="10"/>
            </rPr>
            <t>Complexity &amp; Expertise:</t>
          </r>
          <r>
            <rPr>
              <rFont val="Calibri"/>
              <sz val="10"/>
            </rPr>
            <t xml:space="preserve"> 3.5 of 12 · between A3 and B1 — Start: 3.0 · senior practitioner title; Evidence reads like B1: US GAAP/SEC tagging, QC, filings; resolves filing issues; R&amp;D on SEC/FASB taxonomy updates → moved up 0.5; KRA: “1. Complete assigned XBRL/conversion/filing tasks with &gt;=99% accuracy · zero critical errors 2. Meet 100% of regulatory / client filing…”
</t>
          </r>
          <r>
            <rPr>
              <rFont val="Calibri"/>
              <b val="1"/>
              <sz val="10"/>
            </rPr>
            <t>Autonomy &amp; Decision:</t>
          </r>
          <r>
            <rPr>
              <rFont val="Calibri"/>
              <sz val="10"/>
            </rPr>
            <t xml:space="preserve"> 3.5 of 12 · between A3 and B1 — Start: 3.0 · senior practitioner title; Evidence reads like B1: Assigns and reprioritises work in the shift, resolves routine issues, escalates critical matters → moved up 0.5
</t>
          </r>
          <r>
            <rPr>
              <rFont val="Calibri"/>
              <b val="1"/>
              <sz val="10"/>
            </rPr>
            <t>Accountability &amp; Impact:</t>
          </r>
          <r>
            <rPr>
              <rFont val="Calibri"/>
              <sz val="10"/>
            </rPr>
            <t xml:space="preserve"> 3 of 12 — Start: 3.0 · senior practitioner title; Evidence reads like A3: Own tagging, reviews and SEC filings plus shift work allocation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3 of 12 — Start: 2.0 · individual contributor, so influence only; Evidence reads like B1: Shift lead: assigns work and guides team members daily; no formal reports → moved up 1; Team: 0 direct reports · IC
</t>
          </r>
          <r>
            <rPr>
              <rFont val="Calibri"/>
              <b val="1"/>
              <sz val="10"/>
            </rPr>
            <t>Experience &amp; Qualification:</t>
          </r>
          <r>
            <rPr>
              <rFont val="Calibri"/>
              <sz val="10"/>
            </rPr>
            <t xml:space="preserve"> 6 of 12 — Experience: 8.3 yrs total · 3.3 before IRIS + 5.0 at IRIS = 5.3 on the experience scale; Qualification: MMS · postgraduate, relevant to the work → +0.5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08"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08" s="12" t="inlineStr">
        <is>
          <r>
            <rPr>
              <rFont val="Calibri"/>
              <sz val="10"/>
            </rPr>
            <t xml:space="preserve">✓ HRIS: 8.3 yrs, MMS,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08" s="12" t="inlineStr">
        <is>
          <t>—</t>
        </is>
      </c>
      <c r="AA108" s="83" t="inlineStr">
        <is>
          <t>• Confirm the reporting line — Manager</t>
        </is>
      </c>
      <c r="AB108"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AC108" s="84" t="n"/>
      <c r="AD108" s="84" t="n"/>
      <c r="AE108" s="84" t="n"/>
      <c r="AF108" s="12" t="n">
        <v>3.5</v>
      </c>
    </row>
    <row r="109" ht="400" customHeight="1">
      <c r="A109" s="12" t="inlineStr">
        <is>
          <t>IRIS0547</t>
        </is>
      </c>
      <c r="B109" s="10" t="inlineStr">
        <is>
          <t>Pradul Meshram</t>
        </is>
      </c>
      <c r="C109" s="12" t="inlineStr">
        <is>
          <t>Services</t>
        </is>
      </c>
      <c r="D109" s="12" t="inlineStr">
        <is>
          <t>Senior Financial Analyst</t>
        </is>
      </c>
      <c r="E109" s="85" t="inlineStr">
        <is>
          <t>XBRL Specialist</t>
        </is>
      </c>
      <c r="F109" s="12" t="inlineStr">
        <is>
          <t>Consulting &amp; Professional Services</t>
        </is>
      </c>
      <c r="G109" s="12" t="inlineStr">
        <is>
          <t>XBRL Tagging, Conversion &amp; Filing</t>
        </is>
      </c>
      <c r="H109" s="12" t="inlineStr">
        <is>
          <t>IC</t>
        </is>
      </c>
      <c r="I109" s="42" t="inlineStr">
        <is>
          <t>L4 – Senior</t>
        </is>
      </c>
      <c r="J109" s="20" t="inlineStr">
        <is>
          <t>B1</t>
        </is>
      </c>
      <c r="K109" s="21" t="inlineStr">
        <is>
          <t>Specialist</t>
        </is>
      </c>
      <c r="L109" s="87" t="inlineStr">
        <is>
          <t>▲ Up</t>
        </is>
      </c>
      <c r="M109" s="12" t="inlineStr">
        <is>
          <t>CARBON · Services · Band B · Expert / POD Lead</t>
        </is>
      </c>
      <c r="N109" s="42" t="n">
        <v>3</v>
      </c>
      <c r="O109" s="42" t="n">
        <v>3</v>
      </c>
      <c r="P109" s="42" t="n">
        <v>3</v>
      </c>
      <c r="Q109" s="42" t="n">
        <v>2</v>
      </c>
      <c r="R109" s="42" t="n">
        <v>9</v>
      </c>
      <c r="S109" s="80" t="n">
        <v>4</v>
      </c>
      <c r="T109" s="81">
        <f>IF(OR($M109="",COUNT(N109,O109,P109,Q109,R109,S109)&lt;6),"",IFERROR(N109*INDEX(WM_C,MATCH($M109,WM_KEY,0))+O109*INDEX(WM_AU,MATCH($M109,WM_KEY,0))+P109*INDEX(WM_AC,MATCH($M109,WM_KEY,0))+Q109*INDEX(WM_L,MATCH($M109,WM_KEY,0))+R109*INDEX(WM_E,MATCH($M109,WM_KEY,0))+S109*INDEX(WM_BI,MATCH($M109,WM_KEY,0)),""))</f>
        <v>3.62</v>
      </c>
      <c r="U109" s="42" t="str">
        <f>IF(T109="","",INDEX({"A1","A2","A3","B1","B2","B3","C1","C2","D1","D2","E1","E2"},MAX(1,MIN(12,ROUND(T109,0)))))</f>
        <v>B1</v>
      </c>
      <c r="V109" s="12" t="inlineStr">
        <is>
          <r>
            <rPr>
              <rFont val="Calibri"/>
              <sz val="10"/>
            </rPr>
            <t xml:space="preserve">New level B1 · Specialist. Current level on record: L4 – Senior. Change: ▲ Up.
Score 3.62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09" s="12" t="inlineStr">
        <is>
          <r>
            <rPr>
              <rFont val="Calibri"/>
              <b val="1"/>
              <sz val="10"/>
            </rPr>
            <t>Complexity &amp; Expertise:</t>
          </r>
          <r>
            <rPr>
              <rFont val="Calibri"/>
              <sz val="10"/>
            </rPr>
            <t xml:space="preserve"> 3 of 12 — Start: 3.0 · senior practitioner title; Evidence reads like A3: Processes DM and ESMA files/edits, tests releases on Dev/Stage/Live, suggests automations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3 of 12 — Start: 3.0 · senior practitioner title; Evidence reads like A3: Gives release sign-off to Carbon/DM team from own testing; analyses documents independently → matches the start
</t>
          </r>
          <r>
            <rPr>
              <rFont val="Calibri"/>
              <b val="1"/>
              <sz val="10"/>
            </rPr>
            <t>Accountability &amp; Impact:</t>
          </r>
          <r>
            <rPr>
              <rFont val="Calibri"/>
              <sz val="10"/>
            </rPr>
            <t xml:space="preserve"> 3 of 12 — Start: 3.0 · senior practitioner title; Evidence reads like A3: Own processed files and edits, plus sign-off of new product versions before release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2 of 12 — Start: 2.0 · individual contributor, so influence only; Evidence reads like A2: Manager note mentions doubt-solving and training of teammates; survey shows none → matches the start; Team: 0 direct reports · IC
</t>
          </r>
          <r>
            <rPr>
              <rFont val="Calibri"/>
              <b val="1"/>
              <sz val="10"/>
            </rPr>
            <t>Experience &amp; Qualification:</t>
          </r>
          <r>
            <rPr>
              <rFont val="Calibri"/>
              <sz val="10"/>
            </rPr>
            <t xml:space="preserve"> 9 of 12 — Experience: 15.6 yrs total · 15.6 at IRIS; none recorded before IRIS = 8.4 on the experience scale; Qualification: M.Com · postgraduate, relevant to the work → +0.5
</t>
          </r>
          <r>
            <rPr>
              <rFont val="Calibri"/>
              <b val="1"/>
              <sz val="10"/>
            </rPr>
            <t>Business Impact:</t>
          </r>
          <r>
            <rPr>
              <rFont val="Calibri"/>
              <sz val="10"/>
            </rPr>
            <t xml:space="preserve"> 4 of 12 — a starting estimate. — Start: 3,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B1 = Moves a module's, product area's or client account's results</t>
          </r>
        </is>
      </c>
      <c r="X109"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09" s="12" t="inlineStr">
        <is>
          <r>
            <rPr>
              <rFont val="Calibri"/>
              <sz val="10"/>
            </rPr>
            <t xml:space="preserve">✓ HRIS: 15.6 yrs, M.Com,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09" s="12" t="inlineStr">
        <is>
          <t>—</t>
        </is>
      </c>
      <c r="AA109" s="12" t="inlineStr">
        <is>
          <t>Nothing outstanding</t>
        </is>
      </c>
      <c r="AB109"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work only this person does: yes; successor named: no.
</t>
          </r>
          <r>
            <rPr>
              <rFont val="Calibri"/>
              <b val="1"/>
              <sz val="10"/>
            </rPr>
            <t>If the work is missed · role-holders' themes:</t>
          </r>
          <r>
            <rPr>
              <rFont val="Calibri"/>
              <sz val="10"/>
            </rPr>
            <t xml:space="preserve"> rework · quality · delays · filing.
Manager talent mapping — Latest rating: 4 · Potential: High · 9-Box Grid placement: Core Contributor.</t>
          </r>
        </is>
      </c>
      <c r="AC109" s="84" t="n"/>
      <c r="AD109" s="84" t="n"/>
      <c r="AE109" s="84" t="n"/>
      <c r="AF109" s="12" t="n">
        <v>4</v>
      </c>
    </row>
    <row r="110" ht="400" customHeight="1">
      <c r="A110" s="12" t="inlineStr">
        <is>
          <t>IRIS0812</t>
        </is>
      </c>
      <c r="B110" s="10" t="inlineStr">
        <is>
          <t>Purva Shrivastava</t>
        </is>
      </c>
      <c r="C110" s="12" t="inlineStr">
        <is>
          <t>Services</t>
        </is>
      </c>
      <c r="D110" s="12" t="inlineStr">
        <is>
          <t>Senior Financial Analyst</t>
        </is>
      </c>
      <c r="E110" s="85" t="inlineStr">
        <is>
          <t>XBRL Specialist</t>
        </is>
      </c>
      <c r="F110" s="12" t="inlineStr">
        <is>
          <t>Consulting &amp; Professional Services</t>
        </is>
      </c>
      <c r="G110" s="12" t="inlineStr">
        <is>
          <t>XBRL Tagging, Conversion &amp; Filing</t>
        </is>
      </c>
      <c r="H110" s="12" t="inlineStr">
        <is>
          <t>IC</t>
        </is>
      </c>
      <c r="I110" s="42" t="inlineStr">
        <is>
          <t>L4 – Senior</t>
        </is>
      </c>
      <c r="J110" s="20" t="inlineStr">
        <is>
          <t>B1</t>
        </is>
      </c>
      <c r="K110" s="21" t="inlineStr">
        <is>
          <t>Specialist</t>
        </is>
      </c>
      <c r="L110" s="87" t="inlineStr">
        <is>
          <t>▲ Up</t>
        </is>
      </c>
      <c r="M110" s="12" t="inlineStr">
        <is>
          <t>CARBON · Services · Band B · Expert / POD Lead</t>
        </is>
      </c>
      <c r="N110" s="42" t="n">
        <v>3</v>
      </c>
      <c r="O110" s="42" t="n">
        <v>2.5</v>
      </c>
      <c r="P110" s="42" t="n">
        <v>3</v>
      </c>
      <c r="Q110" s="42" t="n">
        <v>2.5</v>
      </c>
      <c r="R110" s="42" t="n">
        <v>9</v>
      </c>
      <c r="S110" s="80" t="n">
        <v>3.5</v>
      </c>
      <c r="T110" s="81">
        <f>IF(OR($M110="",COUNT(N110,O110,P110,Q110,R110,S110)&lt;6),"",IFERROR(N110*INDEX(WM_C,MATCH($M110,WM_KEY,0))+O110*INDEX(WM_AU,MATCH($M110,WM_KEY,0))+P110*INDEX(WM_AC,MATCH($M110,WM_KEY,0))+Q110*INDEX(WM_L,MATCH($M110,WM_KEY,0))+R110*INDEX(WM_E,MATCH($M110,WM_KEY,0))+S110*INDEX(WM_BI,MATCH($M110,WM_KEY,0)),""))</f>
        <v>3.525</v>
      </c>
      <c r="U110" s="42" t="str">
        <f>IF(T110="","",INDEX({"A1","A2","A3","B1","B2","B3","C1","C2","D1","D2","E1","E2"},MAX(1,MIN(12,ROUND(T110,0)))))</f>
        <v>B1</v>
      </c>
      <c r="V110" s="12" t="inlineStr">
        <is>
          <r>
            <rPr>
              <rFont val="Calibri"/>
              <sz val="10"/>
            </rPr>
            <t xml:space="preserve">New level B1 · Specialist. Current level on record: L4 – Senior. Change: ▲ Up.
Score 3.53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0" s="12" t="inlineStr">
        <is>
          <r>
            <rPr>
              <rFont val="Calibri"/>
              <b val="1"/>
              <sz val="10"/>
            </rPr>
            <t>Complexity &amp; Expertise:</t>
          </r>
          <r>
            <rPr>
              <rFont val="Calibri"/>
              <sz val="10"/>
            </rPr>
            <t xml:space="preserve"> 3 of 12 — Start: 3.0 · senior practitioner title; Evidence reads like A3: iXBRL conversion for KVK, ESG, ESEF, Infocamere; DM templates with Word-Excel linking; Deloitte billing; UAT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3.0 · senior practitioner title; Evidence reads like A2: States no independent decisions; runs billing and conversion steps to a set process → moved down 0.5
</t>
          </r>
          <r>
            <rPr>
              <rFont val="Calibri"/>
              <b val="1"/>
              <sz val="10"/>
            </rPr>
            <t>Accountability &amp; Impact:</t>
          </r>
          <r>
            <rPr>
              <rFont val="Calibri"/>
              <sz val="10"/>
            </rPr>
            <t xml:space="preserve"> 3 of 12 — Start: 3.0 · senior practitioner title; Evidence reads like A3: Document quality; monthly Deloitte Italy billing counts that drive invoices; UAT sign-off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2.5 of 12 · between A2 and A3 — Start: 2.0 · individual contributor, so influence only; Evidence reads like A3: Trains team members on Infocamere processing and solves their doubts → moved up 0.5; Team: 0 direct reports · IC
</t>
          </r>
          <r>
            <rPr>
              <rFont val="Calibri"/>
              <b val="1"/>
              <sz val="10"/>
            </rPr>
            <t>Experience &amp; Qualification:</t>
          </r>
          <r>
            <rPr>
              <rFont val="Calibri"/>
              <sz val="10"/>
            </rPr>
            <t xml:space="preserve"> 9 of 12 — Experience: 16.1 yrs total · 1.0 before IRIS + 15.1 at IRIS = 8.5 on the experience scale; Qualification: MBA · postgraduate, relevant to the work → +0.5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10"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10" s="12" t="inlineStr">
        <is>
          <r>
            <rPr>
              <rFont val="Calibri"/>
              <sz val="10"/>
            </rPr>
            <t xml:space="preserve">✓ HRIS: 16.1 yrs, MBA, 0 direct reports
✓ Survey: 19 of 20 questions answered
✓ KRAs: submitted, reported deliverables
✓ Manager mapping: rating, potential, 9-box
✗ Job description: not on file
</t>
          </r>
          <r>
            <rPr>
              <rFont val="Calibri"/>
              <b val="1"/>
              <sz val="10"/>
            </rPr>
            <t>Confidence:</t>
          </r>
          <r>
            <rPr>
              <rFont val="Calibri"/>
              <sz val="10"/>
            </rPr>
            <t xml:space="preserve"> High</t>
          </r>
        </is>
      </c>
      <c r="Z110" s="82" t="inlineStr">
        <is>
          <r>
            <rPr>
              <rFont val="Calibri"/>
              <color rgb="009C5700"/>
              <sz val="10"/>
            </rPr>
            <t xml:space="preserve">• </t>
          </r>
          <r>
            <rPr>
              <rFont val="Calibri"/>
              <b val="1"/>
              <color rgb="009C5700"/>
              <sz val="10"/>
            </rPr>
            <t>Close call:</t>
          </r>
          <r>
            <rPr>
              <rFont val="Calibri"/>
              <color rgb="009C5700"/>
              <sz val="10"/>
            </rPr>
            <t xml:space="preserve"> score 3.53 is within 0.05 of a rounding point</t>
          </r>
        </is>
      </c>
      <c r="AA110" s="12" t="inlineStr">
        <is>
          <t>Nothing outstanding</t>
        </is>
      </c>
      <c r="AB110"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3 · Potential: Medium · 9-Box Grid placement: Core Contributor.</t>
          </r>
        </is>
      </c>
      <c r="AC110" s="84" t="n"/>
      <c r="AD110" s="84" t="n"/>
      <c r="AE110" s="84" t="n"/>
      <c r="AF110" s="12" t="n">
        <v>3.5</v>
      </c>
    </row>
    <row r="111" ht="400" customHeight="1">
      <c r="A111" s="12" t="inlineStr">
        <is>
          <t>IRIS0882</t>
        </is>
      </c>
      <c r="B111" s="10" t="inlineStr">
        <is>
          <t>Rupesh Gaikwad</t>
        </is>
      </c>
      <c r="C111" s="12" t="inlineStr">
        <is>
          <t>Services</t>
        </is>
      </c>
      <c r="D111" s="12" t="inlineStr">
        <is>
          <t>Senior Financial Analyst</t>
        </is>
      </c>
      <c r="E111" s="85" t="inlineStr">
        <is>
          <t>Service Delivery Specialist</t>
        </is>
      </c>
      <c r="F111" s="12" t="inlineStr">
        <is>
          <t>Consulting &amp; Professional Services</t>
        </is>
      </c>
      <c r="G111" s="12" t="inlineStr">
        <is>
          <t>Service Delivery Operations</t>
        </is>
      </c>
      <c r="H111" s="12" t="inlineStr">
        <is>
          <t>IC</t>
        </is>
      </c>
      <c r="I111" s="42" t="inlineStr">
        <is>
          <t>L4 – Senior</t>
        </is>
      </c>
      <c r="J111" s="20" t="inlineStr">
        <is>
          <t>B1</t>
        </is>
      </c>
      <c r="K111" s="21" t="inlineStr">
        <is>
          <t>Specialist</t>
        </is>
      </c>
      <c r="L111" s="87" t="inlineStr">
        <is>
          <t>▲ Up</t>
        </is>
      </c>
      <c r="M111" s="12" t="inlineStr">
        <is>
          <t>CARBON · Services · Band B · Expert / POD Lead</t>
        </is>
      </c>
      <c r="N111" s="42" t="n">
        <v>3</v>
      </c>
      <c r="O111" s="42" t="n">
        <v>3.5</v>
      </c>
      <c r="P111" s="42" t="n">
        <v>3.5</v>
      </c>
      <c r="Q111" s="42" t="n">
        <v>3</v>
      </c>
      <c r="R111" s="42" t="n">
        <v>8</v>
      </c>
      <c r="S111" s="80" t="n">
        <v>4</v>
      </c>
      <c r="T111" s="81">
        <f>IF(OR($M111="",COUNT(N111,O111,P111,Q111,R111,S111)&lt;6),"",IFERROR(N111*INDEX(WM_C,MATCH($M111,WM_KEY,0))+O111*INDEX(WM_AU,MATCH($M111,WM_KEY,0))+P111*INDEX(WM_AC,MATCH($M111,WM_KEY,0))+Q111*INDEX(WM_L,MATCH($M111,WM_KEY,0))+R111*INDEX(WM_E,MATCH($M111,WM_KEY,0))+S111*INDEX(WM_BI,MATCH($M111,WM_KEY,0)),""))</f>
        <v>3.73</v>
      </c>
      <c r="U111" s="42" t="str">
        <f>IF(T111="","",INDEX({"A1","A2","A3","B1","B2","B3","C1","C2","D1","D2","E1","E2"},MAX(1,MIN(12,ROUND(T111,0)))))</f>
        <v>B1</v>
      </c>
      <c r="V111" s="12" t="inlineStr">
        <is>
          <r>
            <rPr>
              <rFont val="Calibri"/>
              <sz val="10"/>
            </rPr>
            <t xml:space="preserve">New level B1 · Specialist. Current level on record: L4 – Senior. Change: ▲ Up.
Score 3.73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1" s="12" t="inlineStr">
        <is>
          <r>
            <rPr>
              <rFont val="Calibri"/>
              <b val="1"/>
              <sz val="10"/>
            </rPr>
            <t>Complexity &amp; Expertise:</t>
          </r>
          <r>
            <rPr>
              <rFont val="Calibri"/>
              <sz val="10"/>
            </rPr>
            <t xml:space="preserve"> 3 of 12 — Start: 3.0 · senior practitioner title; Evidence reads like A3: own survey / KRA answers · summarised by the rater; not quoted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3.5 of 12 · between A3 and B1 — Start: 3.0 · senior practitioner title; Evidence reads like B1: Assigns and reassigns work among shift team members → moved up 0.5
</t>
          </r>
          <r>
            <rPr>
              <rFont val="Calibri"/>
              <b val="1"/>
              <sz val="10"/>
            </rPr>
            <t>Accountability &amp; Impact:</t>
          </r>
          <r>
            <rPr>
              <rFont val="Calibri"/>
              <sz val="10"/>
            </rPr>
            <t xml:space="preserve"> 3.5 of 12 · between A3 and B1 — Start: 3.0 · senior practitioner title; Evidence reads like B1: own survey / KRA answers · summarised by the rater; not quoted → moved up 0.5; KRA: “1. Complete assigned XBRL/conversion/filing tasks with &gt;=99% accuracy · zero critical errors 2. Meet 100% of regulatory / client filing…”
</t>
          </r>
          <r>
            <rPr>
              <rFont val="Calibri"/>
              <b val="1"/>
              <sz val="10"/>
            </rPr>
            <t>Leadership &amp; Strategy:</t>
          </r>
          <r>
            <rPr>
              <rFont val="Calibri"/>
              <sz val="10"/>
            </rPr>
            <t xml:space="preserve"> 3 of 12 — Start: 2.0 · individual contributor, so influence only; Evidence reads like B1: Shift lead: allocates tasks, manages handovers, leave and backup planning; no formal reports → moved up 1; Team: 0 direct reports · IC
</t>
          </r>
          <r>
            <rPr>
              <rFont val="Calibri"/>
              <b val="1"/>
              <sz val="10"/>
            </rPr>
            <t>Experience &amp; Qualification:</t>
          </r>
          <r>
            <rPr>
              <rFont val="Calibri"/>
              <sz val="10"/>
            </rPr>
            <t xml:space="preserve"> 8 of 12 — Experience: 15.1 yrs total · 15.1 at IRIS; none recorded before IRIS = 8.2 on the experience scale; Qualification: B.Com · graduate, relevant to the work → no change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11"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11" s="12" t="inlineStr">
        <is>
          <r>
            <rPr>
              <rFont val="Calibri"/>
              <sz val="10"/>
            </rPr>
            <t xml:space="preserve">✓ HRIS: 15.1 yrs, B.Com, 0 direct reports
✓ Survey: 18 of 20 questions answered
✓ KRAs: submitted, reported deliverables
✓ Manager mapping: rating, potential, 9-box
✗ Job description: not on file
</t>
          </r>
          <r>
            <rPr>
              <rFont val="Calibri"/>
              <b val="1"/>
              <sz val="10"/>
            </rPr>
            <t>Confidence:</t>
          </r>
          <r>
            <rPr>
              <rFont val="Calibri"/>
              <sz val="10"/>
            </rPr>
            <t xml:space="preserve"> High</t>
          </r>
        </is>
      </c>
      <c r="Z111" s="12" t="inlineStr">
        <is>
          <t>—</t>
        </is>
      </c>
      <c r="AA111" s="83" t="inlineStr">
        <is>
          <t>• Confirm the reporting line — Manager</t>
        </is>
      </c>
      <c r="AB111"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yes; successor named: no.
</t>
          </r>
          <r>
            <rPr>
              <rFont val="Calibri"/>
              <b val="1"/>
              <sz val="10"/>
            </rPr>
            <t>If the work is missed · role-holders' themes:</t>
          </r>
          <r>
            <rPr>
              <rFont val="Calibri"/>
              <sz val="10"/>
            </rPr>
            <t xml:space="preserve"> client · delays.
Manager talent mapping — Latest rating: 4 · Potential: High · 9-Box Grid placement: Core Contributor.</t>
          </r>
        </is>
      </c>
      <c r="AC111" s="84" t="n"/>
      <c r="AD111" s="84" t="n"/>
      <c r="AE111" s="84" t="n"/>
      <c r="AF111" s="12" t="n">
        <v>4</v>
      </c>
    </row>
    <row r="112" ht="400" customHeight="1">
      <c r="A112" s="12" t="inlineStr">
        <is>
          <t>IRIS0574</t>
        </is>
      </c>
      <c r="B112" s="10" t="inlineStr">
        <is>
          <t>Sandeep Dhere</t>
        </is>
      </c>
      <c r="C112" s="12" t="inlineStr">
        <is>
          <t>Services</t>
        </is>
      </c>
      <c r="D112" s="12" t="inlineStr">
        <is>
          <t>Senior Financial Analyst</t>
        </is>
      </c>
      <c r="E112" s="85" t="inlineStr">
        <is>
          <t>XBRL Specialist</t>
        </is>
      </c>
      <c r="F112" s="12" t="inlineStr">
        <is>
          <t>Consulting &amp; Professional Services</t>
        </is>
      </c>
      <c r="G112" s="12" t="inlineStr">
        <is>
          <t>XBRL Tagging, Conversion &amp; Filing</t>
        </is>
      </c>
      <c r="H112" s="12" t="inlineStr">
        <is>
          <t>IC</t>
        </is>
      </c>
      <c r="I112" s="42" t="inlineStr">
        <is>
          <t>L4 – Senior</t>
        </is>
      </c>
      <c r="J112" s="20" t="inlineStr">
        <is>
          <t>B1</t>
        </is>
      </c>
      <c r="K112" s="21" t="inlineStr">
        <is>
          <t>Specialist</t>
        </is>
      </c>
      <c r="L112" s="87" t="inlineStr">
        <is>
          <t>▲ Up</t>
        </is>
      </c>
      <c r="M112" s="12" t="inlineStr">
        <is>
          <t>CARBON · Services · Band B · Expert / POD Lead</t>
        </is>
      </c>
      <c r="N112" s="42" t="n">
        <v>3</v>
      </c>
      <c r="O112" s="42" t="n">
        <v>3</v>
      </c>
      <c r="P112" s="42" t="n">
        <v>3</v>
      </c>
      <c r="Q112" s="42" t="n">
        <v>1.5</v>
      </c>
      <c r="R112" s="42" t="n">
        <v>8.5</v>
      </c>
      <c r="S112" s="80" t="n">
        <v>3.5</v>
      </c>
      <c r="T112" s="81">
        <f>IF(OR($M112="",COUNT(N112,O112,P112,Q112,R112,S112)&lt;6),"",IFERROR(N112*INDEX(WM_C,MATCH($M112,WM_KEY,0))+O112*INDEX(WM_AU,MATCH($M112,WM_KEY,0))+P112*INDEX(WM_AC,MATCH($M112,WM_KEY,0))+Q112*INDEX(WM_L,MATCH($M112,WM_KEY,0))+R112*INDEX(WM_E,MATCH($M112,WM_KEY,0))+S112*INDEX(WM_BI,MATCH($M112,WM_KEY,0)),""))</f>
        <v>3.51</v>
      </c>
      <c r="U112" s="42" t="str">
        <f>IF(T112="","",INDEX({"A1","A2","A3","B1","B2","B3","C1","C2","D1","D2","E1","E2"},MAX(1,MIN(12,ROUND(T112,0)))))</f>
        <v>B1</v>
      </c>
      <c r="V112" s="12" t="inlineStr">
        <is>
          <r>
            <rPr>
              <rFont val="Calibri"/>
              <sz val="10"/>
            </rPr>
            <t xml:space="preserve">New level B1 · Specialist. Current level on record: L4 – Senior. Change: ▲ Up.
Score 3.51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2" s="12" t="inlineStr">
        <is>
          <r>
            <rPr>
              <rFont val="Calibri"/>
              <b val="1"/>
              <sz val="10"/>
            </rPr>
            <t>Complexity &amp; Expertise:</t>
          </r>
          <r>
            <rPr>
              <rFont val="Calibri"/>
              <sz val="10"/>
            </rPr>
            <t xml:space="preserve"> 3 of 12 — Start: 3.0 · senior practitioner title; Evidence reads like A3: MCA and ESMA tagging, HTML/XBRL conversion for several countries, client issue resolution, tool testing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3 of 12 — Start: 3.0 · senior practitioner title; Evidence reads like A3: Prioritises own work by client deadlines; resolves routine client issues without approval → matches the start
</t>
          </r>
          <r>
            <rPr>
              <rFont val="Calibri"/>
              <b val="1"/>
              <sz val="10"/>
            </rPr>
            <t>Accountability &amp; Impact:</t>
          </r>
          <r>
            <rPr>
              <rFont val="Calibri"/>
              <sz val="10"/>
            </rPr>
            <t xml:space="preserve"> 3 of 12 — Start: 3.0 · senior practitioner title; Evidence reads like A3: Accuracy and on-time delivery of own conversions sent directly to clients; resolves client concerns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8.5 of 12 · between C2 and D1 — Experience: 15.5 yrs total · 15.5 at IRIS; none recorded before IRIS = 8.3 on the experience scale; Qualification: B.Com · graduate, relevant to the work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12"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12" s="12" t="inlineStr">
        <is>
          <r>
            <rPr>
              <rFont val="Calibri"/>
              <sz val="10"/>
            </rPr>
            <t xml:space="preserve">✓ HRIS: 15.5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12" s="82" t="inlineStr">
        <is>
          <r>
            <rPr>
              <rFont val="Calibri"/>
              <color rgb="009C5700"/>
              <sz val="10"/>
            </rPr>
            <t xml:space="preserve">• </t>
          </r>
          <r>
            <rPr>
              <rFont val="Calibri"/>
              <b val="1"/>
              <color rgb="009C5700"/>
              <sz val="10"/>
            </rPr>
            <t>Close call:</t>
          </r>
          <r>
            <rPr>
              <rFont val="Calibri"/>
              <color rgb="009C5700"/>
              <sz val="10"/>
            </rPr>
            <t xml:space="preserve"> score 3.51 is within 0.05 of a rounding point</t>
          </r>
        </is>
      </c>
      <c r="AA112" s="12" t="inlineStr">
        <is>
          <t>Nothing outstanding</t>
        </is>
      </c>
      <c r="AB112"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3 · Potential: Medium · 9-Box Grid placement: Core Contributor.</t>
          </r>
        </is>
      </c>
      <c r="AC112" s="84" t="n"/>
      <c r="AD112" s="84" t="n"/>
      <c r="AE112" s="84" t="n"/>
      <c r="AF112" s="12" t="n">
        <v>3.5</v>
      </c>
    </row>
    <row r="113" ht="400" customHeight="1">
      <c r="A113" s="12" t="inlineStr">
        <is>
          <t>IRIS0530</t>
        </is>
      </c>
      <c r="B113" s="10" t="inlineStr">
        <is>
          <t>Vipul Kurhade</t>
        </is>
      </c>
      <c r="C113" s="12" t="inlineStr">
        <is>
          <t>Services</t>
        </is>
      </c>
      <c r="D113" s="12" t="inlineStr">
        <is>
          <t>Senior Financial Analyst</t>
        </is>
      </c>
      <c r="E113" s="85" t="inlineStr">
        <is>
          <t>Team Lead – Assisted Services</t>
        </is>
      </c>
      <c r="F113" s="12" t="inlineStr">
        <is>
          <t>Consulting &amp; Professional Services</t>
        </is>
      </c>
      <c r="G113" s="12" t="inlineStr">
        <is>
          <t>XBRL Tagging, Conversion &amp; Filing</t>
        </is>
      </c>
      <c r="H113" s="12" t="inlineStr">
        <is>
          <t>People Manager</t>
        </is>
      </c>
      <c r="I113" s="42" t="inlineStr">
        <is>
          <t>L4 – Senior</t>
        </is>
      </c>
      <c r="J113" s="20" t="inlineStr">
        <is>
          <t>B1</t>
        </is>
      </c>
      <c r="K113" s="21" t="inlineStr">
        <is>
          <t>Team Lead</t>
        </is>
      </c>
      <c r="L113" s="87" t="inlineStr">
        <is>
          <t>▲ Up</t>
        </is>
      </c>
      <c r="M113" s="12" t="inlineStr">
        <is>
          <t>CARBON · Services · Band B · People Manager</t>
        </is>
      </c>
      <c r="N113" s="42" t="n">
        <v>3</v>
      </c>
      <c r="O113" s="42" t="n">
        <v>2.5</v>
      </c>
      <c r="P113" s="42" t="n">
        <v>3.5</v>
      </c>
      <c r="Q113" s="42" t="n">
        <v>3.5</v>
      </c>
      <c r="R113" s="42" t="n">
        <v>8.5</v>
      </c>
      <c r="S113" s="80" t="n">
        <v>4</v>
      </c>
      <c r="T113" s="81">
        <f>IF(OR($M113="",COUNT(N113,O113,P113,Q113,R113,S113)&lt;6),"",IFERROR(N113*INDEX(WM_C,MATCH($M113,WM_KEY,0))+O113*INDEX(WM_AU,MATCH($M113,WM_KEY,0))+P113*INDEX(WM_AC,MATCH($M113,WM_KEY,0))+Q113*INDEX(WM_L,MATCH($M113,WM_KEY,0))+R113*INDEX(WM_E,MATCH($M113,WM_KEY,0))+S113*INDEX(WM_BI,MATCH($M113,WM_KEY,0)),""))</f>
        <v>3.705</v>
      </c>
      <c r="U113" s="42" t="str">
        <f>IF(T113="","",INDEX({"A1","A2","A3","B1","B2","B3","C1","C2","D1","D2","E1","E2"},MAX(1,MIN(12,ROUND(T113,0)))))</f>
        <v>B1</v>
      </c>
      <c r="V113" s="12" t="inlineStr">
        <is>
          <r>
            <rPr>
              <rFont val="Calibri"/>
              <sz val="10"/>
            </rPr>
            <t xml:space="preserve">New level B1 · Team Lead. Current level on record: L4 – Senior. Change: ▲ Up.
Score 3.71 on the ladder scale → indicated level B1.
</t>
          </r>
          <r>
            <rPr>
              <rFont val="Calibri"/>
              <b val="1"/>
              <sz val="10"/>
            </rPr>
            <t>Weights:</t>
          </r>
          <r>
            <rPr>
              <rFont val="Calibri"/>
              <sz val="10"/>
            </rPr>
            <t xml:space="preserve"> Complexity 32% · Autonomy 18% · Accountability 16% · Leadership 15% · Experience 10% · Business impact 9%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3" s="12" t="inlineStr">
        <is>
          <r>
            <rPr>
              <rFont val="Calibri"/>
              <b val="1"/>
              <sz val="10"/>
            </rPr>
            <t>Complexity &amp; Expertise:</t>
          </r>
          <r>
            <rPr>
              <rFont val="Calibri"/>
              <sz val="10"/>
            </rPr>
            <t xml:space="preserve"> 3 of 12 — Start: 3.0 · senior practitioner title; Evidence reads like A3: Quality-checks UK iXBRL files, finds tagging errors and suggests corrections; also tracks team deliverables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3.0 · senior practitioner title; Evidence reads like A2: Performs QC, reports errors, suggests corrections and prioritises assigned files; no wider calls stated → moved down 0.5
</t>
          </r>
          <r>
            <rPr>
              <rFont val="Calibri"/>
              <b val="1"/>
              <sz val="10"/>
            </rPr>
            <t>Accountability &amp; Impact:</t>
          </r>
          <r>
            <rPr>
              <rFont val="Calibri"/>
              <sz val="10"/>
            </rPr>
            <t xml:space="preserve"> 3.5 of 12 · between A3 and B1 — Start: 4.0 · senior practitioner title; 4 direct reports; Evidence reads like A3: Accuracy of UK iXBRL QC and delivery deadlines; errors cause client reporting issues → moved down 0.5; KRA: “1. Complete assigned XBRL/conversion/filing tasks with &gt;=99% accuracy · zero critical errors 2. Meet 100% of regulatory / client filing…”
</t>
          </r>
          <r>
            <rPr>
              <rFont val="Calibri"/>
              <b val="1"/>
              <sz val="10"/>
            </rPr>
            <t>Leadership &amp; Strategy:</t>
          </r>
          <r>
            <rPr>
              <rFont val="Calibri"/>
              <sz val="10"/>
            </rPr>
            <t xml:space="preserve"> 3.5 of 12 · between A3 and B1 — Start: 4.0; Evidence reads like A3: Monitors team members' status and upcoming deliverables; 'assists' coordination, four reports → moved down 0.5; Team: 4 direct reports · People Manager
</t>
          </r>
          <r>
            <rPr>
              <rFont val="Calibri"/>
              <b val="1"/>
              <sz val="10"/>
            </rPr>
            <t>Experience &amp; Qualification:</t>
          </r>
          <r>
            <rPr>
              <rFont val="Calibri"/>
              <sz val="10"/>
            </rPr>
            <t xml:space="preserve"> 8.5 of 12 · between C2 and D1 — Experience: 16.6 yrs total · 1.0 before IRIS + 15.6 at IRIS = 8.7 on the experience scale; Qualification: B.Com · graduate, relevant to the work → no change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13" s="12" t="inlineStr">
        <is>
          <r>
            <rPr>
              <rFont val="Calibri"/>
              <b val="1"/>
              <sz val="10"/>
            </rPr>
            <t>Market level:</t>
          </r>
          <r>
            <rPr>
              <rFont val="Calibri"/>
              <sz val="10"/>
            </rPr>
            <t xml:space="preserve"> P3 / M2 · SFIA 4 Enable
</t>
          </r>
          <r>
            <rPr>
              <rFont val="Calibri"/>
              <b val="1"/>
              <sz val="10"/>
            </rPr>
            <t>Typical title:</t>
          </r>
          <r>
            <rPr>
              <rFont val="Calibri"/>
              <sz val="10"/>
            </rPr>
            <t xml:space="preserve"> Team Lead / Assistant Manager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13" s="12" t="inlineStr">
        <is>
          <r>
            <rPr>
              <rFont val="Calibri"/>
              <sz val="10"/>
            </rPr>
            <t xml:space="preserve">✓ HRIS: 16.6 yrs, B.Com, 4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13" s="12" t="inlineStr">
        <is>
          <t>—</t>
        </is>
      </c>
      <c r="AA113" s="12" t="inlineStr">
        <is>
          <t>Nothing outstanding</t>
        </is>
      </c>
      <c r="AB113"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4 direct reports.
From the survey and manager mapping — critical role: yes; successor named: no.
</t>
          </r>
          <r>
            <rPr>
              <rFont val="Calibri"/>
              <b val="1"/>
              <sz val="10"/>
            </rPr>
            <t>If the work is missed · role-holders' themes:</t>
          </r>
          <r>
            <rPr>
              <rFont val="Calibri"/>
              <sz val="10"/>
            </rPr>
            <t xml:space="preserve"> rework · delays · quality · errors.
Manager talent mapping — Latest rating: 4 · Potential: High · 9-Box Grid placement: Core Contributor.</t>
          </r>
        </is>
      </c>
      <c r="AC113" s="84" t="n"/>
      <c r="AD113" s="84" t="n"/>
      <c r="AE113" s="84" t="n"/>
      <c r="AF113" s="12" t="n">
        <v>4</v>
      </c>
    </row>
    <row r="114" ht="400" customHeight="1">
      <c r="A114" s="12" t="inlineStr">
        <is>
          <t>IRIS0305</t>
        </is>
      </c>
      <c r="B114" s="10" t="inlineStr">
        <is>
          <t>Vivek Patil</t>
        </is>
      </c>
      <c r="C114" s="12" t="inlineStr">
        <is>
          <t>Services</t>
        </is>
      </c>
      <c r="D114" s="12" t="inlineStr">
        <is>
          <t>Senior Financial Analyst</t>
        </is>
      </c>
      <c r="E114" s="85" t="inlineStr">
        <is>
          <t>XBRL Specialist</t>
        </is>
      </c>
      <c r="F114" s="12" t="inlineStr">
        <is>
          <t>Consulting &amp; Professional Services</t>
        </is>
      </c>
      <c r="G114" s="12" t="inlineStr">
        <is>
          <t>XBRL Tagging, Conversion &amp; Filing</t>
        </is>
      </c>
      <c r="H114" s="12" t="inlineStr">
        <is>
          <t>IC</t>
        </is>
      </c>
      <c r="I114" s="42" t="inlineStr">
        <is>
          <t>L4 – Senior</t>
        </is>
      </c>
      <c r="J114" s="20" t="inlineStr">
        <is>
          <t>B1</t>
        </is>
      </c>
      <c r="K114" s="21" t="inlineStr">
        <is>
          <t>Specialist</t>
        </is>
      </c>
      <c r="L114" s="87" t="inlineStr">
        <is>
          <t>▲ Up</t>
        </is>
      </c>
      <c r="M114" s="12" t="inlineStr">
        <is>
          <t>CARBON · Services · Band B · Expert / POD Lead</t>
        </is>
      </c>
      <c r="N114" s="42" t="n">
        <v>3</v>
      </c>
      <c r="O114" s="42" t="n">
        <v>3.5</v>
      </c>
      <c r="P114" s="42" t="n">
        <v>3.5</v>
      </c>
      <c r="Q114" s="42" t="n">
        <v>3</v>
      </c>
      <c r="R114" s="42" t="n">
        <v>8.5</v>
      </c>
      <c r="S114" s="80" t="n">
        <v>4</v>
      </c>
      <c r="T114" s="81">
        <f>IF(OR($M114="",COUNT(N114,O114,P114,Q114,R114,S114)&lt;6),"",IFERROR(N114*INDEX(WM_C,MATCH($M114,WM_KEY,0))+O114*INDEX(WM_AU,MATCH($M114,WM_KEY,0))+P114*INDEX(WM_AC,MATCH($M114,WM_KEY,0))+Q114*INDEX(WM_L,MATCH($M114,WM_KEY,0))+R114*INDEX(WM_E,MATCH($M114,WM_KEY,0))+S114*INDEX(WM_BI,MATCH($M114,WM_KEY,0)),""))</f>
        <v>3.78</v>
      </c>
      <c r="U114" s="42" t="str">
        <f>IF(T114="","",INDEX({"A1","A2","A3","B1","B2","B3","C1","C2","D1","D2","E1","E2"},MAX(1,MIN(12,ROUND(T114,0)))))</f>
        <v>B1</v>
      </c>
      <c r="V114" s="12" t="inlineStr">
        <is>
          <r>
            <rPr>
              <rFont val="Calibri"/>
              <sz val="10"/>
            </rPr>
            <t xml:space="preserve">New level B1 · Specialist. Current level on record: L4 – Senior. Change: ▲ Up.
Score 3.78 on the ladder scale → indicated level B1.
</t>
          </r>
          <r>
            <rPr>
              <rFont val="Calibri"/>
              <b val="1"/>
              <sz val="10"/>
            </rPr>
            <t>Weights:</t>
          </r>
          <r>
            <rPr>
              <rFont val="Calibri"/>
              <sz val="10"/>
            </rPr>
            <t xml:space="preserve"> Complexity 46% · Autonomy 17% · Accountability 15% · Experience 10% · Business impact 7%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4" s="12" t="inlineStr">
        <is>
          <r>
            <rPr>
              <rFont val="Calibri"/>
              <b val="1"/>
              <sz val="10"/>
            </rPr>
            <t>Complexity &amp; Expertise:</t>
          </r>
          <r>
            <rPr>
              <rFont val="Calibri"/>
              <sz val="10"/>
            </rPr>
            <t xml:space="preserve"> 3 of 12 — Start: 3.0 · senior practitioner title; Evidence reads like A3: Covers tagging, QC, validation and SEC filing for US mandate; resolves team members' doubts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3.5 of 12 · between A3 and B1 — Start: 3.0 · senior practitioner title; Evidence reads like B1: Allocates work and shifts, prioritises tasks by deadline, resolves routine operational issues for the shift → moved up 0.5
</t>
          </r>
          <r>
            <rPr>
              <rFont val="Calibri"/>
              <b val="1"/>
              <sz val="10"/>
            </rPr>
            <t>Accountability &amp; Impact:</t>
          </r>
          <r>
            <rPr>
              <rFont val="Calibri"/>
              <sz val="10"/>
            </rPr>
            <t xml:space="preserve"> 3.5 of 12 · between A3 and B1 — Start: 3.0 · senior practitioner title; Evidence reads like B1: Shift's tagged documents, QC, validation and timely filing of assigned forms → moved up 0.5; KRA: “1. Complete assigned XBRL/conversion/filing tasks with &gt;=99% accuracy · zero critical errors 2. Meet 100% of regulatory / client filing…”
</t>
          </r>
          <r>
            <rPr>
              <rFont val="Calibri"/>
              <b val="1"/>
              <sz val="10"/>
            </rPr>
            <t>Leadership &amp; Strategy:</t>
          </r>
          <r>
            <rPr>
              <rFont val="Calibri"/>
              <sz val="10"/>
            </rPr>
            <t xml:space="preserve"> 3 of 12 — Start: 2.0 · individual contributor, so influence only; Evidence reads like B1: Allocates shifts and work, guides team members, runs training sessions; manager confirms shift lead → moved up 1; Team: 0 direct reports · IC
</t>
          </r>
          <r>
            <rPr>
              <rFont val="Calibri"/>
              <b val="1"/>
              <sz val="10"/>
            </rPr>
            <t>Experience &amp; Qualification:</t>
          </r>
          <r>
            <rPr>
              <rFont val="Calibri"/>
              <sz val="10"/>
            </rPr>
            <t xml:space="preserve"> 8.5 of 12 · between C2 and D1 — Experience: 16.6 yrs total · 16.6 at IRIS; none recorded before IRIS = 8.7 on the experience scale; Qualification: B.Com · graduate, relevant to the work → no change
</t>
          </r>
          <r>
            <rPr>
              <rFont val="Calibri"/>
              <b val="1"/>
              <sz val="10"/>
            </rPr>
            <t>Business Impact:</t>
          </r>
          <r>
            <rPr>
              <rFont val="Calibri"/>
              <sz val="10"/>
            </rPr>
            <t xml:space="preserve"> 4 of 12 — a starting estimate. — Start: 3.5, the role's accountability scope — what it answers for.; Moved +0.5: the survey / manager mapping marks it business-critical.; Managers and heads: overwrite this rating on the Weightage sheet with the business impact you see — the score updates at once.; Ladder: B1 = Moves a module's, product area's or client account's results</t>
          </r>
        </is>
      </c>
      <c r="X114" s="12" t="inlineStr">
        <is>
          <r>
            <rPr>
              <rFont val="Calibri"/>
              <b val="1"/>
              <sz val="10"/>
            </rPr>
            <t>Market level:</t>
          </r>
          <r>
            <rPr>
              <rFont val="Calibri"/>
              <sz val="10"/>
            </rPr>
            <t xml:space="preserve"> P3 / M2 · SFIA 4 Enable
</t>
          </r>
          <r>
            <rPr>
              <rFont val="Calibri"/>
              <b val="1"/>
              <sz val="10"/>
            </rPr>
            <t>Typical title:</t>
          </r>
          <r>
            <rPr>
              <rFont val="Calibri"/>
              <sz val="10"/>
            </rPr>
            <t xml:space="preserve"> Consultant / Senior Associate
</t>
          </r>
          <r>
            <rPr>
              <rFont val="Calibri"/>
              <b val="1"/>
              <sz val="10"/>
            </rPr>
            <t>At peers:</t>
          </r>
          <r>
            <rPr>
              <rFont val="Calibri"/>
              <sz val="10"/>
            </rPr>
            <t xml:space="preserve"> Big Four – Senior Consultant · IRIS Vs Market Benchmark — XBRL US credential pathway: Certificate + specialist taxonomy
</t>
          </r>
          <r>
            <rPr>
              <rFont val="Calibri"/>
              <b val="1"/>
              <sz val="10"/>
            </rPr>
            <t>Typical experience:</t>
          </r>
          <r>
            <rPr>
              <rFont val="Calibri"/>
              <sz val="10"/>
            </rPr>
            <t xml:space="preserve"> 4–8 yrs · IRIS guide 4–7
</t>
          </r>
          <r>
            <rPr>
              <rFont val="Calibri"/>
              <b val="1"/>
              <sz val="10"/>
            </rPr>
            <t>Standard:</t>
          </r>
          <r>
            <rPr>
              <rFont val="Calibri"/>
              <sz val="10"/>
            </rPr>
            <t xml:space="preserve"> XBRL US GAAP Certificate; XBRL International specifications</t>
          </r>
        </is>
      </c>
      <c r="Y114" s="12" t="inlineStr">
        <is>
          <r>
            <rPr>
              <rFont val="Calibri"/>
              <sz val="10"/>
            </rPr>
            <t xml:space="preserve">✓ HRIS: 16.6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14" s="12" t="inlineStr">
        <is>
          <t>—</t>
        </is>
      </c>
      <c r="AA114" s="83" t="inlineStr">
        <is>
          <t>• Confirm the reporting line — Manager</t>
        </is>
      </c>
      <c r="AB11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From the survey and manager mapping — critical role: yes; successor named: no.
</t>
          </r>
          <r>
            <rPr>
              <rFont val="Calibri"/>
              <b val="1"/>
              <sz val="10"/>
            </rPr>
            <t>If the work is missed · role-holders' themes:</t>
          </r>
          <r>
            <rPr>
              <rFont val="Calibri"/>
              <sz val="10"/>
            </rPr>
            <t xml:space="preserve"> rework · quality · delays · filing.
Manager talent mapping — Latest rating: 3 · Potential: High · 9-Box Grid placement: Core Contributor.</t>
          </r>
        </is>
      </c>
      <c r="AC114" s="84" t="n"/>
      <c r="AD114" s="84" t="n"/>
      <c r="AE114" s="84" t="n"/>
      <c r="AF114" s="12" t="n">
        <v>4</v>
      </c>
    </row>
    <row r="115" ht="400" customHeight="1">
      <c r="A115" s="12" t="inlineStr">
        <is>
          <t>IRIS2163</t>
        </is>
      </c>
      <c r="B115" s="10" t="inlineStr">
        <is>
          <t>Abhijit Bhagwan Patil</t>
        </is>
      </c>
      <c r="C115" s="12" t="inlineStr">
        <is>
          <t>Services</t>
        </is>
      </c>
      <c r="D115" s="12" t="inlineStr">
        <is>
          <t>Financial Analyst</t>
        </is>
      </c>
      <c r="E115" s="85" t="inlineStr">
        <is>
          <t>Senior Financial Analyst</t>
        </is>
      </c>
      <c r="F115" s="12" t="inlineStr">
        <is>
          <t>Consulting &amp; Professional Services</t>
        </is>
      </c>
      <c r="G115" s="12" t="inlineStr">
        <is>
          <t>XBRL Tagging, Conversion &amp; Filing</t>
        </is>
      </c>
      <c r="H115" s="12" t="inlineStr">
        <is>
          <t>IC</t>
        </is>
      </c>
      <c r="I115" s="42" t="inlineStr">
        <is>
          <t>L3 – Professional / Associate</t>
        </is>
      </c>
      <c r="J115" s="16" t="inlineStr">
        <is>
          <t>A3</t>
        </is>
      </c>
      <c r="K115" s="17" t="inlineStr">
        <is>
          <t>Senior Associate</t>
        </is>
      </c>
      <c r="L115" s="87" t="inlineStr">
        <is>
          <t>▲ Up</t>
        </is>
      </c>
      <c r="M115" s="12" t="inlineStr">
        <is>
          <t>CARBON · Services · Band A · Early career</t>
        </is>
      </c>
      <c r="N115" s="42" t="n">
        <v>2.5</v>
      </c>
      <c r="O115" s="42" t="n">
        <v>3</v>
      </c>
      <c r="P115" s="42" t="n">
        <v>2.5</v>
      </c>
      <c r="Q115" s="42" t="n">
        <v>2</v>
      </c>
      <c r="R115" s="42" t="n">
        <v>3</v>
      </c>
      <c r="S115" s="80" t="n">
        <v>3</v>
      </c>
      <c r="T115" s="81">
        <f>IF(OR($M115="",COUNT(N115,O115,P115,Q115,R115,S115)&lt;6),"",IFERROR(N115*INDEX(WM_C,MATCH($M115,WM_KEY,0))+O115*INDEX(WM_AU,MATCH($M115,WM_KEY,0))+P115*INDEX(WM_AC,MATCH($M115,WM_KEY,0))+Q115*INDEX(WM_L,MATCH($M115,WM_KEY,0))+R115*INDEX(WM_E,MATCH($M115,WM_KEY,0))+S115*INDEX(WM_BI,MATCH($M115,WM_KEY,0)),""))</f>
        <v>2.66</v>
      </c>
      <c r="U115" s="42" t="str">
        <f>IF(T115="","",INDEX({"A1","A2","A3","B1","B2","B3","C1","C2","D1","D2","E1","E2"},MAX(1,MIN(12,ROUND(T115,0)))))</f>
        <v>A3</v>
      </c>
      <c r="V115" s="12" t="inlineStr">
        <is>
          <r>
            <rPr>
              <rFont val="Calibri"/>
              <sz val="10"/>
            </rPr>
            <t xml:space="preserve">New level A3 · Senior Associate. Current level on record: L3 – Professional / Associate. Change: ▲ Up.
Score 2.66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5" s="12" t="inlineStr">
        <is>
          <r>
            <rPr>
              <rFont val="Calibri"/>
              <b val="1"/>
              <sz val="10"/>
            </rPr>
            <t>Complexity &amp; Expertise:</t>
          </r>
          <r>
            <rPr>
              <rFont val="Calibri"/>
              <sz val="10"/>
            </rPr>
            <t xml:space="preserve"> 2.5 of 12 · between A2 and A3 — Start: 2.0 · practitioner title; Evidence reads like A3: US mandate tagging, QC, validation and filings; roll-forward, client comments, routine issue resolution → moved up 0.5; KRA: “1. Complete assigned XBRL/conversion/filing tasks with &gt;=99% accuracy · zero critical errors 2. Meet 100% of regulatory / client filing…”
</t>
          </r>
          <r>
            <rPr>
              <rFont val="Calibri"/>
              <b val="1"/>
              <sz val="10"/>
            </rPr>
            <t>Autonomy &amp; Decision:</t>
          </r>
          <r>
            <rPr>
              <rFont val="Calibri"/>
              <sz val="10"/>
            </rPr>
            <t xml:space="preserve"> 3 of 12 — Start: 2.0 · practitioner title; Evidence reads like B1: Allocates tasks by workload and resolves routine issues; escalates critical ones to leads → moved up 1
</t>
          </r>
          <r>
            <rPr>
              <rFont val="Calibri"/>
              <b val="1"/>
              <sz val="10"/>
            </rPr>
            <t>Accountability &amp; Impact:</t>
          </r>
          <r>
            <rPr>
              <rFont val="Calibri"/>
              <sz val="10"/>
            </rPr>
            <t xml:space="preserve"> 2.5 of 12 · between A2 and A3 — Start: 2.0 · practitioner title; Evidence reads like A3: Quality and timeliness of own tagging, QC and filings; supports team delivery → moved up 0.5; KRA: “1. Complete assigned XBRL/conversion/filing tasks with &gt;=99% accuracy · zero critical errors 2. Meet 100% of regulatory / client filing…”
</t>
          </r>
          <r>
            <rPr>
              <rFont val="Calibri"/>
              <b val="1"/>
              <sz val="10"/>
            </rPr>
            <t>Leadership &amp; Strategy:</t>
          </r>
          <r>
            <rPr>
              <rFont val="Calibri"/>
              <sz val="10"/>
            </rPr>
            <t xml:space="preserve"> 2 of 12 — not counted: the weight is 0% at this level — Start: 1.0 · individual contributor, so influence only; Evidence reads like A3: Gives daily guidance and QC review to team members; leads sit above → moved up 1; Team: 0 direct reports · IC
</t>
          </r>
          <r>
            <rPr>
              <rFont val="Calibri"/>
              <b val="1"/>
              <sz val="10"/>
            </rPr>
            <t>Experience &amp; Qualification:</t>
          </r>
          <r>
            <rPr>
              <rFont val="Calibri"/>
              <sz val="10"/>
            </rPr>
            <t xml:space="preserve"> 3 of 12 — Experience: 3.1 yrs total · 3.1 at IRIS; none recorded before IRIS = 3.0 on the experience scale; Qualification: BAF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15"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15" s="12" t="inlineStr">
        <is>
          <r>
            <rPr>
              <rFont val="Calibri"/>
              <sz val="10"/>
            </rPr>
            <t xml:space="preserve">✓ HRIS: 3.1 yrs, BAF,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15" s="12" t="inlineStr">
        <is>
          <t>—</t>
        </is>
      </c>
      <c r="AA115" s="83" t="inlineStr">
        <is>
          <t>• Confirm the reporting line — Manager</t>
        </is>
      </c>
      <c r="AB11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AC115" s="84" t="n"/>
      <c r="AD115" s="84" t="n"/>
      <c r="AE115" s="84" t="n"/>
      <c r="AF115" s="12" t="n">
        <v>3</v>
      </c>
    </row>
    <row r="116" ht="400" customHeight="1">
      <c r="A116" s="12" t="inlineStr">
        <is>
          <t>IRIS0143</t>
        </is>
      </c>
      <c r="B116" s="10" t="inlineStr">
        <is>
          <t>Ajinkya Dhumal</t>
        </is>
      </c>
      <c r="C116" s="12" t="inlineStr">
        <is>
          <t>Services</t>
        </is>
      </c>
      <c r="D116" s="12" t="inlineStr">
        <is>
          <t>Senior Financial Analyst</t>
        </is>
      </c>
      <c r="E116" s="12" t="inlineStr">
        <is>
          <t>Senior Financial Analyst</t>
        </is>
      </c>
      <c r="F116" s="12" t="inlineStr">
        <is>
          <t>Consulting &amp; Professional Services</t>
        </is>
      </c>
      <c r="G116" s="12" t="inlineStr">
        <is>
          <t>XBRL Tagging, Conversion &amp; Filing</t>
        </is>
      </c>
      <c r="H116" s="12" t="inlineStr">
        <is>
          <t>IC</t>
        </is>
      </c>
      <c r="I116" s="42" t="inlineStr">
        <is>
          <t>L4 – Senior</t>
        </is>
      </c>
      <c r="J116" s="16" t="inlineStr">
        <is>
          <t>A3</t>
        </is>
      </c>
      <c r="K116" s="17" t="inlineStr">
        <is>
          <t>Senior Associate</t>
        </is>
      </c>
      <c r="L116" s="88" t="inlineStr">
        <is>
          <t>• Same level</t>
        </is>
      </c>
      <c r="M116" s="12" t="inlineStr">
        <is>
          <t>CARBON · Services · Band A · Early career</t>
        </is>
      </c>
      <c r="N116" s="42" t="n">
        <v>3</v>
      </c>
      <c r="O116" s="42" t="n">
        <v>2.5</v>
      </c>
      <c r="P116" s="42" t="n">
        <v>2.5</v>
      </c>
      <c r="Q116" s="42" t="n">
        <v>2</v>
      </c>
      <c r="R116" s="42" t="n">
        <v>9.5</v>
      </c>
      <c r="S116" s="80" t="n">
        <v>3</v>
      </c>
      <c r="T116" s="81">
        <f>IF(OR($M116="",COUNT(N116,O116,P116,Q116,R116,S116)&lt;6),"",IFERROR(N116*INDEX(WM_C,MATCH($M116,WM_KEY,0))+O116*INDEX(WM_AU,MATCH($M116,WM_KEY,0))+P116*INDEX(WM_AC,MATCH($M116,WM_KEY,0))+Q116*INDEX(WM_L,MATCH($M116,WM_KEY,0))+R116*INDEX(WM_E,MATCH($M116,WM_KEY,0))+S116*INDEX(WM_BI,MATCH($M116,WM_KEY,0)),""))</f>
        <v>3.5</v>
      </c>
      <c r="U116" s="42" t="str">
        <f>IF(T116="","",INDEX({"A1","A2","A3","B1","B2","B3","C1","C2","D1","D2","E1","E2"},MAX(1,MIN(12,ROUND(T116,0)))))</f>
        <v>B1</v>
      </c>
      <c r="V116" s="12" t="inlineStr">
        <is>
          <r>
            <rPr>
              <rFont val="Calibri"/>
              <sz val="10"/>
            </rPr>
            <t xml:space="preserve">New level A3 · Senior Associate. Current level on record: L4 – Senior. Change: • Same level.
Score 3.50 on the ladder scale → indicated level B1.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3.44.
</t>
          </r>
          <r>
            <rPr>
              <rFont val="Calibri"/>
              <b val="1"/>
              <sz val="10"/>
            </rPr>
            <t>Final level:</t>
          </r>
          <r>
            <rPr>
              <rFont val="Calibri"/>
              <sz val="10"/>
            </rPr>
            <t xml:space="preserve"> A3.</t>
          </r>
        </is>
      </c>
      <c r="W116" s="12" t="inlineStr">
        <is>
          <r>
            <rPr>
              <rFont val="Calibri"/>
              <b val="1"/>
              <sz val="10"/>
            </rPr>
            <t>Complexity &amp; Expertise:</t>
          </r>
          <r>
            <rPr>
              <rFont val="Calibri"/>
              <sz val="10"/>
            </rPr>
            <t xml:space="preserve"> 3 of 12 — Start: 3.0 · senior practitioner title; Evidence reads like A3: CIPC iXBRL tagging, quality checking, validation-error investigation and doubt solving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3.0 · senior practitioner title; Evidence reads like A2: Selects tags from the taxonomy, investigates common validation errors, prioritises assigned work → moved down 0.5
</t>
          </r>
          <r>
            <rPr>
              <rFont val="Calibri"/>
              <b val="1"/>
              <sz val="10"/>
            </rPr>
            <t>Accountability &amp; Impact:</t>
          </r>
          <r>
            <rPr>
              <rFont val="Calibri"/>
              <sz val="10"/>
            </rPr>
            <t xml:space="preserve"> 2.5 of 12 · between A2 and A3 — Start: 3.0 · senior practitioner title; Evidence reads like A2: Accuracy and completeness of own tagging; final file mailed to SA PMO → moved down 0.5; KRA: “1. Complete assigned XBRL/conversion/filing tasks with &gt;=99% accuracy · zero critical errors 2. Meet 100% of regulatory / client filing…”
</t>
          </r>
          <r>
            <rPr>
              <rFont val="Calibri"/>
              <b val="1"/>
              <sz val="10"/>
            </rPr>
            <t>Leadership &amp; Strategy:</t>
          </r>
          <r>
            <rPr>
              <rFont val="Calibri"/>
              <sz val="10"/>
            </rPr>
            <t xml:space="preserve"> 2 of 12 — not counted: the weight is 0% at this level — Start: 2.0 · individual contributor, so influence only; Evidence reads like A2: Manager note lists training and solving tagging doubts; survey gives no detail → matches the start; Team: 0 direct reports · IC
</t>
          </r>
          <r>
            <rPr>
              <rFont val="Calibri"/>
              <b val="1"/>
              <sz val="10"/>
            </rPr>
            <t>Experience &amp; Qualification:</t>
          </r>
          <r>
            <rPr>
              <rFont val="Calibri"/>
              <sz val="10"/>
            </rPr>
            <t xml:space="preserve"> 9.5 of 12 · between D1 and D2 — Experience: 18.8 yrs total · 18.8 at IRIS; none recorded before IRIS = 9.4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16"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16" s="12" t="inlineStr">
        <is>
          <r>
            <rPr>
              <rFont val="Calibri"/>
              <sz val="10"/>
            </rPr>
            <t xml:space="preserve">✓ HRIS: 18.8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16" s="82" t="inlineStr">
        <is>
          <r>
            <rPr>
              <rFont val="Calibri"/>
              <color rgb="009C5700"/>
              <sz val="10"/>
            </rPr>
            <t xml:space="preserve">• </t>
          </r>
          <r>
            <rPr>
              <rFont val="Calibri"/>
              <b val="1"/>
              <color rgb="009C5700"/>
              <sz val="10"/>
            </rPr>
            <t>Near a gate:</t>
          </r>
          <r>
            <rPr>
              <rFont val="Calibri"/>
              <color rgb="009C5700"/>
              <sz val="10"/>
            </rPr>
            <t xml:space="preserve"> top of band: 3.44 on Band B's weights, 0.06 short of the 3.5 needed to enter Band B</t>
          </r>
        </is>
      </c>
      <c r="AA116" s="12" t="inlineStr">
        <is>
          <t>Nothing outstanding</t>
        </is>
      </c>
      <c r="AB11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AC116" s="84" t="n"/>
      <c r="AD116" s="84" t="n"/>
      <c r="AE116" s="84" t="n"/>
      <c r="AF116" s="12" t="n">
        <v>3</v>
      </c>
    </row>
    <row r="117" ht="400" customHeight="1">
      <c r="A117" s="12" t="inlineStr">
        <is>
          <t>IRIS0415</t>
        </is>
      </c>
      <c r="B117" s="10" t="inlineStr">
        <is>
          <t>Amol Keskar</t>
        </is>
      </c>
      <c r="C117" s="12" t="inlineStr">
        <is>
          <t>Services</t>
        </is>
      </c>
      <c r="D117" s="12" t="inlineStr">
        <is>
          <t>Financial Analyst</t>
        </is>
      </c>
      <c r="E117" s="85" t="inlineStr">
        <is>
          <t>Senior Financial Analyst</t>
        </is>
      </c>
      <c r="F117" s="12" t="inlineStr">
        <is>
          <t>Consulting &amp; Professional Services</t>
        </is>
      </c>
      <c r="G117" s="12" t="inlineStr">
        <is>
          <t>XBRL Tagging, Conversion &amp; Filing</t>
        </is>
      </c>
      <c r="H117" s="12" t="inlineStr">
        <is>
          <t>IC</t>
        </is>
      </c>
      <c r="I117" s="42" t="inlineStr">
        <is>
          <t>L3 – Professional / Associate</t>
        </is>
      </c>
      <c r="J117" s="16" t="inlineStr">
        <is>
          <t>A3</t>
        </is>
      </c>
      <c r="K117" s="17" t="inlineStr">
        <is>
          <t>Senior Associate</t>
        </is>
      </c>
      <c r="L117" s="87" t="inlineStr">
        <is>
          <t>▲ Up</t>
        </is>
      </c>
      <c r="M117" s="12" t="inlineStr">
        <is>
          <t>CARBON · Services · Band A · Early career</t>
        </is>
      </c>
      <c r="N117" s="42" t="n">
        <v>2</v>
      </c>
      <c r="O117" s="42" t="n">
        <v>2</v>
      </c>
      <c r="P117" s="42" t="n">
        <v>2</v>
      </c>
      <c r="Q117" s="42" t="n">
        <v>1</v>
      </c>
      <c r="R117" s="42" t="n">
        <v>8.5</v>
      </c>
      <c r="S117" s="80" t="n">
        <v>2.5</v>
      </c>
      <c r="T117" s="81">
        <f>IF(OR($M117="",COUNT(N117,O117,P117,Q117,R117,S117)&lt;6),"",IFERROR(N117*INDEX(WM_C,MATCH($M117,WM_KEY,0))+O117*INDEX(WM_AU,MATCH($M117,WM_KEY,0))+P117*INDEX(WM_AC,MATCH($M117,WM_KEY,0))+Q117*INDEX(WM_L,MATCH($M117,WM_KEY,0))+R117*INDEX(WM_E,MATCH($M117,WM_KEY,0))+S117*INDEX(WM_BI,MATCH($M117,WM_KEY,0)),""))</f>
        <v>2.68</v>
      </c>
      <c r="U117" s="42" t="str">
        <f>IF(T117="","",INDEX({"A1","A2","A3","B1","B2","B3","C1","C2","D1","D2","E1","E2"},MAX(1,MIN(12,ROUND(T117,0)))))</f>
        <v>A3</v>
      </c>
      <c r="V117" s="12" t="inlineStr">
        <is>
          <r>
            <rPr>
              <rFont val="Calibri"/>
              <sz val="10"/>
            </rPr>
            <t xml:space="preserve">New level A3 · Senior Associate. Current level on record: L3 – Professional / Associate. Change: ▲ Up.
Score 2.68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7" s="12" t="inlineStr">
        <is>
          <r>
            <rPr>
              <rFont val="Calibri"/>
              <b val="1"/>
              <sz val="10"/>
            </rPr>
            <t>Complexity &amp; Expertise:</t>
          </r>
          <r>
            <rPr>
              <rFont val="Calibri"/>
              <sz val="10"/>
            </rPr>
            <t xml:space="preserve"> 2 of 12 — Start: 2.0 · practitioner title; Evidence reads like A2: Tags UK financial statements and footnotes from the taxonomy in Carbon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Only decision named is creating the HTML project → matches the start
</t>
          </r>
          <r>
            <rPr>
              <rFont val="Calibri"/>
              <b val="1"/>
              <sz val="10"/>
            </rPr>
            <t>Accountability &amp; Impact:</t>
          </r>
          <r>
            <rPr>
              <rFont val="Calibri"/>
              <sz val="10"/>
            </rPr>
            <t xml:space="preserve"> 2 of 12 — Start: 2.0 · practitioner title; Evidence reads like A2: Own tagging and project creation; errors cause quality issues in files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'same work as everyone' → matches the start; Team: 0 direct reports · IC
</t>
          </r>
          <r>
            <rPr>
              <rFont val="Calibri"/>
              <b val="1"/>
              <sz val="10"/>
            </rPr>
            <t>Experience &amp; Qualification:</t>
          </r>
          <r>
            <rPr>
              <rFont val="Calibri"/>
              <sz val="10"/>
            </rPr>
            <t xml:space="preserve"> 8.5 of 12 · between C2 and D1 — Experience: 16.0 yrs total · 16.0 at IRIS; none recorded before IRIS = 8.5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17"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17" s="12" t="inlineStr">
        <is>
          <r>
            <rPr>
              <rFont val="Calibri"/>
              <sz val="10"/>
            </rPr>
            <t xml:space="preserve">✓ HRIS: 16.0 yrs, B.Com, 0 direct reports
✓ Survey: 19 of 20 questions answered
✓ KRAs: submitted, reported deliverables
✓ Manager mapping: rating, potential, 9-box
✗ Job description: not on file
</t>
          </r>
          <r>
            <rPr>
              <rFont val="Calibri"/>
              <b val="1"/>
              <sz val="10"/>
            </rPr>
            <t>Confidence:</t>
          </r>
          <r>
            <rPr>
              <rFont val="Calibri"/>
              <sz val="10"/>
            </rPr>
            <t xml:space="preserve"> Medium</t>
          </r>
        </is>
      </c>
      <c r="Z117" s="12" t="inlineStr">
        <is>
          <t>—</t>
        </is>
      </c>
      <c r="AA117" s="12" t="inlineStr">
        <is>
          <t>Nothing outstanding</t>
        </is>
      </c>
      <c r="AB11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17" s="84" t="n"/>
      <c r="AD117" s="84" t="n"/>
      <c r="AE117" s="84" t="n"/>
      <c r="AF117" s="12" t="n">
        <v>2.5</v>
      </c>
    </row>
    <row r="118" ht="400" customHeight="1">
      <c r="A118" s="12" t="inlineStr">
        <is>
          <t>IRIS0621</t>
        </is>
      </c>
      <c r="B118" s="10" t="inlineStr">
        <is>
          <t>Anjum Shaikh</t>
        </is>
      </c>
      <c r="C118" s="12" t="inlineStr">
        <is>
          <t>Services</t>
        </is>
      </c>
      <c r="D118" s="12" t="inlineStr">
        <is>
          <t>Senior Financial Analyst</t>
        </is>
      </c>
      <c r="E118" s="12" t="inlineStr">
        <is>
          <t>Senior Financial Analyst</t>
        </is>
      </c>
      <c r="F118" s="12" t="inlineStr">
        <is>
          <t>Consulting &amp; Professional Services</t>
        </is>
      </c>
      <c r="G118" s="12" t="inlineStr">
        <is>
          <t>XBRL Tagging, Conversion &amp; Filing</t>
        </is>
      </c>
      <c r="H118" s="12" t="inlineStr">
        <is>
          <t>IC</t>
        </is>
      </c>
      <c r="I118" s="42" t="inlineStr">
        <is>
          <t>L4 – Senior</t>
        </is>
      </c>
      <c r="J118" s="16" t="inlineStr">
        <is>
          <t>A3</t>
        </is>
      </c>
      <c r="K118" s="17" t="inlineStr">
        <is>
          <t>Senior Associate</t>
        </is>
      </c>
      <c r="L118" s="88" t="inlineStr">
        <is>
          <t>• Same level</t>
        </is>
      </c>
      <c r="M118" s="12" t="inlineStr">
        <is>
          <t>CARBON · Services · Band A · Early career</t>
        </is>
      </c>
      <c r="N118" s="42" t="n">
        <v>3</v>
      </c>
      <c r="O118" s="42" t="n">
        <v>2.5</v>
      </c>
      <c r="P118" s="42" t="n">
        <v>2.5</v>
      </c>
      <c r="Q118" s="42" t="n">
        <v>1.5</v>
      </c>
      <c r="R118" s="42" t="n">
        <v>9</v>
      </c>
      <c r="S118" s="80" t="n">
        <v>3</v>
      </c>
      <c r="T118" s="81">
        <f>IF(OR($M118="",COUNT(N118,O118,P118,Q118,R118,S118)&lt;6),"",IFERROR(N118*INDEX(WM_C,MATCH($M118,WM_KEY,0))+O118*INDEX(WM_AU,MATCH($M118,WM_KEY,0))+P118*INDEX(WM_AC,MATCH($M118,WM_KEY,0))+Q118*INDEX(WM_L,MATCH($M118,WM_KEY,0))+R118*INDEX(WM_E,MATCH($M118,WM_KEY,0))+S118*INDEX(WM_BI,MATCH($M118,WM_KEY,0)),""))</f>
        <v>3.45</v>
      </c>
      <c r="U118" s="42" t="str">
        <f>IF(T118="","",INDEX({"A1","A2","A3","B1","B2","B3","C1","C2","D1","D2","E1","E2"},MAX(1,MIN(12,ROUND(T118,0)))))</f>
        <v>A3</v>
      </c>
      <c r="V118" s="12" t="inlineStr">
        <is>
          <r>
            <rPr>
              <rFont val="Calibri"/>
              <sz val="10"/>
            </rPr>
            <t xml:space="preserve">New level A3 · Senior Associate. Current level on record: L4 – Senior. Change: • Same level.
Score 3.45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18" s="12" t="inlineStr">
        <is>
          <r>
            <rPr>
              <rFont val="Calibri"/>
              <b val="1"/>
              <sz val="10"/>
            </rPr>
            <t>Complexity &amp; Expertise:</t>
          </r>
          <r>
            <rPr>
              <rFont val="Calibri"/>
              <sz val="10"/>
            </rPr>
            <t xml:space="preserve"> 3 of 12 — Start: 3.0 · senior practitioner title; Evidence reads like A3: ESEF/IFRS tagging across markets plus ESG taxonomies, validation and quality assurance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3.0 · senior practitioner title; Evidence reads like A2: Only validation issues named as independent decisions → moved down 0.5
</t>
          </r>
          <r>
            <rPr>
              <rFont val="Calibri"/>
              <b val="1"/>
              <sz val="10"/>
            </rPr>
            <t>Accountability &amp; Impact:</t>
          </r>
          <r>
            <rPr>
              <rFont val="Calibri"/>
              <sz val="10"/>
            </rPr>
            <t xml:space="preserve"> 2.5 of 12 · between A2 and A3 — Start: 3.0 · senior practitioner title; Evidence reads like A2: Accuracy and completeness of own tagging and validation; output goes to the CEM → moved down 0.5;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9 of 12 — Experience: 17.0 yrs total · 1.6 before IRIS + 15.4 at IRIS = 8.8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18"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18" s="12" t="inlineStr">
        <is>
          <r>
            <rPr>
              <rFont val="Calibri"/>
              <sz val="10"/>
            </rPr>
            <t xml:space="preserve">✓ HRIS: 17.0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18" s="82" t="inlineStr">
        <is>
          <r>
            <rPr>
              <rFont val="Calibri"/>
              <color rgb="009C5700"/>
              <sz val="10"/>
            </rPr>
            <t xml:space="preserve">• </t>
          </r>
          <r>
            <rPr>
              <rFont val="Calibri"/>
              <b val="1"/>
              <color rgb="009C5700"/>
              <sz val="10"/>
            </rPr>
            <t>Close call:</t>
          </r>
          <r>
            <rPr>
              <rFont val="Calibri"/>
              <color rgb="009C5700"/>
              <sz val="10"/>
            </rPr>
            <t xml:space="preserve"> score 3.45 is within 0.05 of a rounding point</t>
          </r>
        </is>
      </c>
      <c r="AA118" s="12" t="inlineStr">
        <is>
          <t>Nothing outstanding</t>
        </is>
      </c>
      <c r="AB11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18" s="84" t="n"/>
      <c r="AD118" s="84" t="n"/>
      <c r="AE118" s="84" t="n"/>
      <c r="AF118" s="12" t="n">
        <v>3</v>
      </c>
    </row>
    <row r="119" ht="400" customHeight="1">
      <c r="A119" s="12" t="inlineStr">
        <is>
          <t>IRIS0135</t>
        </is>
      </c>
      <c r="B119" s="10" t="inlineStr">
        <is>
          <t>Ashok Yadav</t>
        </is>
      </c>
      <c r="C119" s="12" t="inlineStr">
        <is>
          <t>Services</t>
        </is>
      </c>
      <c r="D119" s="12" t="inlineStr">
        <is>
          <t>Senior Financial Analyst</t>
        </is>
      </c>
      <c r="E119" s="12" t="inlineStr">
        <is>
          <t>Senior Financial Analyst</t>
        </is>
      </c>
      <c r="F119" s="12" t="inlineStr">
        <is>
          <t>Consulting &amp; Professional Services</t>
        </is>
      </c>
      <c r="G119" s="12" t="inlineStr">
        <is>
          <t>XBRL Tagging, Conversion &amp; Filing</t>
        </is>
      </c>
      <c r="H119" s="12" t="inlineStr">
        <is>
          <t>IC</t>
        </is>
      </c>
      <c r="I119" s="42" t="inlineStr">
        <is>
          <t>L4 – Senior</t>
        </is>
      </c>
      <c r="J119" s="16" t="inlineStr">
        <is>
          <t>A3</t>
        </is>
      </c>
      <c r="K119" s="17" t="inlineStr">
        <is>
          <t>Senior Associate</t>
        </is>
      </c>
      <c r="L119" s="88" t="inlineStr">
        <is>
          <t>• Same level</t>
        </is>
      </c>
      <c r="M119" s="12" t="inlineStr">
        <is>
          <t>CARBON · Services · Band A · Early career</t>
        </is>
      </c>
      <c r="N119" s="42" t="n">
        <v>3</v>
      </c>
      <c r="O119" s="42" t="n">
        <v>2.5</v>
      </c>
      <c r="P119" s="42" t="n">
        <v>2.5</v>
      </c>
      <c r="Q119" s="42" t="n">
        <v>1.5</v>
      </c>
      <c r="R119" s="42" t="n">
        <v>9.5</v>
      </c>
      <c r="S119" s="80" t="n">
        <v>3</v>
      </c>
      <c r="T119" s="81">
        <f>IF(OR($M119="",COUNT(N119,O119,P119,Q119,R119,S119)&lt;6),"",IFERROR(N119*INDEX(WM_C,MATCH($M119,WM_KEY,0))+O119*INDEX(WM_AU,MATCH($M119,WM_KEY,0))+P119*INDEX(WM_AC,MATCH($M119,WM_KEY,0))+Q119*INDEX(WM_L,MATCH($M119,WM_KEY,0))+R119*INDEX(WM_E,MATCH($M119,WM_KEY,0))+S119*INDEX(WM_BI,MATCH($M119,WM_KEY,0)),""))</f>
        <v>3.5</v>
      </c>
      <c r="U119" s="42" t="str">
        <f>IF(T119="","",INDEX({"A1","A2","A3","B1","B2","B3","C1","C2","D1","D2","E1","E2"},MAX(1,MIN(12,ROUND(T119,0)))))</f>
        <v>B1</v>
      </c>
      <c r="V119" s="12" t="inlineStr">
        <is>
          <r>
            <rPr>
              <rFont val="Calibri"/>
              <sz val="10"/>
            </rPr>
            <t xml:space="preserve">New level A3 · Senior Associate. Current level on record: L4 – Senior. Change: • Same level.
Score 3.50 on the ladder scale → indicated level B1.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3.42.
</t>
          </r>
          <r>
            <rPr>
              <rFont val="Calibri"/>
              <b val="1"/>
              <sz val="10"/>
            </rPr>
            <t>Final level:</t>
          </r>
          <r>
            <rPr>
              <rFont val="Calibri"/>
              <sz val="10"/>
            </rPr>
            <t xml:space="preserve"> A3.</t>
          </r>
        </is>
      </c>
      <c r="W119" s="12" t="inlineStr">
        <is>
          <r>
            <rPr>
              <rFont val="Calibri"/>
              <b val="1"/>
              <sz val="10"/>
            </rPr>
            <t>Complexity &amp; Expertise:</t>
          </r>
          <r>
            <rPr>
              <rFont val="Calibri"/>
              <sz val="10"/>
            </rPr>
            <t xml:space="preserve"> 3 of 12 — Start: 3.0 · senior practitioner title; Evidence reads like A3: Prepares, tags and QCs documents and files different US SEC form types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3.0 · senior practitioner title; Evidence reads like A2: No decisions stated; follows US mandate process, work reallocated via shift lead → moved down 0.5
</t>
          </r>
          <r>
            <rPr>
              <rFont val="Calibri"/>
              <b val="1"/>
              <sz val="10"/>
            </rPr>
            <t>Accountability &amp; Impact:</t>
          </r>
          <r>
            <rPr>
              <rFont val="Calibri"/>
              <sz val="10"/>
            </rPr>
            <t xml:space="preserve"> 2.5 of 12 · between A2 and A3 — Start: 3.0 · senior practitioner title; Evidence reads like A2: Accuracy and timeliness of own assigned tagging, QC and filing activities → moved down 0.5;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9.5 of 12 · between D1 and D2 — Experience: 18.9 yrs total · 18.9 at IRIS; none recorded before IRIS = 9.4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19"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19" s="12" t="inlineStr">
        <is>
          <r>
            <rPr>
              <rFont val="Calibri"/>
              <sz val="10"/>
            </rPr>
            <t xml:space="preserve">✓ HRIS: 18.9 yrs, B.Com, 0 direct reports
✓ Survey: 19 of 20 questions answered
✓ KRAs: submitted, reported deliverables
✓ Manager mapping: rating, potential, 9-box
✗ Job description: not on file
</t>
          </r>
          <r>
            <rPr>
              <rFont val="Calibri"/>
              <b val="1"/>
              <sz val="10"/>
            </rPr>
            <t>Confidence:</t>
          </r>
          <r>
            <rPr>
              <rFont val="Calibri"/>
              <sz val="10"/>
            </rPr>
            <t xml:space="preserve"> Medium</t>
          </r>
        </is>
      </c>
      <c r="Z119" s="82" t="inlineStr">
        <is>
          <r>
            <rPr>
              <rFont val="Calibri"/>
              <color rgb="009C5700"/>
              <sz val="10"/>
            </rPr>
            <t xml:space="preserve">• </t>
          </r>
          <r>
            <rPr>
              <rFont val="Calibri"/>
              <b val="1"/>
              <color rgb="009C5700"/>
              <sz val="10"/>
            </rPr>
            <t>Near a gate:</t>
          </r>
          <r>
            <rPr>
              <rFont val="Calibri"/>
              <color rgb="009C5700"/>
              <sz val="10"/>
            </rPr>
            <t xml:space="preserve"> top of band: 3.42 on Band B's weights, 0.08 short of the 3.5 needed to enter Band B</t>
          </r>
        </is>
      </c>
      <c r="AA119" s="12" t="inlineStr">
        <is>
          <t>Nothing outstanding</t>
        </is>
      </c>
      <c r="AB11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work only this person does: no;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19" s="84" t="n"/>
      <c r="AD119" s="84" t="n"/>
      <c r="AE119" s="84" t="n"/>
      <c r="AF119" s="12" t="n">
        <v>3</v>
      </c>
    </row>
    <row r="120" ht="400" customHeight="1">
      <c r="A120" s="12" t="inlineStr">
        <is>
          <t>IRIS1703</t>
        </is>
      </c>
      <c r="B120" s="10" t="inlineStr">
        <is>
          <t>Atul Paradkar</t>
        </is>
      </c>
      <c r="C120" s="12" t="inlineStr">
        <is>
          <t>Services</t>
        </is>
      </c>
      <c r="D120" s="12" t="inlineStr">
        <is>
          <t>Financial Analyst</t>
        </is>
      </c>
      <c r="E120" s="85" t="inlineStr">
        <is>
          <t>Senior Financial Analyst</t>
        </is>
      </c>
      <c r="F120" s="12" t="inlineStr">
        <is>
          <t>Consulting &amp; Professional Services</t>
        </is>
      </c>
      <c r="G120" s="12" t="inlineStr">
        <is>
          <t>XBRL Tagging, Conversion &amp; Filing</t>
        </is>
      </c>
      <c r="H120" s="12" t="inlineStr">
        <is>
          <t>IC</t>
        </is>
      </c>
      <c r="I120" s="42" t="inlineStr">
        <is>
          <t>L3 – Professional / Associate</t>
        </is>
      </c>
      <c r="J120" s="16" t="inlineStr">
        <is>
          <t>A3</t>
        </is>
      </c>
      <c r="K120" s="17" t="inlineStr">
        <is>
          <t>Senior Associate</t>
        </is>
      </c>
      <c r="L120" s="87" t="inlineStr">
        <is>
          <t>▲ Up</t>
        </is>
      </c>
      <c r="M120" s="12" t="inlineStr">
        <is>
          <t>CARBON · Services · Band A · Early career</t>
        </is>
      </c>
      <c r="N120" s="42" t="n">
        <v>2.5</v>
      </c>
      <c r="O120" s="42" t="n">
        <v>2</v>
      </c>
      <c r="P120" s="42" t="n">
        <v>2.5</v>
      </c>
      <c r="Q120" s="42" t="n">
        <v>1</v>
      </c>
      <c r="R120" s="42" t="n">
        <v>9.5</v>
      </c>
      <c r="S120" s="80" t="n">
        <v>3</v>
      </c>
      <c r="T120" s="81">
        <f>IF(OR($M120="",COUNT(N120,O120,P120,Q120,R120,S120)&lt;6),"",IFERROR(N120*INDEX(WM_C,MATCH($M120,WM_KEY,0))+O120*INDEX(WM_AU,MATCH($M120,WM_KEY,0))+P120*INDEX(WM_AC,MATCH($M120,WM_KEY,0))+Q120*INDEX(WM_L,MATCH($M120,WM_KEY,0))+R120*INDEX(WM_E,MATCH($M120,WM_KEY,0))+S120*INDEX(WM_BI,MATCH($M120,WM_KEY,0)),""))</f>
        <v>3.15</v>
      </c>
      <c r="U120" s="42" t="str">
        <f>IF(T120="","",INDEX({"A1","A2","A3","B1","B2","B3","C1","C2","D1","D2","E1","E2"},MAX(1,MIN(12,ROUND(T120,0)))))</f>
        <v>A3</v>
      </c>
      <c r="V120" s="12" t="inlineStr">
        <is>
          <r>
            <rPr>
              <rFont val="Calibri"/>
              <sz val="10"/>
            </rPr>
            <t xml:space="preserve">New level A3 · Senior Associate. Current level on record: L3 – Professional / Associate. Change: ▲ Up.
Score 3.15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0" s="12" t="inlineStr">
        <is>
          <r>
            <rPr>
              <rFont val="Calibri"/>
              <b val="1"/>
              <sz val="10"/>
            </rPr>
            <t>Complexity &amp; Expertise:</t>
          </r>
          <r>
            <rPr>
              <rFont val="Calibri"/>
              <sz val="10"/>
            </rPr>
            <t xml:space="preserve"> 2.5 of 12 · between A2 and A3 — Start: 2.0 · practitioner title; Evidence reads like A3: End-to-end MCA and ESMA filings with QC, validation, client queries; KVK; Carbon tool testing → moved up 0.5;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No decisions stated; manages filings end to end within the process → matches the start
</t>
          </r>
          <r>
            <rPr>
              <rFont val="Calibri"/>
              <b val="1"/>
              <sz val="10"/>
            </rPr>
            <t>Accountability &amp; Impact:</t>
          </r>
          <r>
            <rPr>
              <rFont val="Calibri"/>
              <sz val="10"/>
            </rPr>
            <t xml:space="preserve"> 2.5 of 12 · between A2 and A3 — Start: 2.0 · practitioner title; Evidence reads like A3: Timely, accurate files shared with clients for MCA and ESMA filing → moved up 0.5;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9.5 of 12 · between D1 and D2 — Experience: 17.3 yrs total · 8.6 before IRIS + 8.7 at IRIS = 8.9 on the experience scale; Qualification: PGDM · postgraduate, relevant to the work → +0.5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20"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20" s="12" t="inlineStr">
        <is>
          <r>
            <rPr>
              <rFont val="Calibri"/>
              <sz val="10"/>
            </rPr>
            <t xml:space="preserve">✓ HRIS: 17.3 yrs, PGDM, 0 direct reports
✓ Survey: 19 of 20 questions answered
✓ KRAs: submitted, reported deliverables
✓ Manager mapping: rating, potential, 9-box
✗ Job description: not on file
</t>
          </r>
          <r>
            <rPr>
              <rFont val="Calibri"/>
              <b val="1"/>
              <sz val="10"/>
            </rPr>
            <t>Confidence:</t>
          </r>
          <r>
            <rPr>
              <rFont val="Calibri"/>
              <sz val="10"/>
            </rPr>
            <t xml:space="preserve"> Medium</t>
          </r>
        </is>
      </c>
      <c r="Z120" s="12" t="inlineStr">
        <is>
          <t>—</t>
        </is>
      </c>
      <c r="AA120" s="12" t="inlineStr">
        <is>
          <t>Nothing outstanding</t>
        </is>
      </c>
      <c r="AB12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20" s="84" t="n"/>
      <c r="AD120" s="84" t="n"/>
      <c r="AE120" s="84" t="n"/>
      <c r="AF120" s="12" t="n">
        <v>3</v>
      </c>
    </row>
    <row r="121" ht="400" customHeight="1">
      <c r="A121" s="12" t="inlineStr">
        <is>
          <t>IRIS0830</t>
        </is>
      </c>
      <c r="B121" s="10" t="inlineStr">
        <is>
          <t>Bhavik Raparka</t>
        </is>
      </c>
      <c r="C121" s="12" t="inlineStr">
        <is>
          <t>Services</t>
        </is>
      </c>
      <c r="D121" s="12" t="inlineStr">
        <is>
          <t>Senior Financial Analyst</t>
        </is>
      </c>
      <c r="E121" s="12" t="inlineStr">
        <is>
          <t>Senior Financial Analyst</t>
        </is>
      </c>
      <c r="F121" s="12" t="inlineStr">
        <is>
          <t>Consulting &amp; Professional Services</t>
        </is>
      </c>
      <c r="G121" s="12" t="inlineStr">
        <is>
          <t>XBRL Tagging, Conversion &amp; Filing</t>
        </is>
      </c>
      <c r="H121" s="12" t="inlineStr">
        <is>
          <t>IC</t>
        </is>
      </c>
      <c r="I121" s="42" t="inlineStr">
        <is>
          <t>L4 – Senior</t>
        </is>
      </c>
      <c r="J121" s="16" t="inlineStr">
        <is>
          <t>A3</t>
        </is>
      </c>
      <c r="K121" s="17" t="inlineStr">
        <is>
          <t>Senior Associate</t>
        </is>
      </c>
      <c r="L121" s="88" t="inlineStr">
        <is>
          <t>• Same level</t>
        </is>
      </c>
      <c r="M121" s="12" t="inlineStr">
        <is>
          <t>CARBON · Services · Band A · Early career</t>
        </is>
      </c>
      <c r="N121" s="42" t="n">
        <v>3</v>
      </c>
      <c r="O121" s="42" t="n">
        <v>2.5</v>
      </c>
      <c r="P121" s="42" t="n">
        <v>2.5</v>
      </c>
      <c r="Q121" s="42" t="n">
        <v>1.5</v>
      </c>
      <c r="R121" s="42" t="n">
        <v>8</v>
      </c>
      <c r="S121" s="80" t="n">
        <v>3</v>
      </c>
      <c r="T121" s="81">
        <f>IF(OR($M121="",COUNT(N121,O121,P121,Q121,R121,S121)&lt;6),"",IFERROR(N121*INDEX(WM_C,MATCH($M121,WM_KEY,0))+O121*INDEX(WM_AU,MATCH($M121,WM_KEY,0))+P121*INDEX(WM_AC,MATCH($M121,WM_KEY,0))+Q121*INDEX(WM_L,MATCH($M121,WM_KEY,0))+R121*INDEX(WM_E,MATCH($M121,WM_KEY,0))+S121*INDEX(WM_BI,MATCH($M121,WM_KEY,0)),""))</f>
        <v>3.35</v>
      </c>
      <c r="U121" s="42" t="str">
        <f>IF(T121="","",INDEX({"A1","A2","A3","B1","B2","B3","C1","C2","D1","D2","E1","E2"},MAX(1,MIN(12,ROUND(T121,0)))))</f>
        <v>A3</v>
      </c>
      <c r="V121" s="12" t="inlineStr">
        <is>
          <r>
            <rPr>
              <rFont val="Calibri"/>
              <sz val="10"/>
            </rPr>
            <t xml:space="preserve">New level A3 · Senior Associate. Current level on record: L4 – Senior. Change: • Same level.
Score 3.35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1" s="12" t="inlineStr">
        <is>
          <r>
            <rPr>
              <rFont val="Calibri"/>
              <b val="1"/>
              <sz val="10"/>
            </rPr>
            <t>Complexity &amp; Expertise:</t>
          </r>
          <r>
            <rPr>
              <rFont val="Calibri"/>
              <sz val="10"/>
            </rPr>
            <t xml:space="preserve"> 3 of 12 — Start: 3.0 · senior practitioner title; Evidence reads like A3: Tagging, QC reviews and form filings for US mandate; resolves routine issues by guidelines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3.0 · senior practitioner title; Evidence reads like A2: Prioritises own workload, resolves routine issues; escalates complex or unfamiliar situations → moved down 0.5
</t>
          </r>
          <r>
            <rPr>
              <rFont val="Calibri"/>
              <b val="1"/>
              <sz val="10"/>
            </rPr>
            <t>Accountability &amp; Impact:</t>
          </r>
          <r>
            <rPr>
              <rFont val="Calibri"/>
              <sz val="10"/>
            </rPr>
            <t xml:space="preserve"> 2.5 of 12 · between A2 and A3 — Start: 3.0 · senior practitioner title; Evidence reads like A2: Accuracy and timeliness of own assigned tagging, QC and filing activities → moved down 0.5;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8 of 12 — Experience: 15.1 yrs total · 15.1 at IRIS; none recorded before IRIS = 8.2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21"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21" s="12" t="inlineStr">
        <is>
          <r>
            <rPr>
              <rFont val="Calibri"/>
              <sz val="10"/>
            </rPr>
            <t xml:space="preserve">✓ HRIS: 15.1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21" s="12" t="inlineStr">
        <is>
          <t>—</t>
        </is>
      </c>
      <c r="AA121" s="12" t="inlineStr">
        <is>
          <t>Nothing outstanding</t>
        </is>
      </c>
      <c r="AB12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21" s="84" t="n"/>
      <c r="AD121" s="84" t="n"/>
      <c r="AE121" s="84" t="n"/>
      <c r="AF121" s="12" t="n">
        <v>3</v>
      </c>
    </row>
    <row r="122" ht="400" customHeight="1">
      <c r="A122" s="12" t="inlineStr">
        <is>
          <t>IRISC267</t>
        </is>
      </c>
      <c r="B122" s="10" t="inlineStr">
        <is>
          <t>Chaitali Chatterjee</t>
        </is>
      </c>
      <c r="C122" s="12" t="inlineStr">
        <is>
          <t>Services</t>
        </is>
      </c>
      <c r="D122" s="12" t="inlineStr">
        <is>
          <t>Consultant</t>
        </is>
      </c>
      <c r="E122" s="85" t="inlineStr">
        <is>
          <t>Senior Financial Analyst</t>
        </is>
      </c>
      <c r="F122" s="12" t="inlineStr">
        <is>
          <t>Consulting &amp; Professional Services</t>
        </is>
      </c>
      <c r="G122" s="12" t="inlineStr">
        <is>
          <t>XBRL Tagging, Conversion &amp; Filing</t>
        </is>
      </c>
      <c r="H122" s="12" t="inlineStr">
        <is>
          <t>IC</t>
        </is>
      </c>
      <c r="I122" s="42" t="inlineStr">
        <is>
          <t>L3 – Professional / Associate</t>
        </is>
      </c>
      <c r="J122" s="16" t="inlineStr">
        <is>
          <t>A3</t>
        </is>
      </c>
      <c r="K122" s="17" t="inlineStr">
        <is>
          <t>Senior Associate</t>
        </is>
      </c>
      <c r="L122" s="87" t="inlineStr">
        <is>
          <t>▲ Up</t>
        </is>
      </c>
      <c r="M122" s="12" t="inlineStr">
        <is>
          <t>CARBON · Services · Band A · Early career</t>
        </is>
      </c>
      <c r="N122" s="42" t="n">
        <v>2.5</v>
      </c>
      <c r="O122" s="42" t="n">
        <v>2.5</v>
      </c>
      <c r="P122" s="42" t="n">
        <v>2.5</v>
      </c>
      <c r="Q122" s="42" t="n">
        <v>1</v>
      </c>
      <c r="R122" s="42" t="n">
        <v>6.5</v>
      </c>
      <c r="S122" s="80" t="n">
        <v>3</v>
      </c>
      <c r="T122" s="81">
        <f>IF(OR($M122="",COUNT(N122,O122,P122,Q122,R122,S122)&lt;6),"",IFERROR(N122*INDEX(WM_C,MATCH($M122,WM_KEY,0))+O122*INDEX(WM_AU,MATCH($M122,WM_KEY,0))+P122*INDEX(WM_AC,MATCH($M122,WM_KEY,0))+Q122*INDEX(WM_L,MATCH($M122,WM_KEY,0))+R122*INDEX(WM_E,MATCH($M122,WM_KEY,0))+S122*INDEX(WM_BI,MATCH($M122,WM_KEY,0)),""))</f>
        <v>2.93</v>
      </c>
      <c r="U122" s="42" t="str">
        <f>IF(T122="","",INDEX({"A1","A2","A3","B1","B2","B3","C1","C2","D1","D2","E1","E2"},MAX(1,MIN(12,ROUND(T122,0)))))</f>
        <v>A3</v>
      </c>
      <c r="V122" s="12" t="inlineStr">
        <is>
          <r>
            <rPr>
              <rFont val="Calibri"/>
              <sz val="10"/>
            </rPr>
            <t xml:space="preserve">New level A3 · Senior Associate. Current level on record: L3 – Professional / Associate. Change: ▲ Up.
Score 2.93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2" s="12" t="inlineStr">
        <is>
          <r>
            <rPr>
              <rFont val="Calibri"/>
              <b val="1"/>
              <sz val="10"/>
            </rPr>
            <t>Complexity &amp; Expertise:</t>
          </r>
          <r>
            <rPr>
              <rFont val="Calibri"/>
              <sz val="10"/>
            </rPr>
            <t xml:space="preserve"> 2.5 of 12 · between A2 and A3 — Start: 2.0 · practitioner title; Evidence: rated like 3 colleagues in the same role and department · no usable answers of their own → moved +0.5;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2.0 · practitioner title; Evidence: rated like 3 colleagues in the same role and department · no usable answers of their own → moved +0.5
</t>
          </r>
          <r>
            <rPr>
              <rFont val="Calibri"/>
              <b val="1"/>
              <sz val="10"/>
            </rPr>
            <t>Accountability &amp; Impact:</t>
          </r>
          <r>
            <rPr>
              <rFont val="Calibri"/>
              <sz val="10"/>
            </rPr>
            <t xml:space="preserve"> 2.5 of 12 · between A2 and A3 — Start: 2.0 · practitioner title; Evidence: rated like 3 colleagues in the same role and department · no usable answers of their own → moved +0.5;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rated like 3 colleagues in the same role and department · no usable answers of their own → no change; Team: 0 direct reports · IC
</t>
          </r>
          <r>
            <rPr>
              <rFont val="Calibri"/>
              <b val="1"/>
              <sz val="10"/>
            </rPr>
            <t>Experience &amp; Qualification:</t>
          </r>
          <r>
            <rPr>
              <rFont val="Calibri"/>
              <sz val="10"/>
            </rPr>
            <t xml:space="preserve"> 6.5 of 12 · between B3 and C1 — Experience: 11.3 yrs total · 8.2 before IRIS + 3.1 at IRIS = 6.7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22"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22" s="12" t="inlineStr">
        <is>
          <r>
            <rPr>
              <rFont val="Calibri"/>
              <sz val="10"/>
            </rPr>
            <t xml:space="preserve">✓ HRIS: 11.3 yrs, B.Com, 0 direct reports
✗ Survey: no response
✓ KRAs: submitted
✓ Manager mapping: rating, 9-box — filled from talent-mapping files: total experience, date of joining
✗ Job description: not on file
</t>
          </r>
          <r>
            <rPr>
              <rFont val="Calibri"/>
              <b val="1"/>
              <sz val="10"/>
            </rPr>
            <t>Confidence:</t>
          </r>
          <r>
            <rPr>
              <rFont val="Calibri"/>
              <sz val="10"/>
            </rPr>
            <t xml:space="preserve"> Low</t>
          </r>
        </is>
      </c>
      <c r="Z122" s="12" t="inlineStr">
        <is>
          <t>—</t>
        </is>
      </c>
      <c r="AA122" s="12" t="inlineStr">
        <is>
          <t>Nothing outstanding</t>
        </is>
      </c>
      <c r="AB12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Not rated · manager · 9-Box Grid placement: Not placed · manager.</t>
          </r>
        </is>
      </c>
      <c r="AC122" s="84" t="n"/>
      <c r="AD122" s="84" t="n"/>
      <c r="AE122" s="84" t="n"/>
      <c r="AF122" s="12" t="n">
        <v>3</v>
      </c>
    </row>
    <row r="123" ht="400" customHeight="1">
      <c r="A123" s="12" t="inlineStr">
        <is>
          <t>IRIS0508</t>
        </is>
      </c>
      <c r="B123" s="10" t="inlineStr">
        <is>
          <t>Dhananjay Bavkar</t>
        </is>
      </c>
      <c r="C123" s="12" t="inlineStr">
        <is>
          <t>Services</t>
        </is>
      </c>
      <c r="D123" s="12" t="inlineStr">
        <is>
          <t>Senior Financial Analyst</t>
        </is>
      </c>
      <c r="E123" s="12" t="inlineStr">
        <is>
          <t>Senior Financial Analyst</t>
        </is>
      </c>
      <c r="F123" s="12" t="inlineStr">
        <is>
          <t>Consulting &amp; Professional Services</t>
        </is>
      </c>
      <c r="G123" s="12" t="inlineStr">
        <is>
          <t>XBRL Tagging, Conversion &amp; Filing</t>
        </is>
      </c>
      <c r="H123" s="12" t="inlineStr">
        <is>
          <t>IC</t>
        </is>
      </c>
      <c r="I123" s="42" t="inlineStr">
        <is>
          <t>L4 – Senior</t>
        </is>
      </c>
      <c r="J123" s="16" t="inlineStr">
        <is>
          <t>A3</t>
        </is>
      </c>
      <c r="K123" s="17" t="inlineStr">
        <is>
          <t>Senior Associate</t>
        </is>
      </c>
      <c r="L123" s="88" t="inlineStr">
        <is>
          <t>• Same level</t>
        </is>
      </c>
      <c r="M123" s="12" t="inlineStr">
        <is>
          <t>CARBON · Services · Band A · Early career</t>
        </is>
      </c>
      <c r="N123" s="42" t="n">
        <v>3</v>
      </c>
      <c r="O123" s="42" t="n">
        <v>3</v>
      </c>
      <c r="P123" s="42" t="n">
        <v>2.5</v>
      </c>
      <c r="Q123" s="42" t="n">
        <v>1.5</v>
      </c>
      <c r="R123" s="42" t="n">
        <v>8.5</v>
      </c>
      <c r="S123" s="80" t="n">
        <v>3</v>
      </c>
      <c r="T123" s="81">
        <f>IF(OR($M123="",COUNT(N123,O123,P123,Q123,R123,S123)&lt;6),"",IFERROR(N123*INDEX(WM_C,MATCH($M123,WM_KEY,0))+O123*INDEX(WM_AU,MATCH($M123,WM_KEY,0))+P123*INDEX(WM_AC,MATCH($M123,WM_KEY,0))+Q123*INDEX(WM_L,MATCH($M123,WM_KEY,0))+R123*INDEX(WM_E,MATCH($M123,WM_KEY,0))+S123*INDEX(WM_BI,MATCH($M123,WM_KEY,0)),""))</f>
        <v>3.48</v>
      </c>
      <c r="U123" s="42" t="str">
        <f>IF(T123="","",INDEX({"A1","A2","A3","B1","B2","B3","C1","C2","D1","D2","E1","E2"},MAX(1,MIN(12,ROUND(T123,0)))))</f>
        <v>A3</v>
      </c>
      <c r="V123" s="12" t="inlineStr">
        <is>
          <r>
            <rPr>
              <rFont val="Calibri"/>
              <sz val="10"/>
            </rPr>
            <t xml:space="preserve">New level A3 · Senior Associate. Current level on record: L4 – Senior. Change: • Same level.
Score 3.48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3" s="12" t="inlineStr">
        <is>
          <r>
            <rPr>
              <rFont val="Calibri"/>
              <b val="1"/>
              <sz val="10"/>
            </rPr>
            <t>Complexity &amp; Expertise:</t>
          </r>
          <r>
            <rPr>
              <rFont val="Calibri"/>
              <sz val="10"/>
            </rPr>
            <t xml:space="preserve"> 3 of 12 — Start: 3.0 · senior practitioner title; Evidence reads like A3: Disclosure management, ESMA tagging and QA, taxonomy mapping, validation, software-update testing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3 of 12 — Start: 3.0 · senior practitioner title; Evidence reads like A3: Independently investigates validation errors, decides taxonomy mapping and makes corrections → matches the start
</t>
          </r>
          <r>
            <rPr>
              <rFont val="Calibri"/>
              <b val="1"/>
              <sz val="10"/>
            </rPr>
            <t>Accountability &amp; Impact:</t>
          </r>
          <r>
            <rPr>
              <rFont val="Calibri"/>
              <sz val="10"/>
            </rPr>
            <t xml:space="preserve"> 2.5 of 12 · between A2 and A3 — Start: 3.0 · senior practitioner title; Evidence reads like A2: Accuracy of own tagging, validation and disclosure updates; files go to CEM → moved down 0.5;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8.5 of 12 · between C2 and D1 — Experience: 15.7 yrs total · 15.7 at IRIS; none recorded before IRIS = 8.4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23"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23" s="12" t="inlineStr">
        <is>
          <r>
            <rPr>
              <rFont val="Calibri"/>
              <sz val="10"/>
            </rPr>
            <t xml:space="preserve">✓ HRIS: 15.7 yrs, B.Com, 0 direct reports
✓ Survey: 18 of 20 questions answered
✓ KRAs: submitted, reported deliverables
✓ Manager mapping: rating, potential, 9-box
✗ Job description: not on file
</t>
          </r>
          <r>
            <rPr>
              <rFont val="Calibri"/>
              <b val="1"/>
              <sz val="10"/>
            </rPr>
            <t>Confidence:</t>
          </r>
          <r>
            <rPr>
              <rFont val="Calibri"/>
              <sz val="10"/>
            </rPr>
            <t xml:space="preserve"> Medium</t>
          </r>
        </is>
      </c>
      <c r="Z123" s="82" t="inlineStr">
        <is>
          <r>
            <rPr>
              <rFont val="Calibri"/>
              <color rgb="009C5700"/>
              <sz val="10"/>
            </rPr>
            <t xml:space="preserve">• </t>
          </r>
          <r>
            <rPr>
              <rFont val="Calibri"/>
              <b val="1"/>
              <color rgb="009C5700"/>
              <sz val="10"/>
            </rPr>
            <t>Close call:</t>
          </r>
          <r>
            <rPr>
              <rFont val="Calibri"/>
              <color rgb="009C5700"/>
              <sz val="10"/>
            </rPr>
            <t xml:space="preserve"> score 3.48 is within 0.05 of a rounding point</t>
          </r>
        </is>
      </c>
      <c r="AA123" s="12" t="inlineStr">
        <is>
          <t>Nothing outstanding</t>
        </is>
      </c>
      <c r="AB12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23" s="84" t="n"/>
      <c r="AD123" s="84" t="n"/>
      <c r="AE123" s="84" t="n"/>
      <c r="AF123" s="12" t="n">
        <v>3</v>
      </c>
    </row>
    <row r="124" ht="400" customHeight="1">
      <c r="A124" s="12" t="inlineStr">
        <is>
          <t>IRIS0566</t>
        </is>
      </c>
      <c r="B124" s="10" t="inlineStr">
        <is>
          <t>Dipak Warkhade</t>
        </is>
      </c>
      <c r="C124" s="12" t="inlineStr">
        <is>
          <t>Services</t>
        </is>
      </c>
      <c r="D124" s="12" t="inlineStr">
        <is>
          <t>Financial Analyst</t>
        </is>
      </c>
      <c r="E124" s="85" t="inlineStr">
        <is>
          <t>Senior Financial Analyst</t>
        </is>
      </c>
      <c r="F124" s="12" t="inlineStr">
        <is>
          <t>Consulting &amp; Professional Services</t>
        </is>
      </c>
      <c r="G124" s="12" t="inlineStr">
        <is>
          <t>XBRL Tagging, Conversion &amp; Filing</t>
        </is>
      </c>
      <c r="H124" s="12" t="inlineStr">
        <is>
          <t>IC</t>
        </is>
      </c>
      <c r="I124" s="42" t="inlineStr">
        <is>
          <t>L3 – Professional / Associate</t>
        </is>
      </c>
      <c r="J124" s="16" t="inlineStr">
        <is>
          <t>A3</t>
        </is>
      </c>
      <c r="K124" s="17" t="inlineStr">
        <is>
          <t>Senior Associate</t>
        </is>
      </c>
      <c r="L124" s="87" t="inlineStr">
        <is>
          <t>▲ Up</t>
        </is>
      </c>
      <c r="M124" s="12" t="inlineStr">
        <is>
          <t>CARBON · Services · Band A · Early career</t>
        </is>
      </c>
      <c r="N124" s="42" t="n">
        <v>2</v>
      </c>
      <c r="O124" s="42" t="n">
        <v>2</v>
      </c>
      <c r="P124" s="42" t="n">
        <v>2</v>
      </c>
      <c r="Q124" s="42" t="n">
        <v>1</v>
      </c>
      <c r="R124" s="42" t="n">
        <v>8.5</v>
      </c>
      <c r="S124" s="80" t="n">
        <v>2.5</v>
      </c>
      <c r="T124" s="81">
        <f>IF(OR($M124="",COUNT(N124,O124,P124,Q124,R124,S124)&lt;6),"",IFERROR(N124*INDEX(WM_C,MATCH($M124,WM_KEY,0))+O124*INDEX(WM_AU,MATCH($M124,WM_KEY,0))+P124*INDEX(WM_AC,MATCH($M124,WM_KEY,0))+Q124*INDEX(WM_L,MATCH($M124,WM_KEY,0))+R124*INDEX(WM_E,MATCH($M124,WM_KEY,0))+S124*INDEX(WM_BI,MATCH($M124,WM_KEY,0)),""))</f>
        <v>2.68</v>
      </c>
      <c r="U124" s="42" t="str">
        <f>IF(T124="","",INDEX({"A1","A2","A3","B1","B2","B3","C1","C2","D1","D2","E1","E2"},MAX(1,MIN(12,ROUND(T124,0)))))</f>
        <v>A3</v>
      </c>
      <c r="V124" s="12" t="inlineStr">
        <is>
          <r>
            <rPr>
              <rFont val="Calibri"/>
              <sz val="10"/>
            </rPr>
            <t xml:space="preserve">New level A3 · Senior Associate. Current level on record: L3 – Professional / Associate. Change: ▲ Up.
Score 2.68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4" s="12" t="inlineStr">
        <is>
          <r>
            <rPr>
              <rFont val="Calibri"/>
              <b val="1"/>
              <sz val="10"/>
            </rPr>
            <t>Complexity &amp; Expertise:</t>
          </r>
          <r>
            <rPr>
              <rFont val="Calibri"/>
              <sz val="10"/>
            </rPr>
            <t xml:space="preserve"> 2 of 12 — Start: 2.0 · practitioner title; Evidence reads like A2: Formats, tags, reviews and validates files for ESMA, CIPC and HMRC to a set process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Decides tagging, review and validation on own files; output goes to QC team → matches the start
</t>
          </r>
          <r>
            <rPr>
              <rFont val="Calibri"/>
              <b val="1"/>
              <sz val="10"/>
            </rPr>
            <t>Accountability &amp; Impact:</t>
          </r>
          <r>
            <rPr>
              <rFont val="Calibri"/>
              <sz val="10"/>
            </rPr>
            <t xml:space="preserve"> 2 of 12 — Start: 2.0 · practitioner title; Evidence reads like A2: Own mapping, tagging and validation; errors return as client amendments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8.5 of 12 · between C2 and D1 — Experience: 15.5 yrs total · 15.5 at IRIS; none recorded before IRIS = 8.3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24"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24" s="12" t="inlineStr">
        <is>
          <r>
            <rPr>
              <rFont val="Calibri"/>
              <sz val="10"/>
            </rPr>
            <t xml:space="preserve">✓ HRIS: 15.5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24" s="12" t="inlineStr">
        <is>
          <t>—</t>
        </is>
      </c>
      <c r="AA124" s="12" t="inlineStr">
        <is>
          <t>Nothing outstanding</t>
        </is>
      </c>
      <c r="AB12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24" s="84" t="n"/>
      <c r="AD124" s="84" t="n"/>
      <c r="AE124" s="84" t="n"/>
      <c r="AF124" s="12" t="n">
        <v>2.5</v>
      </c>
    </row>
    <row r="125" ht="400" customHeight="1">
      <c r="A125" s="12" t="inlineStr">
        <is>
          <t>IRIS0027</t>
        </is>
      </c>
      <c r="B125" s="10" t="inlineStr">
        <is>
          <t>Haresh Misal</t>
        </is>
      </c>
      <c r="C125" s="12" t="inlineStr">
        <is>
          <t>Services</t>
        </is>
      </c>
      <c r="D125" s="12" t="inlineStr">
        <is>
          <t>Senior Financial Analyst</t>
        </is>
      </c>
      <c r="E125" s="12" t="inlineStr">
        <is>
          <t>Senior Financial Analyst</t>
        </is>
      </c>
      <c r="F125" s="12" t="inlineStr">
        <is>
          <t>Consulting &amp; Professional Services</t>
        </is>
      </c>
      <c r="G125" s="12" t="inlineStr">
        <is>
          <t>XBRL Tagging, Conversion &amp; Filing</t>
        </is>
      </c>
      <c r="H125" s="12" t="inlineStr">
        <is>
          <t>IC</t>
        </is>
      </c>
      <c r="I125" s="42" t="inlineStr">
        <is>
          <t>L4 – Senior</t>
        </is>
      </c>
      <c r="J125" s="16" t="inlineStr">
        <is>
          <t>A3</t>
        </is>
      </c>
      <c r="K125" s="17" t="inlineStr">
        <is>
          <t>Senior Associate</t>
        </is>
      </c>
      <c r="L125" s="88" t="inlineStr">
        <is>
          <t>• Same level</t>
        </is>
      </c>
      <c r="M125" s="12" t="inlineStr">
        <is>
          <t>CARBON · Services · Band A · Early career</t>
        </is>
      </c>
      <c r="N125" s="42" t="n">
        <v>2.5</v>
      </c>
      <c r="O125" s="42" t="n">
        <v>2.5</v>
      </c>
      <c r="P125" s="42" t="n">
        <v>2.5</v>
      </c>
      <c r="Q125" s="42" t="n">
        <v>1.5</v>
      </c>
      <c r="R125" s="42" t="n">
        <v>10</v>
      </c>
      <c r="S125" s="80" t="n">
        <v>3</v>
      </c>
      <c r="T125" s="81">
        <f>IF(OR($M125="",COUNT(N125,O125,P125,Q125,R125,S125)&lt;6),"",IFERROR(N125*INDEX(WM_C,MATCH($M125,WM_KEY,0))+O125*INDEX(WM_AU,MATCH($M125,WM_KEY,0))+P125*INDEX(WM_AC,MATCH($M125,WM_KEY,0))+Q125*INDEX(WM_L,MATCH($M125,WM_KEY,0))+R125*INDEX(WM_E,MATCH($M125,WM_KEY,0))+S125*INDEX(WM_BI,MATCH($M125,WM_KEY,0)),""))</f>
        <v>3.28</v>
      </c>
      <c r="U125" s="42" t="str">
        <f>IF(T125="","",INDEX({"A1","A2","A3","B1","B2","B3","C1","C2","D1","D2","E1","E2"},MAX(1,MIN(12,ROUND(T125,0)))))</f>
        <v>A3</v>
      </c>
      <c r="V125" s="12" t="inlineStr">
        <is>
          <r>
            <rPr>
              <rFont val="Calibri"/>
              <sz val="10"/>
            </rPr>
            <t xml:space="preserve">New level A3 · Senior Associate. Current level on record: L4 – Senior. Change: • Same level.
Score 3.28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5" s="12" t="inlineStr">
        <is>
          <r>
            <rPr>
              <rFont val="Calibri"/>
              <b val="1"/>
              <sz val="10"/>
            </rPr>
            <t>Complexity &amp; Expertise:</t>
          </r>
          <r>
            <rPr>
              <rFont val="Calibri"/>
              <sz val="10"/>
            </rPr>
            <t xml:space="preserve"> 2.5 of 12 · between A2 and A3 — Start: 3.0 · senior practitioner title; Evidence reads like A2: Tagging, QC analysis, client demo preparation and portal filing; text very thin → moved down 0.5;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3.0 · senior practitioner title; Evidence reads like A2: Only named decision is raising issues to support → moved down 0.5
</t>
          </r>
          <r>
            <rPr>
              <rFont val="Calibri"/>
              <b val="1"/>
              <sz val="10"/>
            </rPr>
            <t>Accountability &amp; Impact:</t>
          </r>
          <r>
            <rPr>
              <rFont val="Calibri"/>
              <sz val="10"/>
            </rPr>
            <t xml:space="preserve"> 2.5 of 12 · between A2 and A3 — Start: 3.0 · senior practitioner title; Evidence reads like A2: Error-free completion of own tagging and QC tasks → moved down 0.5;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10 of 12 — Experience: 21.2 yrs total · 21.2 at IRIS; none recorded before IRIS = 10.1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25"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25" s="12" t="inlineStr">
        <is>
          <r>
            <rPr>
              <rFont val="Calibri"/>
              <sz val="10"/>
            </rPr>
            <t xml:space="preserve">✓ HRIS: 21.2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25" s="82" t="inlineStr">
        <is>
          <t>• Survey response was submitted anonymously; the source record attributes it to this employee · Emp ID named in the matching note, so it is used. HR to tell the employee and record any correction during validation</t>
        </is>
      </c>
      <c r="AA125" s="12" t="inlineStr">
        <is>
          <t>Nothing outstanding</t>
        </is>
      </c>
      <c r="AB12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2 · Potential: Low · 9-Box Grid placement: Reliable Specialist.</t>
          </r>
        </is>
      </c>
      <c r="AC125" s="84" t="n"/>
      <c r="AD125" s="84" t="n"/>
      <c r="AE125" s="84" t="n"/>
      <c r="AF125" s="12" t="n">
        <v>3</v>
      </c>
    </row>
    <row r="126" ht="400" customHeight="1">
      <c r="A126" s="12" t="inlineStr">
        <is>
          <t>IRIS0014</t>
        </is>
      </c>
      <c r="B126" s="10" t="inlineStr">
        <is>
          <t>Jayavant Bhabal</t>
        </is>
      </c>
      <c r="C126" s="12" t="inlineStr">
        <is>
          <t>Services</t>
        </is>
      </c>
      <c r="D126" s="12" t="inlineStr">
        <is>
          <t>Financial Analyst</t>
        </is>
      </c>
      <c r="E126" s="85" t="inlineStr">
        <is>
          <t>Senior Service Delivery Analyst</t>
        </is>
      </c>
      <c r="F126" s="12" t="inlineStr">
        <is>
          <t>Consulting &amp; Professional Services</t>
        </is>
      </c>
      <c r="G126" s="12" t="inlineStr">
        <is>
          <t>Service Delivery Operations</t>
        </is>
      </c>
      <c r="H126" s="12" t="inlineStr">
        <is>
          <t>IC</t>
        </is>
      </c>
      <c r="I126" s="42" t="inlineStr">
        <is>
          <t>L3 – Professional / Associate</t>
        </is>
      </c>
      <c r="J126" s="16" t="inlineStr">
        <is>
          <t>A3</t>
        </is>
      </c>
      <c r="K126" s="17" t="inlineStr">
        <is>
          <t>Senior Associate</t>
        </is>
      </c>
      <c r="L126" s="87" t="inlineStr">
        <is>
          <t>▲ Up</t>
        </is>
      </c>
      <c r="M126" s="12" t="inlineStr">
        <is>
          <t>CARBON · Services · Band A · Early career</t>
        </is>
      </c>
      <c r="N126" s="42" t="n">
        <v>2.5</v>
      </c>
      <c r="O126" s="42" t="n">
        <v>2.5</v>
      </c>
      <c r="P126" s="42" t="n">
        <v>2.5</v>
      </c>
      <c r="Q126" s="42" t="n">
        <v>1.5</v>
      </c>
      <c r="R126" s="42" t="n">
        <v>11</v>
      </c>
      <c r="S126" s="80" t="n">
        <v>3</v>
      </c>
      <c r="T126" s="81">
        <f>IF(OR($M126="",COUNT(N126,O126,P126,Q126,R126,S126)&lt;6),"",IFERROR(N126*INDEX(WM_C,MATCH($M126,WM_KEY,0))+O126*INDEX(WM_AU,MATCH($M126,WM_KEY,0))+P126*INDEX(WM_AC,MATCH($M126,WM_KEY,0))+Q126*INDEX(WM_L,MATCH($M126,WM_KEY,0))+R126*INDEX(WM_E,MATCH($M126,WM_KEY,0))+S126*INDEX(WM_BI,MATCH($M126,WM_KEY,0)),""))</f>
        <v>3.38</v>
      </c>
      <c r="U126" s="42" t="str">
        <f>IF(T126="","",INDEX({"A1","A2","A3","B1","B2","B3","C1","C2","D1","D2","E1","E2"},MAX(1,MIN(12,ROUND(T126,0)))))</f>
        <v>A3</v>
      </c>
      <c r="V126" s="12" t="inlineStr">
        <is>
          <r>
            <rPr>
              <rFont val="Calibri"/>
              <sz val="10"/>
            </rPr>
            <t xml:space="preserve">New level A3 · Senior Associate. Current level on record: L3 – Professional / Associate. Change: ▲ Up.
Score 3.38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6" s="12" t="inlineStr">
        <is>
          <r>
            <rPr>
              <rFont val="Calibri"/>
              <b val="1"/>
              <sz val="10"/>
            </rPr>
            <t>Complexity &amp; Expertise:</t>
          </r>
          <r>
            <rPr>
              <rFont val="Calibri"/>
              <sz val="10"/>
            </rPr>
            <t xml:space="preserve"> 2.5 of 12 · between A2 and A3 — Start: 2.0 · practitioner title; Evidence reads like A3: Project monitoring, client billing, MIS for multiple clients, SARB vetting process → moved up 0.5; KRA: “1. Ensure files processed by team with &gt;=99% accuracy · zero critical errors. 2. Meet 100% of regulatory / client filing deadlines (no SLA…”
</t>
          </r>
          <r>
            <rPr>
              <rFont val="Calibri"/>
              <b val="1"/>
              <sz val="10"/>
            </rPr>
            <t>Autonomy &amp; Decision:</t>
          </r>
          <r>
            <rPr>
              <rFont val="Calibri"/>
              <sz val="10"/>
            </rPr>
            <t xml:space="preserve"> 2.5 of 12 · between A2 and A3 — Start: 2.0 · practitioner title; Evidence reads like A3: Prioritises tasks, validates billing data; manager note: allocates received files within the team → moved up 0.5
</t>
          </r>
          <r>
            <rPr>
              <rFont val="Calibri"/>
              <b val="1"/>
              <sz val="10"/>
            </rPr>
            <t>Accountability &amp; Impact:</t>
          </r>
          <r>
            <rPr>
              <rFont val="Calibri"/>
              <sz val="10"/>
            </rPr>
            <t xml:space="preserve"> 2.5 of 12 · between A2 and A3 — Start: 2.0 · practitioner title; Evidence reads like A3: Billing and MIS reporting end to end for multiple clients → moved up 0.5; KRA: “1. Ensure files processed by team with &gt;=99% accuracy · zero critical errors. 2. Meet 100% of regulatory / client filing deadlines (no SLA…”
</t>
          </r>
          <r>
            <rPr>
              <rFont val="Calibri"/>
              <b val="1"/>
              <sz val="10"/>
            </rPr>
            <t>Leadership &amp; Strategy:</t>
          </r>
          <r>
            <rPr>
              <rFont val="Calibri"/>
              <sz val="10"/>
            </rPr>
            <t xml:space="preserve"> 1.5 of 12 · between A1 and A2 — not counted: the weight is 0% at this level — Start: 1.0 · individual contributor, so influence only; Evidence reads like A2: Allocates incoming files to the team; no guiding or training described → moved up 0.5; Team: 0 direct reports · IC
</t>
          </r>
          <r>
            <rPr>
              <rFont val="Calibri"/>
              <b val="1"/>
              <sz val="10"/>
            </rPr>
            <t>Experience &amp; Qualification:</t>
          </r>
          <r>
            <rPr>
              <rFont val="Calibri"/>
              <sz val="10"/>
            </rPr>
            <t xml:space="preserve"> 11 of 12 — Experience: 24.4 yrs total · 2.4 before IRIS + 22.0 at IRIS = 11.1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26"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26" s="12" t="inlineStr">
        <is>
          <r>
            <rPr>
              <rFont val="Calibri"/>
              <sz val="10"/>
            </rPr>
            <t xml:space="preserve">✓ HRIS: 24.4 yrs, B.Com, 0 direct reports
✓ Survey: 18 of 20 questions answered
✓ KRAs: submitted, reported deliverables
✓ Manager mapping: rating, potential, 9-box
✗ Job description: not on file
</t>
          </r>
          <r>
            <rPr>
              <rFont val="Calibri"/>
              <b val="1"/>
              <sz val="10"/>
            </rPr>
            <t>Confidence:</t>
          </r>
          <r>
            <rPr>
              <rFont val="Calibri"/>
              <sz val="10"/>
            </rPr>
            <t xml:space="preserve"> Medium</t>
          </r>
        </is>
      </c>
      <c r="Z126" s="12" t="inlineStr">
        <is>
          <t>—</t>
        </is>
      </c>
      <c r="AA126" s="12" t="inlineStr">
        <is>
          <t>Nothing outstanding</t>
        </is>
      </c>
      <c r="AB12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client · delays.
Manager talent mapping — Latest rating: 4 · Potential: High · 9-Box Grid placement: Core Contributor.</t>
          </r>
        </is>
      </c>
      <c r="AC126" s="84" t="n"/>
      <c r="AD126" s="84" t="n"/>
      <c r="AE126" s="84" t="n"/>
      <c r="AF126" s="12" t="n">
        <v>3</v>
      </c>
    </row>
    <row r="127" ht="400" customHeight="1">
      <c r="A127" s="12" t="inlineStr">
        <is>
          <t>IRIS1124</t>
        </is>
      </c>
      <c r="B127" s="10" t="inlineStr">
        <is>
          <t>Kamlesh Bomble</t>
        </is>
      </c>
      <c r="C127" s="12" t="inlineStr">
        <is>
          <t>Services</t>
        </is>
      </c>
      <c r="D127" s="12" t="inlineStr">
        <is>
          <t>Senior Financial Analyst</t>
        </is>
      </c>
      <c r="E127" s="12" t="inlineStr">
        <is>
          <t>Senior Financial Analyst</t>
        </is>
      </c>
      <c r="F127" s="12" t="inlineStr">
        <is>
          <t>Consulting &amp; Professional Services</t>
        </is>
      </c>
      <c r="G127" s="12" t="inlineStr">
        <is>
          <t>XBRL Tagging, Conversion &amp; Filing</t>
        </is>
      </c>
      <c r="H127" s="12" t="inlineStr">
        <is>
          <t>IC</t>
        </is>
      </c>
      <c r="I127" s="42" t="inlineStr">
        <is>
          <t>L4 – Senior</t>
        </is>
      </c>
      <c r="J127" s="16" t="inlineStr">
        <is>
          <t>A3</t>
        </is>
      </c>
      <c r="K127" s="17" t="inlineStr">
        <is>
          <t>Senior Associate</t>
        </is>
      </c>
      <c r="L127" s="88" t="inlineStr">
        <is>
          <t>• Same level</t>
        </is>
      </c>
      <c r="M127" s="12" t="inlineStr">
        <is>
          <t>CARBON · Services · Band A · Early career</t>
        </is>
      </c>
      <c r="N127" s="42" t="n">
        <v>2.5</v>
      </c>
      <c r="O127" s="42" t="n">
        <v>2.5</v>
      </c>
      <c r="P127" s="42" t="n">
        <v>2.5</v>
      </c>
      <c r="Q127" s="42" t="n">
        <v>1.5</v>
      </c>
      <c r="R127" s="42" t="n">
        <v>8</v>
      </c>
      <c r="S127" s="80" t="n">
        <v>3</v>
      </c>
      <c r="T127" s="81">
        <f>IF(OR($M127="",COUNT(N127,O127,P127,Q127,R127,S127)&lt;6),"",IFERROR(N127*INDEX(WM_C,MATCH($M127,WM_KEY,0))+O127*INDEX(WM_AU,MATCH($M127,WM_KEY,0))+P127*INDEX(WM_AC,MATCH($M127,WM_KEY,0))+Q127*INDEX(WM_L,MATCH($M127,WM_KEY,0))+R127*INDEX(WM_E,MATCH($M127,WM_KEY,0))+S127*INDEX(WM_BI,MATCH($M127,WM_KEY,0)),""))</f>
        <v>3.08</v>
      </c>
      <c r="U127" s="42" t="str">
        <f>IF(T127="","",INDEX({"A1","A2","A3","B1","B2","B3","C1","C2","D1","D2","E1","E2"},MAX(1,MIN(12,ROUND(T127,0)))))</f>
        <v>A3</v>
      </c>
      <c r="V127" s="12" t="inlineStr">
        <is>
          <r>
            <rPr>
              <rFont val="Calibri"/>
              <sz val="10"/>
            </rPr>
            <t xml:space="preserve">New level A3 · Senior Associate. Current level on record: L4 – Senior. Change: • Same level.
Score 3.08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7" s="12" t="inlineStr">
        <is>
          <r>
            <rPr>
              <rFont val="Calibri"/>
              <b val="1"/>
              <sz val="10"/>
            </rPr>
            <t>Complexity &amp; Expertise:</t>
          </r>
          <r>
            <rPr>
              <rFont val="Calibri"/>
              <sz val="10"/>
            </rPr>
            <t xml:space="preserve"> 2.5 of 12 · between A2 and A3 — Start: 3.0 · senior practitioner title; Evidence reads like A2: Learning the US mandate; completes assigned tagging, QC and filing tasks for trained processes → moved down 0.5;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3.0 · senior practitioner title; Evidence reads like A2: Independent only on processes trained for; asks seniors for guidance → moved down 0.5
</t>
          </r>
          <r>
            <rPr>
              <rFont val="Calibri"/>
              <b val="1"/>
              <sz val="10"/>
            </rPr>
            <t>Accountability &amp; Impact:</t>
          </r>
          <r>
            <rPr>
              <rFont val="Calibri"/>
              <sz val="10"/>
            </rPr>
            <t xml:space="preserve"> 2.5 of 12 · between A2 and A3 — Start: 3.0 · senior practitioner title; Evidence reads like A2: Accuracy and timeliness of own assigned tagging, QC and filing tasks → moved down 0.5;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not counted: the weight is 0% at this level — Start: 2.0 · individual contributor, so influence only; Evidence reads like A1: 'Team support' listed without any detail → moved down 0.5; Team: 0 direct reports · IC
</t>
          </r>
          <r>
            <rPr>
              <rFont val="Calibri"/>
              <b val="1"/>
              <sz val="10"/>
            </rPr>
            <t>Experience &amp; Qualification:</t>
          </r>
          <r>
            <rPr>
              <rFont val="Calibri"/>
              <sz val="10"/>
            </rPr>
            <t xml:space="preserve"> 8 of 12 — Experience: 14.4 yrs total · 14.4 at IRIS; none recorded before IRIS = 8.0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27"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27" s="12" t="inlineStr">
        <is>
          <r>
            <rPr>
              <rFont val="Calibri"/>
              <sz val="10"/>
            </rPr>
            <t xml:space="preserve">✓ HRIS: 14.4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27" s="12" t="inlineStr">
        <is>
          <t>—</t>
        </is>
      </c>
      <c r="AA127" s="12" t="inlineStr">
        <is>
          <t>Nothing outstanding</t>
        </is>
      </c>
      <c r="AB12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27" s="84" t="n"/>
      <c r="AD127" s="84" t="n"/>
      <c r="AE127" s="84" t="n"/>
      <c r="AF127" s="12" t="n">
        <v>3</v>
      </c>
    </row>
    <row r="128" ht="400" customHeight="1">
      <c r="A128" s="12" t="inlineStr">
        <is>
          <t>IRIS0474</t>
        </is>
      </c>
      <c r="B128" s="10" t="inlineStr">
        <is>
          <t>Kiran Mane</t>
        </is>
      </c>
      <c r="C128" s="12" t="inlineStr">
        <is>
          <t>Services</t>
        </is>
      </c>
      <c r="D128" s="12" t="inlineStr">
        <is>
          <t>Financial Analyst</t>
        </is>
      </c>
      <c r="E128" s="85" t="inlineStr">
        <is>
          <t>Senior Financial Analyst</t>
        </is>
      </c>
      <c r="F128" s="12" t="inlineStr">
        <is>
          <t>Consulting &amp; Professional Services</t>
        </is>
      </c>
      <c r="G128" s="12" t="inlineStr">
        <is>
          <t>XBRL Tagging, Conversion &amp; Filing</t>
        </is>
      </c>
      <c r="H128" s="12" t="inlineStr">
        <is>
          <t>IC</t>
        </is>
      </c>
      <c r="I128" s="42" t="inlineStr">
        <is>
          <t>L3 – Professional / Associate</t>
        </is>
      </c>
      <c r="J128" s="16" t="inlineStr">
        <is>
          <t>A3</t>
        </is>
      </c>
      <c r="K128" s="17" t="inlineStr">
        <is>
          <t>Senior Associate</t>
        </is>
      </c>
      <c r="L128" s="87" t="inlineStr">
        <is>
          <t>▲ Up</t>
        </is>
      </c>
      <c r="M128" s="12" t="inlineStr">
        <is>
          <t>CARBON · Services · Band A · Early career</t>
        </is>
      </c>
      <c r="N128" s="42" t="n">
        <v>2.5</v>
      </c>
      <c r="O128" s="42" t="n">
        <v>2</v>
      </c>
      <c r="P128" s="42" t="n">
        <v>2.5</v>
      </c>
      <c r="Q128" s="42" t="n">
        <v>2</v>
      </c>
      <c r="R128" s="42" t="n">
        <v>8.5</v>
      </c>
      <c r="S128" s="80" t="n">
        <v>3</v>
      </c>
      <c r="T128" s="81">
        <f>IF(OR($M128="",COUNT(N128,O128,P128,Q128,R128,S128)&lt;6),"",IFERROR(N128*INDEX(WM_C,MATCH($M128,WM_KEY,0))+O128*INDEX(WM_AU,MATCH($M128,WM_KEY,0))+P128*INDEX(WM_AC,MATCH($M128,WM_KEY,0))+Q128*INDEX(WM_L,MATCH($M128,WM_KEY,0))+R128*INDEX(WM_E,MATCH($M128,WM_KEY,0))+S128*INDEX(WM_BI,MATCH($M128,WM_KEY,0)),""))</f>
        <v>3.05</v>
      </c>
      <c r="U128" s="42" t="str">
        <f>IF(T128="","",INDEX({"A1","A2","A3","B1","B2","B3","C1","C2","D1","D2","E1","E2"},MAX(1,MIN(12,ROUND(T128,0)))))</f>
        <v>A3</v>
      </c>
      <c r="V128" s="12" t="inlineStr">
        <is>
          <r>
            <rPr>
              <rFont val="Calibri"/>
              <sz val="10"/>
            </rPr>
            <t xml:space="preserve">New level A3 · Senior Associate. Current level on record: L3 – Professional / Associate. Change: ▲ Up.
Score 3.05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8" s="12" t="inlineStr">
        <is>
          <r>
            <rPr>
              <rFont val="Calibri"/>
              <b val="1"/>
              <sz val="10"/>
            </rPr>
            <t>Complexity &amp; Expertise:</t>
          </r>
          <r>
            <rPr>
              <rFont val="Calibri"/>
              <sz val="10"/>
            </rPr>
            <t xml:space="preserve"> 2.5 of 12 · between A2 and A3 — Start: 2.0 · practitioner title; Evidence reads like A3: QCs UK iXBRL files and tags ESEF files; validation error analysis across two taxonomies → moved up 0.5;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Corrects issues within the defined process; raises others for clarification → matches the start
</t>
          </r>
          <r>
            <rPr>
              <rFont val="Calibri"/>
              <b val="1"/>
              <sz val="10"/>
            </rPr>
            <t>Accountability &amp; Impact:</t>
          </r>
          <r>
            <rPr>
              <rFont val="Calibri"/>
              <sz val="10"/>
            </rPr>
            <t xml:space="preserve"> 2.5 of 12 · between A2 and A3 — Start: 2.0 · practitioner title; Evidence reads like A3: Final filing meeting HMRC / ESEF rules; errors must be caught before submission → moved up 0.5; KRA: “1. Complete assigned XBRL/conversion/filing tasks with &gt;=99% accuracy · zero critical errors 2. Meet 100% of regulatory / client filing…”
</t>
          </r>
          <r>
            <rPr>
              <rFont val="Calibri"/>
              <b val="1"/>
              <sz val="10"/>
            </rPr>
            <t>Leadership &amp; Strategy:</t>
          </r>
          <r>
            <rPr>
              <rFont val="Calibri"/>
              <sz val="10"/>
            </rPr>
            <t xml:space="preserve"> 2 of 12 — not counted: the weight is 0% at this level — Start: 1.0 · individual contributor, so influence only; Evidence reads like A3: QC reviewer: returns changes to taggers on UK files → moved up 1; Team: 0 direct reports · IC
</t>
          </r>
          <r>
            <rPr>
              <rFont val="Calibri"/>
              <b val="1"/>
              <sz val="10"/>
            </rPr>
            <t>Experience &amp; Qualification:</t>
          </r>
          <r>
            <rPr>
              <rFont val="Calibri"/>
              <sz val="10"/>
            </rPr>
            <t xml:space="preserve"> 8.5 of 12 · between C2 and D1 — Experience: 15.8 yrs total · 15.8 at IRIS; none recorded before IRIS = 8.4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28"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28" s="12" t="inlineStr">
        <is>
          <r>
            <rPr>
              <rFont val="Calibri"/>
              <sz val="10"/>
            </rPr>
            <t xml:space="preserve">✓ HRIS: 15.8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28" s="12" t="inlineStr">
        <is>
          <t>—</t>
        </is>
      </c>
      <c r="AA128" s="12" t="inlineStr">
        <is>
          <t>Nothing outstanding</t>
        </is>
      </c>
      <c r="AB12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28" s="84" t="n"/>
      <c r="AD128" s="84" t="n"/>
      <c r="AE128" s="84" t="n"/>
      <c r="AF128" s="12" t="n">
        <v>3</v>
      </c>
    </row>
    <row r="129" ht="400" customHeight="1">
      <c r="A129" s="12" t="inlineStr">
        <is>
          <t>IRIS0520</t>
        </is>
      </c>
      <c r="B129" s="10" t="inlineStr">
        <is>
          <t>Mandar Vatare</t>
        </is>
      </c>
      <c r="C129" s="12" t="inlineStr">
        <is>
          <t>Services</t>
        </is>
      </c>
      <c r="D129" s="12" t="inlineStr">
        <is>
          <t>Financial Analyst</t>
        </is>
      </c>
      <c r="E129" s="85" t="inlineStr">
        <is>
          <t>Senior Financial Analyst</t>
        </is>
      </c>
      <c r="F129" s="12" t="inlineStr">
        <is>
          <t>Consulting &amp; Professional Services</t>
        </is>
      </c>
      <c r="G129" s="12" t="inlineStr">
        <is>
          <t>XBRL Tagging, Conversion &amp; Filing</t>
        </is>
      </c>
      <c r="H129" s="12" t="inlineStr">
        <is>
          <t>IC</t>
        </is>
      </c>
      <c r="I129" s="42" t="inlineStr">
        <is>
          <t>L3 – Professional / Associate</t>
        </is>
      </c>
      <c r="J129" s="16" t="inlineStr">
        <is>
          <t>A3</t>
        </is>
      </c>
      <c r="K129" s="17" t="inlineStr">
        <is>
          <t>Senior Associate</t>
        </is>
      </c>
      <c r="L129" s="87" t="inlineStr">
        <is>
          <t>▲ Up</t>
        </is>
      </c>
      <c r="M129" s="12" t="inlineStr">
        <is>
          <t>CARBON · Services · Band A · Early career</t>
        </is>
      </c>
      <c r="N129" s="42" t="n">
        <v>2.5</v>
      </c>
      <c r="O129" s="42" t="n">
        <v>2</v>
      </c>
      <c r="P129" s="42" t="n">
        <v>2.5</v>
      </c>
      <c r="Q129" s="42" t="n">
        <v>2</v>
      </c>
      <c r="R129" s="42" t="n">
        <v>9</v>
      </c>
      <c r="S129" s="80" t="n">
        <v>3</v>
      </c>
      <c r="T129" s="81">
        <f>IF(OR($M129="",COUNT(N129,O129,P129,Q129,R129,S129)&lt;6),"",IFERROR(N129*INDEX(WM_C,MATCH($M129,WM_KEY,0))+O129*INDEX(WM_AU,MATCH($M129,WM_KEY,0))+P129*INDEX(WM_AC,MATCH($M129,WM_KEY,0))+Q129*INDEX(WM_L,MATCH($M129,WM_KEY,0))+R129*INDEX(WM_E,MATCH($M129,WM_KEY,0))+S129*INDEX(WM_BI,MATCH($M129,WM_KEY,0)),""))</f>
        <v>3.1</v>
      </c>
      <c r="U129" s="42" t="str">
        <f>IF(T129="","",INDEX({"A1","A2","A3","B1","B2","B3","C1","C2","D1","D2","E1","E2"},MAX(1,MIN(12,ROUND(T129,0)))))</f>
        <v>A3</v>
      </c>
      <c r="V129" s="12" t="inlineStr">
        <is>
          <r>
            <rPr>
              <rFont val="Calibri"/>
              <sz val="10"/>
            </rPr>
            <t xml:space="preserve">New level A3 · Senior Associate. Current level on record: L3 – Professional / Associate. Change: ▲ Up.
Score 3.10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29" s="12" t="inlineStr">
        <is>
          <r>
            <rPr>
              <rFont val="Calibri"/>
              <b val="1"/>
              <sz val="10"/>
            </rPr>
            <t>Complexity &amp; Expertise:</t>
          </r>
          <r>
            <rPr>
              <rFont val="Calibri"/>
              <sz val="10"/>
            </rPr>
            <t xml:space="preserve"> 2.5 of 12 · between A2 and A3 — Start: 2.0 · practitioner title; Evidence reads like A3: QC of iXBRL reports plus ESMA and KVK tagging, tag selection, validation error resolution → moved up 0.5;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Selects tags and makes corrections; resolves only standard validation issues alone → matches the start
</t>
          </r>
          <r>
            <rPr>
              <rFont val="Calibri"/>
              <b val="1"/>
              <sz val="10"/>
            </rPr>
            <t>Accountability &amp; Impact:</t>
          </r>
          <r>
            <rPr>
              <rFont val="Calibri"/>
              <sz val="10"/>
            </rPr>
            <t xml:space="preserve"> 2.5 of 12 · between A2 and A3 — Start: 2.0 · practitioner title; Evidence reads like A3: Completeness of QC checklist and review before finalisation; final files emailed to CEM → moved up 0.5; KRA: “1. Complete assigned XBRL/conversion/filing tasks with &gt;=99% accuracy · zero critical errors 2. Meet 100% of regulatory / client filing…”
</t>
          </r>
          <r>
            <rPr>
              <rFont val="Calibri"/>
              <b val="1"/>
              <sz val="10"/>
            </rPr>
            <t>Leadership &amp; Strategy:</t>
          </r>
          <r>
            <rPr>
              <rFont val="Calibri"/>
              <sz val="10"/>
            </rPr>
            <t xml:space="preserve"> 2 of 12 — not counted: the weight is 0% at this level — Start: 1.0 · individual contributor, so influence only; Evidence reads like A3: QC analyst reviewing and editing other taggers' files → moved up 1; Team: 0 direct reports · IC
</t>
          </r>
          <r>
            <rPr>
              <rFont val="Calibri"/>
              <b val="1"/>
              <sz val="10"/>
            </rPr>
            <t>Experience &amp; Qualification:</t>
          </r>
          <r>
            <rPr>
              <rFont val="Calibri"/>
              <sz val="10"/>
            </rPr>
            <t xml:space="preserve"> 9 of 12 — Experience: 17.3 yrs total · 1.0 before IRIS + 16.3 at IRIS = 8.9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29"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29" s="12" t="inlineStr">
        <is>
          <r>
            <rPr>
              <rFont val="Calibri"/>
              <sz val="10"/>
            </rPr>
            <t xml:space="preserve">✓ HRIS: 17.3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29" s="12" t="inlineStr">
        <is>
          <t>—</t>
        </is>
      </c>
      <c r="AA129" s="12" t="inlineStr">
        <is>
          <t>Nothing outstanding</t>
        </is>
      </c>
      <c r="AB12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29" s="84" t="n"/>
      <c r="AD129" s="84" t="n"/>
      <c r="AE129" s="84" t="n"/>
      <c r="AF129" s="12" t="n">
        <v>3</v>
      </c>
    </row>
    <row r="130" ht="400" customHeight="1">
      <c r="A130" s="12" t="inlineStr">
        <is>
          <t>IRIS2056</t>
        </is>
      </c>
      <c r="B130" s="10" t="inlineStr">
        <is>
          <t>Monica Patel</t>
        </is>
      </c>
      <c r="C130" s="12" t="inlineStr">
        <is>
          <t>Services</t>
        </is>
      </c>
      <c r="D130" s="12" t="inlineStr">
        <is>
          <t>Senior Financial Analyst</t>
        </is>
      </c>
      <c r="E130" s="12" t="inlineStr">
        <is>
          <t>Senior Financial Analyst</t>
        </is>
      </c>
      <c r="F130" s="12" t="inlineStr">
        <is>
          <t>Consulting &amp; Professional Services</t>
        </is>
      </c>
      <c r="G130" s="12" t="inlineStr">
        <is>
          <t>XBRL Tagging, Conversion &amp; Filing</t>
        </is>
      </c>
      <c r="H130" s="12" t="inlineStr">
        <is>
          <t>IC</t>
        </is>
      </c>
      <c r="I130" s="42" t="inlineStr">
        <is>
          <t>L4 – Senior</t>
        </is>
      </c>
      <c r="J130" s="16" t="inlineStr">
        <is>
          <t>A3</t>
        </is>
      </c>
      <c r="K130" s="17" t="inlineStr">
        <is>
          <t>Senior Associate</t>
        </is>
      </c>
      <c r="L130" s="88" t="inlineStr">
        <is>
          <t>• Same level</t>
        </is>
      </c>
      <c r="M130" s="12" t="inlineStr">
        <is>
          <t>CARBON · Services · Band A · Early career</t>
        </is>
      </c>
      <c r="N130" s="42" t="n">
        <v>3</v>
      </c>
      <c r="O130" s="42" t="n">
        <v>3</v>
      </c>
      <c r="P130" s="42" t="n">
        <v>2.5</v>
      </c>
      <c r="Q130" s="42" t="n">
        <v>1.5</v>
      </c>
      <c r="R130" s="42" t="n">
        <v>6.5</v>
      </c>
      <c r="S130" s="80" t="n">
        <v>3</v>
      </c>
      <c r="T130" s="81">
        <f>IF(OR($M130="",COUNT(N130,O130,P130,Q130,R130,S130)&lt;6),"",IFERROR(N130*INDEX(WM_C,MATCH($M130,WM_KEY,0))+O130*INDEX(WM_AU,MATCH($M130,WM_KEY,0))+P130*INDEX(WM_AC,MATCH($M130,WM_KEY,0))+Q130*INDEX(WM_L,MATCH($M130,WM_KEY,0))+R130*INDEX(WM_E,MATCH($M130,WM_KEY,0))+S130*INDEX(WM_BI,MATCH($M130,WM_KEY,0)),""))</f>
        <v>3.28</v>
      </c>
      <c r="U130" s="42" t="str">
        <f>IF(T130="","",INDEX({"A1","A2","A3","B1","B2","B3","C1","C2","D1","D2","E1","E2"},MAX(1,MIN(12,ROUND(T130,0)))))</f>
        <v>A3</v>
      </c>
      <c r="V130" s="12" t="inlineStr">
        <is>
          <r>
            <rPr>
              <rFont val="Calibri"/>
              <sz val="10"/>
            </rPr>
            <t xml:space="preserve">New level A3 · Senior Associate. Current level on record: L4 – Senior. Change: • Same level.
Score 3.28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0" s="12" t="inlineStr">
        <is>
          <r>
            <rPr>
              <rFont val="Calibri"/>
              <b val="1"/>
              <sz val="10"/>
            </rPr>
            <t>Complexity &amp; Expertise:</t>
          </r>
          <r>
            <rPr>
              <rFont val="Calibri"/>
              <sz val="10"/>
            </rPr>
            <t xml:space="preserve"> 3 of 12 — Start: 3.0 · senior practitioner title; Evidence: rated like 23 colleagues in the same role and department · own answers too general to rate → no change; KRA: “1. Complete assigned XBRL/conversion/filing tasks with &gt;=99% accuracy · zero critical errors 2. Meet 100% of regulatory / client filing…”
</t>
          </r>
          <r>
            <rPr>
              <rFont val="Calibri"/>
              <b val="1"/>
              <sz val="10"/>
            </rPr>
            <t>Autonomy &amp; Decision:</t>
          </r>
          <r>
            <rPr>
              <rFont val="Calibri"/>
              <sz val="10"/>
            </rPr>
            <t xml:space="preserve"> 3 of 12 — Start: 3.0 · senior practitioner title; Evidence: rated like 23 colleagues in the same role and department · own answers too general to rate → no change
</t>
          </r>
          <r>
            <rPr>
              <rFont val="Calibri"/>
              <b val="1"/>
              <sz val="10"/>
            </rPr>
            <t>Accountability &amp; Impact:</t>
          </r>
          <r>
            <rPr>
              <rFont val="Calibri"/>
              <sz val="10"/>
            </rPr>
            <t xml:space="preserve"> 2.5 of 12 · between A2 and A3 — Start: 3.0 · senior practitioner title; Evidence: rated like 23 colleagues in the same role and department · own answers too general to rate → moved −0.5;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not counted: the weight is 0% at this level — Start: 2.0 · individual contributor, so influence only; Evidence: rated like 23 colleagues in the same role and department · own answers too general to rate → moved −0.5; Team: 0 direct reports · IC
</t>
          </r>
          <r>
            <rPr>
              <rFont val="Calibri"/>
              <b val="1"/>
              <sz val="10"/>
            </rPr>
            <t>Experience &amp; Qualification:</t>
          </r>
          <r>
            <rPr>
              <rFont val="Calibri"/>
              <sz val="10"/>
            </rPr>
            <t xml:space="preserve"> 6.5 of 12 · between B3 and C1 — Experience: 11.3 yrs total · 7.2 before IRIS + 4.1 at IRIS = 6.7 on the experience scale; Qualification: BMS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30"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30" s="12" t="inlineStr">
        <is>
          <r>
            <rPr>
              <rFont val="Calibri"/>
              <sz val="10"/>
            </rPr>
            <t xml:space="preserve">✓ HRIS: 11.3 yrs, BMS, 0 direct reports
✓ Survey: 20 of 20 questions answered
✓ KRAs: submitted, reported deliverables
✓ Manager mapping: rating, potential, 9-box
✗ Job description: not on file
</t>
          </r>
          <r>
            <rPr>
              <rFont val="Calibri"/>
              <b val="1"/>
              <sz val="10"/>
            </rPr>
            <t>Confidence:</t>
          </r>
          <r>
            <rPr>
              <rFont val="Calibri"/>
              <sz val="10"/>
            </rPr>
            <t xml:space="preserve"> Low</t>
          </r>
        </is>
      </c>
      <c r="Z130" s="12" t="inlineStr">
        <is>
          <t>—</t>
        </is>
      </c>
      <c r="AA130" s="83" t="inlineStr">
        <is>
          <t>• Confirm the reporting line — Manager</t>
        </is>
      </c>
      <c r="AB13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High · 9-Box Grid placement: Core Contributor.</t>
          </r>
        </is>
      </c>
      <c r="AC130" s="84" t="n"/>
      <c r="AD130" s="84" t="n"/>
      <c r="AE130" s="84" t="n"/>
      <c r="AF130" s="12" t="n">
        <v>3</v>
      </c>
    </row>
    <row r="131" ht="400" customHeight="1">
      <c r="A131" s="12" t="inlineStr">
        <is>
          <t>IRIS2328</t>
        </is>
      </c>
      <c r="B131" s="10" t="inlineStr">
        <is>
          <t>Namrata Juvekar</t>
        </is>
      </c>
      <c r="C131" s="12" t="inlineStr">
        <is>
          <t>Services</t>
        </is>
      </c>
      <c r="D131" s="12" t="inlineStr">
        <is>
          <t>Financial Analyst</t>
        </is>
      </c>
      <c r="E131" s="85" t="inlineStr">
        <is>
          <t>Senior Financial Analyst</t>
        </is>
      </c>
      <c r="F131" s="12" t="inlineStr">
        <is>
          <t>Consulting &amp; Professional Services</t>
        </is>
      </c>
      <c r="G131" s="12" t="inlineStr">
        <is>
          <t>XBRL Tagging, Conversion &amp; Filing</t>
        </is>
      </c>
      <c r="H131" s="12" t="inlineStr">
        <is>
          <t>IC</t>
        </is>
      </c>
      <c r="I131" s="42" t="inlineStr">
        <is>
          <t>L3 – Professional / Associate</t>
        </is>
      </c>
      <c r="J131" s="16" t="inlineStr">
        <is>
          <t>A3</t>
        </is>
      </c>
      <c r="K131" s="17" t="inlineStr">
        <is>
          <t>Senior Associate</t>
        </is>
      </c>
      <c r="L131" s="87" t="inlineStr">
        <is>
          <t>▲ Up</t>
        </is>
      </c>
      <c r="M131" s="12" t="inlineStr">
        <is>
          <t>CARBON · Services · Band A · Early career</t>
        </is>
      </c>
      <c r="N131" s="42" t="n">
        <v>2.5</v>
      </c>
      <c r="O131" s="42" t="n">
        <v>3</v>
      </c>
      <c r="P131" s="42" t="n">
        <v>2.5</v>
      </c>
      <c r="Q131" s="42" t="n">
        <v>2</v>
      </c>
      <c r="R131" s="42" t="n">
        <v>2.5</v>
      </c>
      <c r="S131" s="80" t="n">
        <v>3</v>
      </c>
      <c r="T131" s="81">
        <f>IF(OR($M131="",COUNT(N131,O131,P131,Q131,R131,S131)&lt;6),"",IFERROR(N131*INDEX(WM_C,MATCH($M131,WM_KEY,0))+O131*INDEX(WM_AU,MATCH($M131,WM_KEY,0))+P131*INDEX(WM_AC,MATCH($M131,WM_KEY,0))+Q131*INDEX(WM_L,MATCH($M131,WM_KEY,0))+R131*INDEX(WM_E,MATCH($M131,WM_KEY,0))+S131*INDEX(WM_BI,MATCH($M131,WM_KEY,0)),""))</f>
        <v>2.61</v>
      </c>
      <c r="U131" s="42" t="str">
        <f>IF(T131="","",INDEX({"A1","A2","A3","B1","B2","B3","C1","C2","D1","D2","E1","E2"},MAX(1,MIN(12,ROUND(T131,0)))))</f>
        <v>A3</v>
      </c>
      <c r="V131" s="12" t="inlineStr">
        <is>
          <r>
            <rPr>
              <rFont val="Calibri"/>
              <sz val="10"/>
            </rPr>
            <t xml:space="preserve">New level A3 · Senior Associate. Current level on record: L3 – Professional / Associate. Change: ▲ Up.
Score 2.61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1" s="12" t="inlineStr">
        <is>
          <r>
            <rPr>
              <rFont val="Calibri"/>
              <b val="1"/>
              <sz val="10"/>
            </rPr>
            <t>Complexity &amp; Expertise:</t>
          </r>
          <r>
            <rPr>
              <rFont val="Calibri"/>
              <sz val="10"/>
            </rPr>
            <t xml:space="preserve"> 2.5 of 12 · between A2 and A3 — Start: 2.0 · practitioner title; Evidence reads like A3: US mandate tagging, QC, validation, filings; roll-forward, product testing, client comments → moved up 0.5; KRA: “1. Complete assigned XBRL/conversion/filing tasks with &gt;=99% accuracy · zero critical errors 2. Meet 100% of regulatory / client filing…”
</t>
          </r>
          <r>
            <rPr>
              <rFont val="Calibri"/>
              <b val="1"/>
              <sz val="10"/>
            </rPr>
            <t>Autonomy &amp; Decision:</t>
          </r>
          <r>
            <rPr>
              <rFont val="Calibri"/>
              <sz val="10"/>
            </rPr>
            <t xml:space="preserve"> 3 of 12 — Start: 2.0 · practitioner title; Evidence reads like B1: Allocates and rebalances shift workload; resolves routine issues; escalates complex ones to leads → moved up 1
</t>
          </r>
          <r>
            <rPr>
              <rFont val="Calibri"/>
              <b val="1"/>
              <sz val="10"/>
            </rPr>
            <t>Accountability &amp; Impact:</t>
          </r>
          <r>
            <rPr>
              <rFont val="Calibri"/>
              <sz val="10"/>
            </rPr>
            <t xml:space="preserve"> 2.5 of 12 · between A2 and A3 — Start: 2.0 · practitioner title; Evidence reads like A3: Own tagging, QC and filings on time; coordinates shift allocation supporting team targets → moved up 0.5; KRA: “1. Complete assigned XBRL/conversion/filing tasks with &gt;=99% accuracy · zero critical errors 2. Meet 100% of regulatory / client filing…”
</t>
          </r>
          <r>
            <rPr>
              <rFont val="Calibri"/>
              <b val="1"/>
              <sz val="10"/>
            </rPr>
            <t>Leadership &amp; Strategy:</t>
          </r>
          <r>
            <rPr>
              <rFont val="Calibri"/>
              <sz val="10"/>
            </rPr>
            <t xml:space="preserve"> 2 of 12 — not counted: the weight is 0% at this level — Start: 1.0 · individual contributor, so influence only; Evidence reads like B1: Shift allocation, guidance, doubt solving and training of team members · manager note → moved up 1; Team: 0 direct reports · IC
</t>
          </r>
          <r>
            <rPr>
              <rFont val="Calibri"/>
              <b val="1"/>
              <sz val="10"/>
            </rPr>
            <t>Experience &amp; Qualification:</t>
          </r>
          <r>
            <rPr>
              <rFont val="Calibri"/>
              <sz val="10"/>
            </rPr>
            <t xml:space="preserve"> 2.5 of 12 · between A2 and A3 — Experience: 1.7 yrs total · 1.7 at IRIS; none recorded before IRIS = 2.4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31"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31" s="12" t="inlineStr">
        <is>
          <r>
            <rPr>
              <rFont val="Calibri"/>
              <sz val="10"/>
            </rPr>
            <t xml:space="preserve">✓ HRIS: 1.7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31" s="12" t="inlineStr">
        <is>
          <t>—</t>
        </is>
      </c>
      <c r="AA131" s="83" t="inlineStr">
        <is>
          <t>• Confirm the reporting line — Manager</t>
        </is>
      </c>
      <c r="AB13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AC131" s="84" t="n"/>
      <c r="AD131" s="84" t="n"/>
      <c r="AE131" s="84" t="n"/>
      <c r="AF131" s="12" t="n">
        <v>3</v>
      </c>
    </row>
    <row r="132" ht="400" customHeight="1">
      <c r="A132" s="12" t="inlineStr">
        <is>
          <t>IRIS0466</t>
        </is>
      </c>
      <c r="B132" s="10" t="inlineStr">
        <is>
          <t>Nirmala Kalyadappu</t>
        </is>
      </c>
      <c r="C132" s="12" t="inlineStr">
        <is>
          <t>Services</t>
        </is>
      </c>
      <c r="D132" s="12" t="inlineStr">
        <is>
          <t>Financial Analyst</t>
        </is>
      </c>
      <c r="E132" s="85" t="inlineStr">
        <is>
          <t>Senior Financial Analyst</t>
        </is>
      </c>
      <c r="F132" s="12" t="inlineStr">
        <is>
          <t>Consulting &amp; Professional Services</t>
        </is>
      </c>
      <c r="G132" s="12" t="inlineStr">
        <is>
          <t>XBRL Tagging, Conversion &amp; Filing</t>
        </is>
      </c>
      <c r="H132" s="12" t="inlineStr">
        <is>
          <t>IC</t>
        </is>
      </c>
      <c r="I132" s="42" t="inlineStr">
        <is>
          <t>L3 – Professional / Associate</t>
        </is>
      </c>
      <c r="J132" s="16" t="inlineStr">
        <is>
          <t>A3</t>
        </is>
      </c>
      <c r="K132" s="17" t="inlineStr">
        <is>
          <t>Senior Associate</t>
        </is>
      </c>
      <c r="L132" s="87" t="inlineStr">
        <is>
          <t>▲ Up</t>
        </is>
      </c>
      <c r="M132" s="12" t="inlineStr">
        <is>
          <t>CARBON · Services · Band A · Early career</t>
        </is>
      </c>
      <c r="N132" s="42" t="n">
        <v>2.5</v>
      </c>
      <c r="O132" s="42" t="n">
        <v>2</v>
      </c>
      <c r="P132" s="42" t="n">
        <v>2.5</v>
      </c>
      <c r="Q132" s="42" t="n">
        <v>1</v>
      </c>
      <c r="R132" s="42" t="n">
        <v>9</v>
      </c>
      <c r="S132" s="80" t="n">
        <v>3</v>
      </c>
      <c r="T132" s="81">
        <f>IF(OR($M132="",COUNT(N132,O132,P132,Q132,R132,S132)&lt;6),"",IFERROR(N132*INDEX(WM_C,MATCH($M132,WM_KEY,0))+O132*INDEX(WM_AU,MATCH($M132,WM_KEY,0))+P132*INDEX(WM_AC,MATCH($M132,WM_KEY,0))+Q132*INDEX(WM_L,MATCH($M132,WM_KEY,0))+R132*INDEX(WM_E,MATCH($M132,WM_KEY,0))+S132*INDEX(WM_BI,MATCH($M132,WM_KEY,0)),""))</f>
        <v>3.1</v>
      </c>
      <c r="U132" s="42" t="str">
        <f>IF(T132="","",INDEX({"A1","A2","A3","B1","B2","B3","C1","C2","D1","D2","E1","E2"},MAX(1,MIN(12,ROUND(T132,0)))))</f>
        <v>A3</v>
      </c>
      <c r="V132" s="12" t="inlineStr">
        <is>
          <r>
            <rPr>
              <rFont val="Calibri"/>
              <sz val="10"/>
            </rPr>
            <t xml:space="preserve">New level A3 · Senior Associate. Current level on record: L3 – Professional / Associate. Change: ▲ Up.
Score 3.10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2" s="12" t="inlineStr">
        <is>
          <r>
            <rPr>
              <rFont val="Calibri"/>
              <b val="1"/>
              <sz val="10"/>
            </rPr>
            <t>Complexity &amp; Expertise:</t>
          </r>
          <r>
            <rPr>
              <rFont val="Calibri"/>
              <sz val="10"/>
            </rPr>
            <t xml:space="preserve"> 2.5 of 12 · between A2 and A3 — Start: 2.0 · practitioner title; Evidence: rated like 14 colleagues in the same role and department · own answers too general to rate → moved +0.5;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rated like 14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14 colleagues in the same role and department · own answers too general to rate → moved +0.5;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rated like 14 colleagues in the same role and department · own answers too general to rate → no change; Team: 0 direct reports · IC
</t>
          </r>
          <r>
            <rPr>
              <rFont val="Calibri"/>
              <b val="1"/>
              <sz val="10"/>
            </rPr>
            <t>Experience &amp; Qualification:</t>
          </r>
          <r>
            <rPr>
              <rFont val="Calibri"/>
              <sz val="10"/>
            </rPr>
            <t xml:space="preserve"> 9 of 12 — Experience: 16.9 yrs total · 1.1 before IRIS + 15.8 at IRIS = 8.8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32"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32" s="12" t="inlineStr">
        <is>
          <r>
            <rPr>
              <rFont val="Calibri"/>
              <sz val="10"/>
            </rPr>
            <t xml:space="preserve">✓ HRIS: 16.9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Low</t>
          </r>
        </is>
      </c>
      <c r="Z132" s="12" t="inlineStr">
        <is>
          <t>—</t>
        </is>
      </c>
      <c r="AA132" s="12" t="inlineStr">
        <is>
          <t>Nothing outstanding</t>
        </is>
      </c>
      <c r="AB13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AC132" s="84" t="n"/>
      <c r="AD132" s="84" t="n"/>
      <c r="AE132" s="84" t="n"/>
      <c r="AF132" s="12" t="n">
        <v>3</v>
      </c>
    </row>
    <row r="133" ht="400" customHeight="1">
      <c r="A133" s="12" t="inlineStr">
        <is>
          <t>IRIS2230</t>
        </is>
      </c>
      <c r="B133" s="10" t="inlineStr">
        <is>
          <t>Palak Verma</t>
        </is>
      </c>
      <c r="C133" s="12" t="inlineStr">
        <is>
          <t>Services</t>
        </is>
      </c>
      <c r="D133" s="12" t="inlineStr">
        <is>
          <t>Financial Analyst</t>
        </is>
      </c>
      <c r="E133" s="85" t="inlineStr">
        <is>
          <t>Senior Financial Analyst</t>
        </is>
      </c>
      <c r="F133" s="12" t="inlineStr">
        <is>
          <t>Consulting &amp; Professional Services</t>
        </is>
      </c>
      <c r="G133" s="12" t="inlineStr">
        <is>
          <t>XBRL Tagging, Conversion &amp; Filing</t>
        </is>
      </c>
      <c r="H133" s="12" t="inlineStr">
        <is>
          <t>IC</t>
        </is>
      </c>
      <c r="I133" s="42" t="inlineStr">
        <is>
          <t>L3 – Professional / Associate</t>
        </is>
      </c>
      <c r="J133" s="16" t="inlineStr">
        <is>
          <t>A3</t>
        </is>
      </c>
      <c r="K133" s="17" t="inlineStr">
        <is>
          <t>Senior Associate</t>
        </is>
      </c>
      <c r="L133" s="87" t="inlineStr">
        <is>
          <t>▲ Up</t>
        </is>
      </c>
      <c r="M133" s="12" t="inlineStr">
        <is>
          <t>CARBON · Services · Band A · Early career</t>
        </is>
      </c>
      <c r="N133" s="42" t="n">
        <v>2</v>
      </c>
      <c r="O133" s="42" t="n">
        <v>2</v>
      </c>
      <c r="P133" s="42" t="n">
        <v>2</v>
      </c>
      <c r="Q133" s="42" t="n">
        <v>1</v>
      </c>
      <c r="R133" s="42" t="n">
        <v>4</v>
      </c>
      <c r="S133" s="80" t="n">
        <v>2.5</v>
      </c>
      <c r="T133" s="81">
        <f>IF(OR($M133="",COUNT(N133,O133,P133,Q133,R133,S133)&lt;6),"",IFERROR(N133*INDEX(WM_C,MATCH($M133,WM_KEY,0))+O133*INDEX(WM_AU,MATCH($M133,WM_KEY,0))+P133*INDEX(WM_AC,MATCH($M133,WM_KEY,0))+Q133*INDEX(WM_L,MATCH($M133,WM_KEY,0))+R133*INDEX(WM_E,MATCH($M133,WM_KEY,0))+S133*INDEX(WM_BI,MATCH($M133,WM_KEY,0)),""))</f>
        <v>2.23</v>
      </c>
      <c r="U133" s="42" t="str">
        <f>IF(T133="","",INDEX({"A1","A2","A3","B1","B2","B3","C1","C2","D1","D2","E1","E2"},MAX(1,MIN(12,ROUND(T133,0)))))</f>
        <v>A2</v>
      </c>
      <c r="V133" s="12" t="inlineStr">
        <is>
          <r>
            <rPr>
              <rFont val="Calibri"/>
              <sz val="10"/>
            </rPr>
            <t xml:space="preserve">New level A3 · Senior Associate. Current level on record: L3 – Professional / Associate. Change: ▲ Up.
Score 2.23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5.5 years' experience is 2 years or more.
</t>
          </r>
          <r>
            <rPr>
              <rFont val="Calibri"/>
              <b val="1"/>
              <sz val="10"/>
            </rPr>
            <t>Final level:</t>
          </r>
          <r>
            <rPr>
              <rFont val="Calibri"/>
              <sz val="10"/>
            </rPr>
            <t xml:space="preserve"> A3.</t>
          </r>
        </is>
      </c>
      <c r="W133" s="12" t="inlineStr">
        <is>
          <r>
            <rPr>
              <rFont val="Calibri"/>
              <b val="1"/>
              <sz val="10"/>
            </rPr>
            <t>Complexity &amp; Expertise:</t>
          </r>
          <r>
            <rPr>
              <rFont val="Calibri"/>
              <sz val="10"/>
            </rPr>
            <t xml:space="preserve"> 2 of 12 — Start: 2.0 · practitioner title; Evidence reads like A2: Manager note only: CIPC tagging, QC, validations and sending the final mail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reads like A2: Own completed CIPC files emailed to the PMO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Manager note mentions no guidance of others → matches the start; Team: 0 direct reports · IC
</t>
          </r>
          <r>
            <rPr>
              <rFont val="Calibri"/>
              <b val="1"/>
              <sz val="10"/>
            </rPr>
            <t>Experience &amp; Qualification:</t>
          </r>
          <r>
            <rPr>
              <rFont val="Calibri"/>
              <sz val="10"/>
            </rPr>
            <t xml:space="preserve"> 4 of 12 — Experience: 5.5 yrs total · 3.0 before IRIS + 2.5 at IRIS = 4.0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33"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33" s="12" t="inlineStr">
        <is>
          <r>
            <rPr>
              <rFont val="Calibri"/>
              <sz val="10"/>
            </rPr>
            <t xml:space="preserve">✓ HRIS: 5.5 yrs, B.Com, 0 direct reports
✗ Survey: no response
✓ KRAs: submitted, reported deliverables
✓ Manager mapping: rating, potential, 9-box — filled from talent-mapping files: learning need · CARBON mapping
✗ Job description: not on file
</t>
          </r>
          <r>
            <rPr>
              <rFont val="Calibri"/>
              <b val="1"/>
              <sz val="10"/>
            </rPr>
            <t>Confidence:</t>
          </r>
          <r>
            <rPr>
              <rFont val="Calibri"/>
              <sz val="10"/>
            </rPr>
            <t xml:space="preserve"> Medium</t>
          </r>
        </is>
      </c>
      <c r="Z133" s="12" t="inlineStr">
        <is>
          <t>—</t>
        </is>
      </c>
      <c r="AA133" s="12" t="inlineStr">
        <is>
          <t>Nothing outstanding</t>
        </is>
      </c>
      <c r="AB13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33" s="84" t="n"/>
      <c r="AD133" s="84" t="n"/>
      <c r="AE133" s="84" t="n"/>
      <c r="AF133" s="12" t="n">
        <v>2.5</v>
      </c>
    </row>
    <row r="134" ht="400" customHeight="1">
      <c r="A134" s="12" t="inlineStr">
        <is>
          <t>IRIS1607</t>
        </is>
      </c>
      <c r="B134" s="10" t="inlineStr">
        <is>
          <t>Payal Gala</t>
        </is>
      </c>
      <c r="C134" s="12" t="inlineStr">
        <is>
          <t>Services</t>
        </is>
      </c>
      <c r="D134" s="12" t="inlineStr">
        <is>
          <t>Senior Financial Analyst</t>
        </is>
      </c>
      <c r="E134" s="12" t="inlineStr">
        <is>
          <t>Senior Financial Analyst</t>
        </is>
      </c>
      <c r="F134" s="12" t="inlineStr">
        <is>
          <t>Consulting &amp; Professional Services</t>
        </is>
      </c>
      <c r="G134" s="12" t="inlineStr">
        <is>
          <t>XBRL Tagging, Conversion &amp; Filing</t>
        </is>
      </c>
      <c r="H134" s="12" t="inlineStr">
        <is>
          <t>IC</t>
        </is>
      </c>
      <c r="I134" s="42" t="inlineStr">
        <is>
          <t>L4 – Senior</t>
        </is>
      </c>
      <c r="J134" s="16" t="inlineStr">
        <is>
          <t>A3</t>
        </is>
      </c>
      <c r="K134" s="17" t="inlineStr">
        <is>
          <t>Senior Associate</t>
        </is>
      </c>
      <c r="L134" s="88" t="inlineStr">
        <is>
          <t>• Same level</t>
        </is>
      </c>
      <c r="M134" s="12" t="inlineStr">
        <is>
          <t>CARBON · Services · Band A · Early career</t>
        </is>
      </c>
      <c r="N134" s="42" t="n">
        <v>3</v>
      </c>
      <c r="O134" s="42" t="n">
        <v>2.5</v>
      </c>
      <c r="P134" s="42" t="n">
        <v>2.5</v>
      </c>
      <c r="Q134" s="42" t="n">
        <v>1.5</v>
      </c>
      <c r="R134" s="42" t="n">
        <v>8.5</v>
      </c>
      <c r="S134" s="80" t="n">
        <v>3</v>
      </c>
      <c r="T134" s="81">
        <f>IF(OR($M134="",COUNT(N134,O134,P134,Q134,R134,S134)&lt;6),"",IFERROR(N134*INDEX(WM_C,MATCH($M134,WM_KEY,0))+O134*INDEX(WM_AU,MATCH($M134,WM_KEY,0))+P134*INDEX(WM_AC,MATCH($M134,WM_KEY,0))+Q134*INDEX(WM_L,MATCH($M134,WM_KEY,0))+R134*INDEX(WM_E,MATCH($M134,WM_KEY,0))+S134*INDEX(WM_BI,MATCH($M134,WM_KEY,0)),""))</f>
        <v>3.4</v>
      </c>
      <c r="U134" s="42" t="str">
        <f>IF(T134="","",INDEX({"A1","A2","A3","B1","B2","B3","C1","C2","D1","D2","E1","E2"},MAX(1,MIN(12,ROUND(T134,0)))))</f>
        <v>A3</v>
      </c>
      <c r="V134" s="12" t="inlineStr">
        <is>
          <r>
            <rPr>
              <rFont val="Calibri"/>
              <sz val="10"/>
            </rPr>
            <t xml:space="preserve">New level A3 · Senior Associate. Current level on record: L4 – Senior. Change: • Same level.
Score 3.40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4" s="12" t="inlineStr">
        <is>
          <r>
            <rPr>
              <rFont val="Calibri"/>
              <b val="1"/>
              <sz val="10"/>
            </rPr>
            <t>Complexity &amp; Expertise:</t>
          </r>
          <r>
            <rPr>
              <rFont val="Calibri"/>
              <sz val="10"/>
            </rPr>
            <t xml:space="preserve"> 3 of 12 — Start: 3.0 · senior practitioner title; Evidence reads like A3: Tags iXBRL files including complex ones for a quality-strict HMRC customer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3.0 · senior practitioner title; Evidence reads like A2: Only decision named is how to tag complex files → moved down 0.5
</t>
          </r>
          <r>
            <rPr>
              <rFont val="Calibri"/>
              <b val="1"/>
              <sz val="10"/>
            </rPr>
            <t>Accountability &amp; Impact:</t>
          </r>
          <r>
            <rPr>
              <rFont val="Calibri"/>
              <sz val="10"/>
            </rPr>
            <t xml:space="preserve"> 2.5 of 12 · between A2 and A3 — Start: 3.0 · senior practitioner title; Evidence reads like A2: Accuracy of own tagging output → moved down 0.5;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not counted: the weight is 0% at this level — Start: 2.0 · individual contributor, so influence only; Evidence reads like A1: 'I guide iXBRL tagging' stated once; no people or team described → moved down 0.5; Team: 0 direct reports · IC
</t>
          </r>
          <r>
            <rPr>
              <rFont val="Calibri"/>
              <b val="1"/>
              <sz val="10"/>
            </rPr>
            <t>Experience &amp; Qualification:</t>
          </r>
          <r>
            <rPr>
              <rFont val="Calibri"/>
              <sz val="10"/>
            </rPr>
            <t xml:space="preserve"> 8.5 of 12 · between C2 and D1 — Experience: 15.8 yrs total · 6.0 before IRIS + 9.8 at IRIS = 8.4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34"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34" s="12" t="inlineStr">
        <is>
          <r>
            <rPr>
              <rFont val="Calibri"/>
              <sz val="10"/>
            </rPr>
            <t xml:space="preserve">✓ HRIS: 15.8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34" s="12" t="inlineStr">
        <is>
          <t>—</t>
        </is>
      </c>
      <c r="AA134" s="12" t="inlineStr">
        <is>
          <t>Nothing outstanding</t>
        </is>
      </c>
      <c r="AB13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34" s="84" t="n"/>
      <c r="AD134" s="84" t="n"/>
      <c r="AE134" s="84" t="n"/>
      <c r="AF134" s="12" t="n">
        <v>3</v>
      </c>
    </row>
    <row r="135" ht="400" customHeight="1">
      <c r="A135" s="12" t="inlineStr">
        <is>
          <t>IRIS0222</t>
        </is>
      </c>
      <c r="B135" s="10" t="inlineStr">
        <is>
          <t>Prerna Savaratkar</t>
        </is>
      </c>
      <c r="C135" s="12" t="inlineStr">
        <is>
          <t>Services</t>
        </is>
      </c>
      <c r="D135" s="12" t="inlineStr">
        <is>
          <t>Financial Analyst</t>
        </is>
      </c>
      <c r="E135" s="85" t="inlineStr">
        <is>
          <t>Senior Financial Analyst</t>
        </is>
      </c>
      <c r="F135" s="12" t="inlineStr">
        <is>
          <t>Consulting &amp; Professional Services</t>
        </is>
      </c>
      <c r="G135" s="12" t="inlineStr">
        <is>
          <t>XBRL Tagging, Conversion &amp; Filing</t>
        </is>
      </c>
      <c r="H135" s="12" t="inlineStr">
        <is>
          <t>IC</t>
        </is>
      </c>
      <c r="I135" s="42" t="inlineStr">
        <is>
          <t>L3 – Professional / Associate</t>
        </is>
      </c>
      <c r="J135" s="16" t="inlineStr">
        <is>
          <t>A3</t>
        </is>
      </c>
      <c r="K135" s="17" t="inlineStr">
        <is>
          <t>Senior Associate</t>
        </is>
      </c>
      <c r="L135" s="87" t="inlineStr">
        <is>
          <t>▲ Up</t>
        </is>
      </c>
      <c r="M135" s="12" t="inlineStr">
        <is>
          <t>CARBON · Services · Band A · Early career</t>
        </is>
      </c>
      <c r="N135" s="42" t="n">
        <v>2.5</v>
      </c>
      <c r="O135" s="42" t="n">
        <v>2</v>
      </c>
      <c r="P135" s="42" t="n">
        <v>2</v>
      </c>
      <c r="Q135" s="42" t="n">
        <v>1</v>
      </c>
      <c r="R135" s="42" t="n">
        <v>9</v>
      </c>
      <c r="S135" s="80" t="n">
        <v>2.5</v>
      </c>
      <c r="T135" s="81">
        <f>IF(OR($M135="",COUNT(N135,O135,P135,Q135,R135,S135)&lt;6),"",IFERROR(N135*INDEX(WM_C,MATCH($M135,WM_KEY,0))+O135*INDEX(WM_AU,MATCH($M135,WM_KEY,0))+P135*INDEX(WM_AC,MATCH($M135,WM_KEY,0))+Q135*INDEX(WM_L,MATCH($M135,WM_KEY,0))+R135*INDEX(WM_E,MATCH($M135,WM_KEY,0))+S135*INDEX(WM_BI,MATCH($M135,WM_KEY,0)),""))</f>
        <v>3</v>
      </c>
      <c r="U135" s="42" t="str">
        <f>IF(T135="","",INDEX({"A1","A2","A3","B1","B2","B3","C1","C2","D1","D2","E1","E2"},MAX(1,MIN(12,ROUND(T135,0)))))</f>
        <v>A3</v>
      </c>
      <c r="V135" s="12" t="inlineStr">
        <is>
          <r>
            <rPr>
              <rFont val="Calibri"/>
              <sz val="10"/>
            </rPr>
            <t xml:space="preserve">New level A3 · Senior Associate. Current level on record: L3 – Professional / Associate. Change: ▲ Up.
Score 3.00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5" s="12" t="inlineStr">
        <is>
          <r>
            <rPr>
              <rFont val="Calibri"/>
              <b val="1"/>
              <sz val="10"/>
            </rPr>
            <t>Complexity &amp; Expertise:</t>
          </r>
          <r>
            <rPr>
              <rFont val="Calibri"/>
              <sz val="10"/>
            </rPr>
            <t xml:space="preserve"> 2.5 of 12 · between A2 and A3 — Start: 2.0 · practitioner title; Evidence reads like A3: Tags average, complex and special-case UK files · charity, banking, insurance; formatting, validation → moved up 0.5;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Resolves routine errors within guidelines, with a team member's approval; files go to QC → matches the start
</t>
          </r>
          <r>
            <rPr>
              <rFont val="Calibri"/>
              <b val="1"/>
              <sz val="10"/>
            </rPr>
            <t>Accountability &amp; Impact:</t>
          </r>
          <r>
            <rPr>
              <rFont val="Calibri"/>
              <sz val="10"/>
            </rPr>
            <t xml:space="preserve"> 2 of 12 — Start: 2.0 · practitioner title; Evidence reads like A2: Accuracy and timeliness of own tagged files, which pass to QC analysts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Discusses calls with the team; no guidance of others described → matches the start; Team: 0 direct reports · IC
</t>
          </r>
          <r>
            <rPr>
              <rFont val="Calibri"/>
              <b val="1"/>
              <sz val="10"/>
            </rPr>
            <t>Experience &amp; Qualification:</t>
          </r>
          <r>
            <rPr>
              <rFont val="Calibri"/>
              <sz val="10"/>
            </rPr>
            <t xml:space="preserve"> 9 of 12 — Experience: 18.0 yrs total · 18.0 at IRIS; none recorded before IRIS = 9.1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35"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35" s="12" t="inlineStr">
        <is>
          <r>
            <rPr>
              <rFont val="Calibri"/>
              <sz val="10"/>
            </rPr>
            <t xml:space="preserve">✓ HRIS: 18.0 yrs, B.Com, 0 direct reports
✓ Survey: 19 of 20 questions answered
✓ KRAs: submitted, reported deliverables
✓ Manager mapping: rating, potential, 9-box
✗ Job description: not on file
</t>
          </r>
          <r>
            <rPr>
              <rFont val="Calibri"/>
              <b val="1"/>
              <sz val="10"/>
            </rPr>
            <t>Confidence:</t>
          </r>
          <r>
            <rPr>
              <rFont val="Calibri"/>
              <sz val="10"/>
            </rPr>
            <t xml:space="preserve"> High</t>
          </r>
        </is>
      </c>
      <c r="Z135" s="12" t="inlineStr">
        <is>
          <t>—</t>
        </is>
      </c>
      <c r="AA135" s="12" t="inlineStr">
        <is>
          <t>Nothing outstanding</t>
        </is>
      </c>
      <c r="AB13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35" s="84" t="n"/>
      <c r="AD135" s="84" t="n"/>
      <c r="AE135" s="84" t="n"/>
      <c r="AF135" s="12" t="n">
        <v>2.5</v>
      </c>
    </row>
    <row r="136" ht="400" customHeight="1">
      <c r="A136" s="12" t="inlineStr">
        <is>
          <t>IRISC330</t>
        </is>
      </c>
      <c r="B136" s="10" t="inlineStr">
        <is>
          <t>Raj Ratnakar Kumbhar</t>
        </is>
      </c>
      <c r="C136" s="12" t="inlineStr">
        <is>
          <t>Services</t>
        </is>
      </c>
      <c r="D136" s="12" t="inlineStr">
        <is>
          <t>Consultant</t>
        </is>
      </c>
      <c r="E136" s="85" t="inlineStr">
        <is>
          <t>Senior Financial Analyst</t>
        </is>
      </c>
      <c r="F136" s="12" t="inlineStr">
        <is>
          <t>Consulting &amp; Professional Services</t>
        </is>
      </c>
      <c r="G136" s="12" t="inlineStr">
        <is>
          <t>XBRL Tagging, Conversion &amp; Filing</t>
        </is>
      </c>
      <c r="H136" s="12" t="inlineStr">
        <is>
          <t>IC</t>
        </is>
      </c>
      <c r="I136" s="42" t="inlineStr">
        <is>
          <t>L3 – Professional / Associate</t>
        </is>
      </c>
      <c r="J136" s="16" t="inlineStr">
        <is>
          <t>A3</t>
        </is>
      </c>
      <c r="K136" s="17" t="inlineStr">
        <is>
          <t>Senior Associate</t>
        </is>
      </c>
      <c r="L136" s="87" t="inlineStr">
        <is>
          <t>▲ Up</t>
        </is>
      </c>
      <c r="M136" s="12" t="inlineStr">
        <is>
          <t>CARBON · Services · Band A · Early career</t>
        </is>
      </c>
      <c r="N136" s="42" t="n">
        <v>2.5</v>
      </c>
      <c r="O136" s="42" t="n">
        <v>2.5</v>
      </c>
      <c r="P136" s="42" t="n">
        <v>2.5</v>
      </c>
      <c r="Q136" s="42" t="n">
        <v>1</v>
      </c>
      <c r="R136" s="42" t="n">
        <v>3.5</v>
      </c>
      <c r="S136" s="80" t="n">
        <v>3</v>
      </c>
      <c r="T136" s="81">
        <f>IF(OR($M136="",COUNT(N136,O136,P136,Q136,R136,S136)&lt;6),"",IFERROR(N136*INDEX(WM_C,MATCH($M136,WM_KEY,0))+O136*INDEX(WM_AU,MATCH($M136,WM_KEY,0))+P136*INDEX(WM_AC,MATCH($M136,WM_KEY,0))+Q136*INDEX(WM_L,MATCH($M136,WM_KEY,0))+R136*INDEX(WM_E,MATCH($M136,WM_KEY,0))+S136*INDEX(WM_BI,MATCH($M136,WM_KEY,0)),""))</f>
        <v>2.63</v>
      </c>
      <c r="U136" s="42" t="str">
        <f>IF(T136="","",INDEX({"A1","A2","A3","B1","B2","B3","C1","C2","D1","D2","E1","E2"},MAX(1,MIN(12,ROUND(T136,0)))))</f>
        <v>A3</v>
      </c>
      <c r="V136" s="12" t="inlineStr">
        <is>
          <r>
            <rPr>
              <rFont val="Calibri"/>
              <sz val="10"/>
            </rPr>
            <t xml:space="preserve">New level A3 · Senior Associate. Current level on record: L3 – Professional / Associate. Change: ▲ Up.
Score 2.63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6" s="12" t="inlineStr">
        <is>
          <r>
            <rPr>
              <rFont val="Calibri"/>
              <b val="1"/>
              <sz val="10"/>
            </rPr>
            <t>Complexity &amp; Expertise:</t>
          </r>
          <r>
            <rPr>
              <rFont val="Calibri"/>
              <sz val="10"/>
            </rPr>
            <t xml:space="preserve"> 2.5 of 12 · between A2 and A3 — Start: 2.0 · practitioner title; Evidence: rated like 3 colleagues in the same role and department · own answers too general to rate → moved +0.5;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2.0 · practitioner title; Evidence: rated like 3 colleagues in the same role and department · own answers too general to rate → moved +0.5
</t>
          </r>
          <r>
            <rPr>
              <rFont val="Calibri"/>
              <b val="1"/>
              <sz val="10"/>
            </rPr>
            <t>Accountability &amp; Impact:</t>
          </r>
          <r>
            <rPr>
              <rFont val="Calibri"/>
              <sz val="10"/>
            </rPr>
            <t xml:space="preserve"> 2.5 of 12 · between A2 and A3 — Start: 2.0 · practitioner title; Evidence: rated like 3 colleagues in the same role and department · own answers too general to rate → moved +0.5;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rated like 3 colleagues in the same role and department · own answers too general to rate → no change; Team: 0 direct reports · IC
</t>
          </r>
          <r>
            <rPr>
              <rFont val="Calibri"/>
              <b val="1"/>
              <sz val="10"/>
            </rPr>
            <t>Experience &amp; Qualification:</t>
          </r>
          <r>
            <rPr>
              <rFont val="Calibri"/>
              <sz val="10"/>
            </rPr>
            <t xml:space="preserve"> 3.5 of 12 · between A3 and B1 — Experience: 4.4 yrs total · 3.7 before IRIS + 0.7 at IRIS = 3.6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36"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36" s="12" t="inlineStr">
        <is>
          <r>
            <rPr>
              <rFont val="Calibri"/>
              <sz val="10"/>
            </rPr>
            <t xml:space="preserve">✓ HRIS: 4.4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Low</t>
          </r>
        </is>
      </c>
      <c r="Z136" s="12" t="inlineStr">
        <is>
          <t>—</t>
        </is>
      </c>
      <c r="AA136" s="12" t="inlineStr">
        <is>
          <t>Nothing outstanding</t>
        </is>
      </c>
      <c r="AB13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36" s="84" t="n"/>
      <c r="AD136" s="84" t="n"/>
      <c r="AE136" s="84" t="n"/>
      <c r="AF136" s="12" t="n">
        <v>3</v>
      </c>
    </row>
    <row r="137" ht="400" customHeight="1">
      <c r="A137" s="12" t="inlineStr">
        <is>
          <t>IRIS1340</t>
        </is>
      </c>
      <c r="B137" s="10" t="inlineStr">
        <is>
          <t>Rajendra Gupta</t>
        </is>
      </c>
      <c r="C137" s="12" t="inlineStr">
        <is>
          <t>Services</t>
        </is>
      </c>
      <c r="D137" s="12" t="inlineStr">
        <is>
          <t>Financial Analyst</t>
        </is>
      </c>
      <c r="E137" s="85" t="inlineStr">
        <is>
          <t>Senior Financial Analyst</t>
        </is>
      </c>
      <c r="F137" s="12" t="inlineStr">
        <is>
          <t>Consulting &amp; Professional Services</t>
        </is>
      </c>
      <c r="G137" s="12" t="inlineStr">
        <is>
          <t>XBRL Tagging, Conversion &amp; Filing</t>
        </is>
      </c>
      <c r="H137" s="12" t="inlineStr">
        <is>
          <t>IC</t>
        </is>
      </c>
      <c r="I137" s="42" t="inlineStr">
        <is>
          <t>L3 – Professional / Associate</t>
        </is>
      </c>
      <c r="J137" s="16" t="inlineStr">
        <is>
          <t>A3</t>
        </is>
      </c>
      <c r="K137" s="17" t="inlineStr">
        <is>
          <t>Senior Associate</t>
        </is>
      </c>
      <c r="L137" s="87" t="inlineStr">
        <is>
          <t>▲ Up</t>
        </is>
      </c>
      <c r="M137" s="12" t="inlineStr">
        <is>
          <t>CARBON · Services · Band A · Early career</t>
        </is>
      </c>
      <c r="N137" s="42" t="n">
        <v>2.5</v>
      </c>
      <c r="O137" s="42" t="n">
        <v>2.5</v>
      </c>
      <c r="P137" s="42" t="n">
        <v>2.5</v>
      </c>
      <c r="Q137" s="42" t="n">
        <v>1</v>
      </c>
      <c r="R137" s="42" t="n">
        <v>8.5</v>
      </c>
      <c r="S137" s="80" t="n">
        <v>3</v>
      </c>
      <c r="T137" s="81">
        <f>IF(OR($M137="",COUNT(N137,O137,P137,Q137,R137,S137)&lt;6),"",IFERROR(N137*INDEX(WM_C,MATCH($M137,WM_KEY,0))+O137*INDEX(WM_AU,MATCH($M137,WM_KEY,0))+P137*INDEX(WM_AC,MATCH($M137,WM_KEY,0))+Q137*INDEX(WM_L,MATCH($M137,WM_KEY,0))+R137*INDEX(WM_E,MATCH($M137,WM_KEY,0))+S137*INDEX(WM_BI,MATCH($M137,WM_KEY,0)),""))</f>
        <v>3.13</v>
      </c>
      <c r="U137" s="42" t="str">
        <f>IF(T137="","",INDEX({"A1","A2","A3","B1","B2","B3","C1","C2","D1","D2","E1","E2"},MAX(1,MIN(12,ROUND(T137,0)))))</f>
        <v>A3</v>
      </c>
      <c r="V137" s="12" t="inlineStr">
        <is>
          <r>
            <rPr>
              <rFont val="Calibri"/>
              <sz val="10"/>
            </rPr>
            <t xml:space="preserve">New level A3 · Senior Associate. Current level on record: L3 – Professional / Associate. Change: ▲ Up.
Score 3.13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7" s="12" t="inlineStr">
        <is>
          <r>
            <rPr>
              <rFont val="Calibri"/>
              <b val="1"/>
              <sz val="10"/>
            </rPr>
            <t>Complexity &amp; Expertise:</t>
          </r>
          <r>
            <rPr>
              <rFont val="Calibri"/>
              <sz val="10"/>
            </rPr>
            <t xml:space="preserve"> 2.5 of 12 · between A2 and A3 — Start: 2.0 · practitioner title; Evidence reads like A3: MCA and CIPC conversion: data mapping, XML generation, validation errors, client calls; IFRS, Ind AS → moved up 0.5;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2.0 · practitioner title; Evidence reads like A3: Maps, corrects and quality-checks without prior approval; refers interpretation changes to team or client → moved up 0.5
</t>
          </r>
          <r>
            <rPr>
              <rFont val="Calibri"/>
              <b val="1"/>
              <sz val="10"/>
            </rPr>
            <t>Accountability &amp; Impact:</t>
          </r>
          <r>
            <rPr>
              <rFont val="Calibri"/>
              <sz val="10"/>
            </rPr>
            <t xml:space="preserve"> 2.5 of 12 · between A2 and A3 — Start: 2.0 · practitioner title; Evidence reads like A3: Complete XBRL file start to finish; MCA files sent directly to client → moved up 0.5;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colleagues described → matches the start; Team: 0 direct reports · IC
</t>
          </r>
          <r>
            <rPr>
              <rFont val="Calibri"/>
              <b val="1"/>
              <sz val="10"/>
            </rPr>
            <t>Experience &amp; Qualification:</t>
          </r>
          <r>
            <rPr>
              <rFont val="Calibri"/>
              <sz val="10"/>
            </rPr>
            <t xml:space="preserve"> 8.5 of 12 · between C2 and D1 — Experience: 14.3 yrs total · 1.0 before IRIS + 13.3 at IRIS = 7.9 on the experience scale; Qualification: MBA · postgraduate, relevant to the work → +0.5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37"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37" s="12" t="inlineStr">
        <is>
          <r>
            <rPr>
              <rFont val="Calibri"/>
              <sz val="10"/>
            </rPr>
            <t xml:space="preserve">✓ HRIS: 14.3 yrs, MBA,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37" s="12" t="inlineStr">
        <is>
          <t>—</t>
        </is>
      </c>
      <c r="AA137" s="12" t="inlineStr">
        <is>
          <t>Nothing outstanding</t>
        </is>
      </c>
      <c r="AB13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37" s="84" t="n"/>
      <c r="AD137" s="84" t="n"/>
      <c r="AE137" s="84" t="n"/>
      <c r="AF137" s="12" t="n">
        <v>3</v>
      </c>
    </row>
    <row r="138" ht="400" customHeight="1">
      <c r="A138" s="12" t="inlineStr">
        <is>
          <t>IRIS2120</t>
        </is>
      </c>
      <c r="B138" s="10" t="inlineStr">
        <is>
          <t>Rohit Sawant</t>
        </is>
      </c>
      <c r="C138" s="12" t="inlineStr">
        <is>
          <t>Services</t>
        </is>
      </c>
      <c r="D138" s="12" t="inlineStr">
        <is>
          <t>Financial Analyst</t>
        </is>
      </c>
      <c r="E138" s="85" t="inlineStr">
        <is>
          <t>Senior Financial Analyst</t>
        </is>
      </c>
      <c r="F138" s="12" t="inlineStr">
        <is>
          <t>Consulting &amp; Professional Services</t>
        </is>
      </c>
      <c r="G138" s="12" t="inlineStr">
        <is>
          <t>XBRL Tagging, Conversion &amp; Filing</t>
        </is>
      </c>
      <c r="H138" s="12" t="inlineStr">
        <is>
          <t>IC</t>
        </is>
      </c>
      <c r="I138" s="42" t="inlineStr">
        <is>
          <t>L3 – Professional / Associate</t>
        </is>
      </c>
      <c r="J138" s="16" t="inlineStr">
        <is>
          <t>A3</t>
        </is>
      </c>
      <c r="K138" s="17" t="inlineStr">
        <is>
          <t>Senior Associate</t>
        </is>
      </c>
      <c r="L138" s="87" t="inlineStr">
        <is>
          <t>▲ Up</t>
        </is>
      </c>
      <c r="M138" s="12" t="inlineStr">
        <is>
          <t>CARBON · Services · Band A · Early career</t>
        </is>
      </c>
      <c r="N138" s="42" t="n">
        <v>2</v>
      </c>
      <c r="O138" s="42" t="n">
        <v>2</v>
      </c>
      <c r="P138" s="42" t="n">
        <v>2</v>
      </c>
      <c r="Q138" s="42" t="n">
        <v>1</v>
      </c>
      <c r="R138" s="42" t="n">
        <v>5</v>
      </c>
      <c r="S138" s="80" t="n">
        <v>2.5</v>
      </c>
      <c r="T138" s="81">
        <f>IF(OR($M138="",COUNT(N138,O138,P138,Q138,R138,S138)&lt;6),"",IFERROR(N138*INDEX(WM_C,MATCH($M138,WM_KEY,0))+O138*INDEX(WM_AU,MATCH($M138,WM_KEY,0))+P138*INDEX(WM_AC,MATCH($M138,WM_KEY,0))+Q138*INDEX(WM_L,MATCH($M138,WM_KEY,0))+R138*INDEX(WM_E,MATCH($M138,WM_KEY,0))+S138*INDEX(WM_BI,MATCH($M138,WM_KEY,0)),""))</f>
        <v>2.33</v>
      </c>
      <c r="U138" s="42" t="str">
        <f>IF(T138="","",INDEX({"A1","A2","A3","B1","B2","B3","C1","C2","D1","D2","E1","E2"},MAX(1,MIN(12,ROUND(T138,0)))))</f>
        <v>A2</v>
      </c>
      <c r="V138" s="12" t="inlineStr">
        <is>
          <r>
            <rPr>
              <rFont val="Calibri"/>
              <sz val="10"/>
            </rPr>
            <t xml:space="preserve">New level A3 · Senior Associate. Current level on record: L3 – Professional / Associate. Change: ▲ Up.
Score 2.33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7.4 years' experience is 2 years or more.
</t>
          </r>
          <r>
            <rPr>
              <rFont val="Calibri"/>
              <b val="1"/>
              <sz val="10"/>
            </rPr>
            <t>Final level:</t>
          </r>
          <r>
            <rPr>
              <rFont val="Calibri"/>
              <sz val="10"/>
            </rPr>
            <t xml:space="preserve"> A3.</t>
          </r>
        </is>
      </c>
      <c r="W138" s="12" t="inlineStr">
        <is>
          <r>
            <rPr>
              <rFont val="Calibri"/>
              <b val="1"/>
              <sz val="10"/>
            </rPr>
            <t>Complexity &amp; Expertise:</t>
          </r>
          <r>
            <rPr>
              <rFont val="Calibri"/>
              <sz val="10"/>
            </rPr>
            <t xml:space="preserve"> 2 of 12 — Start: 2.0 · practitioner title; Evidence reads like A2: Mapping, QC and formatting of US XBRL files in DM; very little detail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Names only tagging and QC as own decisions; issues escalate to manager → matches the start
</t>
          </r>
          <r>
            <rPr>
              <rFont val="Calibri"/>
              <b val="1"/>
              <sz val="10"/>
            </rPr>
            <t>Accountability &amp; Impact:</t>
          </r>
          <r>
            <rPr>
              <rFont val="Calibri"/>
              <sz val="10"/>
            </rPr>
            <t xml:space="preserve"> 2 of 12 — Start: 2.0 · practitioner title; Evidence reads like A2: Accurate delivery of own XBRL output, handed to the next process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5 of 12 — Experience: 7.4 yrs total · 4.0 before IRIS + 3.4 at IRIS = 5.0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38"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38" s="12" t="inlineStr">
        <is>
          <r>
            <rPr>
              <rFont val="Calibri"/>
              <sz val="10"/>
            </rPr>
            <t xml:space="preserve">✓ HRIS: 7.4 yrs, B.Com, 0 direct reports
✓ Survey: 19 of 20 questions answered
✓ KRAs: submitted, reported deliverables
✓ Manager mapping: rating, potential, 9-box
✗ Job description: not on file
</t>
          </r>
          <r>
            <rPr>
              <rFont val="Calibri"/>
              <b val="1"/>
              <sz val="10"/>
            </rPr>
            <t>Confidence:</t>
          </r>
          <r>
            <rPr>
              <rFont val="Calibri"/>
              <sz val="10"/>
            </rPr>
            <t xml:space="preserve"> Medium</t>
          </r>
        </is>
      </c>
      <c r="Z138" s="12" t="inlineStr">
        <is>
          <t>—</t>
        </is>
      </c>
      <c r="AA138" s="12" t="inlineStr">
        <is>
          <t>Nothing outstanding</t>
        </is>
      </c>
      <c r="AB13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2 · Potential: Low · 9-Box Grid placement: Reliable Specialist.</t>
          </r>
        </is>
      </c>
      <c r="AC138" s="84" t="n"/>
      <c r="AD138" s="84" t="n"/>
      <c r="AE138" s="84" t="n"/>
      <c r="AF138" s="12" t="n">
        <v>2.5</v>
      </c>
    </row>
    <row r="139" ht="400" customHeight="1">
      <c r="A139" s="12" t="inlineStr">
        <is>
          <t>IRISC265</t>
        </is>
      </c>
      <c r="B139" s="10" t="inlineStr">
        <is>
          <t>Roshni Surve</t>
        </is>
      </c>
      <c r="C139" s="12" t="inlineStr">
        <is>
          <t>Services</t>
        </is>
      </c>
      <c r="D139" s="12" t="inlineStr">
        <is>
          <t>Consultant</t>
        </is>
      </c>
      <c r="E139" s="85" t="inlineStr">
        <is>
          <t>Senior Financial Analyst</t>
        </is>
      </c>
      <c r="F139" s="12" t="inlineStr">
        <is>
          <t>Consulting &amp; Professional Services</t>
        </is>
      </c>
      <c r="G139" s="12" t="inlineStr">
        <is>
          <t>XBRL Tagging, Conversion &amp; Filing</t>
        </is>
      </c>
      <c r="H139" s="12" t="inlineStr">
        <is>
          <t>IC</t>
        </is>
      </c>
      <c r="I139" s="42" t="inlineStr">
        <is>
          <t>L3 – Professional / Associate</t>
        </is>
      </c>
      <c r="J139" s="16" t="inlineStr">
        <is>
          <t>A3</t>
        </is>
      </c>
      <c r="K139" s="17" t="inlineStr">
        <is>
          <t>Senior Associate</t>
        </is>
      </c>
      <c r="L139" s="87" t="inlineStr">
        <is>
          <t>▲ Up</t>
        </is>
      </c>
      <c r="M139" s="12" t="inlineStr">
        <is>
          <t>CARBON · Services · Band A · Early career</t>
        </is>
      </c>
      <c r="N139" s="42" t="n">
        <v>2.5</v>
      </c>
      <c r="O139" s="42" t="n">
        <v>2.5</v>
      </c>
      <c r="P139" s="42" t="n">
        <v>2.5</v>
      </c>
      <c r="Q139" s="42" t="n">
        <v>1</v>
      </c>
      <c r="R139" s="42" t="n">
        <v>3</v>
      </c>
      <c r="S139" s="80" t="n">
        <v>3</v>
      </c>
      <c r="T139" s="81">
        <f>IF(OR($M139="",COUNT(N139,O139,P139,Q139,R139,S139)&lt;6),"",IFERROR(N139*INDEX(WM_C,MATCH($M139,WM_KEY,0))+O139*INDEX(WM_AU,MATCH($M139,WM_KEY,0))+P139*INDEX(WM_AC,MATCH($M139,WM_KEY,0))+Q139*INDEX(WM_L,MATCH($M139,WM_KEY,0))+R139*INDEX(WM_E,MATCH($M139,WM_KEY,0))+S139*INDEX(WM_BI,MATCH($M139,WM_KEY,0)),""))</f>
        <v>2.58</v>
      </c>
      <c r="U139" s="42" t="str">
        <f>IF(T139="","",INDEX({"A1","A2","A3","B1","B2","B3","C1","C2","D1","D2","E1","E2"},MAX(1,MIN(12,ROUND(T139,0)))))</f>
        <v>A3</v>
      </c>
      <c r="V139" s="12" t="inlineStr">
        <is>
          <r>
            <rPr>
              <rFont val="Calibri"/>
              <sz val="10"/>
            </rPr>
            <t xml:space="preserve">New level A3 · Senior Associate. Current level on record: L3 – Professional / Associate. Change: ▲ Up.
Score 2.58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39" s="12" t="inlineStr">
        <is>
          <r>
            <rPr>
              <rFont val="Calibri"/>
              <b val="1"/>
              <sz val="10"/>
            </rPr>
            <t>Complexity &amp; Expertise:</t>
          </r>
          <r>
            <rPr>
              <rFont val="Calibri"/>
              <sz val="10"/>
            </rPr>
            <t xml:space="preserve"> 2.5 of 12 · between A2 and A3 — Start: 2.0 · practitioner title; Evidence reads like A3: MCA and ESMA mapping with extensions, dimensions, calculations; resolves validation errors and client queries → moved up 0.5;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2.0 · practitioner title; Evidence reads like A3: Decides mapping and corrections on own files; deliverables go directly to client → moved up 0.5
</t>
          </r>
          <r>
            <rPr>
              <rFont val="Calibri"/>
              <b val="1"/>
              <sz val="10"/>
            </rPr>
            <t>Accountability &amp; Impact:</t>
          </r>
          <r>
            <rPr>
              <rFont val="Calibri"/>
              <sz val="10"/>
            </rPr>
            <t xml:space="preserve"> 2.5 of 12 · between A2 and A3 — Start: 2.0 · practitioner title; Evidence reads like A3: Accuracy of own conversions delivered directly to clients for filing → moved up 0.5;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3 of 12 — Experience: 3.3 yrs total · 3.3 at IRIS; none recorded before IRIS = 3.1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39"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39" s="12" t="inlineStr">
        <is>
          <r>
            <rPr>
              <rFont val="Calibri"/>
              <sz val="10"/>
            </rPr>
            <t xml:space="preserve">✓ HRIS: 3.3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39" s="12" t="inlineStr">
        <is>
          <t>—</t>
        </is>
      </c>
      <c r="AA139" s="12" t="inlineStr">
        <is>
          <t>Nothing outstanding</t>
        </is>
      </c>
      <c r="AB13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AC139" s="84" t="n"/>
      <c r="AD139" s="84" t="n"/>
      <c r="AE139" s="84" t="n"/>
      <c r="AF139" s="12" t="n">
        <v>3</v>
      </c>
    </row>
    <row r="140" ht="400" customHeight="1">
      <c r="A140" s="12" t="inlineStr">
        <is>
          <t>IRIS2050</t>
        </is>
      </c>
      <c r="B140" s="10" t="inlineStr">
        <is>
          <t>Ruhee Chita</t>
        </is>
      </c>
      <c r="C140" s="12" t="inlineStr">
        <is>
          <t>Services</t>
        </is>
      </c>
      <c r="D140" s="12" t="inlineStr">
        <is>
          <t>Senior Financial Analyst</t>
        </is>
      </c>
      <c r="E140" s="85" t="inlineStr">
        <is>
          <t>XBRL Specialist</t>
        </is>
      </c>
      <c r="F140" s="12" t="inlineStr">
        <is>
          <t>Consulting &amp; Professional Services</t>
        </is>
      </c>
      <c r="G140" s="12" t="inlineStr">
        <is>
          <t>XBRL Tagging, Conversion &amp; Filing</t>
        </is>
      </c>
      <c r="H140" s="12" t="inlineStr">
        <is>
          <t>IC</t>
        </is>
      </c>
      <c r="I140" s="42" t="inlineStr">
        <is>
          <t>L4 – Senior</t>
        </is>
      </c>
      <c r="J140" s="16" t="inlineStr">
        <is>
          <t>A3</t>
        </is>
      </c>
      <c r="K140" s="17" t="inlineStr">
        <is>
          <t>Senior Associate</t>
        </is>
      </c>
      <c r="L140" s="87" t="inlineStr">
        <is>
          <t>▲ Up</t>
        </is>
      </c>
      <c r="M140" s="12" t="inlineStr">
        <is>
          <t>CARBON · Services · Band A · Early career</t>
        </is>
      </c>
      <c r="N140" s="42" t="n">
        <v>3.5</v>
      </c>
      <c r="O140" s="42" t="n">
        <v>3</v>
      </c>
      <c r="P140" s="42" t="n">
        <v>3</v>
      </c>
      <c r="Q140" s="42" t="n">
        <v>1.5</v>
      </c>
      <c r="R140" s="42" t="n">
        <v>6</v>
      </c>
      <c r="S140" s="80" t="n">
        <v>3.5</v>
      </c>
      <c r="T140" s="81">
        <f>IF(OR($M140="",COUNT(N140,O140,P140,Q140,R140,S140)&lt;6),"",IFERROR(N140*INDEX(WM_C,MATCH($M140,WM_KEY,0))+O140*INDEX(WM_AU,MATCH($M140,WM_KEY,0))+P140*INDEX(WM_AC,MATCH($M140,WM_KEY,0))+Q140*INDEX(WM_L,MATCH($M140,WM_KEY,0))+R140*INDEX(WM_E,MATCH($M140,WM_KEY,0))+S140*INDEX(WM_BI,MATCH($M140,WM_KEY,0)),""))</f>
        <v>3.6</v>
      </c>
      <c r="U140" s="42" t="str">
        <f>IF(T140="","",INDEX({"A1","A2","A3","B1","B2","B3","C1","C2","D1","D2","E1","E2"},MAX(1,MIN(12,ROUND(T140,0)))))</f>
        <v>B1</v>
      </c>
      <c r="V140" s="12" t="inlineStr">
        <is>
          <r>
            <rPr>
              <rFont val="Calibri"/>
              <sz val="10"/>
            </rPr>
            <t xml:space="preserve">New level A3 · Senior Associate. Current level on record: L4 – Senior. Change: ▲ Up.
Score 3.60 on the ladder scale → indicated level B1.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3.49.
</t>
          </r>
          <r>
            <rPr>
              <rFont val="Calibri"/>
              <b val="1"/>
              <sz val="10"/>
            </rPr>
            <t>Final level:</t>
          </r>
          <r>
            <rPr>
              <rFont val="Calibri"/>
              <sz val="10"/>
            </rPr>
            <t xml:space="preserve"> A3.</t>
          </r>
        </is>
      </c>
      <c r="W140" s="12" t="inlineStr">
        <is>
          <r>
            <rPr>
              <rFont val="Calibri"/>
              <b val="1"/>
              <sz val="10"/>
            </rPr>
            <t>Complexity &amp; Expertise:</t>
          </r>
          <r>
            <rPr>
              <rFont val="Calibri"/>
              <sz val="10"/>
            </rPr>
            <t xml:space="preserve"> 3.5 of 12 · between A3 and B1 — Start: 3.0 · senior practitioner title; Evidence reads like B1: Maps statements to ESEF, Dutch, Nigeria, UK taxonomies; extension decisions; resolves auditor comments; reviews filings → moved up 0.5; KRA: “1. Complete assigned XBRL mapping tasks with &gt;=99% accuracy · zero critical errors 2. Meet 100% of regulatory / client filing deadlines (no…”
</t>
          </r>
          <r>
            <rPr>
              <rFont val="Calibri"/>
              <b val="1"/>
              <sz val="10"/>
            </rPr>
            <t>Autonomy &amp; Decision:</t>
          </r>
          <r>
            <rPr>
              <rFont val="Calibri"/>
              <sz val="10"/>
            </rPr>
            <t xml:space="preserve"> 3 of 12 — Start: 3.0 · senior practitioner title; Evidence reads like A3: Maps independently, selects taxonomy concepts, incorporates auditor comments, prioritises filings by deadline → matches the start
</t>
          </r>
          <r>
            <rPr>
              <rFont val="Calibri"/>
              <b val="1"/>
              <sz val="10"/>
            </rPr>
            <t>Accountability &amp; Impact:</t>
          </r>
          <r>
            <rPr>
              <rFont val="Calibri"/>
              <sz val="10"/>
            </rPr>
            <t xml:space="preserve"> 3 of 12 — Start: 3.0 · senior practitioner title; Evidence reads like A3: Mapping accuracy and ESEF/KVK compliance of filings; addresses auditor comments → matches the start; KRA: “1. Complete assigned XBRL mapping tasks with &gt;=99% accuracy · zero critical errors 2. Meet 100% of regulatory / client filing deadlines (no…”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6 of 12 — Experience: 7.7 yrs total · 3.6 before IRIS + 4.1 at IRIS = 5.1 on the experience scale; Qualification: CMA · professional, relevant to the work → +1.0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40" s="12" t="inlineStr">
        <is>
          <r>
            <rPr>
              <rFont val="Calibri"/>
              <b val="1"/>
              <sz val="10"/>
            </rPr>
            <t>Market level:</t>
          </r>
          <r>
            <rPr>
              <rFont val="Calibri"/>
              <sz val="10"/>
            </rPr>
            <t xml:space="preserve"> P2 · SFIA 3 Apply
</t>
          </r>
          <r>
            <rPr>
              <rFont val="Calibri"/>
              <b val="1"/>
              <sz val="10"/>
            </rPr>
            <t>Typical title:</t>
          </r>
          <r>
            <rPr>
              <rFont val="Calibri"/>
              <sz val="10"/>
            </rPr>
            <t xml:space="preserve"> Consultant / Senior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40" s="12" t="inlineStr">
        <is>
          <r>
            <rPr>
              <rFont val="Calibri"/>
              <sz val="10"/>
            </rPr>
            <t xml:space="preserve">✓ HRIS: 7.7 yrs, CMA,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40" s="82" t="inlineStr">
        <is>
          <r>
            <rPr>
              <rFont val="Calibri"/>
              <color rgb="009C5700"/>
              <sz val="10"/>
            </rPr>
            <t xml:space="preserve">• </t>
          </r>
          <r>
            <rPr>
              <rFont val="Calibri"/>
              <b val="1"/>
              <color rgb="009C5700"/>
              <sz val="10"/>
            </rPr>
            <t>Near a gate:</t>
          </r>
          <r>
            <rPr>
              <rFont val="Calibri"/>
              <color rgb="009C5700"/>
              <sz val="10"/>
            </rPr>
            <t xml:space="preserve"> top of band: 3.49 on Band B's weights, 0.01 short of the 3.5 needed to enter Band B
• </t>
          </r>
          <r>
            <rPr>
              <rFont val="Calibri"/>
              <b val="1"/>
              <color rgb="009C5700"/>
              <sz val="10"/>
            </rPr>
            <t>Title check:</t>
          </r>
          <r>
            <rPr>
              <rFont val="Calibri"/>
              <color rgb="009C5700"/>
              <sz val="10"/>
            </rPr>
            <t xml:space="preserve"> Check title against ladder</t>
          </r>
        </is>
      </c>
      <c r="AA140" s="12" t="inlineStr">
        <is>
          <t>Nothing outstanding</t>
        </is>
      </c>
      <c r="AB14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40" s="84" t="n"/>
      <c r="AD140" s="84" t="n"/>
      <c r="AE140" s="84" t="n"/>
      <c r="AF140" s="12" t="n">
        <v>3.5</v>
      </c>
    </row>
    <row r="141" ht="400" customHeight="1">
      <c r="A141" s="12" t="inlineStr">
        <is>
          <t>IRIS1934</t>
        </is>
      </c>
      <c r="B141" s="10" t="inlineStr">
        <is>
          <t>Sagar Barbade</t>
        </is>
      </c>
      <c r="C141" s="12" t="inlineStr">
        <is>
          <t>Services</t>
        </is>
      </c>
      <c r="D141" s="12" t="inlineStr">
        <is>
          <t>Senior Financial Analyst</t>
        </is>
      </c>
      <c r="E141" s="85" t="inlineStr">
        <is>
          <t>XBRL Specialist</t>
        </is>
      </c>
      <c r="F141" s="12" t="inlineStr">
        <is>
          <t>Consulting &amp; Professional Services</t>
        </is>
      </c>
      <c r="G141" s="12" t="inlineStr">
        <is>
          <t>XBRL Tagging, Conversion &amp; Filing</t>
        </is>
      </c>
      <c r="H141" s="12" t="inlineStr">
        <is>
          <t>IC</t>
        </is>
      </c>
      <c r="I141" s="42" t="inlineStr">
        <is>
          <t>L4 – Senior</t>
        </is>
      </c>
      <c r="J141" s="16" t="inlineStr">
        <is>
          <t>A3</t>
        </is>
      </c>
      <c r="K141" s="17" t="inlineStr">
        <is>
          <t>Senior Associate</t>
        </is>
      </c>
      <c r="L141" s="87" t="inlineStr">
        <is>
          <t>▲ Up</t>
        </is>
      </c>
      <c r="M141" s="12" t="inlineStr">
        <is>
          <t>CARBON · Services · Band A · Early career</t>
        </is>
      </c>
      <c r="N141" s="42" t="n">
        <v>3</v>
      </c>
      <c r="O141" s="42" t="n">
        <v>3.5</v>
      </c>
      <c r="P141" s="42" t="n">
        <v>3</v>
      </c>
      <c r="Q141" s="42" t="n">
        <v>3</v>
      </c>
      <c r="R141" s="42" t="n">
        <v>6</v>
      </c>
      <c r="S141" s="80" t="n">
        <v>3.5</v>
      </c>
      <c r="T141" s="81">
        <f>IF(OR($M141="",COUNT(N141,O141,P141,Q141,R141,S141)&lt;6),"",IFERROR(N141*INDEX(WM_C,MATCH($M141,WM_KEY,0))+O141*INDEX(WM_AU,MATCH($M141,WM_KEY,0))+P141*INDEX(WM_AC,MATCH($M141,WM_KEY,0))+Q141*INDEX(WM_L,MATCH($M141,WM_KEY,0))+R141*INDEX(WM_E,MATCH($M141,WM_KEY,0))+S141*INDEX(WM_BI,MATCH($M141,WM_KEY,0)),""))</f>
        <v>3.41</v>
      </c>
      <c r="U141" s="42" t="str">
        <f>IF(T141="","",INDEX({"A1","A2","A3","B1","B2","B3","C1","C2","D1","D2","E1","E2"},MAX(1,MIN(12,ROUND(T141,0)))))</f>
        <v>A3</v>
      </c>
      <c r="V141" s="12" t="inlineStr">
        <is>
          <r>
            <rPr>
              <rFont val="Calibri"/>
              <sz val="10"/>
            </rPr>
            <t xml:space="preserve">New level A3 · Senior Associate. Current level on record: L4 – Senior. Change: ▲ Up.
Score 3.41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1" s="12" t="inlineStr">
        <is>
          <r>
            <rPr>
              <rFont val="Calibri"/>
              <b val="1"/>
              <sz val="10"/>
            </rPr>
            <t>Complexity &amp; Expertise:</t>
          </r>
          <r>
            <rPr>
              <rFont val="Calibri"/>
              <sz val="10"/>
            </rPr>
            <t xml:space="preserve"> 3 of 12 — Start: 3.0 · senior practitioner title; Evidence reads like A3: Tagging, QC, validation, filings across US mandate stages; resolves routine process issues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3.5 of 12 · between A3 and B1 — Start: 3.0 · senior practitioner title; Evidence reads like B1: Allocates and rebalances shift work by priority and resources; escalates critical issues → moved up 0.5
</t>
          </r>
          <r>
            <rPr>
              <rFont val="Calibri"/>
              <b val="1"/>
              <sz val="10"/>
            </rPr>
            <t>Accountability &amp; Impact:</t>
          </r>
          <r>
            <rPr>
              <rFont val="Calibri"/>
              <sz val="10"/>
            </rPr>
            <t xml:space="preserve"> 3 of 12 — Start: 3.0 · senior practitioner title; Evidence reads like A3: Own tagging, QC and filing work plus effective shift/work allocation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3 of 12 — not counted: the weight is 0% at this level — Start: 2.0 · individual contributor, so influence only; Evidence reads like B1: Shift lead: allocates work to the shift team and gives guidance; no formal reports → moved up 1; Team: 0 direct reports · IC
</t>
          </r>
          <r>
            <rPr>
              <rFont val="Calibri"/>
              <b val="1"/>
              <sz val="10"/>
            </rPr>
            <t>Experience &amp; Qualification:</t>
          </r>
          <r>
            <rPr>
              <rFont val="Calibri"/>
              <sz val="10"/>
            </rPr>
            <t xml:space="preserve"> 6 of 12 — Experience: 9.2 yrs total · 4.0 before IRIS + 5.2 at IRIS = 5.7 on the experience scale; Qualification: MBA · postgraduate, relevant to the work → +0.5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41" s="12" t="inlineStr">
        <is>
          <r>
            <rPr>
              <rFont val="Calibri"/>
              <b val="1"/>
              <sz val="10"/>
            </rPr>
            <t>Market level:</t>
          </r>
          <r>
            <rPr>
              <rFont val="Calibri"/>
              <sz val="10"/>
            </rPr>
            <t xml:space="preserve"> P2 · SFIA 3 Apply
</t>
          </r>
          <r>
            <rPr>
              <rFont val="Calibri"/>
              <b val="1"/>
              <sz val="10"/>
            </rPr>
            <t>Typical title:</t>
          </r>
          <r>
            <rPr>
              <rFont val="Calibri"/>
              <sz val="10"/>
            </rPr>
            <t xml:space="preserve"> Consultant / Senior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41" s="12" t="inlineStr">
        <is>
          <r>
            <rPr>
              <rFont val="Calibri"/>
              <sz val="10"/>
            </rPr>
            <t xml:space="preserve">✓ HRIS: 9.2 yrs, MBA,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41" s="82" t="inlineStr">
        <is>
          <r>
            <rPr>
              <rFont val="Calibri"/>
              <color rgb="009C5700"/>
              <sz val="10"/>
            </rPr>
            <t xml:space="preserve">• </t>
          </r>
          <r>
            <rPr>
              <rFont val="Calibri"/>
              <b val="1"/>
              <color rgb="009C5700"/>
              <sz val="10"/>
            </rPr>
            <t>Title check:</t>
          </r>
          <r>
            <rPr>
              <rFont val="Calibri"/>
              <color rgb="009C5700"/>
              <sz val="10"/>
            </rPr>
            <t xml:space="preserve"> Check title against ladder</t>
          </r>
        </is>
      </c>
      <c r="AA141" s="83" t="inlineStr">
        <is>
          <t>• Confirm the reporting line — Manager</t>
        </is>
      </c>
      <c r="AB14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AC141" s="84" t="n"/>
      <c r="AD141" s="84" t="n"/>
      <c r="AE141" s="84" t="n"/>
      <c r="AF141" s="12" t="n">
        <v>3.5</v>
      </c>
    </row>
    <row r="142" ht="400" customHeight="1">
      <c r="A142" s="12" t="inlineStr">
        <is>
          <t>IRISC240</t>
        </is>
      </c>
      <c r="B142" s="10" t="inlineStr">
        <is>
          <t>Sakina Dholkawala</t>
        </is>
      </c>
      <c r="C142" s="12" t="inlineStr">
        <is>
          <t>Services</t>
        </is>
      </c>
      <c r="D142" s="12" t="inlineStr">
        <is>
          <t>Consultant</t>
        </is>
      </c>
      <c r="E142" s="85" t="inlineStr">
        <is>
          <t>Senior Financial Analyst</t>
        </is>
      </c>
      <c r="F142" s="12" t="inlineStr">
        <is>
          <t>Consulting &amp; Professional Services</t>
        </is>
      </c>
      <c r="G142" s="12" t="inlineStr">
        <is>
          <t>XBRL Tagging, Conversion &amp; Filing</t>
        </is>
      </c>
      <c r="H142" s="12" t="inlineStr">
        <is>
          <t>IC</t>
        </is>
      </c>
      <c r="I142" s="42" t="inlineStr">
        <is>
          <t>L3 – Professional / Associate</t>
        </is>
      </c>
      <c r="J142" s="16" t="inlineStr">
        <is>
          <t>A3</t>
        </is>
      </c>
      <c r="K142" s="17" t="inlineStr">
        <is>
          <t>Senior Associate</t>
        </is>
      </c>
      <c r="L142" s="87" t="inlineStr">
        <is>
          <t>▲ Up</t>
        </is>
      </c>
      <c r="M142" s="12" t="inlineStr">
        <is>
          <t>CARBON · Services · Band A · Early career</t>
        </is>
      </c>
      <c r="N142" s="42" t="n">
        <v>2.5</v>
      </c>
      <c r="O142" s="42" t="n">
        <v>2.5</v>
      </c>
      <c r="P142" s="42" t="n">
        <v>2.5</v>
      </c>
      <c r="Q142" s="42" t="n">
        <v>1</v>
      </c>
      <c r="R142" s="42" t="n">
        <v>3.5</v>
      </c>
      <c r="S142" s="80" t="n">
        <v>3</v>
      </c>
      <c r="T142" s="81">
        <f>IF(OR($M142="",COUNT(N142,O142,P142,Q142,R142,S142)&lt;6),"",IFERROR(N142*INDEX(WM_C,MATCH($M142,WM_KEY,0))+O142*INDEX(WM_AU,MATCH($M142,WM_KEY,0))+P142*INDEX(WM_AC,MATCH($M142,WM_KEY,0))+Q142*INDEX(WM_L,MATCH($M142,WM_KEY,0))+R142*INDEX(WM_E,MATCH($M142,WM_KEY,0))+S142*INDEX(WM_BI,MATCH($M142,WM_KEY,0)),""))</f>
        <v>2.63</v>
      </c>
      <c r="U142" s="42" t="str">
        <f>IF(T142="","",INDEX({"A1","A2","A3","B1","B2","B3","C1","C2","D1","D2","E1","E2"},MAX(1,MIN(12,ROUND(T142,0)))))</f>
        <v>A3</v>
      </c>
      <c r="V142" s="12" t="inlineStr">
        <is>
          <r>
            <rPr>
              <rFont val="Calibri"/>
              <sz val="10"/>
            </rPr>
            <t xml:space="preserve">New level A3 · Senior Associate. Current level on record: L3 – Professional / Associate. Change: ▲ Up.
Score 2.63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2" s="12" t="inlineStr">
        <is>
          <r>
            <rPr>
              <rFont val="Calibri"/>
              <b val="1"/>
              <sz val="10"/>
            </rPr>
            <t>Complexity &amp; Expertise:</t>
          </r>
          <r>
            <rPr>
              <rFont val="Calibri"/>
              <sz val="10"/>
            </rPr>
            <t xml:space="preserve"> 2.5 of 12 · between A2 and A3 — Start: 2.0 · practitioner title; Evidence: rated like 3 colleagues in the same role and department · own answers too general to rate → moved +0.5;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2.0 · practitioner title; Evidence: rated like 3 colleagues in the same role and department · own answers too general to rate → moved +0.5
</t>
          </r>
          <r>
            <rPr>
              <rFont val="Calibri"/>
              <b val="1"/>
              <sz val="10"/>
            </rPr>
            <t>Accountability &amp; Impact:</t>
          </r>
          <r>
            <rPr>
              <rFont val="Calibri"/>
              <sz val="10"/>
            </rPr>
            <t xml:space="preserve"> 2.5 of 12 · between A2 and A3 — Start: 2.0 · practitioner title; Evidence: rated like 3 colleagues in the same role and department · own answers too general to rate → moved +0.5;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rated like 3 colleagues in the same role and department · own answers too general to rate → no change; Team: 0 direct reports · IC
</t>
          </r>
          <r>
            <rPr>
              <rFont val="Calibri"/>
              <b val="1"/>
              <sz val="10"/>
            </rPr>
            <t>Experience &amp; Qualification:</t>
          </r>
          <r>
            <rPr>
              <rFont val="Calibri"/>
              <sz val="10"/>
            </rPr>
            <t xml:space="preserve"> 3.5 of 12 · between A3 and B1 — Experience: 3.8 yrs total · 3.8 at IRIS; none recorded before IRIS = 3.3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42"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42" s="12" t="inlineStr">
        <is>
          <r>
            <rPr>
              <rFont val="Calibri"/>
              <sz val="10"/>
            </rPr>
            <t xml:space="preserve">✓ HRIS: 3.8 yrs, B.Com, 0 direct reports
✓ Survey: 19 of 20 questions answered
✓ KRAs: submitted, reported deliverables
✓ Manager mapping: rating, potential, 9-box
✗ Job description: not on file
</t>
          </r>
          <r>
            <rPr>
              <rFont val="Calibri"/>
              <b val="1"/>
              <sz val="10"/>
            </rPr>
            <t>Confidence:</t>
          </r>
          <r>
            <rPr>
              <rFont val="Calibri"/>
              <sz val="10"/>
            </rPr>
            <t xml:space="preserve"> Low</t>
          </r>
        </is>
      </c>
      <c r="Z142" s="12" t="inlineStr">
        <is>
          <t>—</t>
        </is>
      </c>
      <c r="AA142" s="12" t="inlineStr">
        <is>
          <t>Nothing outstanding</t>
        </is>
      </c>
      <c r="AB14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42" s="84" t="n"/>
      <c r="AD142" s="84" t="n"/>
      <c r="AE142" s="84" t="n"/>
      <c r="AF142" s="12" t="n">
        <v>3</v>
      </c>
    </row>
    <row r="143" ht="400" customHeight="1">
      <c r="A143" s="12" t="inlineStr">
        <is>
          <t>IRIS0075</t>
        </is>
      </c>
      <c r="B143" s="10" t="inlineStr">
        <is>
          <t>Sudarshan Vichare</t>
        </is>
      </c>
      <c r="C143" s="12" t="inlineStr">
        <is>
          <t>Services</t>
        </is>
      </c>
      <c r="D143" s="12" t="inlineStr">
        <is>
          <t>Junior Financial Analyst</t>
        </is>
      </c>
      <c r="E143" s="85" t="inlineStr">
        <is>
          <t>Senior Financial Analyst</t>
        </is>
      </c>
      <c r="F143" s="12" t="inlineStr">
        <is>
          <t>Consulting &amp; Professional Services</t>
        </is>
      </c>
      <c r="G143" s="12" t="inlineStr">
        <is>
          <t>XBRL Tagging, Conversion &amp; Filing</t>
        </is>
      </c>
      <c r="H143" s="12" t="inlineStr">
        <is>
          <t>IC</t>
        </is>
      </c>
      <c r="I143" s="42" t="inlineStr">
        <is>
          <t>L3 – Professional / Associate</t>
        </is>
      </c>
      <c r="J143" s="16" t="inlineStr">
        <is>
          <t>A3</t>
        </is>
      </c>
      <c r="K143" s="17" t="inlineStr">
        <is>
          <t>Senior Associate</t>
        </is>
      </c>
      <c r="L143" s="87" t="inlineStr">
        <is>
          <t>▲ Up</t>
        </is>
      </c>
      <c r="M143" s="12" t="inlineStr">
        <is>
          <t>CARBON · Services · Band A · Early career</t>
        </is>
      </c>
      <c r="N143" s="42" t="n">
        <v>2</v>
      </c>
      <c r="O143" s="42" t="n">
        <v>2</v>
      </c>
      <c r="P143" s="42" t="n">
        <v>2</v>
      </c>
      <c r="Q143" s="42" t="n">
        <v>1</v>
      </c>
      <c r="R143" s="42" t="n">
        <v>9.5</v>
      </c>
      <c r="S143" s="80" t="n">
        <v>2.5</v>
      </c>
      <c r="T143" s="81">
        <f>IF(OR($M143="",COUNT(N143,O143,P143,Q143,R143,S143)&lt;6),"",IFERROR(N143*INDEX(WM_C,MATCH($M143,WM_KEY,0))+O143*INDEX(WM_AU,MATCH($M143,WM_KEY,0))+P143*INDEX(WM_AC,MATCH($M143,WM_KEY,0))+Q143*INDEX(WM_L,MATCH($M143,WM_KEY,0))+R143*INDEX(WM_E,MATCH($M143,WM_KEY,0))+S143*INDEX(WM_BI,MATCH($M143,WM_KEY,0)),""))</f>
        <v>2.78</v>
      </c>
      <c r="U143" s="42" t="str">
        <f>IF(T143="","",INDEX({"A1","A2","A3","B1","B2","B3","C1","C2","D1","D2","E1","E2"},MAX(1,MIN(12,ROUND(T143,0)))))</f>
        <v>A3</v>
      </c>
      <c r="V143" s="12" t="inlineStr">
        <is>
          <r>
            <rPr>
              <rFont val="Calibri"/>
              <sz val="10"/>
            </rPr>
            <t xml:space="preserve">New level A3 · Senior Associate. Current level on record: L3 – Professional / Associate. Change: ▲ Up.
Score 2.78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3" s="12" t="inlineStr">
        <is>
          <r>
            <rPr>
              <rFont val="Calibri"/>
              <b val="1"/>
              <sz val="10"/>
            </rPr>
            <t>Complexity &amp; Expertise:</t>
          </r>
          <r>
            <rPr>
              <rFont val="Calibri"/>
              <sz val="10"/>
            </rPr>
            <t xml:space="preserve"> 2 of 12 — Start: 2.0 · practitioner title; Evidence reads like A2: Routine CIPC HTML tagging, client file uploads and follow-up coordination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Only stated independent decision is managing client file uploads → matches the start
</t>
          </r>
          <r>
            <rPr>
              <rFont val="Calibri"/>
              <b val="1"/>
              <sz val="10"/>
            </rPr>
            <t>Accountability &amp; Impact:</t>
          </r>
          <r>
            <rPr>
              <rFont val="Calibri"/>
              <sz val="10"/>
            </rPr>
            <t xml:space="preserve"> 2 of 12 — Start: 2.0 · practitioner title; Evidence reads like A2: Own tagged client files and on-time completion; files mailed to PMO for upload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Coordinates and follows up with team members; no guiding or leading described → matches the start; Team: 0 direct reports · IC
</t>
          </r>
          <r>
            <rPr>
              <rFont val="Calibri"/>
              <b val="1"/>
              <sz val="10"/>
            </rPr>
            <t>Experience &amp; Qualification:</t>
          </r>
          <r>
            <rPr>
              <rFont val="Calibri"/>
              <sz val="10"/>
            </rPr>
            <t xml:space="preserve"> 9.5 of 12 · between D1 and D2 — Experience: 19.6 yrs total · 19.6 at IRIS; none recorded before IRIS = 9.6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43"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43" s="12" t="inlineStr">
        <is>
          <r>
            <rPr>
              <rFont val="Calibri"/>
              <sz val="10"/>
            </rPr>
            <t xml:space="preserve">✓ HRIS: 19.6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43" s="12" t="inlineStr">
        <is>
          <t>—</t>
        </is>
      </c>
      <c r="AA143" s="12" t="inlineStr">
        <is>
          <t>Nothing outstanding</t>
        </is>
      </c>
      <c r="AB14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43" s="84" t="n"/>
      <c r="AD143" s="84" t="n"/>
      <c r="AE143" s="84" t="n"/>
      <c r="AF143" s="12" t="n">
        <v>2.5</v>
      </c>
    </row>
    <row r="144" ht="400" customHeight="1">
      <c r="A144" s="12" t="inlineStr">
        <is>
          <t>IRIS1897</t>
        </is>
      </c>
      <c r="B144" s="10" t="inlineStr">
        <is>
          <t>Sunil Bist</t>
        </is>
      </c>
      <c r="C144" s="12" t="inlineStr">
        <is>
          <t>Services</t>
        </is>
      </c>
      <c r="D144" s="12" t="inlineStr">
        <is>
          <t>Financial Analyst</t>
        </is>
      </c>
      <c r="E144" s="85" t="inlineStr">
        <is>
          <t>Senior Financial Analyst</t>
        </is>
      </c>
      <c r="F144" s="12" t="inlineStr">
        <is>
          <t>Consulting &amp; Professional Services</t>
        </is>
      </c>
      <c r="G144" s="12" t="inlineStr">
        <is>
          <t>XBRL Tagging, Conversion &amp; Filing</t>
        </is>
      </c>
      <c r="H144" s="12" t="inlineStr">
        <is>
          <t>IC</t>
        </is>
      </c>
      <c r="I144" s="42" t="inlineStr">
        <is>
          <t>L3 – Professional / Associate</t>
        </is>
      </c>
      <c r="J144" s="16" t="inlineStr">
        <is>
          <t>A3</t>
        </is>
      </c>
      <c r="K144" s="17" t="inlineStr">
        <is>
          <t>Senior Associate</t>
        </is>
      </c>
      <c r="L144" s="87" t="inlineStr">
        <is>
          <t>▲ Up</t>
        </is>
      </c>
      <c r="M144" s="12" t="inlineStr">
        <is>
          <t>CARBON · Services · Band A · Early career</t>
        </is>
      </c>
      <c r="N144" s="42" t="n">
        <v>2.5</v>
      </c>
      <c r="O144" s="42" t="n">
        <v>2</v>
      </c>
      <c r="P144" s="42" t="n">
        <v>2</v>
      </c>
      <c r="Q144" s="42" t="n">
        <v>1.5</v>
      </c>
      <c r="R144" s="42" t="n">
        <v>8</v>
      </c>
      <c r="S144" s="80" t="n">
        <v>2.5</v>
      </c>
      <c r="T144" s="81">
        <f>IF(OR($M144="",COUNT(N144,O144,P144,Q144,R144,S144)&lt;6),"",IFERROR(N144*INDEX(WM_C,MATCH($M144,WM_KEY,0))+O144*INDEX(WM_AU,MATCH($M144,WM_KEY,0))+P144*INDEX(WM_AC,MATCH($M144,WM_KEY,0))+Q144*INDEX(WM_L,MATCH($M144,WM_KEY,0))+R144*INDEX(WM_E,MATCH($M144,WM_KEY,0))+S144*INDEX(WM_BI,MATCH($M144,WM_KEY,0)),""))</f>
        <v>2.9</v>
      </c>
      <c r="U144" s="42" t="str">
        <f>IF(T144="","",INDEX({"A1","A2","A3","B1","B2","B3","C1","C2","D1","D2","E1","E2"},MAX(1,MIN(12,ROUND(T144,0)))))</f>
        <v>A3</v>
      </c>
      <c r="V144" s="12" t="inlineStr">
        <is>
          <r>
            <rPr>
              <rFont val="Calibri"/>
              <sz val="10"/>
            </rPr>
            <t xml:space="preserve">New level A3 · Senior Associate. Current level on record: L3 – Professional / Associate. Change: ▲ Up.
Score 2.90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4" s="12" t="inlineStr">
        <is>
          <r>
            <rPr>
              <rFont val="Calibri"/>
              <b val="1"/>
              <sz val="10"/>
            </rPr>
            <t>Complexity &amp; Expertise:</t>
          </r>
          <r>
            <rPr>
              <rFont val="Calibri"/>
              <sz val="10"/>
            </rPr>
            <t xml:space="preserve"> 2.5 of 12 · between A2 and A3 — Start: 2.0 · practitioner title; Evidence reads like A3: CIPC iXBRL tagging plus quality checking, validation and solving tagging doubts and client queries → moved up 0.5;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Selects tags from the taxonomy and prioritises assigned files by deadline; nothing wider described → matches the start
</t>
          </r>
          <r>
            <rPr>
              <rFont val="Calibri"/>
              <b val="1"/>
              <sz val="10"/>
            </rPr>
            <t>Accountability &amp; Impact:</t>
          </r>
          <r>
            <rPr>
              <rFont val="Calibri"/>
              <sz val="10"/>
            </rPr>
            <t xml:space="preserve"> 2 of 12 — Start: 2.0 · practitioner title; Evidence reads like A2: Accuracy and completeness of own tagging; final file goes to the PMO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not counted: the weight is 0% at this level — Start: 1.0 · individual contributor, so influence only; Evidence reads like A2: Solves colleagues' tagging doubts per manager note; no team responsibility → moved up 0.5; Team: 0 direct reports · IC
</t>
          </r>
          <r>
            <rPr>
              <rFont val="Calibri"/>
              <b val="1"/>
              <sz val="10"/>
            </rPr>
            <t>Experience &amp; Qualification:</t>
          </r>
          <r>
            <rPr>
              <rFont val="Calibri"/>
              <sz val="10"/>
            </rPr>
            <t xml:space="preserve"> 8 of 12 — Experience: 14.0 yrs total · 8.4 before IRIS + 5.6 at IRIS = 7.8 on the experience scale; Qualification: B.Com · graduate, relevant to the work → no change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44"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44" s="12" t="inlineStr">
        <is>
          <r>
            <rPr>
              <rFont val="Calibri"/>
              <sz val="10"/>
            </rPr>
            <t xml:space="preserve">✓ HRIS: 14.0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44" s="12" t="inlineStr">
        <is>
          <t>—</t>
        </is>
      </c>
      <c r="AA144" s="12" t="inlineStr">
        <is>
          <t>Nothing outstanding</t>
        </is>
      </c>
      <c r="AB14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4 · Potential: High · 9-Box Grid placement: Core Contributor.</t>
          </r>
        </is>
      </c>
      <c r="AC144" s="84" t="n"/>
      <c r="AD144" s="84" t="n"/>
      <c r="AE144" s="84" t="n"/>
      <c r="AF144" s="12" t="n">
        <v>2.5</v>
      </c>
    </row>
    <row r="145" ht="400" customHeight="1">
      <c r="A145" s="12" t="inlineStr">
        <is>
          <t>IRIS0145</t>
        </is>
      </c>
      <c r="B145" s="10" t="inlineStr">
        <is>
          <t>Sunita Ram Singh</t>
        </is>
      </c>
      <c r="C145" s="12" t="inlineStr">
        <is>
          <t>Services</t>
        </is>
      </c>
      <c r="D145" s="12" t="inlineStr">
        <is>
          <t>Senior Financial Analyst</t>
        </is>
      </c>
      <c r="E145" s="12" t="inlineStr">
        <is>
          <t>Senior Financial Analyst</t>
        </is>
      </c>
      <c r="F145" s="12" t="inlineStr">
        <is>
          <t>Consulting &amp; Professional Services</t>
        </is>
      </c>
      <c r="G145" s="12" t="inlineStr">
        <is>
          <t>XBRL Tagging, Conversion &amp; Filing</t>
        </is>
      </c>
      <c r="H145" s="12" t="inlineStr">
        <is>
          <t>IC</t>
        </is>
      </c>
      <c r="I145" s="42" t="inlineStr">
        <is>
          <t>L4 – Senior</t>
        </is>
      </c>
      <c r="J145" s="16" t="inlineStr">
        <is>
          <t>A3</t>
        </is>
      </c>
      <c r="K145" s="17" t="inlineStr">
        <is>
          <t>Senior Associate</t>
        </is>
      </c>
      <c r="L145" s="88" t="inlineStr">
        <is>
          <t>• Same level</t>
        </is>
      </c>
      <c r="M145" s="12" t="inlineStr">
        <is>
          <t>CARBON · Services · Band A · Early career</t>
        </is>
      </c>
      <c r="N145" s="42" t="n">
        <v>3</v>
      </c>
      <c r="O145" s="42" t="n">
        <v>2.5</v>
      </c>
      <c r="P145" s="42" t="n">
        <v>2.5</v>
      </c>
      <c r="Q145" s="42" t="n">
        <v>1.5</v>
      </c>
      <c r="R145" s="42" t="n">
        <v>9.5</v>
      </c>
      <c r="S145" s="80" t="n">
        <v>3</v>
      </c>
      <c r="T145" s="81">
        <f>IF(OR($M145="",COUNT(N145,O145,P145,Q145,R145,S145)&lt;6),"",IFERROR(N145*INDEX(WM_C,MATCH($M145,WM_KEY,0))+O145*INDEX(WM_AU,MATCH($M145,WM_KEY,0))+P145*INDEX(WM_AC,MATCH($M145,WM_KEY,0))+Q145*INDEX(WM_L,MATCH($M145,WM_KEY,0))+R145*INDEX(WM_E,MATCH($M145,WM_KEY,0))+S145*INDEX(WM_BI,MATCH($M145,WM_KEY,0)),""))</f>
        <v>3.5</v>
      </c>
      <c r="U145" s="42" t="str">
        <f>IF(T145="","",INDEX({"A1","A2","A3","B1","B2","B3","C1","C2","D1","D2","E1","E2"},MAX(1,MIN(12,ROUND(T145,0)))))</f>
        <v>B1</v>
      </c>
      <c r="V145" s="12" t="inlineStr">
        <is>
          <r>
            <rPr>
              <rFont val="Calibri"/>
              <sz val="10"/>
            </rPr>
            <t xml:space="preserve">New level A3 · Senior Associate. Current level on record: L4 – Senior. Change: • Same level.
Score 3.50 on the ladder scale → indicated level B1.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3.42.
</t>
          </r>
          <r>
            <rPr>
              <rFont val="Calibri"/>
              <b val="1"/>
              <sz val="10"/>
            </rPr>
            <t>Final level:</t>
          </r>
          <r>
            <rPr>
              <rFont val="Calibri"/>
              <sz val="10"/>
            </rPr>
            <t xml:space="preserve"> A3.</t>
          </r>
        </is>
      </c>
      <c r="W145" s="12" t="inlineStr">
        <is>
          <r>
            <rPr>
              <rFont val="Calibri"/>
              <b val="1"/>
              <sz val="10"/>
            </rPr>
            <t>Complexity &amp; Expertise:</t>
          </r>
          <r>
            <rPr>
              <rFont val="Calibri"/>
              <sz val="10"/>
            </rPr>
            <t xml:space="preserve"> 3 of 12 — Start: 3.0 · senior practitioner title; Evidence reads like A3: Prepares and checks DM annual reports · Word/Excel, validates KVK, ESMA, Infocamere XBRL files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3.0 · senior practitioner title; Evidence reads like A2: Routine checking, formatting and minor corrections; major or client changes need CM approval → moved down 0.5
</t>
          </r>
          <r>
            <rPr>
              <rFont val="Calibri"/>
              <b val="1"/>
              <sz val="10"/>
            </rPr>
            <t>Accountability &amp; Impact:</t>
          </r>
          <r>
            <rPr>
              <rFont val="Calibri"/>
              <sz val="10"/>
            </rPr>
            <t xml:space="preserve"> 2.5 of 12 · between A2 and A3 — Start: 3.0 · senior practitioner title; Evidence reads like A2: Correctness of data checks and final report review; file goes to CM → moved down 0.5;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9.5 of 12 · between D1 and D2 — Experience: 18.8 yrs total · 18.8 at IRIS; none recorded before IRIS = 9.4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45"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45" s="12" t="inlineStr">
        <is>
          <r>
            <rPr>
              <rFont val="Calibri"/>
              <sz val="10"/>
            </rPr>
            <t xml:space="preserve">✓ HRIS: 18.8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45" s="82" t="inlineStr">
        <is>
          <r>
            <rPr>
              <rFont val="Calibri"/>
              <color rgb="009C5700"/>
              <sz val="10"/>
            </rPr>
            <t xml:space="preserve">• </t>
          </r>
          <r>
            <rPr>
              <rFont val="Calibri"/>
              <b val="1"/>
              <color rgb="009C5700"/>
              <sz val="10"/>
            </rPr>
            <t>Near a gate:</t>
          </r>
          <r>
            <rPr>
              <rFont val="Calibri"/>
              <color rgb="009C5700"/>
              <sz val="10"/>
            </rPr>
            <t xml:space="preserve"> top of band: 3.42 on Band B's weights, 0.08 short of the 3.5 needed to enter Band B
• Survey response was submitted anonymously; the source record attributes it to this employee · Emp ID named in the matching note, so it is used. HR to tell the employee and record any correction during validation</t>
          </r>
        </is>
      </c>
      <c r="AA145" s="12" t="inlineStr">
        <is>
          <t>Nothing outstanding</t>
        </is>
      </c>
      <c r="AB14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45" s="84" t="n"/>
      <c r="AD145" s="84" t="n"/>
      <c r="AE145" s="84" t="n"/>
      <c r="AF145" s="12" t="n">
        <v>3</v>
      </c>
    </row>
    <row r="146" ht="400" customHeight="1">
      <c r="A146" s="12" t="inlineStr">
        <is>
          <t>IRIS0149</t>
        </is>
      </c>
      <c r="B146" s="10" t="inlineStr">
        <is>
          <t>Sunny Kirtane</t>
        </is>
      </c>
      <c r="C146" s="12" t="inlineStr">
        <is>
          <t>Services</t>
        </is>
      </c>
      <c r="D146" s="12" t="inlineStr">
        <is>
          <t>Senior Financial Analyst</t>
        </is>
      </c>
      <c r="E146" s="12" t="inlineStr">
        <is>
          <t>Senior Financial Analyst</t>
        </is>
      </c>
      <c r="F146" s="12" t="inlineStr">
        <is>
          <t>Consulting &amp; Professional Services</t>
        </is>
      </c>
      <c r="G146" s="12" t="inlineStr">
        <is>
          <t>XBRL Tagging, Conversion &amp; Filing</t>
        </is>
      </c>
      <c r="H146" s="12" t="inlineStr">
        <is>
          <t>IC</t>
        </is>
      </c>
      <c r="I146" s="42" t="inlineStr">
        <is>
          <t>L4 – Senior</t>
        </is>
      </c>
      <c r="J146" s="16" t="inlineStr">
        <is>
          <t>A3</t>
        </is>
      </c>
      <c r="K146" s="17" t="inlineStr">
        <is>
          <t>Senior Associate</t>
        </is>
      </c>
      <c r="L146" s="88" t="inlineStr">
        <is>
          <t>• Same level</t>
        </is>
      </c>
      <c r="M146" s="12" t="inlineStr">
        <is>
          <t>CARBON · Services · Band A · Early career</t>
        </is>
      </c>
      <c r="N146" s="42" t="n">
        <v>3</v>
      </c>
      <c r="O146" s="42" t="n">
        <v>2.5</v>
      </c>
      <c r="P146" s="42" t="n">
        <v>2.5</v>
      </c>
      <c r="Q146" s="42" t="n">
        <v>1.5</v>
      </c>
      <c r="R146" s="42" t="n">
        <v>9.5</v>
      </c>
      <c r="S146" s="80" t="n">
        <v>3</v>
      </c>
      <c r="T146" s="81">
        <f>IF(OR($M146="",COUNT(N146,O146,P146,Q146,R146,S146)&lt;6),"",IFERROR(N146*INDEX(WM_C,MATCH($M146,WM_KEY,0))+O146*INDEX(WM_AU,MATCH($M146,WM_KEY,0))+P146*INDEX(WM_AC,MATCH($M146,WM_KEY,0))+Q146*INDEX(WM_L,MATCH($M146,WM_KEY,0))+R146*INDEX(WM_E,MATCH($M146,WM_KEY,0))+S146*INDEX(WM_BI,MATCH($M146,WM_KEY,0)),""))</f>
        <v>3.5</v>
      </c>
      <c r="U146" s="42" t="str">
        <f>IF(T146="","",INDEX({"A1","A2","A3","B1","B2","B3","C1","C2","D1","D2","E1","E2"},MAX(1,MIN(12,ROUND(T146,0)))))</f>
        <v>B1</v>
      </c>
      <c r="V146" s="12" t="inlineStr">
        <is>
          <r>
            <rPr>
              <rFont val="Calibri"/>
              <sz val="10"/>
            </rPr>
            <t xml:space="preserve">New level A3 · Senior Associate. Current level on record: L4 – Senior. Change: • Same level.
Score 3.50 on the ladder scale → indicated level B1.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3.42.
</t>
          </r>
          <r>
            <rPr>
              <rFont val="Calibri"/>
              <b val="1"/>
              <sz val="10"/>
            </rPr>
            <t>Final level:</t>
          </r>
          <r>
            <rPr>
              <rFont val="Calibri"/>
              <sz val="10"/>
            </rPr>
            <t xml:space="preserve"> A3.</t>
          </r>
        </is>
      </c>
      <c r="W146" s="12" t="inlineStr">
        <is>
          <r>
            <rPr>
              <rFont val="Calibri"/>
              <b val="1"/>
              <sz val="10"/>
            </rPr>
            <t>Complexity &amp; Expertise:</t>
          </r>
          <r>
            <rPr>
              <rFont val="Calibri"/>
              <sz val="10"/>
            </rPr>
            <t xml:space="preserve"> 3 of 12 — Start: 3.0 · senior practitioner title; Evidence reads like A3: own survey / KRA answers · summarised by the rater; not quoted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3.0 · senior practitioner title; Evidence reads like A2: Decision scope stated only vaguely; works on allotted files → moved down 0.5
</t>
          </r>
          <r>
            <rPr>
              <rFont val="Calibri"/>
              <b val="1"/>
              <sz val="10"/>
            </rPr>
            <t>Accountability &amp; Impact:</t>
          </r>
          <r>
            <rPr>
              <rFont val="Calibri"/>
              <sz val="10"/>
            </rPr>
            <t xml:space="preserve"> 2.5 of 12 · between A2 and A3 — Start: 3.0 · senior practitioner title; Evidence reads like A2: own survey / KRA answers · summarised by the rater; not quoted → moved down 0.5; KRA: “1. Complete assigned XBRL/conversion/filing tasks with &gt;=99% accuracy · zero critical errors 2. Meet 100% of regulatory / client filing…”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leading of others described → moved down 0.5; Team: 0 direct reports · IC
</t>
          </r>
          <r>
            <rPr>
              <rFont val="Calibri"/>
              <b val="1"/>
              <sz val="10"/>
            </rPr>
            <t>Experience &amp; Qualification:</t>
          </r>
          <r>
            <rPr>
              <rFont val="Calibri"/>
              <sz val="10"/>
            </rPr>
            <t xml:space="preserve"> 9.5 of 12 · between D1 and D2 — Experience: 18.8 yrs total · 18.8 at IRIS; none recorded before IRIS = 9.4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46"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46" s="12" t="inlineStr">
        <is>
          <r>
            <rPr>
              <rFont val="Calibri"/>
              <sz val="10"/>
            </rPr>
            <t xml:space="preserve">✓ HRIS: 18.8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Medium</t>
          </r>
        </is>
      </c>
      <c r="Z146" s="82" t="inlineStr">
        <is>
          <r>
            <rPr>
              <rFont val="Calibri"/>
              <color rgb="009C5700"/>
              <sz val="10"/>
            </rPr>
            <t xml:space="preserve">• </t>
          </r>
          <r>
            <rPr>
              <rFont val="Calibri"/>
              <b val="1"/>
              <color rgb="009C5700"/>
              <sz val="10"/>
            </rPr>
            <t>Near a gate:</t>
          </r>
          <r>
            <rPr>
              <rFont val="Calibri"/>
              <color rgb="009C5700"/>
              <sz val="10"/>
            </rPr>
            <t xml:space="preserve"> top of band: 3.42 on Band B's weights, 0.08 short of the 3.5 needed to enter Band B</t>
          </r>
        </is>
      </c>
      <c r="AA146" s="12" t="inlineStr">
        <is>
          <t>Nothing outstanding</t>
        </is>
      </c>
      <c r="AB14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46" s="84" t="n"/>
      <c r="AD146" s="84" t="n"/>
      <c r="AE146" s="84" t="n"/>
      <c r="AF146" s="12" t="n">
        <v>3</v>
      </c>
    </row>
    <row r="147" ht="400" customHeight="1">
      <c r="A147" s="12" t="inlineStr">
        <is>
          <t>IRIS0128</t>
        </is>
      </c>
      <c r="B147" s="10" t="inlineStr">
        <is>
          <t>Supriya Thakur</t>
        </is>
      </c>
      <c r="C147" s="12" t="inlineStr">
        <is>
          <t>Services</t>
        </is>
      </c>
      <c r="D147" s="12" t="inlineStr">
        <is>
          <t>Financial Analyst</t>
        </is>
      </c>
      <c r="E147" s="85" t="inlineStr">
        <is>
          <t>Senior Financial Analyst</t>
        </is>
      </c>
      <c r="F147" s="12" t="inlineStr">
        <is>
          <t>Consulting &amp; Professional Services</t>
        </is>
      </c>
      <c r="G147" s="12" t="inlineStr">
        <is>
          <t>XBRL Tagging, Conversion &amp; Filing</t>
        </is>
      </c>
      <c r="H147" s="12" t="inlineStr">
        <is>
          <t>IC</t>
        </is>
      </c>
      <c r="I147" s="42" t="inlineStr">
        <is>
          <t>L3 – Professional / Associate</t>
        </is>
      </c>
      <c r="J147" s="16" t="inlineStr">
        <is>
          <t>A3</t>
        </is>
      </c>
      <c r="K147" s="17" t="inlineStr">
        <is>
          <t>Senior Associate</t>
        </is>
      </c>
      <c r="L147" s="87" t="inlineStr">
        <is>
          <t>▲ Up</t>
        </is>
      </c>
      <c r="M147" s="12" t="inlineStr">
        <is>
          <t>CARBON · Services · Band A · Early career</t>
        </is>
      </c>
      <c r="N147" s="42" t="n">
        <v>2.5</v>
      </c>
      <c r="O147" s="42" t="n">
        <v>2</v>
      </c>
      <c r="P147" s="42" t="n">
        <v>2.5</v>
      </c>
      <c r="Q147" s="42" t="n">
        <v>1</v>
      </c>
      <c r="R147" s="42" t="n">
        <v>9.5</v>
      </c>
      <c r="S147" s="80" t="n">
        <v>3</v>
      </c>
      <c r="T147" s="81">
        <f>IF(OR($M147="",COUNT(N147,O147,P147,Q147,R147,S147)&lt;6),"",IFERROR(N147*INDEX(WM_C,MATCH($M147,WM_KEY,0))+O147*INDEX(WM_AU,MATCH($M147,WM_KEY,0))+P147*INDEX(WM_AC,MATCH($M147,WM_KEY,0))+Q147*INDEX(WM_L,MATCH($M147,WM_KEY,0))+R147*INDEX(WM_E,MATCH($M147,WM_KEY,0))+S147*INDEX(WM_BI,MATCH($M147,WM_KEY,0)),""))</f>
        <v>3.15</v>
      </c>
      <c r="U147" s="42" t="str">
        <f>IF(T147="","",INDEX({"A1","A2","A3","B1","B2","B3","C1","C2","D1","D2","E1","E2"},MAX(1,MIN(12,ROUND(T147,0)))))</f>
        <v>A3</v>
      </c>
      <c r="V147" s="12" t="inlineStr">
        <is>
          <r>
            <rPr>
              <rFont val="Calibri"/>
              <sz val="10"/>
            </rPr>
            <t xml:space="preserve">New level A3 · Senior Associate. Current level on record: L3 – Professional / Associate. Change: ▲ Up.
Score 3.15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7" s="12" t="inlineStr">
        <is>
          <r>
            <rPr>
              <rFont val="Calibri"/>
              <b val="1"/>
              <sz val="10"/>
            </rPr>
            <t>Complexity &amp; Expertise:</t>
          </r>
          <r>
            <rPr>
              <rFont val="Calibri"/>
              <sz val="10"/>
            </rPr>
            <t xml:space="preserve"> 2.5 of 12 · between A2 and A3 — Start: 2.0 · practitioner title; Evidence reads like A3: Runs MCA, ESMA and KVK filings start to finish: tagging, QC, validations, client queries → moved up 0.5;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No decisions stated; works to the defined filing process with QC and validation steps → matches the start
</t>
          </r>
          <r>
            <rPr>
              <rFont val="Calibri"/>
              <b val="1"/>
              <sz val="10"/>
            </rPr>
            <t>Accountability &amp; Impact:</t>
          </r>
          <r>
            <rPr>
              <rFont val="Calibri"/>
              <sz val="10"/>
            </rPr>
            <t xml:space="preserve"> 2.5 of 12 · between A2 and A3 — Start: 2.0 · practitioner title; Evidence reads like A3: Timely, accurate HTML/XML deliverables shared with the client; resolves client queries on MCA → moved up 0.5;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9.5 of 12 · between D1 and D2 — Experience: 18.9 yrs total · 18.9 at IRIS; none recorded before IRIS = 9.4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47"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47" s="12" t="inlineStr">
        <is>
          <r>
            <rPr>
              <rFont val="Calibri"/>
              <sz val="10"/>
            </rPr>
            <t xml:space="preserve">✓ HRIS: 18.9 yrs, B.Com, 0 direct reports
✓ Survey: 19 of 20 questions answered
✓ KRAs: submitted, reported deliverables
✓ Manager mapping: rating, potential, 9-box
✗ Job description: not on file
</t>
          </r>
          <r>
            <rPr>
              <rFont val="Calibri"/>
              <b val="1"/>
              <sz val="10"/>
            </rPr>
            <t>Confidence:</t>
          </r>
          <r>
            <rPr>
              <rFont val="Calibri"/>
              <sz val="10"/>
            </rPr>
            <t xml:space="preserve"> Medium</t>
          </r>
        </is>
      </c>
      <c r="Z147" s="12" t="inlineStr">
        <is>
          <t>—</t>
        </is>
      </c>
      <c r="AA147" s="12" t="inlineStr">
        <is>
          <t>Nothing outstanding</t>
        </is>
      </c>
      <c r="AB14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47" s="84" t="n"/>
      <c r="AD147" s="84" t="n"/>
      <c r="AE147" s="84" t="n"/>
      <c r="AF147" s="12" t="n">
        <v>3</v>
      </c>
    </row>
    <row r="148" ht="400" customHeight="1">
      <c r="A148" s="12" t="inlineStr">
        <is>
          <t>IRIS1247</t>
        </is>
      </c>
      <c r="B148" s="10" t="inlineStr">
        <is>
          <t>Sushma Shinde</t>
        </is>
      </c>
      <c r="C148" s="12" t="inlineStr">
        <is>
          <t>Services</t>
        </is>
      </c>
      <c r="D148" s="12" t="inlineStr">
        <is>
          <t>Financial Analyst</t>
        </is>
      </c>
      <c r="E148" s="85" t="inlineStr">
        <is>
          <t>Senior Financial Analyst</t>
        </is>
      </c>
      <c r="F148" s="12" t="inlineStr">
        <is>
          <t>Consulting &amp; Professional Services</t>
        </is>
      </c>
      <c r="G148" s="12" t="inlineStr">
        <is>
          <t>XBRL Tagging, Conversion &amp; Filing</t>
        </is>
      </c>
      <c r="H148" s="12" t="inlineStr">
        <is>
          <t>IC</t>
        </is>
      </c>
      <c r="I148" s="42" t="inlineStr">
        <is>
          <t>L3 – Professional / Associate</t>
        </is>
      </c>
      <c r="J148" s="16" t="inlineStr">
        <is>
          <t>A3</t>
        </is>
      </c>
      <c r="K148" s="17" t="inlineStr">
        <is>
          <t>Senior Associate</t>
        </is>
      </c>
      <c r="L148" s="87" t="inlineStr">
        <is>
          <t>▲ Up</t>
        </is>
      </c>
      <c r="M148" s="12" t="inlineStr">
        <is>
          <t>CARBON · Services · Band A · Early career</t>
        </is>
      </c>
      <c r="N148" s="42" t="n">
        <v>2.5</v>
      </c>
      <c r="O148" s="42" t="n">
        <v>2</v>
      </c>
      <c r="P148" s="42" t="n">
        <v>2.5</v>
      </c>
      <c r="Q148" s="42" t="n">
        <v>1</v>
      </c>
      <c r="R148" s="42" t="n">
        <v>8.5</v>
      </c>
      <c r="S148" s="80" t="n">
        <v>3</v>
      </c>
      <c r="T148" s="81">
        <f>IF(OR($M148="",COUNT(N148,O148,P148,Q148,R148,S148)&lt;6),"",IFERROR(N148*INDEX(WM_C,MATCH($M148,WM_KEY,0))+O148*INDEX(WM_AU,MATCH($M148,WM_KEY,0))+P148*INDEX(WM_AC,MATCH($M148,WM_KEY,0))+Q148*INDEX(WM_L,MATCH($M148,WM_KEY,0))+R148*INDEX(WM_E,MATCH($M148,WM_KEY,0))+S148*INDEX(WM_BI,MATCH($M148,WM_KEY,0)),""))</f>
        <v>3.05</v>
      </c>
      <c r="U148" s="42" t="str">
        <f>IF(T148="","",INDEX({"A1","A2","A3","B1","B2","B3","C1","C2","D1","D2","E1","E2"},MAX(1,MIN(12,ROUND(T148,0)))))</f>
        <v>A3</v>
      </c>
      <c r="V148" s="12" t="inlineStr">
        <is>
          <r>
            <rPr>
              <rFont val="Calibri"/>
              <sz val="10"/>
            </rPr>
            <t xml:space="preserve">New level A3 · Senior Associate. Current level on record: L3 – Professional / Associate. Change: ▲ Up.
Score 3.05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8" s="12" t="inlineStr">
        <is>
          <r>
            <rPr>
              <rFont val="Calibri"/>
              <b val="1"/>
              <sz val="10"/>
            </rPr>
            <t>Complexity &amp; Expertise:</t>
          </r>
          <r>
            <rPr>
              <rFont val="Calibri"/>
              <sz val="10"/>
            </rPr>
            <t xml:space="preserve"> 2.5 of 12 · between A2 and A3 — Start: 2.0 · practitioner title; Evidence reads like A3: MCA tagging and QC, error identification, and resolving errors directly with clients on calls → moved up 0.5;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No decision list given; judges resolutions during client calls within the MCA process → matches the start
</t>
          </r>
          <r>
            <rPr>
              <rFont val="Calibri"/>
              <b val="1"/>
              <sz val="10"/>
            </rPr>
            <t>Accountability &amp; Impact:</t>
          </r>
          <r>
            <rPr>
              <rFont val="Calibri"/>
              <sz val="10"/>
            </rPr>
            <t xml:space="preserve"> 2.5 of 12 · between A2 and A3 — Start: 2.0 · practitioner title; Evidence reads like A3: Tagging accuracy, QC results and final XML/PDF deliverables sent directly to the client → moved up 0.5;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No guiding or leading of others described → matches the start; Team: 0 direct reports · IC
</t>
          </r>
          <r>
            <rPr>
              <rFont val="Calibri"/>
              <b val="1"/>
              <sz val="10"/>
            </rPr>
            <t>Experience &amp; Qualification:</t>
          </r>
          <r>
            <rPr>
              <rFont val="Calibri"/>
              <sz val="10"/>
            </rPr>
            <t xml:space="preserve"> 8.5 of 12 · between C2 and D1 — Experience: 14.1 yrs total · 14.1 at IRIS; none recorded before IRIS = 7.8 on the experience scale; Qualification: M.Com · postgraduate, relevant to the work → +0.5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48"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48" s="12" t="inlineStr">
        <is>
          <r>
            <rPr>
              <rFont val="Calibri"/>
              <sz val="10"/>
            </rPr>
            <t xml:space="preserve">✓ HRIS: 14.1 yrs, M.Com, 0 direct reports
✓ Survey: 18 of 20 questions answered
✓ KRAs: submitted, reported deliverables
✓ Manager mapping: rating, potential, 9-box
✗ Job description: not on file
</t>
          </r>
          <r>
            <rPr>
              <rFont val="Calibri"/>
              <b val="1"/>
              <sz val="10"/>
            </rPr>
            <t>Confidence:</t>
          </r>
          <r>
            <rPr>
              <rFont val="Calibri"/>
              <sz val="10"/>
            </rPr>
            <t xml:space="preserve"> High</t>
          </r>
        </is>
      </c>
      <c r="Z148" s="12" t="inlineStr">
        <is>
          <t>—</t>
        </is>
      </c>
      <c r="AA148" s="12" t="inlineStr">
        <is>
          <t>Nothing outstanding</t>
        </is>
      </c>
      <c r="AB14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5 · Potential: High · 9-Box Grid placement: Emerging Talent.</t>
          </r>
        </is>
      </c>
      <c r="AC148" s="84" t="n"/>
      <c r="AD148" s="84" t="n"/>
      <c r="AE148" s="84" t="n"/>
      <c r="AF148" s="12" t="n">
        <v>3</v>
      </c>
    </row>
    <row r="149" ht="400" customHeight="1">
      <c r="A149" s="12" t="inlineStr">
        <is>
          <t>IRIS0819</t>
        </is>
      </c>
      <c r="B149" s="10" t="inlineStr">
        <is>
          <t>Vikram Bangera</t>
        </is>
      </c>
      <c r="C149" s="12" t="inlineStr">
        <is>
          <t>Services</t>
        </is>
      </c>
      <c r="D149" s="12" t="inlineStr">
        <is>
          <t>Senior Financial Analyst</t>
        </is>
      </c>
      <c r="E149" s="12" t="inlineStr">
        <is>
          <t>Senior Financial Analyst</t>
        </is>
      </c>
      <c r="F149" s="12" t="inlineStr">
        <is>
          <t>Consulting &amp; Professional Services</t>
        </is>
      </c>
      <c r="G149" s="12" t="inlineStr">
        <is>
          <t>XBRL Tagging, Conversion &amp; Filing</t>
        </is>
      </c>
      <c r="H149" s="12" t="inlineStr">
        <is>
          <t>IC</t>
        </is>
      </c>
      <c r="I149" s="42" t="inlineStr">
        <is>
          <t>L4 – Senior</t>
        </is>
      </c>
      <c r="J149" s="16" t="inlineStr">
        <is>
          <t>A3</t>
        </is>
      </c>
      <c r="K149" s="17" t="inlineStr">
        <is>
          <t>Senior Associate</t>
        </is>
      </c>
      <c r="L149" s="88" t="inlineStr">
        <is>
          <t>• Same level</t>
        </is>
      </c>
      <c r="M149" s="12" t="inlineStr">
        <is>
          <t>CARBON · Services · Band A · Early career</t>
        </is>
      </c>
      <c r="N149" s="42" t="n">
        <v>3</v>
      </c>
      <c r="O149" s="42" t="n">
        <v>3</v>
      </c>
      <c r="P149" s="42" t="n">
        <v>2.5</v>
      </c>
      <c r="Q149" s="42" t="n">
        <v>2.5</v>
      </c>
      <c r="R149" s="42" t="n">
        <v>8.5</v>
      </c>
      <c r="S149" s="80" t="n">
        <v>3</v>
      </c>
      <c r="T149" s="81">
        <f>IF(OR($M149="",COUNT(N149,O149,P149,Q149,R149,S149)&lt;6),"",IFERROR(N149*INDEX(WM_C,MATCH($M149,WM_KEY,0))+O149*INDEX(WM_AU,MATCH($M149,WM_KEY,0))+P149*INDEX(WM_AC,MATCH($M149,WM_KEY,0))+Q149*INDEX(WM_L,MATCH($M149,WM_KEY,0))+R149*INDEX(WM_E,MATCH($M149,WM_KEY,0))+S149*INDEX(WM_BI,MATCH($M149,WM_KEY,0)),""))</f>
        <v>3.48</v>
      </c>
      <c r="U149" s="42" t="str">
        <f>IF(T149="","",INDEX({"A1","A2","A3","B1","B2","B3","C1","C2","D1","D2","E1","E2"},MAX(1,MIN(12,ROUND(T149,0)))))</f>
        <v>A3</v>
      </c>
      <c r="V149" s="12" t="inlineStr">
        <is>
          <r>
            <rPr>
              <rFont val="Calibri"/>
              <sz val="10"/>
            </rPr>
            <t xml:space="preserve">New level A3 · Senior Associate. Current level on record: L4 – Senior. Change: • Same level.
Score 3.48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49" s="12" t="inlineStr">
        <is>
          <r>
            <rPr>
              <rFont val="Calibri"/>
              <b val="1"/>
              <sz val="10"/>
            </rPr>
            <t>Complexity &amp; Expertise:</t>
          </r>
          <r>
            <rPr>
              <rFont val="Calibri"/>
              <sz val="10"/>
            </rPr>
            <t xml:space="preserve"> 3 of 12 — Start: 3.0 · senior practitioner title; Evidence reads like A3: DM report processing, XBRL tagging and analysis, validation, testing; shift-lead duty named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3 of 12 — Start: 3.0 · senior practitioner title; Evidence reads like A3: Resolves routine tagging/disclosure issues, makes corrections, prioritises testing; raises other issues → matches the start
</t>
          </r>
          <r>
            <rPr>
              <rFont val="Calibri"/>
              <b val="1"/>
              <sz val="10"/>
            </rPr>
            <t>Accountability &amp; Impact:</t>
          </r>
          <r>
            <rPr>
              <rFont val="Calibri"/>
              <sz val="10"/>
            </rPr>
            <t xml:space="preserve"> 2.5 of 12 · between A2 and A3 — Start: 3.0 · senior practitioner title; Evidence reads like A2: Accuracy of own tagging, disclosure updates and testing results; output to Customer Engagement team → moved down 0.5; KRA: “1. Complete assigned XBRL/conversion/filing tasks with &gt;=99% accuracy · zero critical errors 2. Meet 100% of regulatory / client filing…”
</t>
          </r>
          <r>
            <rPr>
              <rFont val="Calibri"/>
              <b val="1"/>
              <sz val="10"/>
            </rPr>
            <t>Leadership &amp; Strategy:</t>
          </r>
          <r>
            <rPr>
              <rFont val="Calibri"/>
              <sz val="10"/>
            </rPr>
            <t xml:space="preserve"> 2.5 of 12 · between A2 and A3 — not counted: the weight is 0% at this level — Start: 2.0 · individual contributor, so influence only; Evidence reads like A3: Lists shift-lead responsibility without detail; no formal reports → moved up 0.5; Team: 0 direct reports · IC
</t>
          </r>
          <r>
            <rPr>
              <rFont val="Calibri"/>
              <b val="1"/>
              <sz val="10"/>
            </rPr>
            <t>Experience &amp; Qualification:</t>
          </r>
          <r>
            <rPr>
              <rFont val="Calibri"/>
              <sz val="10"/>
            </rPr>
            <t xml:space="preserve"> 8.5 of 12 · between C2 and D1 — Experience: 15.6 yrs total · 0.5 before IRIS + 15.1 at IRIS = 8.4 on the experience scale;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49"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49" s="12" t="inlineStr">
        <is>
          <r>
            <rPr>
              <rFont val="Calibri"/>
              <sz val="10"/>
            </rPr>
            <t xml:space="preserve">✓ HRIS: 15.6 yrs, B.Com, 0 direct reports
✓ Survey: 18 of 20 questions answered
✓ KRAs: submitted, reported deliverables
✓ Manager mapping: rating, potential, 9-box
✗ Job description: not on file
</t>
          </r>
          <r>
            <rPr>
              <rFont val="Calibri"/>
              <b val="1"/>
              <sz val="10"/>
            </rPr>
            <t>Confidence:</t>
          </r>
          <r>
            <rPr>
              <rFont val="Calibri"/>
              <sz val="10"/>
            </rPr>
            <t xml:space="preserve"> Medium</t>
          </r>
        </is>
      </c>
      <c r="Z149" s="82" t="inlineStr">
        <is>
          <r>
            <rPr>
              <rFont val="Calibri"/>
              <color rgb="009C5700"/>
              <sz val="10"/>
            </rPr>
            <t xml:space="preserve">• </t>
          </r>
          <r>
            <rPr>
              <rFont val="Calibri"/>
              <b val="1"/>
              <color rgb="009C5700"/>
              <sz val="10"/>
            </rPr>
            <t>Close call:</t>
          </r>
          <r>
            <rPr>
              <rFont val="Calibri"/>
              <color rgb="009C5700"/>
              <sz val="10"/>
            </rPr>
            <t xml:space="preserve"> score 3.48 is within 0.05 of a rounding point</t>
          </r>
        </is>
      </c>
      <c r="AA149" s="83" t="inlineStr">
        <is>
          <t>• Confirm the reporting line — Manager</t>
        </is>
      </c>
      <c r="AB14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High · 9-Box Grid placement: Core Contributor.</t>
          </r>
        </is>
      </c>
      <c r="AC149" s="84" t="n"/>
      <c r="AD149" s="84" t="n"/>
      <c r="AE149" s="84" t="n"/>
      <c r="AF149" s="12" t="n">
        <v>3</v>
      </c>
    </row>
    <row r="150" ht="400" customHeight="1">
      <c r="A150" s="12" t="inlineStr">
        <is>
          <t>IRISC212</t>
        </is>
      </c>
      <c r="B150" s="10" t="inlineStr">
        <is>
          <t>Vishakha Vitmal</t>
        </is>
      </c>
      <c r="C150" s="12" t="inlineStr">
        <is>
          <t>Services</t>
        </is>
      </c>
      <c r="D150" s="12" t="inlineStr">
        <is>
          <t>Consultant</t>
        </is>
      </c>
      <c r="E150" s="85" t="inlineStr">
        <is>
          <t>Senior Financial Analyst</t>
        </is>
      </c>
      <c r="F150" s="12" t="inlineStr">
        <is>
          <t>Consulting &amp; Professional Services</t>
        </is>
      </c>
      <c r="G150" s="12" t="inlineStr">
        <is>
          <t>XBRL Tagging, Conversion &amp; Filing</t>
        </is>
      </c>
      <c r="H150" s="12" t="inlineStr">
        <is>
          <t>IC</t>
        </is>
      </c>
      <c r="I150" s="42" t="inlineStr">
        <is>
          <t>L3 – Professional / Associate</t>
        </is>
      </c>
      <c r="J150" s="16" t="inlineStr">
        <is>
          <t>A3</t>
        </is>
      </c>
      <c r="K150" s="17" t="inlineStr">
        <is>
          <t>Senior Associate</t>
        </is>
      </c>
      <c r="L150" s="87" t="inlineStr">
        <is>
          <t>▲ Up</t>
        </is>
      </c>
      <c r="M150" s="12" t="inlineStr">
        <is>
          <t>CARBON · Services · Band A · Early career</t>
        </is>
      </c>
      <c r="N150" s="42" t="n">
        <v>2.5</v>
      </c>
      <c r="O150" s="42" t="n">
        <v>2.5</v>
      </c>
      <c r="P150" s="42" t="n">
        <v>2.5</v>
      </c>
      <c r="Q150" s="42" t="n">
        <v>1</v>
      </c>
      <c r="R150" s="42" t="n">
        <v>4</v>
      </c>
      <c r="S150" s="80" t="n">
        <v>3</v>
      </c>
      <c r="T150" s="81">
        <f>IF(OR($M150="",COUNT(N150,O150,P150,Q150,R150,S150)&lt;6),"",IFERROR(N150*INDEX(WM_C,MATCH($M150,WM_KEY,0))+O150*INDEX(WM_AU,MATCH($M150,WM_KEY,0))+P150*INDEX(WM_AC,MATCH($M150,WM_KEY,0))+Q150*INDEX(WM_L,MATCH($M150,WM_KEY,0))+R150*INDEX(WM_E,MATCH($M150,WM_KEY,0))+S150*INDEX(WM_BI,MATCH($M150,WM_KEY,0)),""))</f>
        <v>2.68</v>
      </c>
      <c r="U150" s="42" t="str">
        <f>IF(T150="","",INDEX({"A1","A2","A3","B1","B2","B3","C1","C2","D1","D2","E1","E2"},MAX(1,MIN(12,ROUND(T150,0)))))</f>
        <v>A3</v>
      </c>
      <c r="V150" s="12" t="inlineStr">
        <is>
          <r>
            <rPr>
              <rFont val="Calibri"/>
              <sz val="10"/>
            </rPr>
            <t xml:space="preserve">New level A3 · Senior Associate. Current level on record: L3 – Professional / Associate. Change: ▲ Up.
Score 2.68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0" s="12" t="inlineStr">
        <is>
          <r>
            <rPr>
              <rFont val="Calibri"/>
              <b val="1"/>
              <sz val="10"/>
            </rPr>
            <t>Complexity &amp; Expertise:</t>
          </r>
          <r>
            <rPr>
              <rFont val="Calibri"/>
              <sz val="10"/>
            </rPr>
            <t xml:space="preserve"> 2.5 of 12 · between A2 and A3 — Start: 2.0 · practitioner title; Evidence reads like A3: MCA taxonomy tagging, QA, troubleshooting validation errors, advising clients on taxonomy rules → moved up 0.5; KRA: “1. Complete assigned XBRL/conversion/filing tasks with &gt;=99% accuracy · zero critical errors 2. Meet 100% of regulatory / client filing…”
</t>
          </r>
          <r>
            <rPr>
              <rFont val="Calibri"/>
              <b val="1"/>
              <sz val="10"/>
            </rPr>
            <t>Autonomy &amp; Decision:</t>
          </r>
          <r>
            <rPr>
              <rFont val="Calibri"/>
              <sz val="10"/>
            </rPr>
            <t xml:space="preserve"> 2.5 of 12 · between A2 and A3 — Start: 2.0 · practitioner title; Evidence reads like A3: Selects tags, resolves validation errors, finalises files for upload; MCA files go straight to client → moved up 0.5
</t>
          </r>
          <r>
            <rPr>
              <rFont val="Calibri"/>
              <b val="1"/>
              <sz val="10"/>
            </rPr>
            <t>Accountability &amp; Impact:</t>
          </r>
          <r>
            <rPr>
              <rFont val="Calibri"/>
              <sz val="10"/>
            </rPr>
            <t xml:space="preserve"> 2.5 of 12 · between A2 and A3 — Start: 2.0 · practitioner title; Evidence reads like A3: Own files sent directly to clients; wrong guidance or late filing means client penalties → moved up 0.5;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4 of 12 — Experience: 5.2 yrs total · 5.2 at IRIS; none recorded before IRIS = 3.9 on the experience scale; Note: the record looks incomplete, so this is a minimum · HR to confirm;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50" s="12" t="inlineStr">
        <is>
          <r>
            <rPr>
              <rFont val="Calibri"/>
              <b val="1"/>
              <sz val="10"/>
            </rPr>
            <t>Market level:</t>
          </r>
          <r>
            <rPr>
              <rFont val="Calibri"/>
              <sz val="10"/>
            </rPr>
            <t xml:space="preserve"> P2 · SFIA 3 Apply
</t>
          </r>
          <r>
            <rPr>
              <rFont val="Calibri"/>
              <b val="1"/>
              <sz val="10"/>
            </rPr>
            <t>Typical title:</t>
          </r>
          <r>
            <rPr>
              <rFont val="Calibri"/>
              <sz val="10"/>
            </rPr>
            <t xml:space="preserve"> Senior Analyst / Associate
</t>
          </r>
          <r>
            <rPr>
              <rFont val="Calibri"/>
              <b val="1"/>
              <sz val="10"/>
            </rPr>
            <t>At peers:</t>
          </r>
          <r>
            <rPr>
              <rFont val="Calibri"/>
              <sz val="10"/>
            </rPr>
            <t xml:space="preserve"> DataTracks – Senior Associate · 2–5 yrs · Big Four – Consultant · IRIS Vs Market Benchmark — XBRL US credential pathway: XBRL US GAAP Certificate
</t>
          </r>
          <r>
            <rPr>
              <rFont val="Calibri"/>
              <b val="1"/>
              <sz val="10"/>
            </rPr>
            <t>Typical experience:</t>
          </r>
          <r>
            <rPr>
              <rFont val="Calibri"/>
              <sz val="10"/>
            </rPr>
            <t xml:space="preserve"> 2–5 yrs · IRIS guide 2–4
</t>
          </r>
          <r>
            <rPr>
              <rFont val="Calibri"/>
              <b val="1"/>
              <sz val="10"/>
            </rPr>
            <t>Standard:</t>
          </r>
          <r>
            <rPr>
              <rFont val="Calibri"/>
              <sz val="10"/>
            </rPr>
            <t xml:space="preserve"> XBRL US GAAP Certificate; XBRL International specifications</t>
          </r>
        </is>
      </c>
      <c r="Y150" s="12" t="inlineStr">
        <is>
          <r>
            <rPr>
              <rFont val="Calibri"/>
              <sz val="10"/>
            </rPr>
            <t xml:space="preserve">✓ HRIS: 5.2 yrs, B.Com, 0 direct reports
✓ Survey: 19 of 20 questions answered
✓ KRAs: submitted, reported deliverables
✓ Manager mapping: rating, potential, 9-box
✓ Job description
</t>
          </r>
          <r>
            <rPr>
              <rFont val="Calibri"/>
              <b val="1"/>
              <sz val="10"/>
            </rPr>
            <t>Confidence:</t>
          </r>
          <r>
            <rPr>
              <rFont val="Calibri"/>
              <sz val="10"/>
            </rPr>
            <t xml:space="preserve"> Low</t>
          </r>
        </is>
      </c>
      <c r="Z150" s="12" t="inlineStr">
        <is>
          <t>—</t>
        </is>
      </c>
      <c r="AA150" s="83" t="inlineStr">
        <is>
          <t>• Correct the experience record — HR</t>
        </is>
      </c>
      <c r="AB15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delays · errors · incorrect · additional.
</t>
          </r>
          <r>
            <rPr>
              <rFont val="Calibri"/>
              <b val="1"/>
              <sz val="10"/>
            </rPr>
            <t>Measured on · manager-set KRA themes:</t>
          </r>
          <r>
            <rPr>
              <rFont val="Calibri"/>
              <sz val="10"/>
            </rPr>
            <t xml:space="preserve"> resolve · full · coverage · cycles · defect · xbrl.
Manager talent mapping — Latest rating: 3 · Potential: Medium · 9-Box Grid placement: Core Contributor.</t>
          </r>
        </is>
      </c>
      <c r="AC150" s="84" t="n"/>
      <c r="AD150" s="84" t="n"/>
      <c r="AE150" s="84" t="n"/>
      <c r="AF150" s="12" t="n">
        <v>3</v>
      </c>
    </row>
    <row r="151" ht="400" customHeight="1">
      <c r="A151" s="12" t="inlineStr">
        <is>
          <t>IRIS2475</t>
        </is>
      </c>
      <c r="B151" s="10" t="inlineStr">
        <is>
          <t>Yadavar Velumurgan S.</t>
        </is>
      </c>
      <c r="C151" s="12" t="inlineStr">
        <is>
          <t>Services</t>
        </is>
      </c>
      <c r="D151" s="12" t="inlineStr">
        <is>
          <t>Senior Financial Analyst</t>
        </is>
      </c>
      <c r="E151" s="85" t="inlineStr">
        <is>
          <t>Senior QA Engineer</t>
        </is>
      </c>
      <c r="F151" s="12" t="inlineStr">
        <is>
          <t>Quality Assurance</t>
        </is>
      </c>
      <c r="G151" s="12" t="inlineStr">
        <is>
          <t>Functional &amp; Domain Testing</t>
        </is>
      </c>
      <c r="H151" s="12" t="inlineStr">
        <is>
          <t>IC</t>
        </is>
      </c>
      <c r="I151" s="42" t="inlineStr">
        <is>
          <t>L4 – Senior</t>
        </is>
      </c>
      <c r="J151" s="16" t="inlineStr">
        <is>
          <t>A3</t>
        </is>
      </c>
      <c r="K151" s="17" t="inlineStr">
        <is>
          <t>Senior Associate</t>
        </is>
      </c>
      <c r="L151" s="88" t="inlineStr">
        <is>
          <t>• Same level</t>
        </is>
      </c>
      <c r="M151" s="12" t="inlineStr">
        <is>
          <t>CARBON · Services · Band A · Early career</t>
        </is>
      </c>
      <c r="N151" s="42" t="n">
        <v>3</v>
      </c>
      <c r="O151" s="42" t="n">
        <v>3</v>
      </c>
      <c r="P151" s="42" t="n">
        <v>2.5</v>
      </c>
      <c r="Q151" s="42" t="n">
        <v>1.5</v>
      </c>
      <c r="R151" s="42" t="n">
        <v>3</v>
      </c>
      <c r="S151" s="80" t="n">
        <v>3</v>
      </c>
      <c r="T151" s="81">
        <f>IF(OR($M151="",COUNT(N151,O151,P151,Q151,R151,S151)&lt;6),"",IFERROR(N151*INDEX(WM_C,MATCH($M151,WM_KEY,0))+O151*INDEX(WM_AU,MATCH($M151,WM_KEY,0))+P151*INDEX(WM_AC,MATCH($M151,WM_KEY,0))+Q151*INDEX(WM_L,MATCH($M151,WM_KEY,0))+R151*INDEX(WM_E,MATCH($M151,WM_KEY,0))+S151*INDEX(WM_BI,MATCH($M151,WM_KEY,0)),""))</f>
        <v>2.93</v>
      </c>
      <c r="U151" s="42" t="str">
        <f>IF(T151="","",INDEX({"A1","A2","A3","B1","B2","B3","C1","C2","D1","D2","E1","E2"},MAX(1,MIN(12,ROUND(T151,0)))))</f>
        <v>A3</v>
      </c>
      <c r="V151" s="12" t="inlineStr">
        <is>
          <r>
            <rPr>
              <rFont val="Calibri"/>
              <sz val="10"/>
            </rPr>
            <t xml:space="preserve">New level A3 · Senior Associate. Current level on record: L4 – Senior. Change: • Same level.
Score 2.93 on the ladder scale → indicated level A3.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1" s="12" t="inlineStr">
        <is>
          <r>
            <rPr>
              <rFont val="Calibri"/>
              <b val="1"/>
              <sz val="10"/>
            </rPr>
            <t>Complexity &amp; Expertise:</t>
          </r>
          <r>
            <rPr>
              <rFont val="Calibri"/>
              <sz val="10"/>
            </rPr>
            <t xml:space="preserve"> 3 of 12 — Start: 3.0 · senior practitioner title; Evidence reads like A3: Designs test cases; validates AI-extracted financial data and anomaly detection against source filings → matches the start; KRA: “1. Testing of AI related features. 2. Providing suggestions/Corrections in new and existing functionality of AI related features. 3.…”
</t>
          </r>
          <r>
            <rPr>
              <rFont val="Calibri"/>
              <b val="1"/>
              <sz val="10"/>
            </rPr>
            <t>Autonomy &amp; Decision:</t>
          </r>
          <r>
            <rPr>
              <rFont val="Calibri"/>
              <sz val="10"/>
            </rPr>
            <t xml:space="preserve"> 3 of 12 — Start: 3.0 · senior practitioner title; Evidence reads like A3: Plans own testing, prioritises test cases, raises quality concerns without prior approval → matches the start
</t>
          </r>
          <r>
            <rPr>
              <rFont val="Calibri"/>
              <b val="1"/>
              <sz val="10"/>
            </rPr>
            <t>Accountability &amp; Impact:</t>
          </r>
          <r>
            <rPr>
              <rFont val="Calibri"/>
              <sz val="10"/>
            </rPr>
            <t xml:space="preserve"> 2.5 of 12 · between A2 and A3 — Start: 3.0 · senior practitioner title; Evidence reads like A2: Accuracy of own data validation and test results; defect reports go to developers → moved down 0.5; KRA: “1. Testing of AI related features. 2. Providing suggestions/Corrections in new and existing functionality of AI related features. 3.…”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or leadership of others described → moved down 0.5; Team: 0 direct reports · IC
</t>
          </r>
          <r>
            <rPr>
              <rFont val="Calibri"/>
              <b val="1"/>
              <sz val="10"/>
            </rPr>
            <t>Experience &amp; Qualification:</t>
          </r>
          <r>
            <rPr>
              <rFont val="Calibri"/>
              <sz val="10"/>
            </rPr>
            <t xml:space="preserve"> 3 of 12 — Experience: 3.3 yrs total · 2.7 before IRIS + 0.6 at IRIS = 3.1 on the experience scale; Note: the record looks incomplete, so this is a minimum · HR to confirm; Qualification: B.Com · graduate, relevant to the work → no change
</t>
          </r>
          <r>
            <rPr>
              <rFont val="Calibri"/>
              <b val="1"/>
              <sz val="10"/>
            </rPr>
            <t>Business Impact:</t>
          </r>
          <r>
            <rPr>
              <rFont val="Calibri"/>
              <sz val="10"/>
            </rPr>
            <t xml:space="preserve"> 3 of 12 — a starting estimate. — Start: 2.5,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t>
          </r>
        </is>
      </c>
      <c r="X151" s="12" t="inlineStr">
        <is>
          <r>
            <rPr>
              <rFont val="Calibri"/>
              <b val="1"/>
              <sz val="10"/>
            </rPr>
            <t>Market level:</t>
          </r>
          <r>
            <rPr>
              <rFont val="Calibri"/>
              <sz val="10"/>
            </rPr>
            <t xml:space="preserve"> P2 · SFIA 3 Apply
</t>
          </r>
          <r>
            <rPr>
              <rFont val="Calibri"/>
              <b val="1"/>
              <sz val="10"/>
            </rPr>
            <t>Typical title:</t>
          </r>
          <r>
            <rPr>
              <rFont val="Calibri"/>
              <sz val="10"/>
            </rPr>
            <t xml:space="preserve"> QA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ISTQB Foundation → Advanced → Expert; SFIA testing</t>
          </r>
        </is>
      </c>
      <c r="Y151" s="12" t="inlineStr">
        <is>
          <r>
            <rPr>
              <rFont val="Calibri"/>
              <sz val="10"/>
            </rPr>
            <t xml:space="preserve">✓ HRIS: 3.3 yrs, B.Com,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Low</t>
          </r>
        </is>
      </c>
      <c r="Z151" s="12" t="inlineStr">
        <is>
          <t>—</t>
        </is>
      </c>
      <c r="AA151" s="83" t="inlineStr">
        <is>
          <t>• Correct the experience record — HR</t>
        </is>
      </c>
      <c r="AB15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From the survey and manager mapping — critical role: yes; successor named: no.
</t>
          </r>
          <r>
            <rPr>
              <rFont val="Calibri"/>
              <b val="1"/>
              <sz val="10"/>
            </rPr>
            <t>If the work is missed · role-holders' themes:</t>
          </r>
          <r>
            <rPr>
              <rFont val="Calibri"/>
              <sz val="10"/>
            </rPr>
            <t xml:space="preserve"> rework · production · client · customer.
</t>
          </r>
          <r>
            <rPr>
              <rFont val="Calibri"/>
              <b val="1"/>
              <sz val="10"/>
            </rPr>
            <t>Measured on · manager-set KRA themes:</t>
          </r>
          <r>
            <rPr>
              <rFont val="Calibri"/>
              <sz val="10"/>
            </rPr>
            <t xml:space="preserve"> project · quality · production · knowledge · test.
Manager talent mapping — Latest rating: 3 · Potential: Medium · 9-Box Grid placement: Core Contributor.</t>
          </r>
        </is>
      </c>
      <c r="AC151" s="84" t="n"/>
      <c r="AD151" s="84" t="n"/>
      <c r="AE151" s="84" t="n"/>
      <c r="AF151" s="12" t="n">
        <v>3</v>
      </c>
    </row>
    <row r="152" ht="400" customHeight="1">
      <c r="A152" s="12" t="inlineStr">
        <is>
          <t>IRISC341</t>
        </is>
      </c>
      <c r="B152" s="10" t="inlineStr">
        <is>
          <t>Anjali Singh</t>
        </is>
      </c>
      <c r="C152" s="12" t="inlineStr">
        <is>
          <t>Services</t>
        </is>
      </c>
      <c r="D152" s="12" t="inlineStr">
        <is>
          <t>Consultant</t>
        </is>
      </c>
      <c r="E152" s="85" t="inlineStr">
        <is>
          <t>Financial Analyst</t>
        </is>
      </c>
      <c r="F152" s="12" t="inlineStr">
        <is>
          <t>Consulting &amp; Professional Services</t>
        </is>
      </c>
      <c r="G152" s="12" t="inlineStr">
        <is>
          <t>XBRL Tagging, Conversion &amp; Filing</t>
        </is>
      </c>
      <c r="H152" s="12" t="inlineStr">
        <is>
          <t>IC</t>
        </is>
      </c>
      <c r="I152" s="42" t="inlineStr">
        <is>
          <t>L3 – Professional / Associate</t>
        </is>
      </c>
      <c r="J152" s="16" t="inlineStr">
        <is>
          <t>A2</t>
        </is>
      </c>
      <c r="K152" s="17" t="inlineStr">
        <is>
          <t>Associate</t>
        </is>
      </c>
      <c r="L152" s="88" t="inlineStr">
        <is>
          <t>• Same level</t>
        </is>
      </c>
      <c r="M152" s="12" t="inlineStr">
        <is>
          <t>CARBON · Services · Band A · Early career</t>
        </is>
      </c>
      <c r="N152" s="42" t="n">
        <v>2</v>
      </c>
      <c r="O152" s="42" t="n">
        <v>2</v>
      </c>
      <c r="P152" s="42" t="n">
        <v>2</v>
      </c>
      <c r="Q152" s="42" t="n">
        <v>1</v>
      </c>
      <c r="R152" s="42" t="n">
        <v>2.5</v>
      </c>
      <c r="S152" s="80" t="n">
        <v>2.5</v>
      </c>
      <c r="T152" s="81">
        <f>IF(OR($M152="",COUNT(N152,O152,P152,Q152,R152,S152)&lt;6),"",IFERROR(N152*INDEX(WM_C,MATCH($M152,WM_KEY,0))+O152*INDEX(WM_AU,MATCH($M152,WM_KEY,0))+P152*INDEX(WM_AC,MATCH($M152,WM_KEY,0))+Q152*INDEX(WM_L,MATCH($M152,WM_KEY,0))+R152*INDEX(WM_E,MATCH($M152,WM_KEY,0))+S152*INDEX(WM_BI,MATCH($M152,WM_KEY,0)),""))</f>
        <v>2.08</v>
      </c>
      <c r="U152" s="42" t="str">
        <f>IF(T152="","",INDEX({"A1","A2","A3","B1","B2","B3","C1","C2","D1","D2","E1","E2"},MAX(1,MIN(12,ROUND(T152,0)))))</f>
        <v>A2</v>
      </c>
      <c r="V152" s="12" t="inlineStr">
        <is>
          <r>
            <rPr>
              <rFont val="Calibri"/>
              <sz val="10"/>
            </rPr>
            <t xml:space="preserve">New level A2 · Associate. Current level on record: L3 – Professional / Associate. Change: • Same level.
Score 2.08 on the ladder scale → indicated level A2.
</t>
          </r>
          <r>
            <rPr>
              <rFont val="Calibri"/>
              <b val="1"/>
              <sz val="10"/>
            </rPr>
            <t>Weights:</t>
          </r>
          <r>
            <rPr>
              <rFont val="Calibri"/>
              <sz val="10"/>
            </rPr>
            <t xml:space="preserve"> Complexity 54% · Autonomy 16% · Accountability 14% · Experience 10% · Business impact 6%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delivery work is judged on accuracy and turnaround, so Accountability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2" s="12" t="inlineStr">
        <is>
          <r>
            <rPr>
              <rFont val="Calibri"/>
              <b val="1"/>
              <sz val="10"/>
            </rPr>
            <t>Complexity &amp; Expertise:</t>
          </r>
          <r>
            <rPr>
              <rFont val="Calibri"/>
              <sz val="10"/>
            </rPr>
            <t xml:space="preserve"> 2 of 12 — Start: 2.0 · practitioner title; Evidence reads like A2: Data mapping, XBRL tagging and validation of CIPC files to a defined process → matches the start; KRA: “1. Complete assigned XBRL/conversion/filing tasks with &gt;=99% accuracy · zero critical errors 2. Meet 100% of regulatory / client filing…”
</t>
          </r>
          <r>
            <rPr>
              <rFont val="Calibri"/>
              <b val="1"/>
              <sz val="10"/>
            </rPr>
            <t>Autonomy &amp; Decision:</t>
          </r>
          <r>
            <rPr>
              <rFont val="Calibri"/>
              <sz val="10"/>
            </rPr>
            <t xml:space="preserve"> 2 of 12 — Start: 2.0 · practitioner title; Evidence reads like A2: Does tagging and checks basic errors on own → matches the start
</t>
          </r>
          <r>
            <rPr>
              <rFont val="Calibri"/>
              <b val="1"/>
              <sz val="10"/>
            </rPr>
            <t>Accountability &amp; Impact:</t>
          </r>
          <r>
            <rPr>
              <rFont val="Calibri"/>
              <sz val="10"/>
            </rPr>
            <t xml:space="preserve"> 2 of 12 — Start: 2.0 · practitioner title; Evidence reads like A2: Accurate tagging and mapping; errors cause validation failures and team rework → matches the start; KRA: “1. Complete assigned XBRL/conversion/filing tasks with &gt;=99% accuracy · zero critical errors 2. Meet 100% of regulatory / client filing…”
</t>
          </r>
          <r>
            <rPr>
              <rFont val="Calibri"/>
              <b val="1"/>
              <sz val="10"/>
            </rPr>
            <t>Leadership &amp; Strategy:</t>
          </r>
          <r>
            <rPr>
              <rFont val="Calibri"/>
              <sz val="10"/>
            </rPr>
            <t xml:space="preserve"> 1 of 12 — not counted: the weight is 0% at this level — Start: 1.0 · individual contributor, so influence only; Evidence reads like A1: No guidance or leadership of others described → matches the start; Team: 0 direct reports · IC
</t>
          </r>
          <r>
            <rPr>
              <rFont val="Calibri"/>
              <b val="1"/>
              <sz val="10"/>
            </rPr>
            <t>Experience &amp; Qualification:</t>
          </r>
          <r>
            <rPr>
              <rFont val="Calibri"/>
              <sz val="10"/>
            </rPr>
            <t xml:space="preserve"> 2.5 of 12 · between A2 and A3 — Experience: 1.3 yrs total · 0.7 before IRIS + 0.6 at IRIS = 2.1 on the experience scale; Qualification: M.Com · postgraduate, relevant to the work → +0.5
</t>
          </r>
          <r>
            <rPr>
              <rFont val="Calibri"/>
              <b val="1"/>
              <sz val="10"/>
            </rPr>
            <t>Business Impact:</t>
          </r>
          <r>
            <rPr>
              <rFont val="Calibri"/>
              <sz val="10"/>
            </rPr>
            <t xml:space="preserve"> 2.5 of 12 — a starting estimate. — Start: 2, the role's accountability scope — what it answers for.; Moved +0.5: the survey / manager mapping marks it business-critical.; Managers and heads: overwrite this rating on the Weightage sheet with the business impact you see — the score updates at once.; Ladder: A2 = Own deliverables feed a team's output and turnaround · A3 = A process or client deliverable depends on this work</t>
          </r>
        </is>
      </c>
      <c r="X152" s="12" t="inlineStr">
        <is>
          <r>
            <rPr>
              <rFont val="Calibri"/>
              <b val="1"/>
              <sz val="10"/>
            </rPr>
            <t>Market level:</t>
          </r>
          <r>
            <rPr>
              <rFont val="Calibri"/>
              <sz val="10"/>
            </rPr>
            <t xml:space="preserve"> P1–P2 · SFIA 2 Assist
</t>
          </r>
          <r>
            <rPr>
              <rFont val="Calibri"/>
              <b val="1"/>
              <sz val="10"/>
            </rPr>
            <t>Typical title:</t>
          </r>
          <r>
            <rPr>
              <rFont val="Calibri"/>
              <sz val="10"/>
            </rPr>
            <t xml:space="preserve"> Analyst / Senior Analyst / Associate
</t>
          </r>
          <r>
            <rPr>
              <rFont val="Calibri"/>
              <b val="1"/>
              <sz val="10"/>
            </rPr>
            <t>At peers:</t>
          </r>
          <r>
            <rPr>
              <rFont val="Calibri"/>
              <sz val="10"/>
            </rPr>
            <t xml:space="preserve"> Toppan Merrill – XBRL Financial Analyst, Associate · DataTracks – Associate · Big Four – Analyst
</t>
          </r>
          <r>
            <rPr>
              <rFont val="Calibri"/>
              <b val="1"/>
              <sz val="10"/>
            </rPr>
            <t>Typical experience:</t>
          </r>
          <r>
            <rPr>
              <rFont val="Calibri"/>
              <sz val="10"/>
            </rPr>
            <t xml:space="preserve"> 0–3 yrs · IRIS guide 0–2
</t>
          </r>
          <r>
            <rPr>
              <rFont val="Calibri"/>
              <b val="1"/>
              <sz val="10"/>
            </rPr>
            <t>Standard:</t>
          </r>
          <r>
            <rPr>
              <rFont val="Calibri"/>
              <sz val="10"/>
            </rPr>
            <t xml:space="preserve"> XBRL US GAAP Certificate; XBRL International specifications</t>
          </r>
        </is>
      </c>
      <c r="Y152" s="12" t="inlineStr">
        <is>
          <r>
            <rPr>
              <rFont val="Calibri"/>
              <sz val="10"/>
            </rPr>
            <t xml:space="preserve">✓ HRIS: 1.3 yrs, M.Com, 0 direct reports
✓ Survey: 20 of 20 questions answered
✓ KRAs: submitted, reported deliverables
✓ Manager mapping: rating, potential, 9-box
✗ Job description: not on file
</t>
          </r>
          <r>
            <rPr>
              <rFont val="Calibri"/>
              <b val="1"/>
              <sz val="10"/>
            </rPr>
            <t>Confidence:</t>
          </r>
          <r>
            <rPr>
              <rFont val="Calibri"/>
              <sz val="10"/>
            </rPr>
            <t xml:space="preserve"> High</t>
          </r>
        </is>
      </c>
      <c r="Z152" s="12" t="inlineStr">
        <is>
          <t>—</t>
        </is>
      </c>
      <c r="AA152" s="12" t="inlineStr">
        <is>
          <t>Nothing outstanding</t>
        </is>
      </c>
      <c r="AB152"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From the survey and manager mapping — critical role: yes; successor named: no.
</t>
          </r>
          <r>
            <rPr>
              <rFont val="Calibri"/>
              <b val="1"/>
              <sz val="10"/>
            </rPr>
            <t>If the work is missed · role-holders' themes:</t>
          </r>
          <r>
            <rPr>
              <rFont val="Calibri"/>
              <sz val="10"/>
            </rPr>
            <t xml:space="preserve"> errors · validation · extra · incorrect.
</t>
          </r>
          <r>
            <rPr>
              <rFont val="Calibri"/>
              <b val="1"/>
              <sz val="10"/>
            </rPr>
            <t>Measured on · manager-set KRA themes:</t>
          </r>
          <r>
            <rPr>
              <rFont val="Calibri"/>
              <sz val="10"/>
            </rPr>
            <t xml:space="preserve"> complete iris · resolve · cycle full · accuracy targets · maintained · logs document.
Manager talent mapping — Latest rating: 2 · Potential: Low · 9-Box Grid placement: Reliable Specialist.</t>
          </r>
        </is>
      </c>
      <c r="AC152" s="84" t="n"/>
      <c r="AD152" s="84" t="n"/>
      <c r="AE152" s="84" t="n"/>
      <c r="AF152" s="12" t="n">
        <v>2.5</v>
      </c>
    </row>
    <row r="153" ht="400" customHeight="1">
      <c r="A153" s="12" t="inlineStr">
        <is>
          <t>IRIS1335</t>
        </is>
      </c>
      <c r="B153" s="10" t="inlineStr">
        <is>
          <t>Anushree Aparajit</t>
        </is>
      </c>
      <c r="C153" s="12" t="inlineStr">
        <is>
          <t>Support</t>
        </is>
      </c>
      <c r="D153" s="12" t="inlineStr">
        <is>
          <t>Global Customer Success Head</t>
        </is>
      </c>
      <c r="E153" s="85" t="inlineStr">
        <is>
          <t>Associate Head – Customer Success</t>
        </is>
      </c>
      <c r="F153" s="12" t="inlineStr">
        <is>
          <t>Customer Success &amp; Support</t>
        </is>
      </c>
      <c r="G153" s="12" t="inlineStr">
        <is>
          <t>Customer Success Leadership</t>
        </is>
      </c>
      <c r="H153" s="12" t="inlineStr">
        <is>
          <t>People Manager</t>
        </is>
      </c>
      <c r="I153" s="42" t="inlineStr">
        <is>
          <t>L7 – Head / Sr Director</t>
        </is>
      </c>
      <c r="J153" s="24" t="inlineStr">
        <is>
          <t>C1</t>
        </is>
      </c>
      <c r="K153" s="25" t="inlineStr">
        <is>
          <t>Associate Head</t>
        </is>
      </c>
      <c r="L153" s="86" t="inlineStr">
        <is>
          <t>▼ Down · pay &amp; title protected</t>
        </is>
      </c>
      <c r="M153" s="12" t="inlineStr">
        <is>
          <t>CARBON · Support · Band C · Head / Manager</t>
        </is>
      </c>
      <c r="N153" s="42" t="n">
        <v>8</v>
      </c>
      <c r="O153" s="42" t="n">
        <v>8</v>
      </c>
      <c r="P153" s="42" t="n">
        <v>6.5</v>
      </c>
      <c r="Q153" s="42" t="n">
        <v>7</v>
      </c>
      <c r="R153" s="42" t="n">
        <v>9</v>
      </c>
      <c r="S153" s="80" t="n">
        <v>7</v>
      </c>
      <c r="T153" s="81">
        <f>IF(OR($M153="",COUNT(N153,O153,P153,Q153,R153,S153)&lt;6),"",IFERROR(N153*INDEX(WM_C,MATCH($M153,WM_KEY,0))+O153*INDEX(WM_AU,MATCH($M153,WM_KEY,0))+P153*INDEX(WM_AC,MATCH($M153,WM_KEY,0))+Q153*INDEX(WM_L,MATCH($M153,WM_KEY,0))+R153*INDEX(WM_E,MATCH($M153,WM_KEY,0))+S153*INDEX(WM_BI,MATCH($M153,WM_KEY,0)),""))</f>
        <v>7.605</v>
      </c>
      <c r="U153" s="42" t="str">
        <f>IF(T153="","",INDEX({"A1","A2","A3","B1","B2","B3","C1","C2","D1","D2","E1","E2"},MAX(1,MIN(12,ROUND(T153,0)))))</f>
        <v>C2</v>
      </c>
      <c r="V153" s="12" t="inlineStr">
        <is>
          <r>
            <rPr>
              <rFont val="Calibri"/>
              <sz val="10"/>
            </rPr>
            <t xml:space="preserve">New level C1 · Associate Head. Current level on record: L7 – Head / Sr Director. Change: ▼ Down · pay &amp; title protected.
Score 7.61 on the ladder scale → indicated level C2.
</t>
          </r>
          <r>
            <rPr>
              <rFont val="Calibri"/>
              <b val="1"/>
              <sz val="10"/>
            </rPr>
            <t>Weights:</t>
          </r>
          <r>
            <rPr>
              <rFont val="Calibri"/>
              <sz val="10"/>
            </rPr>
            <t xml:space="preserve"> Complexity 38% · Autonomy 18% · Leadership 15% · Business impact 13% · Accountability 11%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Held at C1 instead of C2:</t>
          </r>
          <r>
            <rPr>
              <rFont val="Calibri"/>
              <sz val="10"/>
            </rPr>
            <t xml:space="preserve"> C2 needs a whole function or a company-wide discipline, and the org chart does not show this yet.
</t>
          </r>
          <r>
            <rPr>
              <rFont val="Calibri"/>
              <b val="1"/>
              <sz val="10"/>
            </rPr>
            <t>Final level:</t>
          </r>
          <r>
            <rPr>
              <rFont val="Calibri"/>
              <sz val="10"/>
            </rPr>
            <t xml:space="preserve"> C1.
</t>
          </r>
          <r>
            <rPr>
              <rFont val="Calibri"/>
              <b val="1"/>
              <sz val="10"/>
            </rPr>
            <t>The new level is below the current one:</t>
          </r>
          <r>
            <rPr>
              <rFont val="Calibri"/>
              <sz val="10"/>
            </rPr>
            <t xml:space="preserve"> pay and title are protected for one cycle, with a review date.</t>
          </r>
        </is>
      </c>
      <c r="W153" s="12" t="inlineStr">
        <is>
          <r>
            <rPr>
              <rFont val="Calibri"/>
              <b val="1"/>
              <sz val="10"/>
            </rPr>
            <t>Complexity &amp; Expertise:</t>
          </r>
          <r>
            <rPr>
              <rFont val="Calibri"/>
              <sz val="10"/>
            </rPr>
            <t xml:space="preserve"> 8 of 12 — Start: 8.0 · head-of-function title; Evidence: no survey answers or KRAs on file → rating stays at the start; KRA: “Net Revenue Retention ≥100–105%​ Target ARR - to be achieved - INR 2.35 CR 90% reach value milestone in 90 days​ Develop advocates…”
</t>
          </r>
          <r>
            <rPr>
              <rFont val="Calibri"/>
              <b val="1"/>
              <sz val="10"/>
            </rPr>
            <t>Autonomy &amp; Decision:</t>
          </r>
          <r>
            <rPr>
              <rFont val="Calibri"/>
              <sz val="10"/>
            </rPr>
            <t xml:space="preserve"> 8 of 12 — Start: 8.0 · head-of-function title; Evidence: no survey answers or KRAs on file → rating stays at the start
</t>
          </r>
          <r>
            <rPr>
              <rFont val="Calibri"/>
              <b val="1"/>
              <sz val="10"/>
            </rPr>
            <t>Accountability &amp; Impact:</t>
          </r>
          <r>
            <rPr>
              <rFont val="Calibri"/>
              <sz val="10"/>
            </rPr>
            <t xml:space="preserve"> 6.5 of 12 · between B3 and C1 — Start: 6.5 · head-of-function title; 7 direct reports, 8 people below; Evidence: no survey answers or KRAs on file → rating stays at the start; KRA: “Net Revenue Retention ≥100–105%​ Target ARR - to be achieved - INR 2.35 CR 90% reach value milestone in 90 days​ Develop advocates…”
</t>
          </r>
          <r>
            <rPr>
              <rFont val="Calibri"/>
              <b val="1"/>
              <sz val="10"/>
            </rPr>
            <t>Leadership &amp; Strategy:</t>
          </r>
          <r>
            <rPr>
              <rFont val="Calibri"/>
              <sz val="10"/>
            </rPr>
            <t xml:space="preserve"> 7 of 12 — Start: 7.0; Evidence: no survey answers or KRAs on file → rating stays at the start; Team: 7 direct reports · People Manager
</t>
          </r>
          <r>
            <rPr>
              <rFont val="Calibri"/>
              <b val="1"/>
              <sz val="10"/>
            </rPr>
            <t>Experience &amp; Qualification:</t>
          </r>
          <r>
            <rPr>
              <rFont val="Calibri"/>
              <sz val="10"/>
            </rPr>
            <t xml:space="preserve"> 9 of 12 — Experience: 14.6 yrs total · 1.3 before IRIS + 13.3 at IRIS = 8.0 on the experience scale; Qualification: CA · professional, relevant to the work → +1.0
</t>
          </r>
          <r>
            <rPr>
              <rFont val="Calibri"/>
              <b val="1"/>
              <sz val="10"/>
            </rPr>
            <t>Business Impact:</t>
          </r>
          <r>
            <rPr>
              <rFont val="Calibri"/>
              <sz val="10"/>
            </rPr>
            <t xml:space="preserve"> 7 of 12 — a starting estimate. — Start: 6.5, the role's accountability scope — what it answers for.; Moved +0.5: the survey / manager mapping marks it business-critical.; Managers and heads: overwrite this rating on the Weightage sheet with the business impact you see — the score updates at once.; Ladder: C1 = Changes results across a sub-function or across products</t>
          </r>
        </is>
      </c>
      <c r="X153" s="12" t="inlineStr">
        <is>
          <r>
            <rPr>
              <rFont val="Calibri"/>
              <b val="1"/>
              <sz val="10"/>
            </rPr>
            <t>Market level:</t>
          </r>
          <r>
            <rPr>
              <rFont val="Calibri"/>
              <sz val="10"/>
            </rPr>
            <t xml:space="preserve"> P6 / M5 · SFIA 5–6
</t>
          </r>
          <r>
            <rPr>
              <rFont val="Calibri"/>
              <b val="1"/>
              <sz val="10"/>
            </rPr>
            <t>Typical title:</t>
          </r>
          <r>
            <rPr>
              <rFont val="Calibri"/>
              <sz val="10"/>
            </rPr>
            <t xml:space="preserve"> Head of Function / AGM
</t>
          </r>
          <r>
            <rPr>
              <rFont val="Calibri"/>
              <b val="1"/>
              <sz val="10"/>
            </rPr>
            <t>At peers:</t>
          </r>
          <r>
            <rPr>
              <rFont val="Calibri"/>
              <sz val="10"/>
            </rPr>
            <t xml:space="preserve"> IRIS Vs Competitor Benchmark — SaaS customer-success ladder: Senior Manager CS
</t>
          </r>
          <r>
            <rPr>
              <rFont val="Calibri"/>
              <b val="1"/>
              <sz val="10"/>
            </rPr>
            <t>Typical experience:</t>
          </r>
          <r>
            <rPr>
              <rFont val="Calibri"/>
              <sz val="10"/>
            </rPr>
            <t xml:space="preserve"> 12–17 yrs · IRIS guide 10–14
</t>
          </r>
          <r>
            <rPr>
              <rFont val="Calibri"/>
              <b val="1"/>
              <sz val="10"/>
            </rPr>
            <t>Standard:</t>
          </r>
          <r>
            <rPr>
              <rFont val="Calibri"/>
              <sz val="10"/>
            </rPr>
            <t xml:space="preserve"> TSIA frameworks and benchmarks; ITIL 4 service desk</t>
          </r>
        </is>
      </c>
      <c r="Y153" s="12" t="inlineStr">
        <is>
          <r>
            <rPr>
              <rFont val="Calibri"/>
              <sz val="10"/>
            </rPr>
            <t xml:space="preserve">✓ HRIS: 14.6 yrs, CA, 7 direct reports
✗ Survey: no response
✓ KRAs: submitted
✓ Manager mapping: rating, potential, 9-box
✓ Job description
</t>
          </r>
          <r>
            <rPr>
              <rFont val="Calibri"/>
              <b val="1"/>
              <sz val="10"/>
            </rPr>
            <t>Confidence:</t>
          </r>
          <r>
            <rPr>
              <rFont val="Calibri"/>
              <sz val="10"/>
            </rPr>
            <t xml:space="preserve"> Low</t>
          </r>
        </is>
      </c>
      <c r="Z153" s="82" t="inlineStr">
        <is>
          <r>
            <rPr>
              <rFont val="Calibri"/>
              <color rgb="009C5700"/>
              <sz val="10"/>
            </rPr>
            <t xml:space="preserve">• </t>
          </r>
          <r>
            <rPr>
              <rFont val="Calibri"/>
              <b val="1"/>
              <color rgb="009C5700"/>
              <sz val="10"/>
            </rPr>
            <t>Moves down:</t>
          </r>
          <r>
            <rPr>
              <rFont val="Calibri"/>
              <color rgb="009C5700"/>
              <sz val="10"/>
            </rPr>
            <t xml:space="preserve"> protected for one cycle
• </t>
          </r>
          <r>
            <rPr>
              <rFont val="Calibri"/>
              <b val="1"/>
              <color rgb="009C5700"/>
              <sz val="10"/>
            </rPr>
            <t>Senior title held at this level by the structural gate:</t>
          </r>
          <r>
            <rPr>
              <rFont val="Calibri"/>
              <color rgb="009C5700"/>
              <sz val="10"/>
            </rPr>
            <t xml:space="preserve"> confirm the scope</t>
          </r>
        </is>
      </c>
      <c r="AA153" s="83" t="inlineStr">
        <is>
          <t>• Confirm structure behind the senior title · org chart — Business head</t>
        </is>
      </c>
      <c r="AB153" s="12" t="inlineStr">
        <is>
          <r>
            <rPr>
              <rFont val="Calibri"/>
              <b val="1"/>
              <sz val="10"/>
            </rPr>
            <t>What the role answers for:</t>
          </r>
          <r>
            <rPr>
              <rFont val="Calibri"/>
              <sz val="10"/>
            </rPr>
            <t xml:space="preserve"> Sub-function results or domain quality across products.
</t>
          </r>
          <r>
            <rPr>
              <rFont val="Calibri"/>
              <b val="1"/>
              <sz val="10"/>
            </rPr>
            <t>Accountability &amp; Impact rating:</t>
          </r>
          <r>
            <rPr>
              <rFont val="Calibri"/>
              <sz val="10"/>
            </rPr>
            <t xml:space="preserve"> 6.5 of 12 · B3-level impact.
Leads 7 direct reports.
From the survey and manager mapping — critical role: yes; successor named: no.
Manager talent mapping — Latest rating: 4 · Potential: Medium · 9-Box Grid placement: High Impact / Growth Talent.</t>
          </r>
        </is>
      </c>
      <c r="AC153" s="84" t="n"/>
      <c r="AD153" s="84" t="n"/>
      <c r="AE153" s="84" t="n"/>
      <c r="AF153" s="12" t="n">
        <v>7</v>
      </c>
    </row>
    <row r="154" ht="400" customHeight="1">
      <c r="A154" s="12" t="inlineStr">
        <is>
          <t>IRIS1935</t>
        </is>
      </c>
      <c r="B154" s="10" t="inlineStr">
        <is>
          <t>Chinmayi Patil</t>
        </is>
      </c>
      <c r="C154" s="12" t="inlineStr">
        <is>
          <t>Support</t>
        </is>
      </c>
      <c r="D154" s="12" t="inlineStr">
        <is>
          <t>Customer Success Manager</t>
        </is>
      </c>
      <c r="E154" s="85" t="inlineStr">
        <is>
          <t>Customer Success Specialist</t>
        </is>
      </c>
      <c r="F154" s="12" t="inlineStr">
        <is>
          <t>Customer Success &amp; Support</t>
        </is>
      </c>
      <c r="G154" s="12" t="inlineStr">
        <is>
          <t>Customer Success &amp; Account Management</t>
        </is>
      </c>
      <c r="H154" s="12" t="inlineStr">
        <is>
          <t>IC</t>
        </is>
      </c>
      <c r="I154" s="42" t="inlineStr">
        <is>
          <t>L5 – Manager</t>
        </is>
      </c>
      <c r="J154" s="20" t="inlineStr">
        <is>
          <t>B2</t>
        </is>
      </c>
      <c r="K154" s="21" t="inlineStr">
        <is>
          <t>Senior Specialist</t>
        </is>
      </c>
      <c r="L154" s="86" t="inlineStr">
        <is>
          <t>▼ Down · pay &amp; title protected</t>
        </is>
      </c>
      <c r="M154" s="12" t="inlineStr">
        <is>
          <t>CARBON · Support · Band B · Expert / POD Lead</t>
        </is>
      </c>
      <c r="N154" s="42" t="n">
        <v>4.5</v>
      </c>
      <c r="O154" s="42" t="n">
        <v>4.5</v>
      </c>
      <c r="P154" s="42" t="n">
        <v>4.5</v>
      </c>
      <c r="Q154" s="42" t="n">
        <v>3.5</v>
      </c>
      <c r="R154" s="42" t="n">
        <v>4.5</v>
      </c>
      <c r="S154" s="80" t="n">
        <v>5</v>
      </c>
      <c r="T154" s="81">
        <f>IF(OR($M154="",COUNT(N154,O154,P154,Q154,R154,S154)&lt;6),"",IFERROR(N154*INDEX(WM_C,MATCH($M154,WM_KEY,0))+O154*INDEX(WM_AU,MATCH($M154,WM_KEY,0))+P154*INDEX(WM_AC,MATCH($M154,WM_KEY,0))+Q154*INDEX(WM_L,MATCH($M154,WM_KEY,0))+R154*INDEX(WM_E,MATCH($M154,WM_KEY,0))+S154*INDEX(WM_BI,MATCH($M154,WM_KEY,0)),""))</f>
        <v>4.51</v>
      </c>
      <c r="U154" s="42" t="str">
        <f>IF(T154="","",INDEX({"A1","A2","A3","B1","B2","B3","C1","C2","D1","D2","E1","E2"},MAX(1,MIN(12,ROUND(T154,0)))))</f>
        <v>B2</v>
      </c>
      <c r="V154" s="12" t="inlineStr">
        <is>
          <r>
            <rPr>
              <rFont val="Calibri"/>
              <sz val="10"/>
            </rPr>
            <t xml:space="preserve">New level B2 · Senior Specialist. Current level on record: L5 – Manager. Change: ▼ Down · pay &amp; title protected.
Score 4.51 on the ladder scale → indicated level B2.
</t>
          </r>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154" s="12" t="inlineStr">
        <is>
          <r>
            <rPr>
              <rFont val="Calibri"/>
              <b val="1"/>
              <sz val="10"/>
            </rPr>
            <t>Complexity &amp; Expertise:</t>
          </r>
          <r>
            <rPr>
              <rFont val="Calibri"/>
              <sz val="10"/>
            </rPr>
            <t xml:space="preserve"> 4.5 of 12 · between B1 and B2 — Start: 5.0 · manager / senior specialist title; Evidence reads like A2: Listed duties are tracker updates and product self-help videos; basic finance knowledge → moved down 0.5; KRA: “Net Revenue Retention ≥100–105%​ Target ARR - to be achieved: INR 3000000 90% reach value milestone in 90 days​ Develop advocates…”
</t>
          </r>
          <r>
            <rPr>
              <rFont val="Calibri"/>
              <b val="1"/>
              <sz val="10"/>
            </rPr>
            <t>Autonomy &amp; Decision:</t>
          </r>
          <r>
            <rPr>
              <rFont val="Calibri"/>
              <sz val="10"/>
            </rPr>
            <t xml:space="preserve"> 4.5 of 12 · between B1 and B2 — Start: 5.0 · manager / senior specialist title; Evidence reads like A2: Decides independently only on product training material → moved down 0.5
</t>
          </r>
          <r>
            <rPr>
              <rFont val="Calibri"/>
              <b val="1"/>
              <sz val="10"/>
            </rPr>
            <t>Accountability &amp; Impact:</t>
          </r>
          <r>
            <rPr>
              <rFont val="Calibri"/>
              <sz val="10"/>
            </rPr>
            <t xml:space="preserve"> 4.5 of 12 · between B1 and B2 — Start: 5.0 · manager / senior specialist title; Evidence reads like B1: Account retention and renewal, invoicing and timely payment for own accounts → moved down 0.5; KRA: “Net Revenue Retention ≥100–105%​ Target ARR - to be achieved: INR 3000000 90% reach value milestone in 90 days​ Develop advocates…”
</t>
          </r>
          <r>
            <rPr>
              <rFont val="Calibri"/>
              <b val="1"/>
              <sz val="10"/>
            </rPr>
            <t>Leadership &amp; Strategy:</t>
          </r>
          <r>
            <rPr>
              <rFont val="Calibri"/>
              <sz val="10"/>
            </rPr>
            <t xml:space="preserve"> 3.5 of 12 · between A3 and B1 — Start: 4.0 · individual contributor, so influence only; Evidence reads like A1: No guidance of others described → moved down 0.5; Team: 0 direct reports · IC
</t>
          </r>
          <r>
            <rPr>
              <rFont val="Calibri"/>
              <b val="1"/>
              <sz val="10"/>
            </rPr>
            <t>Experience &amp; Qualification:</t>
          </r>
          <r>
            <rPr>
              <rFont val="Calibri"/>
              <sz val="10"/>
            </rPr>
            <t xml:space="preserve"> 4.5 of 12 · between B1 and B2 — Experience: 5.2 yrs total · 5.2 at IRIS; none recorded before IRIS = 3.9 on the experience scale; Qualification: MMS · postgraduate, relevant to the work → +0.5
</t>
          </r>
          <r>
            <rPr>
              <rFont val="Calibri"/>
              <b val="1"/>
              <sz val="10"/>
            </rPr>
            <t>Business Impact:</t>
          </r>
          <r>
            <rPr>
              <rFont val="Calibri"/>
              <sz val="10"/>
            </rPr>
            <t xml:space="preserve"> 5 of 12 — a starting estimate. —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r>
        </is>
      </c>
      <c r="X154" s="12" t="inlineStr">
        <is>
          <r>
            <rPr>
              <rFont val="Calibri"/>
              <b val="1"/>
              <sz val="10"/>
            </rPr>
            <t>Market level:</t>
          </r>
          <r>
            <rPr>
              <rFont val="Calibri"/>
              <sz val="10"/>
            </rPr>
            <t xml:space="preserve"> P4 / M3 · SFIA 4–5
</t>
          </r>
          <r>
            <rPr>
              <rFont val="Calibri"/>
              <b val="1"/>
              <sz val="10"/>
            </rPr>
            <t>Typical title:</t>
          </r>
          <r>
            <rPr>
              <rFont val="Calibri"/>
              <sz val="10"/>
            </rPr>
            <t xml:space="preserve"> Senior Executive / CSM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Y154" s="12" t="inlineStr">
        <is>
          <r>
            <rPr>
              <rFont val="Calibri"/>
              <sz val="10"/>
            </rPr>
            <t xml:space="preserve">✓ HRIS: 5.2 yrs, MMS,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154" s="82" t="inlineStr">
        <is>
          <r>
            <rPr>
              <rFont val="Calibri"/>
              <color rgb="009C5700"/>
              <sz val="10"/>
            </rPr>
            <t xml:space="preserve">• </t>
          </r>
          <r>
            <rPr>
              <rFont val="Calibri"/>
              <b val="1"/>
              <color rgb="009C5700"/>
              <sz val="10"/>
            </rPr>
            <t>Close call:</t>
          </r>
          <r>
            <rPr>
              <rFont val="Calibri"/>
              <color rgb="009C5700"/>
              <sz val="10"/>
            </rPr>
            <t xml:space="preserve"> score 4.51 is within 0.05 of a rounding point
• </t>
          </r>
          <r>
            <rPr>
              <rFont val="Calibri"/>
              <b val="1"/>
              <color rgb="009C5700"/>
              <sz val="10"/>
            </rPr>
            <t>Moves down:</t>
          </r>
          <r>
            <rPr>
              <rFont val="Calibri"/>
              <color rgb="009C5700"/>
              <sz val="10"/>
            </rPr>
            <t xml:space="preserve"> protected for one cycle
• </t>
          </r>
          <r>
            <rPr>
              <rFont val="Calibri"/>
              <b val="1"/>
              <color rgb="009C5700"/>
              <sz val="10"/>
            </rPr>
            <t>Title check:</t>
          </r>
          <r>
            <rPr>
              <rFont val="Calibri"/>
              <color rgb="009C5700"/>
              <sz val="10"/>
            </rPr>
            <t xml:space="preserve"> Check title against ladder</t>
          </r>
        </is>
      </c>
      <c r="AA154" s="12" t="inlineStr">
        <is>
          <t>Nothing outstanding</t>
        </is>
      </c>
      <c r="AB154"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From the survey and manager mapping — critical role: yes; successor named: yes.
Manager talent mapping — Latest rating: 4 · Potential: High · 9-Box Grid placement: Future Leader.</t>
          </r>
        </is>
      </c>
      <c r="AC154" s="84" t="n"/>
      <c r="AD154" s="84" t="n"/>
      <c r="AE154" s="84" t="n"/>
      <c r="AF154" s="12" t="n">
        <v>5</v>
      </c>
    </row>
    <row r="155" ht="400" customHeight="1">
      <c r="A155" s="12" t="inlineStr">
        <is>
          <t>IRIS0662</t>
        </is>
      </c>
      <c r="B155" s="10" t="inlineStr">
        <is>
          <t>Harshal Shah</t>
        </is>
      </c>
      <c r="C155" s="12" t="inlineStr">
        <is>
          <t>Support</t>
        </is>
      </c>
      <c r="D155" s="12" t="inlineStr">
        <is>
          <t>Support Lead</t>
        </is>
      </c>
      <c r="E155" s="85" t="inlineStr">
        <is>
          <t>Support Manager</t>
        </is>
      </c>
      <c r="F155" s="12" t="inlineStr">
        <is>
          <t>Customer Success &amp; Support</t>
        </is>
      </c>
      <c r="G155" s="12" t="inlineStr">
        <is>
          <t>Application &amp; Product Support</t>
        </is>
      </c>
      <c r="H155" s="12" t="inlineStr">
        <is>
          <t>People Manager</t>
        </is>
      </c>
      <c r="I155" s="42" t="inlineStr">
        <is>
          <t>L5 – Lead · IC</t>
        </is>
      </c>
      <c r="J155" s="20" t="inlineStr">
        <is>
          <t>B2</t>
        </is>
      </c>
      <c r="K155" s="21" t="inlineStr">
        <is>
          <t>Manager</t>
        </is>
      </c>
      <c r="L155" s="86" t="inlineStr">
        <is>
          <t>▼ Down · pay &amp; title protected</t>
        </is>
      </c>
      <c r="M155" s="12" t="inlineStr">
        <is>
          <t>CARBON · Support · Band B · People Manager</t>
        </is>
      </c>
      <c r="N155" s="42" t="n">
        <v>4</v>
      </c>
      <c r="O155" s="42" t="n">
        <v>4</v>
      </c>
      <c r="P155" s="42" t="n">
        <v>4</v>
      </c>
      <c r="Q155" s="42" t="n">
        <v>4</v>
      </c>
      <c r="R155" s="42" t="n">
        <v>8.5</v>
      </c>
      <c r="S155" s="80" t="n">
        <v>5</v>
      </c>
      <c r="T155" s="81">
        <f>IF(OR($M155="",COUNT(N155,O155,P155,Q155,R155,S155)&lt;6),"",IFERROR(N155*INDEX(WM_C,MATCH($M155,WM_KEY,0))+O155*INDEX(WM_AU,MATCH($M155,WM_KEY,0))+P155*INDEX(WM_AC,MATCH($M155,WM_KEY,0))+Q155*INDEX(WM_L,MATCH($M155,WM_KEY,0))+R155*INDEX(WM_E,MATCH($M155,WM_KEY,0))+S155*INDEX(WM_BI,MATCH($M155,WM_KEY,0)),""))</f>
        <v>4.59</v>
      </c>
      <c r="U155" s="42" t="str">
        <f>IF(T155="","",INDEX({"A1","A2","A3","B1","B2","B3","C1","C2","D1","D2","E1","E2"},MAX(1,MIN(12,ROUND(T155,0)))))</f>
        <v>B2</v>
      </c>
      <c r="V155" s="12" t="inlineStr">
        <is>
          <r>
            <rPr>
              <rFont val="Calibri"/>
              <sz val="10"/>
            </rPr>
            <t xml:space="preserve">New level B2 · Manager. Current level on record: L5 – Lead · IC. Change: ▼ Down · pay &amp; title protected.
Score 4.59 on the ladder scale → indicated level B2.
</t>
          </r>
          <r>
            <rPr>
              <rFont val="Calibri"/>
              <b val="1"/>
              <sz val="10"/>
            </rPr>
            <t>Weights:</t>
          </r>
          <r>
            <rPr>
              <rFont val="Calibri"/>
              <sz val="10"/>
            </rPr>
            <t xml:space="preserve"> Complexity 32% · Autonomy 18% · Leadership 15% · Business impact 14% · Accountability 11% · Experience 10%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155" s="12" t="inlineStr">
        <is>
          <r>
            <rPr>
              <rFont val="Calibri"/>
              <b val="1"/>
              <sz val="10"/>
            </rPr>
            <t>Complexity &amp; Expertise:</t>
          </r>
          <r>
            <rPr>
              <rFont val="Calibri"/>
              <sz val="10"/>
            </rPr>
            <t xml:space="preserve"> 4 of 12 — Start: 4.0 · lead / specialist title; Evidence reads like B1: Domain support and critical escalations; ensures regulatory filings are accurate and on time → matches the start; KRA: “• Maintain an average First Response Time · FRT of &lt; 30 minutes for all inbound tickets. • Achieve ≥ 80% First Contact Resolution · FCR…”
</t>
          </r>
          <r>
            <rPr>
              <rFont val="Calibri"/>
              <b val="1"/>
              <sz val="10"/>
            </rPr>
            <t>Autonomy &amp; Decision:</t>
          </r>
          <r>
            <rPr>
              <rFont val="Calibri"/>
              <sz val="10"/>
            </rPr>
            <t xml:space="preserve"> 4 of 12 — Start: 4.0 · lead / specialist title; Evidence reads like B1: Decides priorities, coordinates other teams, makes calls on escalations for the team → matches the start
</t>
          </r>
          <r>
            <rPr>
              <rFont val="Calibri"/>
              <b val="1"/>
              <sz val="10"/>
            </rPr>
            <t>Accountability &amp; Impact:</t>
          </r>
          <r>
            <rPr>
              <rFont val="Calibri"/>
              <sz val="10"/>
            </rPr>
            <t xml:space="preserve"> 4 of 12 — Start: 4.0 · lead / specialist title; 4 direct reports, 7 people below, 1 of them leads a team; Evidence reads like B1: Fully responsible for resolutions and customer communication; manages a four-person team → matches the start; KRA: “• Maintain an average First Response Time · FRT of &lt; 30 minutes for all inbound tickets. • Achieve ≥ 80% First Contact Resolution · FCR…”
</t>
          </r>
          <r>
            <rPr>
              <rFont val="Calibri"/>
              <b val="1"/>
              <sz val="10"/>
            </rPr>
            <t>Leadership &amp; Strategy:</t>
          </r>
          <r>
            <rPr>
              <rFont val="Calibri"/>
              <sz val="10"/>
            </rPr>
            <t xml:space="preserve"> 4 of 12 — Start: 4.0; Evidence reads like B1: States he manages the team and handles its escalations; four reports → matches the start; Team: 4 direct reports · People Manager
</t>
          </r>
          <r>
            <rPr>
              <rFont val="Calibri"/>
              <b val="1"/>
              <sz val="10"/>
            </rPr>
            <t>Experience &amp; Qualification:</t>
          </r>
          <r>
            <rPr>
              <rFont val="Calibri"/>
              <sz val="10"/>
            </rPr>
            <t xml:space="preserve"> 8.5 of 12 · between C2 and D1 — Experience: 15.3 yrs total · 15.3 at IRIS; none recorded before IRIS = 8.3 on the experience scale; Qualification: B.Com · graduate → no change
</t>
          </r>
          <r>
            <rPr>
              <rFont val="Calibri"/>
              <b val="1"/>
              <sz val="10"/>
            </rPr>
            <t>Business Impact:</t>
          </r>
          <r>
            <rPr>
              <rFont val="Calibri"/>
              <sz val="10"/>
            </rPr>
            <t xml:space="preserve"> 5 of 12 — a starting estimate. — Start: 4, the role's accountability scope — what it answers for.; Moved +1: the survey / manager mapping marks it business-critical and it does work no one else does.; Managers and heads: overwrite this rating on the Weightage sheet with the business impact you see — the score updates at once.; Ladder: B2 = Visible effect on a team's or client portfolio's revenue, quality or compliance</t>
          </r>
        </is>
      </c>
      <c r="X155" s="12" t="inlineStr">
        <is>
          <r>
            <rPr>
              <rFont val="Calibri"/>
              <b val="1"/>
              <sz val="10"/>
            </rPr>
            <t>Market level:</t>
          </r>
          <r>
            <rPr>
              <rFont val="Calibri"/>
              <sz val="10"/>
            </rPr>
            <t xml:space="preserve"> P4 / M3 · SFIA 4–5
</t>
          </r>
          <r>
            <rPr>
              <rFont val="Calibri"/>
              <b val="1"/>
              <sz val="10"/>
            </rPr>
            <t>Typical title:</t>
          </r>
          <r>
            <rPr>
              <rFont val="Calibri"/>
              <sz val="10"/>
            </rPr>
            <t xml:space="preserve"> Manager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Y155" s="12" t="inlineStr">
        <is>
          <r>
            <rPr>
              <rFont val="Calibri"/>
              <sz val="10"/>
            </rPr>
            <t xml:space="preserve">✓ HRIS: 15.3 yrs, B.Com, 4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155" s="82" t="inlineStr">
        <is>
          <r>
            <rPr>
              <rFont val="Calibri"/>
              <color rgb="009C5700"/>
              <sz val="10"/>
            </rPr>
            <t xml:space="preserve">• </t>
          </r>
          <r>
            <rPr>
              <rFont val="Calibri"/>
              <b val="1"/>
              <color rgb="009C5700"/>
              <sz val="10"/>
            </rPr>
            <t>Moves down:</t>
          </r>
          <r>
            <rPr>
              <rFont val="Calibri"/>
              <color rgb="009C5700"/>
              <sz val="10"/>
            </rPr>
            <t xml:space="preserve"> protected for one cycle</t>
          </r>
        </is>
      </c>
      <c r="AA155" s="12" t="inlineStr">
        <is>
          <t>Nothing outstanding</t>
        </is>
      </c>
      <c r="AB155"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 of 12 · B1-level impact.
Leads 4 direct reports.
From the survey and manager mapping — critical role: yes; work only this person does: yes; successor named: yes.
</t>
          </r>
          <r>
            <rPr>
              <rFont val="Calibri"/>
              <b val="1"/>
              <sz val="10"/>
            </rPr>
            <t>If the work is missed · role-holders' themes:</t>
          </r>
          <r>
            <rPr>
              <rFont val="Calibri"/>
              <sz val="10"/>
            </rPr>
            <t xml:space="preserve"> customer · rework · client · delays · incorrect.
Manager talent mapping — Latest rating: 4 · Potential: Medium · 9-Box Grid placement: High Impact / Growth Talent.</t>
          </r>
        </is>
      </c>
      <c r="AC155" s="84" t="n"/>
      <c r="AD155" s="84" t="n"/>
      <c r="AE155" s="84" t="n"/>
      <c r="AF155" s="12" t="n">
        <v>5</v>
      </c>
    </row>
    <row r="156" ht="400" customHeight="1">
      <c r="A156" s="12" t="inlineStr">
        <is>
          <t>IRIS1963</t>
        </is>
      </c>
      <c r="B156" s="10" t="inlineStr">
        <is>
          <t>Neha Gajbhiye</t>
        </is>
      </c>
      <c r="C156" s="12" t="inlineStr">
        <is>
          <t>Support</t>
        </is>
      </c>
      <c r="D156" s="12" t="inlineStr">
        <is>
          <t>Manager- Customer Engagement</t>
        </is>
      </c>
      <c r="E156" s="85" t="inlineStr">
        <is>
          <t>Senior Customer Success Specialist – POD Lead</t>
        </is>
      </c>
      <c r="F156" s="12" t="inlineStr">
        <is>
          <t>Customer Success &amp; Support</t>
        </is>
      </c>
      <c r="G156" s="12" t="inlineStr">
        <is>
          <t>Customer Success &amp; Account Management</t>
        </is>
      </c>
      <c r="H156" s="12" t="inlineStr">
        <is>
          <t>POD Lead</t>
        </is>
      </c>
      <c r="I156" s="42" t="inlineStr">
        <is>
          <t>L5 – Manager</t>
        </is>
      </c>
      <c r="J156" s="20" t="inlineStr">
        <is>
          <t>B2</t>
        </is>
      </c>
      <c r="K156" s="21" t="inlineStr">
        <is>
          <t>Senior Specialist · POD Lead</t>
        </is>
      </c>
      <c r="L156" s="88" t="inlineStr">
        <is>
          <t>• Same level</t>
        </is>
      </c>
      <c r="M156" s="12" t="inlineStr">
        <is>
          <t>CARBON · Support · Band B · Expert / POD Lead</t>
        </is>
      </c>
      <c r="N156" s="42" t="n">
        <v>4</v>
      </c>
      <c r="O156" s="42" t="n">
        <v>4</v>
      </c>
      <c r="P156" s="42" t="n">
        <v>4.5</v>
      </c>
      <c r="Q156" s="42" t="n">
        <v>3</v>
      </c>
      <c r="R156" s="42" t="n">
        <v>9</v>
      </c>
      <c r="S156" s="80" t="n">
        <v>5</v>
      </c>
      <c r="T156" s="81">
        <f>IF(OR($M156="",COUNT(N156,O156,P156,Q156,R156,S156)&lt;6),"",IFERROR(N156*INDEX(WM_C,MATCH($M156,WM_KEY,0))+O156*INDEX(WM_AU,MATCH($M156,WM_KEY,0))+P156*INDEX(WM_AC,MATCH($M156,WM_KEY,0))+Q156*INDEX(WM_L,MATCH($M156,WM_KEY,0))+R156*INDEX(WM_E,MATCH($M156,WM_KEY,0))+S156*INDEX(WM_BI,MATCH($M156,WM_KEY,0)),""))</f>
        <v>4.62</v>
      </c>
      <c r="U156" s="42" t="str">
        <f>IF(T156="","",INDEX({"A1","A2","A3","B1","B2","B3","C1","C2","D1","D2","E1","E2"},MAX(1,MIN(12,ROUND(T156,0)))))</f>
        <v>B2</v>
      </c>
      <c r="V156" s="12" t="inlineStr">
        <is>
          <r>
            <rPr>
              <rFont val="Calibri"/>
              <sz val="10"/>
            </rPr>
            <t xml:space="preserve">New level B2 · Senior Specialist · POD Lead. Current level on record: L5 – Manager. Change: • Same level.
Score 4.62 on the ladder scale → indicated level B2.
</t>
          </r>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6" s="12" t="inlineStr">
        <is>
          <r>
            <rPr>
              <rFont val="Calibri"/>
              <b val="1"/>
              <sz val="10"/>
            </rPr>
            <t>Complexity &amp; Expertise:</t>
          </r>
          <r>
            <rPr>
              <rFont val="Calibri"/>
              <sz val="10"/>
            </rPr>
            <t xml:space="preserve"> 4 of 12 — Start: 5.0 · manager / senior specialist title; Evidence reads like A3: own survey / KRA answers · summarised by the rater; not quoted → moved down 1; KRA: “Net Revenue Retention ≥100–105%​ Target ARR - to be achieved: INR 1700000 90% reach value milestone in 90 days​ Develop advocates…”
</t>
          </r>
          <r>
            <rPr>
              <rFont val="Calibri"/>
              <b val="1"/>
              <sz val="10"/>
            </rPr>
            <t>Autonomy &amp; Decision:</t>
          </r>
          <r>
            <rPr>
              <rFont val="Calibri"/>
              <sz val="10"/>
            </rPr>
            <t xml:space="preserve"> 4 of 12 — Start: 5.0 · manager / senior specialist title; Evidence reads like A2: States can decide independently on 'trainings only' → moved down 1
</t>
          </r>
          <r>
            <rPr>
              <rFont val="Calibri"/>
              <b val="1"/>
              <sz val="10"/>
            </rPr>
            <t>Accountability &amp; Impact:</t>
          </r>
          <r>
            <rPr>
              <rFont val="Calibri"/>
              <sz val="10"/>
            </rPr>
            <t xml:space="preserve"> 4.5 of 12 · between B1 and B2 — Start: 4.2 · manager / senior specialist title; 1 direct report; Evidence reads like B2: Renewals, upsell, cross-sell, outstanding payments and NPS/CSAT across multi-country accounts → moved up 0.2; KRA: “Net Revenue Retention ≥100–105%​ Target ARR - to be achieved: INR 1700000 90% reach value milestone in 90 days​ Develop advocates…”
</t>
          </r>
          <r>
            <rPr>
              <rFont val="Calibri"/>
              <b val="1"/>
              <sz val="10"/>
            </rPr>
            <t>Leadership &amp; Strategy:</t>
          </r>
          <r>
            <rPr>
              <rFont val="Calibri"/>
              <sz val="10"/>
            </rPr>
            <t xml:space="preserve"> 3 of 12 — Start: 4.0; Evidence reads like A1: No guidance described despite one report → moved down 1; Team: 1 direct report · POD Lead
</t>
          </r>
          <r>
            <rPr>
              <rFont val="Calibri"/>
              <b val="1"/>
              <sz val="10"/>
            </rPr>
            <t>Experience &amp; Qualification:</t>
          </r>
          <r>
            <rPr>
              <rFont val="Calibri"/>
              <sz val="10"/>
            </rPr>
            <t xml:space="preserve"> 9 of 12 — Experience: 16.2 yrs total · 11.3 before IRIS + 4.9 at IRIS = 8.6 on the experience scale; Qualification: MBA · postgraduate, relevant to the work → +0.5
</t>
          </r>
          <r>
            <rPr>
              <rFont val="Calibri"/>
              <b val="1"/>
              <sz val="10"/>
            </rPr>
            <t>Business Impact:</t>
          </r>
          <r>
            <rPr>
              <rFont val="Calibri"/>
              <sz val="10"/>
            </rPr>
            <t xml:space="preserve"> 5 of 12 — a starting estimate. —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r>
        </is>
      </c>
      <c r="X156" s="12" t="inlineStr">
        <is>
          <r>
            <rPr>
              <rFont val="Calibri"/>
              <b val="1"/>
              <sz val="10"/>
            </rPr>
            <t>Market level:</t>
          </r>
          <r>
            <rPr>
              <rFont val="Calibri"/>
              <sz val="10"/>
            </rPr>
            <t xml:space="preserve"> P4 / M3 · SFIA 4–5
</t>
          </r>
          <r>
            <rPr>
              <rFont val="Calibri"/>
              <b val="1"/>
              <sz val="10"/>
            </rPr>
            <t>Typical title:</t>
          </r>
          <r>
            <rPr>
              <rFont val="Calibri"/>
              <sz val="10"/>
            </rPr>
            <t xml:space="preserve"> Senior CSM / Support Specialist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Y156" s="12" t="inlineStr">
        <is>
          <r>
            <rPr>
              <rFont val="Calibri"/>
              <sz val="10"/>
            </rPr>
            <t xml:space="preserve">✓ HRIS: 16.2 yrs, MBA, 1 direct report
✓ Survey: 20 of 20 questions answered
✓ KRAs: submitted, reported deliverables
✓ Manager mapping: rating, potential, 9-box
✓ Job description
</t>
          </r>
          <r>
            <rPr>
              <rFont val="Calibri"/>
              <b val="1"/>
              <sz val="10"/>
            </rPr>
            <t>Confidence:</t>
          </r>
          <r>
            <rPr>
              <rFont val="Calibri"/>
              <sz val="10"/>
            </rPr>
            <t xml:space="preserve"> High</t>
          </r>
        </is>
      </c>
      <c r="Z156" s="12" t="inlineStr">
        <is>
          <t>—</t>
        </is>
      </c>
      <c r="AA156" s="12" t="inlineStr">
        <is>
          <t>Nothing outstanding</t>
        </is>
      </c>
      <c r="AB156"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1 direct report.
From the survey and manager mapping — critical role: yes; successor named: yes.
Manager talent mapping — Latest rating: 4 · Potential: High · 9-Box Grid placement: High Impact / Growth Talent.</t>
          </r>
        </is>
      </c>
      <c r="AC156" s="84" t="n"/>
      <c r="AD156" s="84" t="n"/>
      <c r="AE156" s="84" t="n"/>
      <c r="AF156" s="12" t="n">
        <v>5</v>
      </c>
    </row>
    <row r="157" ht="400" customHeight="1">
      <c r="A157" s="12" t="inlineStr">
        <is>
          <t>IRIS1959</t>
        </is>
      </c>
      <c r="B157" s="10" t="inlineStr">
        <is>
          <t>Praveen Kumar Rajpurohit</t>
        </is>
      </c>
      <c r="C157" s="12" t="inlineStr">
        <is>
          <t>Support</t>
        </is>
      </c>
      <c r="D157" s="12" t="inlineStr">
        <is>
          <t>Manager- Customer Engagement</t>
        </is>
      </c>
      <c r="E157" s="85" t="inlineStr">
        <is>
          <t>Senior Customer Success Specialist</t>
        </is>
      </c>
      <c r="F157" s="12" t="inlineStr">
        <is>
          <t>Customer Success &amp; Support</t>
        </is>
      </c>
      <c r="G157" s="12" t="inlineStr">
        <is>
          <t>Customer Success &amp; Account Management</t>
        </is>
      </c>
      <c r="H157" s="12" t="inlineStr">
        <is>
          <t>IC</t>
        </is>
      </c>
      <c r="I157" s="42" t="inlineStr">
        <is>
          <t>L5 – Manager</t>
        </is>
      </c>
      <c r="J157" s="20" t="inlineStr">
        <is>
          <t>B2</t>
        </is>
      </c>
      <c r="K157" s="21" t="inlineStr">
        <is>
          <t>Senior Specialist</t>
        </is>
      </c>
      <c r="L157" s="88" t="inlineStr">
        <is>
          <t>• Same level</t>
        </is>
      </c>
      <c r="M157" s="12" t="inlineStr">
        <is>
          <t>CARBON · Support · Band B · Expert / POD Lead</t>
        </is>
      </c>
      <c r="N157" s="42" t="n">
        <v>4</v>
      </c>
      <c r="O157" s="42" t="n">
        <v>4</v>
      </c>
      <c r="P157" s="42" t="n">
        <v>5</v>
      </c>
      <c r="Q157" s="42" t="n">
        <v>3</v>
      </c>
      <c r="R157" s="42" t="n">
        <v>8.5</v>
      </c>
      <c r="S157" s="80" t="n">
        <v>5.5</v>
      </c>
      <c r="T157" s="81">
        <f>IF(OR($M157="",COUNT(N157,O157,P157,Q157,R157,S157)&lt;6),"",IFERROR(N157*INDEX(WM_C,MATCH($M157,WM_KEY,0))+O157*INDEX(WM_AU,MATCH($M157,WM_KEY,0))+P157*INDEX(WM_AC,MATCH($M157,WM_KEY,0))+Q157*INDEX(WM_L,MATCH($M157,WM_KEY,0))+R157*INDEX(WM_E,MATCH($M157,WM_KEY,0))+S157*INDEX(WM_BI,MATCH($M157,WM_KEY,0)),""))</f>
        <v>4.68</v>
      </c>
      <c r="U157" s="42" t="str">
        <f>IF(T157="","",INDEX({"A1","A2","A3","B1","B2","B3","C1","C2","D1","D2","E1","E2"},MAX(1,MIN(12,ROUND(T157,0)))))</f>
        <v>B2</v>
      </c>
      <c r="V157" s="12" t="inlineStr">
        <is>
          <r>
            <rPr>
              <rFont val="Calibri"/>
              <sz val="10"/>
            </rPr>
            <t xml:space="preserve">New level B2 · Senior Specialist. Current level on record: L5 – Manager. Change: • Same level.
Score 4.68 on the ladder scale → indicated level B2.
</t>
          </r>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7" s="12" t="inlineStr">
        <is>
          <r>
            <rPr>
              <rFont val="Calibri"/>
              <b val="1"/>
              <sz val="10"/>
            </rPr>
            <t>Complexity &amp; Expertise:</t>
          </r>
          <r>
            <rPr>
              <rFont val="Calibri"/>
              <sz val="10"/>
            </rPr>
            <t xml:space="preserve"> 4 of 12 — Start: 5.0 · manager / senior specialist title; Evidence reads like A3: Manages EU clients' ESEF filings on DM platform; product testing, client training, demos → moved down 1; KRA: “Net Revenue Retention ≥100–105%​ Target ARR - to be achieved: INR 50,00,000 90% reach value milestone in 90 days​ Develop advocates…”
</t>
          </r>
          <r>
            <rPr>
              <rFont val="Calibri"/>
              <b val="1"/>
              <sz val="10"/>
            </rPr>
            <t>Autonomy &amp; Decision:</t>
          </r>
          <r>
            <rPr>
              <rFont val="Calibri"/>
              <sz val="10"/>
            </rPr>
            <t xml:space="preserve"> 4 of 12 — Start: 5.0 · manager / senior specialist title; Evidence reads like A2: Decides independently on client query handling only → moved down 1
</t>
          </r>
          <r>
            <rPr>
              <rFont val="Calibri"/>
              <b val="1"/>
              <sz val="10"/>
            </rPr>
            <t>Accountability &amp; Impact:</t>
          </r>
          <r>
            <rPr>
              <rFont val="Calibri"/>
              <sz val="10"/>
            </rPr>
            <t xml:space="preserve"> 5 of 12 — Start: 5.0 · manager / senior specialist title; Evidence reads like B2: EU client portfolios: timely ESEF filings, retention, renewals, cross-sell and upsell → matches the start; KRA: “Net Revenue Retention ≥100–105%​ Target ARR - to be achieved: INR 50,00,000 90% reach value milestone in 90 days​ Develop advocates…”
</t>
          </r>
          <r>
            <rPr>
              <rFont val="Calibri"/>
              <b val="1"/>
              <sz val="10"/>
            </rPr>
            <t>Leadership &amp; Strategy:</t>
          </r>
          <r>
            <rPr>
              <rFont val="Calibri"/>
              <sz val="10"/>
            </rPr>
            <t xml:space="preserve"> 3 of 12 — Start: 4.0 · individual contributor, so influence only; Evidence reads like A1: Trains clients; no internal guidance described → moved down 1; Team: 0 direct reports · IC
</t>
          </r>
          <r>
            <rPr>
              <rFont val="Calibri"/>
              <b val="1"/>
              <sz val="10"/>
            </rPr>
            <t>Experience &amp; Qualification:</t>
          </r>
          <r>
            <rPr>
              <rFont val="Calibri"/>
              <sz val="10"/>
            </rPr>
            <t xml:space="preserve"> 8.5 of 12 · between C2 and D1 — Experience: 14.6 yrs total · 9.6 before IRIS + 5.0 at IRIS = 8.0 on the experience scale; Qualification: MBA · postgraduate, relevant to the work → +0.5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157" s="12" t="inlineStr">
        <is>
          <r>
            <rPr>
              <rFont val="Calibri"/>
              <b val="1"/>
              <sz val="10"/>
            </rPr>
            <t>Market level:</t>
          </r>
          <r>
            <rPr>
              <rFont val="Calibri"/>
              <sz val="10"/>
            </rPr>
            <t xml:space="preserve"> P4 / M3 · SFIA 4–5
</t>
          </r>
          <r>
            <rPr>
              <rFont val="Calibri"/>
              <b val="1"/>
              <sz val="10"/>
            </rPr>
            <t>Typical title:</t>
          </r>
          <r>
            <rPr>
              <rFont val="Calibri"/>
              <sz val="10"/>
            </rPr>
            <t xml:space="preserve"> Senior CSM / Support Specialist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Y157" s="12" t="inlineStr">
        <is>
          <r>
            <rPr>
              <rFont val="Calibri"/>
              <sz val="10"/>
            </rPr>
            <t xml:space="preserve">✓ HRIS: 14.6 yrs, MBA,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157" s="12" t="inlineStr">
        <is>
          <t>—</t>
        </is>
      </c>
      <c r="AA157" s="12" t="inlineStr">
        <is>
          <t>Nothing outstanding</t>
        </is>
      </c>
      <c r="AB157"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yes.
Manager talent mapping — Latest rating: 3 · Potential: Medium · 9-Box Grid placement: Core Contributor.</t>
          </r>
        </is>
      </c>
      <c r="AC157" s="84" t="n"/>
      <c r="AD157" s="84" t="n"/>
      <c r="AE157" s="84" t="n"/>
      <c r="AF157" s="12" t="n">
        <v>5.5</v>
      </c>
    </row>
    <row r="158" ht="400" customHeight="1">
      <c r="A158" s="12" t="inlineStr">
        <is>
          <t>IRIS1967</t>
        </is>
      </c>
      <c r="B158" s="10" t="inlineStr">
        <is>
          <t>Pritam Agarwal</t>
        </is>
      </c>
      <c r="C158" s="12" t="inlineStr">
        <is>
          <t>Support</t>
        </is>
      </c>
      <c r="D158" s="12" t="inlineStr">
        <is>
          <t>Manager- Customer Engagement</t>
        </is>
      </c>
      <c r="E158" s="85" t="inlineStr">
        <is>
          <t>Senior Customer Success Specialist</t>
        </is>
      </c>
      <c r="F158" s="12" t="inlineStr">
        <is>
          <t>Customer Success &amp; Support</t>
        </is>
      </c>
      <c r="G158" s="12" t="inlineStr">
        <is>
          <t>Customer Success &amp; Account Management</t>
        </is>
      </c>
      <c r="H158" s="12" t="inlineStr">
        <is>
          <t>IC</t>
        </is>
      </c>
      <c r="I158" s="42" t="inlineStr">
        <is>
          <t>L5 – Manager</t>
        </is>
      </c>
      <c r="J158" s="20" t="inlineStr">
        <is>
          <t>B2</t>
        </is>
      </c>
      <c r="K158" s="21" t="inlineStr">
        <is>
          <t>Senior Specialist</t>
        </is>
      </c>
      <c r="L158" s="88" t="inlineStr">
        <is>
          <t>• Same level</t>
        </is>
      </c>
      <c r="M158" s="12" t="inlineStr">
        <is>
          <t>CARBON · Support · Band B · Expert / POD Lead</t>
        </is>
      </c>
      <c r="N158" s="42" t="n">
        <v>4.5</v>
      </c>
      <c r="O158" s="42" t="n">
        <v>4.5</v>
      </c>
      <c r="P158" s="42" t="n">
        <v>4.5</v>
      </c>
      <c r="Q158" s="42" t="n">
        <v>3.5</v>
      </c>
      <c r="R158" s="42" t="n">
        <v>10</v>
      </c>
      <c r="S158" s="80" t="n">
        <v>5</v>
      </c>
      <c r="T158" s="81">
        <f>IF(OR($M158="",COUNT(N158,O158,P158,Q158,R158,S158)&lt;6),"",IFERROR(N158*INDEX(WM_C,MATCH($M158,WM_KEY,0))+O158*INDEX(WM_AU,MATCH($M158,WM_KEY,0))+P158*INDEX(WM_AC,MATCH($M158,WM_KEY,0))+Q158*INDEX(WM_L,MATCH($M158,WM_KEY,0))+R158*INDEX(WM_E,MATCH($M158,WM_KEY,0))+S158*INDEX(WM_BI,MATCH($M158,WM_KEY,0)),""))</f>
        <v>5.06</v>
      </c>
      <c r="U158" s="42" t="str">
        <f>IF(T158="","",INDEX({"A1","A2","A3","B1","B2","B3","C1","C2","D1","D2","E1","E2"},MAX(1,MIN(12,ROUND(T158,0)))))</f>
        <v>B2</v>
      </c>
      <c r="V158" s="12" t="inlineStr">
        <is>
          <r>
            <rPr>
              <rFont val="Calibri"/>
              <sz val="10"/>
            </rPr>
            <t xml:space="preserve">New level B2 · Senior Specialist. Current level on record: L5 – Manager. Change: • Same level.
Score 5.06 on the ladder scale → indicated level B2.
</t>
          </r>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8" s="12" t="inlineStr">
        <is>
          <r>
            <rPr>
              <rFont val="Calibri"/>
              <b val="1"/>
              <sz val="10"/>
            </rPr>
            <t>Complexity &amp; Expertise:</t>
          </r>
          <r>
            <rPr>
              <rFont val="Calibri"/>
              <sz val="10"/>
            </rPr>
            <t xml:space="preserve"> 4.5 of 12 · between B1 and B2 — Start: 5.0 · manager / senior specialist title; Evidence reads like A2: Client communication, sharing ESEF files and HubSpot updates; skills cited are email drafting → moved down 0.5; KRA: “Net Revenue Retention ≥100–105%​ Target ARR - to be achieved: INR 30,00,000 90% reach value milestone in 90 days​ Develop advocates…”
</t>
          </r>
          <r>
            <rPr>
              <rFont val="Calibri"/>
              <b val="1"/>
              <sz val="10"/>
            </rPr>
            <t>Autonomy &amp; Decision:</t>
          </r>
          <r>
            <rPr>
              <rFont val="Calibri"/>
              <sz val="10"/>
            </rPr>
            <t xml:space="preserve"> 4.5 of 12 · between B1 and B2 — Start: 5.0 · manager / senior specialist title; Evidence reads like A1: States decides 'none of the activity' independently → moved down 0.5
</t>
          </r>
          <r>
            <rPr>
              <rFont val="Calibri"/>
              <b val="1"/>
              <sz val="10"/>
            </rPr>
            <t>Accountability &amp; Impact:</t>
          </r>
          <r>
            <rPr>
              <rFont val="Calibri"/>
              <sz val="10"/>
            </rPr>
            <t xml:space="preserve"> 4.5 of 12 · between B1 and B2 — Start: 5.0 · manager / senior specialist title; Evidence reads like B1: CSAT, NPS, logo retention and new business for own Germany/Netherlands accounts → moved down 0.5; KRA: “Net Revenue Retention ≥100–105%​ Target ARR - to be achieved: INR 30,00,000 90% reach value milestone in 90 days​ Develop advocates…”
</t>
          </r>
          <r>
            <rPr>
              <rFont val="Calibri"/>
              <b val="1"/>
              <sz val="10"/>
            </rPr>
            <t>Leadership &amp; Strategy:</t>
          </r>
          <r>
            <rPr>
              <rFont val="Calibri"/>
              <sz val="10"/>
            </rPr>
            <t xml:space="preserve"> 3.5 of 12 · between A3 and B1 — Start: 4.0 · individual contributor, so influence only; Evidence reads like A1: No guidance of others described → moved down 0.5; Team: 0 direct reports · IC
</t>
          </r>
          <r>
            <rPr>
              <rFont val="Calibri"/>
              <b val="1"/>
              <sz val="10"/>
            </rPr>
            <t>Experience &amp; Qualification:</t>
          </r>
          <r>
            <rPr>
              <rFont val="Calibri"/>
              <sz val="10"/>
            </rPr>
            <t xml:space="preserve"> 10 of 12 — Experience: 20.1 yrs total · 15.3 before IRIS + 4.8 at IRIS = 9.7 on the experience scale; Qualification: PGDM · postgraduate, relevant to the work → +0.5
</t>
          </r>
          <r>
            <rPr>
              <rFont val="Calibri"/>
              <b val="1"/>
              <sz val="10"/>
            </rPr>
            <t>Business Impact:</t>
          </r>
          <r>
            <rPr>
              <rFont val="Calibri"/>
              <sz val="10"/>
            </rPr>
            <t xml:space="preserve"> 5 of 12 — a starting estimate. —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r>
        </is>
      </c>
      <c r="X158" s="12" t="inlineStr">
        <is>
          <r>
            <rPr>
              <rFont val="Calibri"/>
              <b val="1"/>
              <sz val="10"/>
            </rPr>
            <t>Market level:</t>
          </r>
          <r>
            <rPr>
              <rFont val="Calibri"/>
              <sz val="10"/>
            </rPr>
            <t xml:space="preserve"> P4 / M3 · SFIA 4–5
</t>
          </r>
          <r>
            <rPr>
              <rFont val="Calibri"/>
              <b val="1"/>
              <sz val="10"/>
            </rPr>
            <t>Typical title:</t>
          </r>
          <r>
            <rPr>
              <rFont val="Calibri"/>
              <sz val="10"/>
            </rPr>
            <t xml:space="preserve"> Senior CSM / Support Specialist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Y158" s="12" t="inlineStr">
        <is>
          <r>
            <rPr>
              <rFont val="Calibri"/>
              <sz val="10"/>
            </rPr>
            <t xml:space="preserve">✓ HRIS: 20.1 yrs, PGDM,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158" s="12" t="inlineStr">
        <is>
          <t>—</t>
        </is>
      </c>
      <c r="AA158" s="12" t="inlineStr">
        <is>
          <t>Nothing outstanding</t>
        </is>
      </c>
      <c r="AB158"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From the survey and manager mapping — critical role: yes; successor named: yes.
Manager talent mapping — Latest rating: 2 · Potential: Medium · 9-Box Grid placement: Core Contributor.</t>
          </r>
        </is>
      </c>
      <c r="AC158" s="84" t="n"/>
      <c r="AD158" s="84" t="n"/>
      <c r="AE158" s="84" t="n"/>
      <c r="AF158" s="12" t="n">
        <v>5</v>
      </c>
    </row>
    <row r="159" ht="400" customHeight="1">
      <c r="A159" s="12" t="inlineStr">
        <is>
          <t>IRIS1911</t>
        </is>
      </c>
      <c r="B159" s="10" t="inlineStr">
        <is>
          <t>Varun Bubna</t>
        </is>
      </c>
      <c r="C159" s="12" t="inlineStr">
        <is>
          <t>Support</t>
        </is>
      </c>
      <c r="D159" s="12" t="inlineStr">
        <is>
          <t>Customer Success Manager</t>
        </is>
      </c>
      <c r="E159" s="85" t="inlineStr">
        <is>
          <t>Senior Customer Success Specialist</t>
        </is>
      </c>
      <c r="F159" s="12" t="inlineStr">
        <is>
          <t>Customer Success &amp; Support</t>
        </is>
      </c>
      <c r="G159" s="12" t="inlineStr">
        <is>
          <t>Customer Success &amp; Account Management</t>
        </is>
      </c>
      <c r="H159" s="12" t="inlineStr">
        <is>
          <t>IC</t>
        </is>
      </c>
      <c r="I159" s="42" t="inlineStr">
        <is>
          <t>L5 – Manager</t>
        </is>
      </c>
      <c r="J159" s="20" t="inlineStr">
        <is>
          <t>B2</t>
        </is>
      </c>
      <c r="K159" s="21" t="inlineStr">
        <is>
          <t>Senior Specialist</t>
        </is>
      </c>
      <c r="L159" s="88" t="inlineStr">
        <is>
          <t>• Same level</t>
        </is>
      </c>
      <c r="M159" s="12" t="inlineStr">
        <is>
          <t>CARBON · Support · Band B · Expert / POD Lead</t>
        </is>
      </c>
      <c r="N159" s="42" t="n">
        <v>4.5</v>
      </c>
      <c r="O159" s="42" t="n">
        <v>4</v>
      </c>
      <c r="P159" s="42" t="n">
        <v>5</v>
      </c>
      <c r="Q159" s="42" t="n">
        <v>3</v>
      </c>
      <c r="R159" s="42" t="n">
        <v>5</v>
      </c>
      <c r="S159" s="80" t="n">
        <v>5</v>
      </c>
      <c r="T159" s="81">
        <f>IF(OR($M159="",COUNT(N159,O159,P159,Q159,R159,S159)&lt;6),"",IFERROR(N159*INDEX(WM_C,MATCH($M159,WM_KEY,0))+O159*INDEX(WM_AU,MATCH($M159,WM_KEY,0))+P159*INDEX(WM_AC,MATCH($M159,WM_KEY,0))+Q159*INDEX(WM_L,MATCH($M159,WM_KEY,0))+R159*INDEX(WM_E,MATCH($M159,WM_KEY,0))+S159*INDEX(WM_BI,MATCH($M159,WM_KEY,0)),""))</f>
        <v>4.5</v>
      </c>
      <c r="U159" s="42" t="str">
        <f>IF(T159="","",INDEX({"A1","A2","A3","B1","B2","B3","C1","C2","D1","D2","E1","E2"},MAX(1,MIN(12,ROUND(T159,0)))))</f>
        <v>B2</v>
      </c>
      <c r="V159" s="12" t="inlineStr">
        <is>
          <r>
            <rPr>
              <rFont val="Calibri"/>
              <sz val="10"/>
            </rPr>
            <t xml:space="preserve">New level B2 · Senior Specialist. Current level on record: L5 – Manager. Change: • Same level.
Score 4.50 on the ladder scale → indicated level B2.
</t>
          </r>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59" s="12" t="inlineStr">
        <is>
          <r>
            <rPr>
              <rFont val="Calibri"/>
              <b val="1"/>
              <sz val="10"/>
            </rPr>
            <t>Complexity &amp; Expertise:</t>
          </r>
          <r>
            <rPr>
              <rFont val="Calibri"/>
              <sz val="10"/>
            </rPr>
            <t xml:space="preserve"> 4.5 of 12 · between B1 and B2 — Start: 5.0 · manager / senior specialist title; Evidence reads like B1: SEC subject-matter expert; multiple geos and mandates; product UAT and customer training → moved down 0.5; KRA: “Net Revenue Retention ≥100–105%​ Target ARR - to be achieved Rs. 50,00,000 per year 90% reach value milestone in 90 days​ Develop advocates…”
</t>
          </r>
          <r>
            <rPr>
              <rFont val="Calibri"/>
              <b val="1"/>
              <sz val="10"/>
            </rPr>
            <t>Autonomy &amp; Decision:</t>
          </r>
          <r>
            <rPr>
              <rFont val="Calibri"/>
              <sz val="10"/>
            </rPr>
            <t xml:space="preserve"> 4 of 12 — Start: 5.0 · manager / senior specialist title; Evidence reads like A2: Decides independently only on customer feedback → moved down 1
</t>
          </r>
          <r>
            <rPr>
              <rFont val="Calibri"/>
              <b val="1"/>
              <sz val="10"/>
            </rPr>
            <t>Accountability &amp; Impact:</t>
          </r>
          <r>
            <rPr>
              <rFont val="Calibri"/>
              <sz val="10"/>
            </rPr>
            <t xml:space="preserve"> 5 of 12 — Start: 5.0 · manager / senior specialist title; Evidence reads like B2: Renewals, ARR expansion, receivables, cross-sell and partners across multi-geo key accounts → matches the start; KRA: “Net Revenue Retention ≥100–105%​ Target ARR - to be achieved Rs. 50,00,000 per year 90% reach value milestone in 90 days​ Develop advocates…”
</t>
          </r>
          <r>
            <rPr>
              <rFont val="Calibri"/>
              <b val="1"/>
              <sz val="10"/>
            </rPr>
            <t>Leadership &amp; Strategy:</t>
          </r>
          <r>
            <rPr>
              <rFont val="Calibri"/>
              <sz val="10"/>
            </rPr>
            <t xml:space="preserve"> 3 of 12 — Start: 4.0 · individual contributor, so influence only; Evidence reads like A1: Trains customers; no internal guidance or leadership described → moved down 1; Team: 0 direct reports · IC
</t>
          </r>
          <r>
            <rPr>
              <rFont val="Calibri"/>
              <b val="1"/>
              <sz val="10"/>
            </rPr>
            <t>Experience &amp; Qualification:</t>
          </r>
          <r>
            <rPr>
              <rFont val="Calibri"/>
              <sz val="10"/>
            </rPr>
            <t xml:space="preserve"> 5 of 12 — Experience: 8.4 yrs; qualification: B.Com. 7.0 yrs used · the 8.4 yrs on record looks too high for the record — HR to check sits at 4.8 on the experience scale · the range it fits: B1–B2; qualification B.Com · graduate: no adjustment.
</t>
          </r>
          <r>
            <rPr>
              <rFont val="Calibri"/>
              <b val="1"/>
              <sz val="10"/>
            </rPr>
            <t>Business Impact:</t>
          </r>
          <r>
            <rPr>
              <rFont val="Calibri"/>
              <sz val="10"/>
            </rPr>
            <t xml:space="preserve"> 5 of 12 — a starting estimate. — Start: 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t>
          </r>
        </is>
      </c>
      <c r="X159" s="12" t="inlineStr">
        <is>
          <r>
            <rPr>
              <rFont val="Calibri"/>
              <b val="1"/>
              <sz val="10"/>
            </rPr>
            <t>Market level:</t>
          </r>
          <r>
            <rPr>
              <rFont val="Calibri"/>
              <sz val="10"/>
            </rPr>
            <t xml:space="preserve"> P4 / M3 · SFIA 4–5
</t>
          </r>
          <r>
            <rPr>
              <rFont val="Calibri"/>
              <b val="1"/>
              <sz val="10"/>
            </rPr>
            <t>Typical title:</t>
          </r>
          <r>
            <rPr>
              <rFont val="Calibri"/>
              <sz val="10"/>
            </rPr>
            <t xml:space="preserve"> Senior CSM / Support Specialist
</t>
          </r>
          <r>
            <rPr>
              <rFont val="Calibri"/>
              <b val="1"/>
              <sz val="10"/>
            </rPr>
            <t>At peers:</t>
          </r>
          <r>
            <rPr>
              <rFont val="Calibri"/>
              <sz val="10"/>
            </rPr>
            <t xml:space="preserve"> Workiva – Product Success Manager · IRIS Vs Competitor Benchmark — SaaS customer-success ladder: Senior CSM · IRIS Vs Competitor Benchmark — support tiers: Support Team Manager
</t>
          </r>
          <r>
            <rPr>
              <rFont val="Calibri"/>
              <b val="1"/>
              <sz val="10"/>
            </rPr>
            <t>Typical experience:</t>
          </r>
          <r>
            <rPr>
              <rFont val="Calibri"/>
              <sz val="10"/>
            </rPr>
            <t xml:space="preserve"> 6–10 yrs · IRIS guide 6–9
</t>
          </r>
          <r>
            <rPr>
              <rFont val="Calibri"/>
              <b val="1"/>
              <sz val="10"/>
            </rPr>
            <t>Standard:</t>
          </r>
          <r>
            <rPr>
              <rFont val="Calibri"/>
              <sz val="10"/>
            </rPr>
            <t xml:space="preserve"> TSIA frameworks and benchmarks; ITIL 4 service desk</t>
          </r>
        </is>
      </c>
      <c r="Y159" s="12" t="inlineStr">
        <is>
          <r>
            <rPr>
              <rFont val="Calibri"/>
              <sz val="10"/>
            </rPr>
            <t xml:space="preserve">✓ HRIS: 8.4 yrs, B.Com, 0 direct reports
✓ Survey: 20 of 20 questions answered
✓ KRAs: submitted, reported deliverables
✓ Manager mapping: rating, potential, 9-box
✓ Job description
</t>
          </r>
          <r>
            <rPr>
              <rFont val="Calibri"/>
              <b val="1"/>
              <sz val="10"/>
            </rPr>
            <t>Confidence:</t>
          </r>
          <r>
            <rPr>
              <rFont val="Calibri"/>
              <sz val="10"/>
            </rPr>
            <t xml:space="preserve"> Low</t>
          </r>
        </is>
      </c>
      <c r="Z159" s="82" t="inlineStr">
        <is>
          <r>
            <rPr>
              <rFont val="Calibri"/>
              <color rgb="009C5700"/>
              <sz val="10"/>
            </rPr>
            <t xml:space="preserve">• </t>
          </r>
          <r>
            <rPr>
              <rFont val="Calibri"/>
              <b val="1"/>
              <color rgb="009C5700"/>
              <sz val="10"/>
            </rPr>
            <t>Close call:</t>
          </r>
          <r>
            <rPr>
              <rFont val="Calibri"/>
              <color rgb="009C5700"/>
              <sz val="10"/>
            </rPr>
            <t xml:space="preserve"> score 4.50 is within 0.05 of a rounding point</t>
          </r>
        </is>
      </c>
      <c r="AA159" s="83" t="inlineStr">
        <is>
          <t>• Correct the experience record — HR</t>
        </is>
      </c>
      <c r="AB159"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Manager talent mapping — Latest rating: 4 · Potential: Medium · 9-Box Grid placement: High Impact / Growth Talent.</t>
          </r>
        </is>
      </c>
      <c r="AC159" s="84" t="n"/>
      <c r="AD159" s="84" t="n"/>
      <c r="AE159" s="84" t="n"/>
      <c r="AF159" s="12" t="n">
        <v>5</v>
      </c>
    </row>
    <row r="160" ht="400" customHeight="1">
      <c r="A160" s="12" t="inlineStr">
        <is>
          <t>IRIS1939</t>
        </is>
      </c>
      <c r="B160" s="10" t="inlineStr">
        <is>
          <t>Nupur Samantaray</t>
        </is>
      </c>
      <c r="C160" s="12" t="inlineStr">
        <is>
          <t>Support</t>
        </is>
      </c>
      <c r="D160" s="12" t="inlineStr">
        <is>
          <t>Manager- Customer Engagement</t>
        </is>
      </c>
      <c r="E160" s="85" t="inlineStr">
        <is>
          <t>Senior Customer Success Specialist</t>
        </is>
      </c>
      <c r="F160" s="12" t="inlineStr">
        <is>
          <t>Customer Success &amp; Support</t>
        </is>
      </c>
      <c r="G160" s="12" t="inlineStr">
        <is>
          <t>Customer Success &amp; Account Management</t>
        </is>
      </c>
      <c r="H160" s="12" t="inlineStr">
        <is>
          <t>IC</t>
        </is>
      </c>
      <c r="I160" s="42" t="inlineStr">
        <is>
          <t>L5 – Manager</t>
        </is>
      </c>
      <c r="J160" s="20" t="inlineStr">
        <is>
          <t>B1</t>
        </is>
      </c>
      <c r="K160" s="21" t="inlineStr">
        <is>
          <t>Specialist</t>
        </is>
      </c>
      <c r="L160" s="88" t="inlineStr">
        <is>
          <t>• Same level</t>
        </is>
      </c>
      <c r="M160" s="12" t="inlineStr">
        <is>
          <t>CARBON · Support · Band B · Expert / POD Lead</t>
        </is>
      </c>
      <c r="N160" s="42" t="n">
        <v>4</v>
      </c>
      <c r="O160" s="42" t="n">
        <v>4</v>
      </c>
      <c r="P160" s="42" t="n">
        <v>4.5</v>
      </c>
      <c r="Q160" s="42" t="n">
        <v>3</v>
      </c>
      <c r="R160" s="42" t="n">
        <v>6.5</v>
      </c>
      <c r="S160" s="80" t="n">
        <v>5</v>
      </c>
      <c r="T160" s="81">
        <f>IF(OR($M160="",COUNT(N160,O160,P160,Q160,R160,S160)&lt;6),"",IFERROR(N160*INDEX(WM_C,MATCH($M160,WM_KEY,0))+O160*INDEX(WM_AU,MATCH($M160,WM_KEY,0))+P160*INDEX(WM_AC,MATCH($M160,WM_KEY,0))+Q160*INDEX(WM_L,MATCH($M160,WM_KEY,0))+R160*INDEX(WM_E,MATCH($M160,WM_KEY,0))+S160*INDEX(WM_BI,MATCH($M160,WM_KEY,0)),""))</f>
        <v>4.37</v>
      </c>
      <c r="U160" s="42" t="str">
        <f>IF(T160="","",INDEX({"A1","A2","A3","B1","B2","B3","C1","C2","D1","D2","E1","E2"},MAX(1,MIN(12,ROUND(T160,0)))))</f>
        <v>B1</v>
      </c>
      <c r="V160" s="12" t="inlineStr">
        <is>
          <r>
            <rPr>
              <rFont val="Calibri"/>
              <sz val="10"/>
            </rPr>
            <t xml:space="preserve">New level B1 · Specialist. Current level on record: L5 – Manager. Change: • Same level.
Score 4.37 on the ladder scale → indicated level B1.
</t>
          </r>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0" s="12" t="inlineStr">
        <is>
          <r>
            <rPr>
              <rFont val="Calibri"/>
              <b val="1"/>
              <sz val="10"/>
            </rPr>
            <t>Complexity &amp; Expertise:</t>
          </r>
          <r>
            <rPr>
              <rFont val="Calibri"/>
              <sz val="10"/>
            </rPr>
            <t xml:space="preserve"> 4 of 12 — Start: 5.0 · manager / senior specialist title; Evidence reads like A3: Delivers ESEF reports for demanding customers with highly stylised reports; product testing, training → moved down 1; KRA: “Net Revenue Retention ≥100–105%​ Target ARR - to be achieved: INR 55,00,000 90% reach value milestone in 90 days​ Develop advocates…”
</t>
          </r>
          <r>
            <rPr>
              <rFont val="Calibri"/>
              <b val="1"/>
              <sz val="10"/>
            </rPr>
            <t>Autonomy &amp; Decision:</t>
          </r>
          <r>
            <rPr>
              <rFont val="Calibri"/>
              <sz val="10"/>
            </rPr>
            <t xml:space="preserve"> 4 of 12 — Start: 5.0 · manager / senior specialist title; Evidence reads like A2: Passes requirements to product or service teams; only 'new logo' cited as own decision → moved down 1
</t>
          </r>
          <r>
            <rPr>
              <rFont val="Calibri"/>
              <b val="1"/>
              <sz val="10"/>
            </rPr>
            <t>Accountability &amp; Impact:</t>
          </r>
          <r>
            <rPr>
              <rFont val="Calibri"/>
              <sz val="10"/>
            </rPr>
            <t xml:space="preserve"> 4.5 of 12 · between B1 and B2 — Start: 5.0 · manager / senior specialist title; Evidence reads like B1: ESEF output, invoices, renewals and receivables for own accounts → moved down 0.5; KRA: “Net Revenue Retention ≥100–105%​ Target ARR - to be achieved: INR 55,00,000 90% reach value milestone in 90 days​ Develop advocates…”
</t>
          </r>
          <r>
            <rPr>
              <rFont val="Calibri"/>
              <b val="1"/>
              <sz val="10"/>
            </rPr>
            <t>Leadership &amp; Strategy:</t>
          </r>
          <r>
            <rPr>
              <rFont val="Calibri"/>
              <sz val="10"/>
            </rPr>
            <t xml:space="preserve"> 3 of 12 — Start: 4.0 · individual contributor, so influence only; Evidence reads like A1: No guidance of others described → moved down 1; Team: 0 direct reports · IC
</t>
          </r>
          <r>
            <rPr>
              <rFont val="Calibri"/>
              <b val="1"/>
              <sz val="10"/>
            </rPr>
            <t>Experience &amp; Qualification:</t>
          </r>
          <r>
            <rPr>
              <rFont val="Calibri"/>
              <sz val="10"/>
            </rPr>
            <t xml:space="preserve"> 6.5 of 12 · between B3 and C1 — Experience: 9.1 yrs total · 4.0 before IRIS + 5.1 at IRIS = 5.6 on the experience scale; Qualification: CA · professional, relevant to the work → +1.0
</t>
          </r>
          <r>
            <rPr>
              <rFont val="Calibri"/>
              <b val="1"/>
              <sz val="10"/>
            </rPr>
            <t>Business Impact:</t>
          </r>
          <r>
            <rPr>
              <rFont val="Calibri"/>
              <sz val="10"/>
            </rPr>
            <t xml:space="preserve"> 5 of 12 — a starting estimate. — Start: 4.5,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t>
          </r>
        </is>
      </c>
      <c r="X160"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CSM / Support Specialist
</t>
          </r>
          <r>
            <rPr>
              <rFont val="Calibri"/>
              <b val="1"/>
              <sz val="10"/>
            </rPr>
            <t>At peers:</t>
          </r>
          <r>
            <rPr>
              <rFont val="Calibri"/>
              <sz val="10"/>
            </rPr>
            <t xml:space="preserve"> Workiva – Customer Success Manager · IRIS Vs Competitor Benchmark — SaaS customer-success ladder: CSM · IRIS Vs Competitor Benchmark — support tiers: L3 / Problem Analyst
</t>
          </r>
          <r>
            <rPr>
              <rFont val="Calibri"/>
              <b val="1"/>
              <sz val="10"/>
            </rPr>
            <t>Typical experience:</t>
          </r>
          <r>
            <rPr>
              <rFont val="Calibri"/>
              <sz val="10"/>
            </rPr>
            <t xml:space="preserve"> 4–8 yrs · IRIS guide 4–7
</t>
          </r>
          <r>
            <rPr>
              <rFont val="Calibri"/>
              <b val="1"/>
              <sz val="10"/>
            </rPr>
            <t>Standard:</t>
          </r>
          <r>
            <rPr>
              <rFont val="Calibri"/>
              <sz val="10"/>
            </rPr>
            <t xml:space="preserve"> TSIA frameworks and benchmarks; ITIL 4 service desk</t>
          </r>
        </is>
      </c>
      <c r="Y160" s="12" t="inlineStr">
        <is>
          <r>
            <rPr>
              <rFont val="Calibri"/>
              <sz val="10"/>
            </rPr>
            <t xml:space="preserve">✓ HRIS: 9.1 yrs, CA,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160" s="12" t="inlineStr">
        <is>
          <t>—</t>
        </is>
      </c>
      <c r="AA160" s="12" t="inlineStr">
        <is>
          <t>Nothing outstanding</t>
        </is>
      </c>
      <c r="AB160"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4.5 of 12 · B1-level impact.
From the survey and manager mapping — critical role: yes; successor named: yes.
</t>
          </r>
          <r>
            <rPr>
              <rFont val="Calibri"/>
              <b val="1"/>
              <sz val="10"/>
            </rPr>
            <t>If the work is missed · role-holders' themes:</t>
          </r>
          <r>
            <rPr>
              <rFont val="Calibri"/>
              <sz val="10"/>
            </rPr>
            <t xml:space="preserve"> business · impact · revenue.
Manager talent mapping — Latest rating: 3 · Potential: Medium · 9-Box Grid placement: Core Contributor.</t>
          </r>
        </is>
      </c>
      <c r="AC160" s="84" t="n"/>
      <c r="AD160" s="84" t="n"/>
      <c r="AE160" s="84" t="n"/>
      <c r="AF160" s="12" t="n">
        <v>5</v>
      </c>
    </row>
    <row r="161" ht="400" customHeight="1">
      <c r="A161" s="12" t="inlineStr">
        <is>
          <t>IRIS1878</t>
        </is>
      </c>
      <c r="B161" s="10" t="inlineStr">
        <is>
          <t>Shailesh Koradiya</t>
        </is>
      </c>
      <c r="C161" s="12" t="inlineStr">
        <is>
          <t>Support</t>
        </is>
      </c>
      <c r="D161" s="12" t="inlineStr">
        <is>
          <t>Technical Support Lead</t>
        </is>
      </c>
      <c r="E161" s="85" t="inlineStr">
        <is>
          <t>DevOps Specialist – POD Lead</t>
        </is>
      </c>
      <c r="F161" s="12" t="inlineStr">
        <is>
          <t>Engineering &amp; Development</t>
        </is>
      </c>
      <c r="G161" s="12" t="inlineStr">
        <is>
          <t>DevOps &amp; Release Engineering</t>
        </is>
      </c>
      <c r="H161" s="12" t="inlineStr">
        <is>
          <t>POD Lead</t>
        </is>
      </c>
      <c r="I161" s="42" t="inlineStr">
        <is>
          <t>L5 – Lead · IC</t>
        </is>
      </c>
      <c r="J161" s="20" t="inlineStr">
        <is>
          <t>B1</t>
        </is>
      </c>
      <c r="K161" s="21" t="inlineStr">
        <is>
          <t>Specialist · POD Lead</t>
        </is>
      </c>
      <c r="L161" s="86" t="inlineStr">
        <is>
          <t>▼ Down · pay &amp; title protected</t>
        </is>
      </c>
      <c r="M161" s="12" t="inlineStr">
        <is>
          <t>CARBON · Support · Band B · Expert / POD Lead</t>
        </is>
      </c>
      <c r="N161" s="42" t="n">
        <v>3.5</v>
      </c>
      <c r="O161" s="42" t="n">
        <v>4</v>
      </c>
      <c r="P161" s="42" t="n">
        <v>3.5</v>
      </c>
      <c r="Q161" s="42" t="n">
        <v>3</v>
      </c>
      <c r="R161" s="42" t="n">
        <v>8</v>
      </c>
      <c r="S161" s="80" t="n">
        <v>3.5</v>
      </c>
      <c r="T161" s="81">
        <f>IF(OR($M161="",COUNT(N161,O161,P161,Q161,R161,S161)&lt;6),"",IFERROR(N161*INDEX(WM_C,MATCH($M161,WM_KEY,0))+O161*INDEX(WM_AU,MATCH($M161,WM_KEY,0))+P161*INDEX(WM_AC,MATCH($M161,WM_KEY,0))+Q161*INDEX(WM_L,MATCH($M161,WM_KEY,0))+R161*INDEX(WM_E,MATCH($M161,WM_KEY,0))+S161*INDEX(WM_BI,MATCH($M161,WM_KEY,0)),""))</f>
        <v>4.01</v>
      </c>
      <c r="U161" s="42" t="str">
        <f>IF(T161="","",INDEX({"A1","A2","A3","B1","B2","B3","C1","C2","D1","D2","E1","E2"},MAX(1,MIN(12,ROUND(T161,0)))))</f>
        <v>B1</v>
      </c>
      <c r="V161" s="12" t="inlineStr">
        <is>
          <r>
            <rPr>
              <rFont val="Calibri"/>
              <sz val="10"/>
            </rPr>
            <t xml:space="preserve">New level B1 · Specialist · POD Lead. Current level on record: L5 – Lead · IC. Change: ▼ Down · pay &amp; title protected.
Score 4.01 on the ladder scale → indicated level B1.
</t>
          </r>
          <r>
            <rPr>
              <rFont val="Calibri"/>
              <b val="1"/>
              <sz val="10"/>
            </rPr>
            <t>Weights:</t>
          </r>
          <r>
            <rPr>
              <rFont val="Calibri"/>
              <sz val="10"/>
            </rPr>
            <t xml:space="preserve"> Complexity 46% · Autonomy 17% · Business impact 12% · Accountability 10% · Experience 10%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161" s="12" t="inlineStr">
        <is>
          <r>
            <rPr>
              <rFont val="Calibri"/>
              <b val="1"/>
              <sz val="10"/>
            </rPr>
            <t>Complexity &amp; Expertise:</t>
          </r>
          <r>
            <rPr>
              <rFont val="Calibri"/>
              <sz val="10"/>
            </rPr>
            <t xml:space="preserve"> 3.5 of 12 · between A3 and B1 — Start: 4.0 · lead / specialist title; Evidence reads like A3: Jenkins CI/CD pipelines, deployments on Azure/Podman, troubleshooting and root-cause analysis; answers very brief → moved down 0.5; KRA: “1.Ensure ≥ 95% support tickets/incidents are acknowledged and responded to within defined TAT/SLA across all supported products. 2.Improve…”
</t>
          </r>
          <r>
            <rPr>
              <rFont val="Calibri"/>
              <b val="1"/>
              <sz val="10"/>
            </rPr>
            <t>Autonomy &amp; Decision:</t>
          </r>
          <r>
            <rPr>
              <rFont val="Calibri"/>
              <sz val="10"/>
            </rPr>
            <t xml:space="preserve"> 4 of 12 — Start: 4.0 · lead / specialist title; Evidence reads like B1: Decides deployment strategy for the application independently → matches the start
</t>
          </r>
          <r>
            <rPr>
              <rFont val="Calibri"/>
              <b val="1"/>
              <sz val="10"/>
            </rPr>
            <t>Accountability &amp; Impact:</t>
          </r>
          <r>
            <rPr>
              <rFont val="Calibri"/>
              <sz val="10"/>
            </rPr>
            <t xml:space="preserve"> 3.5 of 12 · between A3 and B1 — Start: 3.8 · lead / specialist title; 1 direct report; Evidence reads like A3: own survey / KRA answers · summarised by the rater; not quoted → moved down 0.2; KRA: “1.Ensure ≥ 95% support tickets/incidents are acknowledged and responded to within defined TAT/SLA across all supported products. 2.Improve…”
</t>
          </r>
          <r>
            <rPr>
              <rFont val="Calibri"/>
              <b val="1"/>
              <sz val="10"/>
            </rPr>
            <t>Leadership &amp; Strategy:</t>
          </r>
          <r>
            <rPr>
              <rFont val="Calibri"/>
              <sz val="10"/>
            </rPr>
            <t xml:space="preserve"> 3 of 12 — Start: 3.5; Evidence reads like A1: No guidance described despite one report → moved down 0.5; Team: 1 direct report · POD Lead
</t>
          </r>
          <r>
            <rPr>
              <rFont val="Calibri"/>
              <b val="1"/>
              <sz val="10"/>
            </rPr>
            <t>Experience &amp; Qualification:</t>
          </r>
          <r>
            <rPr>
              <rFont val="Calibri"/>
              <sz val="10"/>
            </rPr>
            <t xml:space="preserve"> 8 of 12 — Experience: 13.1 yrs total · 7.2 before IRIS + 5.9 at IRIS = 7.4 on the experience scale; Qualification: MCA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161"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161" s="12" t="inlineStr">
        <is>
          <r>
            <rPr>
              <rFont val="Calibri"/>
              <sz val="10"/>
            </rPr>
            <t xml:space="preserve">✓ HRIS: 13.1 yrs, MCA, 1 direct report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61" s="82" t="inlineStr">
        <is>
          <r>
            <rPr>
              <rFont val="Calibri"/>
              <color rgb="009C5700"/>
              <sz val="10"/>
            </rPr>
            <t xml:space="preserve">• </t>
          </r>
          <r>
            <rPr>
              <rFont val="Calibri"/>
              <b val="1"/>
              <color rgb="009C5700"/>
              <sz val="10"/>
            </rPr>
            <t>Moves down:</t>
          </r>
          <r>
            <rPr>
              <rFont val="Calibri"/>
              <color rgb="009C5700"/>
              <sz val="10"/>
            </rPr>
            <t xml:space="preserve"> protected for one cycle</t>
          </r>
        </is>
      </c>
      <c r="AA161" s="12" t="inlineStr">
        <is>
          <t>Nothing outstanding</t>
        </is>
      </c>
      <c r="AB161"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1 direct report.
</t>
          </r>
          <r>
            <rPr>
              <rFont val="Calibri"/>
              <b val="1"/>
              <sz val="10"/>
            </rPr>
            <t>If the work is missed · role-holders' themes:</t>
          </r>
          <r>
            <rPr>
              <rFont val="Calibri"/>
              <sz val="10"/>
            </rPr>
            <t xml:space="preserve"> level.
Manager talent mapping — Latest rating: Not rated · manager · 9-Box Grid placement: Trusted Professional.</t>
          </r>
        </is>
      </c>
      <c r="AC161" s="84" t="n"/>
      <c r="AD161" s="84" t="n"/>
      <c r="AE161" s="84" t="n"/>
      <c r="AF161" s="12" t="n">
        <v>3.5</v>
      </c>
    </row>
    <row r="162" ht="400" customHeight="1">
      <c r="A162" s="12" t="inlineStr">
        <is>
          <t>IRIS2081</t>
        </is>
      </c>
      <c r="B162" s="10" t="inlineStr">
        <is>
          <t>Chandra Sekhar Sahu</t>
        </is>
      </c>
      <c r="C162" s="12" t="inlineStr">
        <is>
          <t>Support</t>
        </is>
      </c>
      <c r="D162" s="12" t="inlineStr">
        <is>
          <t>Executive- Customer Support</t>
        </is>
      </c>
      <c r="E162" s="85" t="inlineStr">
        <is>
          <t>Senior Support Executive</t>
        </is>
      </c>
      <c r="F162" s="12" t="inlineStr">
        <is>
          <t>Customer Success &amp; Support</t>
        </is>
      </c>
      <c r="G162" s="12" t="inlineStr">
        <is>
          <t>Application &amp; Product Support</t>
        </is>
      </c>
      <c r="H162" s="12" t="inlineStr">
        <is>
          <t>IC</t>
        </is>
      </c>
      <c r="I162" s="42" t="inlineStr">
        <is>
          <t>L3 – Professional / Associate</t>
        </is>
      </c>
      <c r="J162" s="16" t="inlineStr">
        <is>
          <t>A3</t>
        </is>
      </c>
      <c r="K162" s="17" t="inlineStr">
        <is>
          <t>Senior Associate</t>
        </is>
      </c>
      <c r="L162" s="87" t="inlineStr">
        <is>
          <t>▲ Up</t>
        </is>
      </c>
      <c r="M162" s="12" t="inlineStr">
        <is>
          <t>CARBON · Support · Band A · Early career</t>
        </is>
      </c>
      <c r="N162" s="42" t="n">
        <v>2.5</v>
      </c>
      <c r="O162" s="42" t="n">
        <v>2</v>
      </c>
      <c r="P162" s="42" t="n">
        <v>2</v>
      </c>
      <c r="Q162" s="42" t="n">
        <v>1</v>
      </c>
      <c r="R162" s="42" t="n">
        <v>4</v>
      </c>
      <c r="S162" s="80" t="n">
        <v>2</v>
      </c>
      <c r="T162" s="81">
        <f>IF(OR($M162="",COUNT(N162,O162,P162,Q162,R162,S162)&lt;6),"",IFERROR(N162*INDEX(WM_C,MATCH($M162,WM_KEY,0))+O162*INDEX(WM_AU,MATCH($M162,WM_KEY,0))+P162*INDEX(WM_AC,MATCH($M162,WM_KEY,0))+Q162*INDEX(WM_L,MATCH($M162,WM_KEY,0))+R162*INDEX(WM_E,MATCH($M162,WM_KEY,0))+S162*INDEX(WM_BI,MATCH($M162,WM_KEY,0)),""))</f>
        <v>2.47</v>
      </c>
      <c r="U162" s="42" t="str">
        <f>IF(T162="","",INDEX({"A1","A2","A3","B1","B2","B3","C1","C2","D1","D2","E1","E2"},MAX(1,MIN(12,ROUND(T162,0)))))</f>
        <v>A2</v>
      </c>
      <c r="V162" s="12" t="inlineStr">
        <is>
          <r>
            <rPr>
              <rFont val="Calibri"/>
              <sz val="10"/>
            </rPr>
            <t xml:space="preserve">New level A3 · Senior Associate. Current level on record: L3 – Professional / Associate. Change: ▲ Up.
Score 2.47 on the ladder scale → indicated level A2.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5.5 years' experience is 2 years or more.
</t>
          </r>
          <r>
            <rPr>
              <rFont val="Calibri"/>
              <b val="1"/>
              <sz val="10"/>
            </rPr>
            <t>Final level:</t>
          </r>
          <r>
            <rPr>
              <rFont val="Calibri"/>
              <sz val="10"/>
            </rPr>
            <t xml:space="preserve"> A3.</t>
          </r>
        </is>
      </c>
      <c r="W162" s="12" t="inlineStr">
        <is>
          <r>
            <rPr>
              <rFont val="Calibri"/>
              <b val="1"/>
              <sz val="10"/>
            </rPr>
            <t>Complexity &amp; Expertise:</t>
          </r>
          <r>
            <rPr>
              <rFont val="Calibri"/>
              <sz val="10"/>
            </rPr>
            <t xml:space="preserve"> 2.5 of 12 · between A2 and A3 — Start: 2.0 · practitioner title; Evidence reads like A3: Researches and troubleshoots DM platform issues, tests platform, suggests features; HTML and XBRL knowledge → moved up 0.5; KRA: “• Maintain an average First Response Time · FRT of &lt; 30 minutes for all inbound tickets. • Achieve ≥ 80% First Contact Resolution · FCR…”
</t>
          </r>
          <r>
            <rPr>
              <rFont val="Calibri"/>
              <b val="1"/>
              <sz val="10"/>
            </rPr>
            <t>Autonomy &amp; Decision:</t>
          </r>
          <r>
            <rPr>
              <rFont val="Calibri"/>
              <sz val="10"/>
            </rPr>
            <t xml:space="preserve"> 2 of 12 — Start: 2.0 · practitioner title; Evidence reads like A2: Researches and resolves issues independently; no wider decisions stated → matches the start
</t>
          </r>
          <r>
            <rPr>
              <rFont val="Calibri"/>
              <b val="1"/>
              <sz val="10"/>
            </rPr>
            <t>Accountability &amp; Impact:</t>
          </r>
          <r>
            <rPr>
              <rFont val="Calibri"/>
              <sz val="10"/>
            </rPr>
            <t xml:space="preserve"> 2 of 12 — Start: 2.0 · practitioner title; Evidence reads like A2: Correctness of own resolutions to clients and internal teams → matches the start; KRA: “• Maintain an average First Response Time · FRT of &lt; 30 minutes for all inbound tickets. • Achieve ≥ 80% First Contact Resolution · FCR…”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4 of 12 — Experience: 5.5 yrs total · 1.7 before IRIS + 3.8 at IRIS = 4.0 on the experience scale; Qualification: B.Com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62"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162" s="12" t="inlineStr">
        <is>
          <r>
            <rPr>
              <rFont val="Calibri"/>
              <sz val="10"/>
            </rPr>
            <t xml:space="preserve">✓ HRIS: 5.5 yrs, B.Com,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162" s="12" t="inlineStr">
        <is>
          <t>—</t>
        </is>
      </c>
      <c r="AA162" s="12" t="inlineStr">
        <is>
          <t>Nothing outstanding</t>
        </is>
      </c>
      <c r="AB16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Trusted Professional.</t>
          </r>
        </is>
      </c>
      <c r="AC162" s="84" t="n"/>
      <c r="AD162" s="84" t="n"/>
      <c r="AE162" s="84" t="n"/>
      <c r="AF162" s="12" t="n">
        <v>2</v>
      </c>
    </row>
    <row r="163" ht="400" customHeight="1">
      <c r="A163" s="12" t="inlineStr">
        <is>
          <t>IRIS1951</t>
        </is>
      </c>
      <c r="B163" s="10" t="inlineStr">
        <is>
          <t>Kiran Pawar</t>
        </is>
      </c>
      <c r="C163" s="12" t="inlineStr">
        <is>
          <t>Support</t>
        </is>
      </c>
      <c r="D163" s="12" t="inlineStr">
        <is>
          <t>Executive- Product Support</t>
        </is>
      </c>
      <c r="E163" s="85" t="inlineStr">
        <is>
          <t>Senior Support Executive</t>
        </is>
      </c>
      <c r="F163" s="12" t="inlineStr">
        <is>
          <t>Customer Success &amp; Support</t>
        </is>
      </c>
      <c r="G163" s="12" t="inlineStr">
        <is>
          <t>Application &amp; Product Support</t>
        </is>
      </c>
      <c r="H163" s="12" t="inlineStr">
        <is>
          <t>IC</t>
        </is>
      </c>
      <c r="I163" s="42" t="inlineStr">
        <is>
          <t>L3 – Professional / Associate</t>
        </is>
      </c>
      <c r="J163" s="16" t="inlineStr">
        <is>
          <t>A3</t>
        </is>
      </c>
      <c r="K163" s="17" t="inlineStr">
        <is>
          <t>Senior Associate</t>
        </is>
      </c>
      <c r="L163" s="87" t="inlineStr">
        <is>
          <t>▲ Up</t>
        </is>
      </c>
      <c r="M163" s="12" t="inlineStr">
        <is>
          <t>CARBON · Support · Band A · Early career</t>
        </is>
      </c>
      <c r="N163" s="42" t="n">
        <v>2.5</v>
      </c>
      <c r="O163" s="42" t="n">
        <v>3</v>
      </c>
      <c r="P163" s="42" t="n">
        <v>3</v>
      </c>
      <c r="Q163" s="42" t="n">
        <v>2.5</v>
      </c>
      <c r="R163" s="42" t="n">
        <v>5.5</v>
      </c>
      <c r="S163" s="80" t="n">
        <v>3.5</v>
      </c>
      <c r="T163" s="81">
        <f>IF(OR($M163="",COUNT(N163,O163,P163,Q163,R163,S163)&lt;6),"",IFERROR(N163*INDEX(WM_C,MATCH($M163,WM_KEY,0))+O163*INDEX(WM_AU,MATCH($M163,WM_KEY,0))+P163*INDEX(WM_AC,MATCH($M163,WM_KEY,0))+Q163*INDEX(WM_L,MATCH($M163,WM_KEY,0))+R163*INDEX(WM_E,MATCH($M163,WM_KEY,0))+S163*INDEX(WM_BI,MATCH($M163,WM_KEY,0)),""))</f>
        <v>3.035</v>
      </c>
      <c r="U163" s="42" t="str">
        <f>IF(T163="","",INDEX({"A1","A2","A3","B1","B2","B3","C1","C2","D1","D2","E1","E2"},MAX(1,MIN(12,ROUND(T163,0)))))</f>
        <v>A3</v>
      </c>
      <c r="V163" s="12" t="inlineStr">
        <is>
          <r>
            <rPr>
              <rFont val="Calibri"/>
              <sz val="10"/>
            </rPr>
            <t xml:space="preserve">New level A3 · Senior Associate. Current level on record: L3 – Professional / Associate. Change: ▲ Up.
Score 3.04 on the ladder scale → indicated level A3.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3" s="12" t="inlineStr">
        <is>
          <r>
            <rPr>
              <rFont val="Calibri"/>
              <b val="1"/>
              <sz val="10"/>
            </rPr>
            <t>Complexity &amp; Expertise:</t>
          </r>
          <r>
            <rPr>
              <rFont val="Calibri"/>
              <sz val="10"/>
            </rPr>
            <t xml:space="preserve"> 2.5 of 12 · between A2 and A3 — Start: 2.0 · practitioner title; Evidence reads like A3: own survey / KRA answers · summarised by the rater; not quoted → moved up 0.5; KRA: “• Maintain an average First Response Time · FRT of &lt; 30 minutes for all inbound tickets. • Achieve ≥ 80% First Contact Resolution · FCR…”
</t>
          </r>
          <r>
            <rPr>
              <rFont val="Calibri"/>
              <b val="1"/>
              <sz val="10"/>
            </rPr>
            <t>Autonomy &amp; Decision:</t>
          </r>
          <r>
            <rPr>
              <rFont val="Calibri"/>
              <sz val="10"/>
            </rPr>
            <t xml:space="preserve"> 3 of 12 — Start: 2.5 · practitioner title; reporting lines show a bigger role: 1 direct report; Evidence reads like A3: Handles client requests independently; goes to team lead only on escalation → moved up 0.5
</t>
          </r>
          <r>
            <rPr>
              <rFont val="Calibri"/>
              <b val="1"/>
              <sz val="10"/>
            </rPr>
            <t>Accountability &amp; Impact:</t>
          </r>
          <r>
            <rPr>
              <rFont val="Calibri"/>
              <sz val="10"/>
            </rPr>
            <t xml:space="preserve"> 3 of 12 — Start: 3.5 · practitioner title; 1 direct report; Evidence reads like A3: Answerable for requirements passed to Product and high-priority client tickets → moved down 0.5; KRA: “• Maintain an average First Response Time · FRT of &lt; 30 minutes for all inbound tickets. • Achieve ≥ 80% First Contact Resolution · FCR…”
</t>
          </r>
          <r>
            <rPr>
              <rFont val="Calibri"/>
              <b val="1"/>
              <sz val="10"/>
            </rPr>
            <t>Leadership &amp; Strategy:</t>
          </r>
          <r>
            <rPr>
              <rFont val="Calibri"/>
              <sz val="10"/>
            </rPr>
            <t xml:space="preserve"> 2.5 of 12 · between A2 and A3 — not counted: the weight is 0% at this level — Start: 3.5; Evidence reads like A1: Writes knowledge-base articles; no guidance of others described despite one report → moved down 1; Team: 1 direct report · IC
</t>
          </r>
          <r>
            <rPr>
              <rFont val="Calibri"/>
              <b val="1"/>
              <sz val="10"/>
            </rPr>
            <t>Experience &amp; Qualification:</t>
          </r>
          <r>
            <rPr>
              <rFont val="Calibri"/>
              <sz val="10"/>
            </rPr>
            <t xml:space="preserve"> 5.5 of 12 · between B2 and B3 — Experience: 8.6 yrs total · 3.6 before IRIS + 5.0 at IRIS = 5.4 on the experience scale; Qualification: B.Com · graduate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63"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163" s="12" t="inlineStr">
        <is>
          <r>
            <rPr>
              <rFont val="Calibri"/>
              <sz val="10"/>
            </rPr>
            <t xml:space="preserve">✓ HRIS: 8.6 yrs, B.Com, 1 direct report
✓ Survey: 20 of 20 questions answered
✓ KRAs: submitted, reported deliverables
✓ Manager mapping: rating, potential, 9-box
✓ Job description
</t>
          </r>
          <r>
            <rPr>
              <rFont val="Calibri"/>
              <b val="1"/>
              <sz val="10"/>
            </rPr>
            <t>Confidence:</t>
          </r>
          <r>
            <rPr>
              <rFont val="Calibri"/>
              <sz val="10"/>
            </rPr>
            <t xml:space="preserve"> Medium</t>
          </r>
        </is>
      </c>
      <c r="Z163" s="12" t="inlineStr">
        <is>
          <t>—</t>
        </is>
      </c>
      <c r="AA163" s="83" t="inlineStr">
        <is>
          <t>• Confirm the reporting line — Manager</t>
        </is>
      </c>
      <c r="AB16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1 direct report.
From the survey and manager mapping — critical role: yes; successor named: no.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4 · Potential: Medium · 9-Box Grid placement: High Impact / Growth Talent.</t>
          </r>
        </is>
      </c>
      <c r="AC163" s="84" t="n"/>
      <c r="AD163" s="84" t="n"/>
      <c r="AE163" s="84" t="n"/>
      <c r="AF163" s="12" t="n">
        <v>3.5</v>
      </c>
    </row>
    <row r="164" ht="400" customHeight="1">
      <c r="A164" s="12" t="inlineStr">
        <is>
          <t>IRIS0341</t>
        </is>
      </c>
      <c r="B164" s="10" t="inlineStr">
        <is>
          <t>Nelson Paul Koonan</t>
        </is>
      </c>
      <c r="C164" s="12" t="inlineStr">
        <is>
          <t>Support</t>
        </is>
      </c>
      <c r="D164" s="12" t="inlineStr">
        <is>
          <t>Client Solutions Executive</t>
        </is>
      </c>
      <c r="E164" s="85" t="inlineStr">
        <is>
          <t>Senior Support Executive</t>
        </is>
      </c>
      <c r="F164" s="12" t="inlineStr">
        <is>
          <t>Customer Success &amp; Support</t>
        </is>
      </c>
      <c r="G164" s="12" t="inlineStr">
        <is>
          <t>Application &amp; Product Support</t>
        </is>
      </c>
      <c r="H164" s="12" t="inlineStr">
        <is>
          <t>IC</t>
        </is>
      </c>
      <c r="I164" s="42" t="inlineStr">
        <is>
          <t>L3 – Professional / Associate</t>
        </is>
      </c>
      <c r="J164" s="16" t="inlineStr">
        <is>
          <t>A3</t>
        </is>
      </c>
      <c r="K164" s="17" t="inlineStr">
        <is>
          <t>Senior Associate</t>
        </is>
      </c>
      <c r="L164" s="87" t="inlineStr">
        <is>
          <t>▲ Up</t>
        </is>
      </c>
      <c r="M164" s="12" t="inlineStr">
        <is>
          <t>CARBON · Support · Band A · Early career</t>
        </is>
      </c>
      <c r="N164" s="42" t="n">
        <v>2</v>
      </c>
      <c r="O164" s="42" t="n">
        <v>2.5</v>
      </c>
      <c r="P164" s="42" t="n">
        <v>3</v>
      </c>
      <c r="Q164" s="42" t="n">
        <v>3.5</v>
      </c>
      <c r="R164" s="42" t="n">
        <v>8.5</v>
      </c>
      <c r="S164" s="80" t="n">
        <v>3.5</v>
      </c>
      <c r="T164" s="81">
        <f>IF(OR($M164="",COUNT(N164,O164,P164,Q164,R164,S164)&lt;6),"",IFERROR(N164*INDEX(WM_C,MATCH($M164,WM_KEY,0))+O164*INDEX(WM_AU,MATCH($M164,WM_KEY,0))+P164*INDEX(WM_AC,MATCH($M164,WM_KEY,0))+Q164*INDEX(WM_L,MATCH($M164,WM_KEY,0))+R164*INDEX(WM_E,MATCH($M164,WM_KEY,0))+S164*INDEX(WM_BI,MATCH($M164,WM_KEY,0)),""))</f>
        <v>2.985</v>
      </c>
      <c r="U164" s="42" t="str">
        <f>IF(T164="","",INDEX({"A1","A2","A3","B1","B2","B3","C1","C2","D1","D2","E1","E2"},MAX(1,MIN(12,ROUND(T164,0)))))</f>
        <v>A3</v>
      </c>
      <c r="V164" s="12" t="inlineStr">
        <is>
          <r>
            <rPr>
              <rFont val="Calibri"/>
              <sz val="10"/>
            </rPr>
            <t xml:space="preserve">New level A3 · Senior Associate. Current level on record: L3 – Professional / Associate. Change: ▲ Up.
Score 2.99 on the ladder scale → indicated level A3.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4" s="12" t="inlineStr">
        <is>
          <r>
            <rPr>
              <rFont val="Calibri"/>
              <b val="1"/>
              <sz val="10"/>
            </rPr>
            <t>Complexity &amp; Expertise:</t>
          </r>
          <r>
            <rPr>
              <rFont val="Calibri"/>
              <sz val="10"/>
            </rPr>
            <t xml:space="preserve"> 2 of 12 — Start: 2.0 · practitioner title; Evidence reads like A2: Handles support requests by chat, email and calls; prepares ticket stats reports; basic XBRL → matches the start; KRA: “• Maintain an average First Response Time · FRT of &lt; 30 minutes for all inbound tickets. • Achieve ≥ 80% First Contact Resolution · FCR…”
</t>
          </r>
          <r>
            <rPr>
              <rFont val="Calibri"/>
              <b val="1"/>
              <sz val="10"/>
            </rPr>
            <t>Autonomy &amp; Decision:</t>
          </r>
          <r>
            <rPr>
              <rFont val="Calibri"/>
              <sz val="10"/>
            </rPr>
            <t xml:space="preserve"> 2.5 of 12 · between A2 and A3 — Start: 3.0 · practitioner title; reporting lines show a bigger role: 2 direct reports; Evidence reads like A2: own survey / KRA answers · summarised by the rater; not quoted → moved down 0.5
</t>
          </r>
          <r>
            <rPr>
              <rFont val="Calibri"/>
              <b val="1"/>
              <sz val="10"/>
            </rPr>
            <t>Accountability &amp; Impact:</t>
          </r>
          <r>
            <rPr>
              <rFont val="Calibri"/>
              <sz val="10"/>
            </rPr>
            <t xml:space="preserve"> 3 of 12 — Start: 4.0 · practitioner title; 2 direct reports; Evidence reads like A2: own survey / KRA answers · summarised by the rater; not quoted → moved down 1; KRA: “• Maintain an average First Response Time · FRT of &lt; 30 minutes for all inbound tickets. • Achieve ≥ 80% First Contact Resolution · FCR…”
</t>
          </r>
          <r>
            <rPr>
              <rFont val="Calibri"/>
              <b val="1"/>
              <sz val="10"/>
            </rPr>
            <t>Leadership &amp; Strategy:</t>
          </r>
          <r>
            <rPr>
              <rFont val="Calibri"/>
              <sz val="10"/>
            </rPr>
            <t xml:space="preserve"> 3.5 of 12 · between A3 and B1 — not counted: the weight is 0% at this level — Start: 4.0; Evidence reads like A3: Lists mentoring the team as a main responsibility; two reports → moved down 0.5; Team: 2 direct reports · IC
</t>
          </r>
          <r>
            <rPr>
              <rFont val="Calibri"/>
              <b val="1"/>
              <sz val="10"/>
            </rPr>
            <t>Experience &amp; Qualification:</t>
          </r>
          <r>
            <rPr>
              <rFont val="Calibri"/>
              <sz val="10"/>
            </rPr>
            <t xml:space="preserve"> 8.5 of 12 · between C2 and D1 — Experience: 16.3 yrs total · 16.3 at IRIS; none recorded before IRIS = 8.6 on the experience scale; Qualification: B.Com · graduate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64"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164" s="12" t="inlineStr">
        <is>
          <r>
            <rPr>
              <rFont val="Calibri"/>
              <sz val="10"/>
            </rPr>
            <t xml:space="preserve">✓ HRIS: 16.3 yrs, B.Com, 2 direct reports
✓ Survey: 20 of 20 questions answered
✓ KRAs: submitted, reported deliverables
✓ Manager mapping: rating, potential, 9-box
✓ Job description
</t>
          </r>
          <r>
            <rPr>
              <rFont val="Calibri"/>
              <b val="1"/>
              <sz val="10"/>
            </rPr>
            <t>Confidence:</t>
          </r>
          <r>
            <rPr>
              <rFont val="Calibri"/>
              <sz val="10"/>
            </rPr>
            <t xml:space="preserve"> Low</t>
          </r>
        </is>
      </c>
      <c r="Z164" s="12" t="inlineStr">
        <is>
          <t>—</t>
        </is>
      </c>
      <c r="AA164" s="83" t="inlineStr">
        <is>
          <t>• Confirm the reporting line — Manager</t>
        </is>
      </c>
      <c r="AB16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2 direct reports.
From the survey and manager mapping — critical role: yes; successor named: no.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High Impact / Growth Talent.</t>
          </r>
        </is>
      </c>
      <c r="AC164" s="84" t="n"/>
      <c r="AD164" s="84" t="n"/>
      <c r="AE164" s="84" t="n"/>
      <c r="AF164" s="12" t="n">
        <v>3.5</v>
      </c>
    </row>
    <row r="165" ht="400" customHeight="1">
      <c r="A165" s="12" t="inlineStr">
        <is>
          <t>IRIS2331</t>
        </is>
      </c>
      <c r="B165" s="10" t="inlineStr">
        <is>
          <t>Pritam Kadam</t>
        </is>
      </c>
      <c r="C165" s="12" t="inlineStr">
        <is>
          <t>Support</t>
        </is>
      </c>
      <c r="D165" s="12" t="inlineStr">
        <is>
          <t>Client Support Executive</t>
        </is>
      </c>
      <c r="E165" s="85" t="inlineStr">
        <is>
          <t>Senior Support Executive</t>
        </is>
      </c>
      <c r="F165" s="12" t="inlineStr">
        <is>
          <t>Customer Success &amp; Support</t>
        </is>
      </c>
      <c r="G165" s="12" t="inlineStr">
        <is>
          <t>Application &amp; Product Support</t>
        </is>
      </c>
      <c r="H165" s="12" t="inlineStr">
        <is>
          <t>IC</t>
        </is>
      </c>
      <c r="I165" s="42" t="inlineStr">
        <is>
          <t>L3 – Professional / Associate</t>
        </is>
      </c>
      <c r="J165" s="16" t="inlineStr">
        <is>
          <t>A3</t>
        </is>
      </c>
      <c r="K165" s="17" t="inlineStr">
        <is>
          <t>Senior Associate</t>
        </is>
      </c>
      <c r="L165" s="87" t="inlineStr">
        <is>
          <t>▲ Up</t>
        </is>
      </c>
      <c r="M165" s="12" t="inlineStr">
        <is>
          <t>CARBON · Support · Band A · Early career</t>
        </is>
      </c>
      <c r="N165" s="42" t="n">
        <v>2</v>
      </c>
      <c r="O165" s="42" t="n">
        <v>2</v>
      </c>
      <c r="P165" s="42" t="n">
        <v>2</v>
      </c>
      <c r="Q165" s="42" t="n">
        <v>1</v>
      </c>
      <c r="R165" s="42" t="n">
        <v>4.5</v>
      </c>
      <c r="S165" s="80" t="n">
        <v>2</v>
      </c>
      <c r="T165" s="81">
        <f>IF(OR($M165="",COUNT(N165,O165,P165,Q165,R165,S165)&lt;6),"",IFERROR(N165*INDEX(WM_C,MATCH($M165,WM_KEY,0))+O165*INDEX(WM_AU,MATCH($M165,WM_KEY,0))+P165*INDEX(WM_AC,MATCH($M165,WM_KEY,0))+Q165*INDEX(WM_L,MATCH($M165,WM_KEY,0))+R165*INDEX(WM_E,MATCH($M165,WM_KEY,0))+S165*INDEX(WM_BI,MATCH($M165,WM_KEY,0)),""))</f>
        <v>2.25</v>
      </c>
      <c r="U165" s="42" t="str">
        <f>IF(T165="","",INDEX({"A1","A2","A3","B1","B2","B3","C1","C2","D1","D2","E1","E2"},MAX(1,MIN(12,ROUND(T165,0)))))</f>
        <v>A2</v>
      </c>
      <c r="V165" s="12" t="inlineStr">
        <is>
          <r>
            <rPr>
              <rFont val="Calibri"/>
              <sz val="10"/>
            </rPr>
            <t xml:space="preserve">New level A3 · Senior Associate. Current level on record: L3 – Professional / Associate. Change: ▲ Up.
Score 2.25 on the ladder scale → indicated level A2.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5.7 years' experience is 2 years or more.
</t>
          </r>
          <r>
            <rPr>
              <rFont val="Calibri"/>
              <b val="1"/>
              <sz val="10"/>
            </rPr>
            <t>Final level:</t>
          </r>
          <r>
            <rPr>
              <rFont val="Calibri"/>
              <sz val="10"/>
            </rPr>
            <t xml:space="preserve"> A3.</t>
          </r>
        </is>
      </c>
      <c r="W165" s="12" t="inlineStr">
        <is>
          <r>
            <rPr>
              <rFont val="Calibri"/>
              <b val="1"/>
              <sz val="10"/>
            </rPr>
            <t>Complexity &amp; Expertise:</t>
          </r>
          <r>
            <rPr>
              <rFont val="Calibri"/>
              <sz val="10"/>
            </rPr>
            <t xml:space="preserve"> 2 of 12 — Start: 2.0 · practitioner title; Evidence reads like A2: First-line support: troubleshoots L1 product issues and follows up escalated tickets → matches the start; KRA: “• Maintain an average First Response Time · FRT of &lt; 30 minutes for all inbound tickets. • Achieve ≥ 80% First Contact Resolution · FCR…”
</t>
          </r>
          <r>
            <rPr>
              <rFont val="Calibri"/>
              <b val="1"/>
              <sz val="10"/>
            </rPr>
            <t>Autonomy &amp; Decision:</t>
          </r>
          <r>
            <rPr>
              <rFont val="Calibri"/>
              <sz val="10"/>
            </rPr>
            <t xml:space="preserve"> 2 of 12 — Start: 2.0 · practitioner title; Evidence reads like A2: Troubleshoots L1 issues and updates tickets without approval; escalates to L2/Product → matches the start
</t>
          </r>
          <r>
            <rPr>
              <rFont val="Calibri"/>
              <b val="1"/>
              <sz val="10"/>
            </rPr>
            <t>Accountability &amp; Impact:</t>
          </r>
          <r>
            <rPr>
              <rFont val="Calibri"/>
              <sz val="10"/>
            </rPr>
            <t xml:space="preserve"> 2 of 12 — Start: 2.0 · practitioner title; Evidence reads like A2: Timely resolution of own tickets, SLAs and follow-up on escalations → matches the start; KRA: “• Maintain an average First Response Time · FRT of &lt; 30 minutes for all inbound tickets. • Achieve ≥ 80% First Contact Resolution · FCR…”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4.5 of 12 · between B1 and B2 — Experience: 5.7 yrs total · 4.0 before IRIS + 1.7 at IRIS = 4.1 on the experience scale; Qualification: MBA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65"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165" s="12" t="inlineStr">
        <is>
          <r>
            <rPr>
              <rFont val="Calibri"/>
              <sz val="10"/>
            </rPr>
            <t xml:space="preserve">✓ HRIS: 5.7 yrs, MBA,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165" s="12" t="inlineStr">
        <is>
          <t>—</t>
        </is>
      </c>
      <c r="AA165" s="12" t="inlineStr">
        <is>
          <t>Nothing outstanding</t>
        </is>
      </c>
      <c r="AB16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AC165" s="84" t="n"/>
      <c r="AD165" s="84" t="n"/>
      <c r="AE165" s="84" t="n"/>
      <c r="AF165" s="12" t="n">
        <v>2</v>
      </c>
    </row>
    <row r="166" ht="400" customHeight="1">
      <c r="A166" s="12" t="inlineStr">
        <is>
          <t>IRIS2346</t>
        </is>
      </c>
      <c r="B166" s="10" t="inlineStr">
        <is>
          <t>Ravindra Kanojiya</t>
        </is>
      </c>
      <c r="C166" s="12" t="inlineStr">
        <is>
          <t>Support</t>
        </is>
      </c>
      <c r="D166" s="12" t="inlineStr">
        <is>
          <t>Client Support Executive</t>
        </is>
      </c>
      <c r="E166" s="85" t="inlineStr">
        <is>
          <t>Senior Support Executive</t>
        </is>
      </c>
      <c r="F166" s="12" t="inlineStr">
        <is>
          <t>Customer Success &amp; Support</t>
        </is>
      </c>
      <c r="G166" s="12" t="inlineStr">
        <is>
          <t>Application &amp; Product Support</t>
        </is>
      </c>
      <c r="H166" s="12" t="inlineStr">
        <is>
          <t>IC</t>
        </is>
      </c>
      <c r="I166" s="42" t="inlineStr">
        <is>
          <t>L3 – Professional / Associate</t>
        </is>
      </c>
      <c r="J166" s="16" t="inlineStr">
        <is>
          <t>A3</t>
        </is>
      </c>
      <c r="K166" s="17" t="inlineStr">
        <is>
          <t>Senior Associate</t>
        </is>
      </c>
      <c r="L166" s="87" t="inlineStr">
        <is>
          <t>▲ Up</t>
        </is>
      </c>
      <c r="M166" s="12" t="inlineStr">
        <is>
          <t>CARBON · Support · Band A · Early career</t>
        </is>
      </c>
      <c r="N166" s="42" t="n">
        <v>2</v>
      </c>
      <c r="O166" s="42" t="n">
        <v>2</v>
      </c>
      <c r="P166" s="42" t="n">
        <v>2</v>
      </c>
      <c r="Q166" s="42" t="n">
        <v>1</v>
      </c>
      <c r="R166" s="42" t="n">
        <v>6</v>
      </c>
      <c r="S166" s="80" t="n">
        <v>2</v>
      </c>
      <c r="T166" s="81">
        <f>IF(OR($M166="",COUNT(N166,O166,P166,Q166,R166,S166)&lt;6),"",IFERROR(N166*INDEX(WM_C,MATCH($M166,WM_KEY,0))+O166*INDEX(WM_AU,MATCH($M166,WM_KEY,0))+P166*INDEX(WM_AC,MATCH($M166,WM_KEY,0))+Q166*INDEX(WM_L,MATCH($M166,WM_KEY,0))+R166*INDEX(WM_E,MATCH($M166,WM_KEY,0))+S166*INDEX(WM_BI,MATCH($M166,WM_KEY,0)),""))</f>
        <v>2.4</v>
      </c>
      <c r="U166" s="42" t="str">
        <f>IF(T166="","",INDEX({"A1","A2","A3","B1","B2","B3","C1","C2","D1","D2","E1","E2"},MAX(1,MIN(12,ROUND(T166,0)))))</f>
        <v>A2</v>
      </c>
      <c r="V166" s="12" t="inlineStr">
        <is>
          <r>
            <rPr>
              <rFont val="Calibri"/>
              <sz val="10"/>
            </rPr>
            <t xml:space="preserve">New level A3 · Senior Associate. Current level on record: L3 – Professional / Associate. Change: ▲ Up.
Score 2.40 on the ladder scale → indicated level A2.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8.3 years' experience is 2 years or more.
</t>
          </r>
          <r>
            <rPr>
              <rFont val="Calibri"/>
              <b val="1"/>
              <sz val="10"/>
            </rPr>
            <t>Final level:</t>
          </r>
          <r>
            <rPr>
              <rFont val="Calibri"/>
              <sz val="10"/>
            </rPr>
            <t xml:space="preserve"> A3.</t>
          </r>
        </is>
      </c>
      <c r="W166" s="12" t="inlineStr">
        <is>
          <r>
            <rPr>
              <rFont val="Calibri"/>
              <b val="1"/>
              <sz val="10"/>
            </rPr>
            <t>Complexity &amp; Expertise:</t>
          </r>
          <r>
            <rPr>
              <rFont val="Calibri"/>
              <sz val="10"/>
            </rPr>
            <t xml:space="preserve"> 2 of 12 — Start: 2.0 · practitioner title; Evidence reads like A2: Handles known issues on DM and Carbon; checks prior SEC filings for tagging styles → matches the start; KRA: “• Maintain an average First Response Time · FRT of &lt; 30 minutes for all inbound tickets. • Achieve ≥ 80% First Contact Resolution · FCR…”
</t>
          </r>
          <r>
            <rPr>
              <rFont val="Calibri"/>
              <b val="1"/>
              <sz val="10"/>
            </rPr>
            <t>Autonomy &amp; Decision:</t>
          </r>
          <r>
            <rPr>
              <rFont val="Calibri"/>
              <sz val="10"/>
            </rPr>
            <t xml:space="preserve"> 2 of 12 — Start: 2.0 · practitioner title; Evidence reads like A2: Handles known issues; coordinates with Product team for others → matches the start
</t>
          </r>
          <r>
            <rPr>
              <rFont val="Calibri"/>
              <b val="1"/>
              <sz val="10"/>
            </rPr>
            <t>Accountability &amp; Impact:</t>
          </r>
          <r>
            <rPr>
              <rFont val="Calibri"/>
              <sz val="10"/>
            </rPr>
            <t xml:space="preserve"> 2 of 12 — Start: 2.0 · practitioner title; Evidence reads like A2: Timely responses to client queries; errors matter at filing deadlines → matches the start; KRA: “• Maintain an average First Response Time · FRT of &lt; 30 minutes for all inbound tickets. • Achieve ≥ 80% First Contact Resolution · FCR…”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6 of 12 — Experience: 8.3 yrs total · 6.7 before IRIS + 1.6 at IRIS = 5.3 on the experience scale; Qualification: MBA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66"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166" s="12" t="inlineStr">
        <is>
          <r>
            <rPr>
              <rFont val="Calibri"/>
              <sz val="10"/>
            </rPr>
            <t xml:space="preserve">✓ HRIS: 8.3 yrs, MBA,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166" s="12" t="inlineStr">
        <is>
          <t>—</t>
        </is>
      </c>
      <c r="AA166" s="12" t="inlineStr">
        <is>
          <t>Nothing outstanding</t>
        </is>
      </c>
      <c r="AB16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Low · 9-Box Grid placement: Core Contributor.</t>
          </r>
        </is>
      </c>
      <c r="AC166" s="84" t="n"/>
      <c r="AD166" s="84" t="n"/>
      <c r="AE166" s="84" t="n"/>
      <c r="AF166" s="12" t="n">
        <v>2</v>
      </c>
    </row>
    <row r="167" ht="400" customHeight="1">
      <c r="A167" s="12" t="inlineStr">
        <is>
          <t>IRIS2448</t>
        </is>
      </c>
      <c r="B167" s="10" t="inlineStr">
        <is>
          <t>Samiksha Kadam</t>
        </is>
      </c>
      <c r="C167" s="12" t="inlineStr">
        <is>
          <t>Support</t>
        </is>
      </c>
      <c r="D167" s="12" t="inlineStr">
        <is>
          <t>Customer Engagement Executive</t>
        </is>
      </c>
      <c r="E167" s="85" t="inlineStr">
        <is>
          <t>Senior Customer Success Executive</t>
        </is>
      </c>
      <c r="F167" s="12" t="inlineStr">
        <is>
          <t>Customer Success &amp; Support</t>
        </is>
      </c>
      <c r="G167" s="12" t="inlineStr">
        <is>
          <t>Customer Success &amp; Account Management</t>
        </is>
      </c>
      <c r="H167" s="12" t="inlineStr">
        <is>
          <t>IC</t>
        </is>
      </c>
      <c r="I167" s="42" t="inlineStr">
        <is>
          <t>L3 – Professional / Associate</t>
        </is>
      </c>
      <c r="J167" s="16" t="inlineStr">
        <is>
          <t>A3</t>
        </is>
      </c>
      <c r="K167" s="17" t="inlineStr">
        <is>
          <t>Senior Associate</t>
        </is>
      </c>
      <c r="L167" s="87" t="inlineStr">
        <is>
          <t>▲ Up</t>
        </is>
      </c>
      <c r="M167" s="12" t="inlineStr">
        <is>
          <t>CARBON · Support · Band A · Early career</t>
        </is>
      </c>
      <c r="N167" s="42" t="n">
        <v>2.5</v>
      </c>
      <c r="O167" s="42" t="n">
        <v>2</v>
      </c>
      <c r="P167" s="42" t="n">
        <v>3</v>
      </c>
      <c r="Q167" s="42" t="n">
        <v>1</v>
      </c>
      <c r="R167" s="42" t="n">
        <v>6</v>
      </c>
      <c r="S167" s="80" t="n">
        <v>3.5</v>
      </c>
      <c r="T167" s="81">
        <f>IF(OR($M167="",COUNT(N167,O167,P167,Q167,R167,S167)&lt;6),"",IFERROR(N167*INDEX(WM_C,MATCH($M167,WM_KEY,0))+O167*INDEX(WM_AU,MATCH($M167,WM_KEY,0))+P167*INDEX(WM_AC,MATCH($M167,WM_KEY,0))+Q167*INDEX(WM_L,MATCH($M167,WM_KEY,0))+R167*INDEX(WM_E,MATCH($M167,WM_KEY,0))+S167*INDEX(WM_BI,MATCH($M167,WM_KEY,0)),""))</f>
        <v>2.925</v>
      </c>
      <c r="U167" s="42" t="str">
        <f>IF(T167="","",INDEX({"A1","A2","A3","B1","B2","B3","C1","C2","D1","D2","E1","E2"},MAX(1,MIN(12,ROUND(T167,0)))))</f>
        <v>A3</v>
      </c>
      <c r="V167" s="12" t="inlineStr">
        <is>
          <r>
            <rPr>
              <rFont val="Calibri"/>
              <sz val="10"/>
            </rPr>
            <t xml:space="preserve">New level A3 · Senior Associate. Current level on record: L3 – Professional / Associate. Change: ▲ Up.
Score 2.93 on the ladder scale → indicated level A3.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67" s="12" t="inlineStr">
        <is>
          <r>
            <rPr>
              <rFont val="Calibri"/>
              <b val="1"/>
              <sz val="10"/>
            </rPr>
            <t>Complexity &amp; Expertise:</t>
          </r>
          <r>
            <rPr>
              <rFont val="Calibri"/>
              <sz val="10"/>
            </rPr>
            <t xml:space="preserve"> 2.5 of 12 · between A2 and A3 — Start: 2.0 · practitioner title; Evidence reads like A3: Client enablement, renewals, upsell and cross-sell plus data analysis and sanitisation in CRM → moved up 0.5; KRA: “Net Revenue Retention - 105% Target ARR - to be achieved Rs. 10,50,000 per quarter - Cross Sell 90% reach value milestone in 90 days​…”
</t>
          </r>
          <r>
            <rPr>
              <rFont val="Calibri"/>
              <b val="1"/>
              <sz val="10"/>
            </rPr>
            <t>Autonomy &amp; Decision:</t>
          </r>
          <r>
            <rPr>
              <rFont val="Calibri"/>
              <sz val="10"/>
            </rPr>
            <t xml:space="preserve"> 2 of 12 — Start: 2.0 · practitioner title; Evidence reads like A2: Decides independently only on trainings → matches the start
</t>
          </r>
          <r>
            <rPr>
              <rFont val="Calibri"/>
              <b val="1"/>
              <sz val="10"/>
            </rPr>
            <t>Accountability &amp; Impact:</t>
          </r>
          <r>
            <rPr>
              <rFont val="Calibri"/>
              <sz val="10"/>
            </rPr>
            <t xml:space="preserve"> 3 of 12 — Start: 2.0 · practitioner title; Evidence reads like B1: own survey / KRA answers · summarised by the rater; not quoted → moved up 1; KRA: “Net Revenue Retention - 105% Target ARR - to be achieved Rs. 10,50,000 per quarter - Cross Sell 90% reach value milestone in 90 days​…”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6 of 12 — Experience: 9.8 yrs total · 9.0 before IRIS + 0.8 at IRIS = 5.9 on the experience scale; Qualification: BMS · graduate, relevant to the work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67"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167" s="12" t="inlineStr">
        <is>
          <r>
            <rPr>
              <rFont val="Calibri"/>
              <sz val="10"/>
            </rPr>
            <t xml:space="preserve">✓ HRIS: 9.8 yrs, BMS,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167" s="12" t="inlineStr">
        <is>
          <t>—</t>
        </is>
      </c>
      <c r="AA167" s="12" t="inlineStr">
        <is>
          <t>Nothing outstanding</t>
        </is>
      </c>
      <c r="AB16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yes.
</t>
          </r>
          <r>
            <rPr>
              <rFont val="Calibri"/>
              <b val="1"/>
              <sz val="10"/>
            </rPr>
            <t>If the work is missed · role-holders' themes:</t>
          </r>
          <r>
            <rPr>
              <rFont val="Calibri"/>
              <sz val="10"/>
            </rPr>
            <t xml:space="preserve"> business · impact · revenue.
Manager talent mapping — Latest rating: 3 · Potential: Medium · 9-Box Grid placement: Core Contributor.</t>
          </r>
        </is>
      </c>
      <c r="AC167" s="84" t="n"/>
      <c r="AD167" s="84" t="n"/>
      <c r="AE167" s="84" t="n"/>
      <c r="AF167" s="12" t="n">
        <v>3.5</v>
      </c>
    </row>
    <row r="168" ht="400" customHeight="1">
      <c r="A168" s="12" t="inlineStr">
        <is>
          <t>IRIS2494</t>
        </is>
      </c>
      <c r="B168" s="10" t="inlineStr">
        <is>
          <t>Shruti Samant</t>
        </is>
      </c>
      <c r="C168" s="12" t="inlineStr">
        <is>
          <t>Support</t>
        </is>
      </c>
      <c r="D168" s="12" t="inlineStr">
        <is>
          <t>Executive- Customer Support</t>
        </is>
      </c>
      <c r="E168" s="85" t="inlineStr">
        <is>
          <t>Senior Support Executive</t>
        </is>
      </c>
      <c r="F168" s="12" t="inlineStr">
        <is>
          <t>Customer Success &amp; Support</t>
        </is>
      </c>
      <c r="G168" s="12" t="inlineStr">
        <is>
          <t>Application &amp; Product Support</t>
        </is>
      </c>
      <c r="H168" s="12" t="inlineStr">
        <is>
          <t>IC</t>
        </is>
      </c>
      <c r="I168" s="42" t="inlineStr">
        <is>
          <t>L3 – Professional / Associate</t>
        </is>
      </c>
      <c r="J168" s="16" t="inlineStr">
        <is>
          <t>A3</t>
        </is>
      </c>
      <c r="K168" s="17" t="inlineStr">
        <is>
          <t>Senior Associate</t>
        </is>
      </c>
      <c r="L168" s="87" t="inlineStr">
        <is>
          <t>▲ Up</t>
        </is>
      </c>
      <c r="M168" s="12" t="inlineStr">
        <is>
          <t>CARBON · Support · Band A · Early career</t>
        </is>
      </c>
      <c r="N168" s="42" t="n">
        <v>2</v>
      </c>
      <c r="O168" s="42" t="n">
        <v>2</v>
      </c>
      <c r="P168" s="42" t="n">
        <v>2</v>
      </c>
      <c r="Q168" s="42" t="n">
        <v>1</v>
      </c>
      <c r="R168" s="42" t="n">
        <v>3.5</v>
      </c>
      <c r="S168" s="80" t="n">
        <v>2</v>
      </c>
      <c r="T168" s="81">
        <f>IF(OR($M168="",COUNT(N168,O168,P168,Q168,R168,S168)&lt;6),"",IFERROR(N168*INDEX(WM_C,MATCH($M168,WM_KEY,0))+O168*INDEX(WM_AU,MATCH($M168,WM_KEY,0))+P168*INDEX(WM_AC,MATCH($M168,WM_KEY,0))+Q168*INDEX(WM_L,MATCH($M168,WM_KEY,0))+R168*INDEX(WM_E,MATCH($M168,WM_KEY,0))+S168*INDEX(WM_BI,MATCH($M168,WM_KEY,0)),""))</f>
        <v>2.15</v>
      </c>
      <c r="U168" s="42" t="str">
        <f>IF(T168="","",INDEX({"A1","A2","A3","B1","B2","B3","C1","C2","D1","D2","E1","E2"},MAX(1,MIN(12,ROUND(T168,0)))))</f>
        <v>A2</v>
      </c>
      <c r="V168"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3.5 years' experience is 2 years or more.
</t>
          </r>
          <r>
            <rPr>
              <rFont val="Calibri"/>
              <b val="1"/>
              <sz val="10"/>
            </rPr>
            <t>Final level:</t>
          </r>
          <r>
            <rPr>
              <rFont val="Calibri"/>
              <sz val="10"/>
            </rPr>
            <t xml:space="preserve"> A3.</t>
          </r>
        </is>
      </c>
      <c r="W168" s="12" t="inlineStr">
        <is>
          <r>
            <rPr>
              <rFont val="Calibri"/>
              <b val="1"/>
              <sz val="10"/>
            </rPr>
            <t>Complexity &amp; Expertise:</t>
          </r>
          <r>
            <rPr>
              <rFont val="Calibri"/>
              <sz val="10"/>
            </rPr>
            <t xml:space="preserve"> 2 of 12 — Start: 2.0 · practitioner title; Evidence reads like A2: First-level support: handles tickets and resolves issues using platform knowledge → matches the start; KRA: “• Maintain an average First Response Time · FRT of &lt; 30 minutes for all inbound tickets. • Achieve ≥ 80% First Contact Resolution · FCR…”
</t>
          </r>
          <r>
            <rPr>
              <rFont val="Calibri"/>
              <b val="1"/>
              <sz val="10"/>
            </rPr>
            <t>Autonomy &amp; Decision:</t>
          </r>
          <r>
            <rPr>
              <rFont val="Calibri"/>
              <sz val="10"/>
            </rPr>
            <t xml:space="preserve"> 2 of 12 — Start: 2.0 · practitioner title; Evidence reads like A2: Prioritises tickets; no other decisions stated → matches the start
</t>
          </r>
          <r>
            <rPr>
              <rFont val="Calibri"/>
              <b val="1"/>
              <sz val="10"/>
            </rPr>
            <t>Accountability &amp; Impact:</t>
          </r>
          <r>
            <rPr>
              <rFont val="Calibri"/>
              <sz val="10"/>
            </rPr>
            <t xml:space="preserve"> 2 of 12 — Start: 2.0 · practitioner title; Evidence reads like A2: own survey / KRA answers · summarised by the rater; not quoted → matches the start; KRA: “• Maintain an average First Response Time · FRT of &lt; 30 minutes for all inbound tickets. • Achieve ≥ 80% First Contact Resolution · FCR…”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3.5 of 12 · between A3 and B1 — Experience: 3.5 yrs total · 3.0 before IRIS + 0.5 at IRIS = 3.2 on the experience scale; Qualification: PGDM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68"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168" s="12" t="inlineStr">
        <is>
          <r>
            <rPr>
              <rFont val="Calibri"/>
              <sz val="10"/>
            </rPr>
            <t xml:space="preserve">✓ HRIS: 3.5 yrs, PGDM, 0 direct reports
✓ Survey: 19 of 20 questions answered
✓ KRAs: submitted, reported deliverables
✓ Manager mapping: rating, potential, 9-box
✓ Job description
</t>
          </r>
          <r>
            <rPr>
              <rFont val="Calibri"/>
              <b val="1"/>
              <sz val="10"/>
            </rPr>
            <t>Confidence:</t>
          </r>
          <r>
            <rPr>
              <rFont val="Calibri"/>
              <sz val="10"/>
            </rPr>
            <t xml:space="preserve"> Medium</t>
          </r>
        </is>
      </c>
      <c r="Z168" s="12" t="inlineStr">
        <is>
          <t>—</t>
        </is>
      </c>
      <c r="AA168" s="12" t="inlineStr">
        <is>
          <t>Nothing outstanding</t>
        </is>
      </c>
      <c r="AB16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2 · Potential: Medium · 9-Box Grid placement: Emerging Talent.</t>
          </r>
        </is>
      </c>
      <c r="AC168" s="84" t="n"/>
      <c r="AD168" s="84" t="n"/>
      <c r="AE168" s="84" t="n"/>
      <c r="AF168" s="12" t="n">
        <v>2</v>
      </c>
    </row>
    <row r="169" ht="400" customHeight="1">
      <c r="A169" s="12" t="inlineStr">
        <is>
          <t>IRIS2096</t>
        </is>
      </c>
      <c r="B169" s="10" t="inlineStr">
        <is>
          <t>Sweety Mukherjee</t>
        </is>
      </c>
      <c r="C169" s="12" t="inlineStr">
        <is>
          <t>Support</t>
        </is>
      </c>
      <c r="D169" s="12" t="inlineStr">
        <is>
          <t>Executive- Customer Support</t>
        </is>
      </c>
      <c r="E169" s="85" t="inlineStr">
        <is>
          <t>Senior Support Executive</t>
        </is>
      </c>
      <c r="F169" s="12" t="inlineStr">
        <is>
          <t>Customer Success &amp; Support</t>
        </is>
      </c>
      <c r="G169" s="12" t="inlineStr">
        <is>
          <t>Application &amp; Product Support</t>
        </is>
      </c>
      <c r="H169" s="12" t="inlineStr">
        <is>
          <t>IC</t>
        </is>
      </c>
      <c r="I169" s="42" t="inlineStr">
        <is>
          <t>L3 – Professional / Associate</t>
        </is>
      </c>
      <c r="J169" s="16" t="inlineStr">
        <is>
          <t>A3</t>
        </is>
      </c>
      <c r="K169" s="17" t="inlineStr">
        <is>
          <t>Senior Associate</t>
        </is>
      </c>
      <c r="L169" s="87" t="inlineStr">
        <is>
          <t>▲ Up</t>
        </is>
      </c>
      <c r="M169" s="12" t="inlineStr">
        <is>
          <t>CARBON · Support · Band A · Early career</t>
        </is>
      </c>
      <c r="N169" s="42" t="n">
        <v>2</v>
      </c>
      <c r="O169" s="42" t="n">
        <v>2</v>
      </c>
      <c r="P169" s="42" t="n">
        <v>2</v>
      </c>
      <c r="Q169" s="42" t="n">
        <v>1</v>
      </c>
      <c r="R169" s="42" t="n">
        <v>5</v>
      </c>
      <c r="S169" s="80" t="n">
        <v>2</v>
      </c>
      <c r="T169" s="81">
        <f>IF(OR($M169="",COUNT(N169,O169,P169,Q169,R169,S169)&lt;6),"",IFERROR(N169*INDEX(WM_C,MATCH($M169,WM_KEY,0))+O169*INDEX(WM_AU,MATCH($M169,WM_KEY,0))+P169*INDEX(WM_AC,MATCH($M169,WM_KEY,0))+Q169*INDEX(WM_L,MATCH($M169,WM_KEY,0))+R169*INDEX(WM_E,MATCH($M169,WM_KEY,0))+S169*INDEX(WM_BI,MATCH($M169,WM_KEY,0)),""))</f>
        <v>2.3</v>
      </c>
      <c r="U169" s="42" t="str">
        <f>IF(T169="","",INDEX({"A1","A2","A3","B1","B2","B3","C1","C2","D1","D2","E1","E2"},MAX(1,MIN(12,ROUND(T169,0)))))</f>
        <v>A2</v>
      </c>
      <c r="V169" s="12" t="inlineStr">
        <is>
          <r>
            <rPr>
              <rFont val="Calibri"/>
              <sz val="10"/>
            </rPr>
            <t xml:space="preserve">New level A3 · Senior Associate. Current level on record: L3 – Professional / Associate. Change: ▲ Up.
Score 2.30 on the ladder scale → indicated level A2.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7 years' experience is 2 years or more.
</t>
          </r>
          <r>
            <rPr>
              <rFont val="Calibri"/>
              <b val="1"/>
              <sz val="10"/>
            </rPr>
            <t>Final level:</t>
          </r>
          <r>
            <rPr>
              <rFont val="Calibri"/>
              <sz val="10"/>
            </rPr>
            <t xml:space="preserve"> A3.</t>
          </r>
        </is>
      </c>
      <c r="W169" s="12" t="inlineStr">
        <is>
          <r>
            <rPr>
              <rFont val="Calibri"/>
              <b val="1"/>
              <sz val="10"/>
            </rPr>
            <t>Complexity &amp; Expertise:</t>
          </r>
          <r>
            <rPr>
              <rFont val="Calibri"/>
              <sz val="10"/>
            </rPr>
            <t xml:space="preserve"> 2 of 12 — Start: 2.0 · practitioner title; Evidence reads like A2: Resolves routine customer issues and basic complaints with standard solutions; some testing → matches the start; KRA: “• Maintain an average First Response Time · FRT of &lt; 30 minutes for all inbound tickets. • Achieve ≥ 80% First Contact Resolution · FCR…”
</t>
          </r>
          <r>
            <rPr>
              <rFont val="Calibri"/>
              <b val="1"/>
              <sz val="10"/>
            </rPr>
            <t>Autonomy &amp; Decision:</t>
          </r>
          <r>
            <rPr>
              <rFont val="Calibri"/>
              <sz val="10"/>
            </rPr>
            <t xml:space="preserve"> 2 of 12 — Start: 2.0 · practitioner title; Evidence reads like A2: Resolves routine issues, handles basic complaints, gives standard solutions → matches the start
</t>
          </r>
          <r>
            <rPr>
              <rFont val="Calibri"/>
              <b val="1"/>
              <sz val="10"/>
            </rPr>
            <t>Accountability &amp; Impact:</t>
          </r>
          <r>
            <rPr>
              <rFont val="Calibri"/>
              <sz val="10"/>
            </rPr>
            <t xml:space="preserve"> 2 of 12 — Start: 2.0 · practitioner title; Evidence reads like A2: Timely, accurate responses on own customer complaints → matches the start; KRA: “• Maintain an average First Response Time · FRT of &lt; 30 minutes for all inbound tickets. • Achieve ≥ 80% First Contact Resolution · FCR…”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5 of 12 — Experience: 7.0 yrs total · 3.3 before IRIS + 3.7 at IRIS = 4.8 on the experience scale; Qualification: BCA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69"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169" s="12" t="inlineStr">
        <is>
          <r>
            <rPr>
              <rFont val="Calibri"/>
              <sz val="10"/>
            </rPr>
            <t xml:space="preserve">✓ HRIS: 7.0 yrs, BCA,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169" s="12" t="inlineStr">
        <is>
          <t>—</t>
        </is>
      </c>
      <c r="AA169" s="12" t="inlineStr">
        <is>
          <t>Nothing outstanding</t>
        </is>
      </c>
      <c r="AB16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rework · incorrect · customer · client · dissatisfaction.
</t>
          </r>
          <r>
            <rPr>
              <rFont val="Calibri"/>
              <b val="1"/>
              <sz val="10"/>
            </rPr>
            <t>Measured on · manager-set KRA themes:</t>
          </r>
          <r>
            <rPr>
              <rFont val="Calibri"/>
              <sz val="10"/>
            </rPr>
            <t xml:space="preserve"> resolve · accounts · maintain accurate · accurate up-to-date · escalations owned · tickets/queries sla.
Manager talent mapping — Latest rating: 3 · Potential: Medium · 9-Box Grid placement: Core Contributor.</t>
          </r>
        </is>
      </c>
      <c r="AC169" s="84" t="n"/>
      <c r="AD169" s="84" t="n"/>
      <c r="AE169" s="84" t="n"/>
      <c r="AF169" s="12" t="n">
        <v>2</v>
      </c>
    </row>
    <row r="170" ht="400" customHeight="1">
      <c r="A170" s="12" t="inlineStr">
        <is>
          <t>IRISC184</t>
        </is>
      </c>
      <c r="B170" s="10" t="inlineStr">
        <is>
          <t>Tanya Dhere</t>
        </is>
      </c>
      <c r="C170" s="12" t="inlineStr">
        <is>
          <t>Support</t>
        </is>
      </c>
      <c r="D170" s="12" t="inlineStr">
        <is>
          <t>Consultant</t>
        </is>
      </c>
      <c r="E170" s="85" t="inlineStr">
        <is>
          <t>Senior Customer Success Executive</t>
        </is>
      </c>
      <c r="F170" s="12" t="inlineStr">
        <is>
          <t>Customer Success &amp; Support</t>
        </is>
      </c>
      <c r="G170" s="12" t="inlineStr">
        <is>
          <t>Customer Success &amp; Account Management</t>
        </is>
      </c>
      <c r="H170" s="12" t="inlineStr">
        <is>
          <t>IC</t>
        </is>
      </c>
      <c r="I170" s="42" t="inlineStr">
        <is>
          <t>L3 – Professional / Associate</t>
        </is>
      </c>
      <c r="J170" s="16" t="inlineStr">
        <is>
          <t>A3</t>
        </is>
      </c>
      <c r="K170" s="17" t="inlineStr">
        <is>
          <t>Senior Associate</t>
        </is>
      </c>
      <c r="L170" s="87" t="inlineStr">
        <is>
          <t>▲ Up</t>
        </is>
      </c>
      <c r="M170" s="12" t="inlineStr">
        <is>
          <t>CARBON · Support · Band A · Early career</t>
        </is>
      </c>
      <c r="N170" s="42" t="n">
        <v>2.5</v>
      </c>
      <c r="O170" s="42" t="n">
        <v>2</v>
      </c>
      <c r="P170" s="42" t="n">
        <v>2.5</v>
      </c>
      <c r="Q170" s="42" t="n">
        <v>1</v>
      </c>
      <c r="R170" s="42" t="n">
        <v>7.5</v>
      </c>
      <c r="S170" s="80" t="n">
        <v>2.5</v>
      </c>
      <c r="T170" s="81">
        <f>IF(OR($M170="",COUNT(N170,O170,P170,Q170,R170,S170)&lt;6),"",IFERROR(N170*INDEX(WM_C,MATCH($M170,WM_KEY,0))+O170*INDEX(WM_AU,MATCH($M170,WM_KEY,0))+P170*INDEX(WM_AC,MATCH($M170,WM_KEY,0))+Q170*INDEX(WM_L,MATCH($M170,WM_KEY,0))+R170*INDEX(WM_E,MATCH($M170,WM_KEY,0))+S170*INDEX(WM_BI,MATCH($M170,WM_KEY,0)),""))</f>
        <v>2.92</v>
      </c>
      <c r="U170" s="42" t="str">
        <f>IF(T170="","",INDEX({"A1","A2","A3","B1","B2","B3","C1","C2","D1","D2","E1","E2"},MAX(1,MIN(12,ROUND(T170,0)))))</f>
        <v>A3</v>
      </c>
      <c r="V170" s="12" t="inlineStr">
        <is>
          <r>
            <rPr>
              <rFont val="Calibri"/>
              <sz val="10"/>
            </rPr>
            <t xml:space="preserve">New level A3 · Senior Associate. Current level on record: L3 – Professional / Associate. Change: ▲ Up.
Score 2.92 on the ladder scale → indicated level A3.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0" s="12" t="inlineStr">
        <is>
          <r>
            <rPr>
              <rFont val="Calibri"/>
              <b val="1"/>
              <sz val="10"/>
            </rPr>
            <t>Complexity &amp; Expertise:</t>
          </r>
          <r>
            <rPr>
              <rFont val="Calibri"/>
              <sz val="10"/>
            </rPr>
            <t xml:space="preserve"> 2.5 of 12 · between A2 and A3 — Start: 2.0 · practitioner title; Evidence reads like A3: Invoicing, proposals, legal documentation, receivables; mediates between service, client and auditors → moved up 0.5
</t>
          </r>
          <r>
            <rPr>
              <rFont val="Calibri"/>
              <b val="1"/>
              <sz val="10"/>
            </rPr>
            <t>Autonomy &amp; Decision:</t>
          </r>
          <r>
            <rPr>
              <rFont val="Calibri"/>
              <sz val="10"/>
            </rPr>
            <t xml:space="preserve"> 2 of 12 — Start: 2.0 · practitioner title; Evidence reads like A2: Handles daily work alone; manager covers urgent items when absent; no decisions stated → matches the start
</t>
          </r>
          <r>
            <rPr>
              <rFont val="Calibri"/>
              <b val="1"/>
              <sz val="10"/>
            </rPr>
            <t>Accountability &amp; Impact:</t>
          </r>
          <r>
            <rPr>
              <rFont val="Calibri"/>
              <sz val="10"/>
            </rPr>
            <t xml:space="preserve"> 2.5 of 12 · between A2 and A3 — Start: 2.0 · practitioner title; Evidence reads like A3: Invoices, outstanding payments, renewal and legal documentation; direct revenue impact → moved up 0.5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7.5 of 12 · between C1 and C2 — Experience: 13.0 yrs total · 7.0 before IRIS + 6.0 at IRIS = 7.4 on the experience scale; Qualification: B.Com · graduate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70" s="12" t="inlineStr">
        <is>
          <r>
            <rPr>
              <rFont val="Calibri"/>
              <b val="1"/>
              <sz val="10"/>
            </rPr>
            <t>Market level:</t>
          </r>
          <r>
            <rPr>
              <rFont val="Calibri"/>
              <sz val="10"/>
            </rPr>
            <t xml:space="preserve"> P2 · SFIA 3 Apply
</t>
          </r>
          <r>
            <rPr>
              <rFont val="Calibri"/>
              <b val="1"/>
              <sz val="10"/>
            </rPr>
            <t>Typical title:</t>
          </r>
          <r>
            <rPr>
              <rFont val="Calibri"/>
              <sz val="10"/>
            </rPr>
            <t xml:space="preserve"> Support / CS Executive
</t>
          </r>
          <r>
            <rPr>
              <rFont val="Calibri"/>
              <b val="1"/>
              <sz val="10"/>
            </rPr>
            <t>At peers:</t>
          </r>
          <r>
            <rPr>
              <rFont val="Calibri"/>
              <sz val="10"/>
            </rPr>
            <t xml:space="preserve"> IRIS Vs Competitor Benchmark — SaaS customer-success ladder: Associate CSM · Regnology – Product Support Specialist · Reg Reporting · IRIS Vs Competitor Benchmark — support tiers: L2 Application Support
</t>
          </r>
          <r>
            <rPr>
              <rFont val="Calibri"/>
              <b val="1"/>
              <sz val="10"/>
            </rPr>
            <t>Typical experience:</t>
          </r>
          <r>
            <rPr>
              <rFont val="Calibri"/>
              <sz val="10"/>
            </rPr>
            <t xml:space="preserve"> 2–5 yrs · IRIS guide 2–4
</t>
          </r>
          <r>
            <rPr>
              <rFont val="Calibri"/>
              <b val="1"/>
              <sz val="10"/>
            </rPr>
            <t>Standard:</t>
          </r>
          <r>
            <rPr>
              <rFont val="Calibri"/>
              <sz val="10"/>
            </rPr>
            <t xml:space="preserve"> TSIA frameworks and benchmarks; ITIL 4 service desk</t>
          </r>
        </is>
      </c>
      <c r="Y170" s="12" t="inlineStr">
        <is>
          <r>
            <rPr>
              <rFont val="Calibri"/>
              <sz val="10"/>
            </rPr>
            <t xml:space="preserve">✓ HRIS: 13.0 yrs, B.Com, 0 direct reports
✓ Survey: 19 of 20 questions answered
✓ KRAs: reported deliverables
✓ Manager mapping: rating, potential, 9-box
✗ Job description: not on file
</t>
          </r>
          <r>
            <rPr>
              <rFont val="Calibri"/>
              <b val="1"/>
              <sz val="10"/>
            </rPr>
            <t>Confidence:</t>
          </r>
          <r>
            <rPr>
              <rFont val="Calibri"/>
              <sz val="10"/>
            </rPr>
            <t xml:space="preserve"> Medium</t>
          </r>
        </is>
      </c>
      <c r="Z170" s="12" t="inlineStr">
        <is>
          <t>—</t>
        </is>
      </c>
      <c r="AA170" s="12" t="inlineStr">
        <is>
          <t>Nothing outstanding</t>
        </is>
      </c>
      <c r="AB17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business · impact · revenue.
Manager talent mapping — Latest rating: 3 · Potential: Low · 9-Box Grid placement: Reliable Specialist.</t>
          </r>
        </is>
      </c>
      <c r="AC170" s="84" t="n"/>
      <c r="AD170" s="84" t="n"/>
      <c r="AE170" s="84" t="n"/>
      <c r="AF170" s="12" t="n">
        <v>2.5</v>
      </c>
    </row>
    <row r="171" ht="400" customHeight="1">
      <c r="A171" s="12" t="inlineStr">
        <is>
          <t>IRIS0118</t>
        </is>
      </c>
      <c r="B171" s="10" t="inlineStr">
        <is>
          <t>Mayur Narvekar</t>
        </is>
      </c>
      <c r="C171" s="12" t="inlineStr">
        <is>
          <t>Support</t>
        </is>
      </c>
      <c r="D171" s="12" t="inlineStr">
        <is>
          <t>Image Processing Specialist</t>
        </is>
      </c>
      <c r="E171" s="85" t="inlineStr">
        <is>
          <t>MIS Specialist</t>
        </is>
      </c>
      <c r="F171" s="12" t="inlineStr">
        <is>
          <t>Data &amp; Analytics</t>
        </is>
      </c>
      <c r="G171" s="12" t="inlineStr">
        <is>
          <t>MIS &amp; Business Reporting</t>
        </is>
      </c>
      <c r="H171" s="12" t="inlineStr">
        <is>
          <t>IC</t>
        </is>
      </c>
      <c r="I171" s="42" t="inlineStr">
        <is>
          <t>L3 – Professional / Associate</t>
        </is>
      </c>
      <c r="J171" s="16" t="inlineStr">
        <is>
          <t>A3</t>
        </is>
      </c>
      <c r="K171" s="17" t="inlineStr">
        <is>
          <t>Senior Associate</t>
        </is>
      </c>
      <c r="L171" s="87" t="inlineStr">
        <is>
          <t>▲ Up</t>
        </is>
      </c>
      <c r="M171" s="12" t="inlineStr">
        <is>
          <t>CARBON · Support · Band A · Early career</t>
        </is>
      </c>
      <c r="N171" s="42" t="n">
        <v>3</v>
      </c>
      <c r="O171" s="42" t="n">
        <v>2.5</v>
      </c>
      <c r="P171" s="42" t="n">
        <v>3</v>
      </c>
      <c r="Q171" s="42" t="n">
        <v>1.5</v>
      </c>
      <c r="R171" s="42" t="n">
        <v>9.5</v>
      </c>
      <c r="S171" s="80" t="n">
        <v>3</v>
      </c>
      <c r="T171" s="81">
        <f>IF(OR($M171="",COUNT(N171,O171,P171,Q171,R171,S171)&lt;6),"",IFERROR(N171*INDEX(WM_C,MATCH($M171,WM_KEY,0))+O171*INDEX(WM_AU,MATCH($M171,WM_KEY,0))+P171*INDEX(WM_AC,MATCH($M171,WM_KEY,0))+Q171*INDEX(WM_L,MATCH($M171,WM_KEY,0))+R171*INDEX(WM_E,MATCH($M171,WM_KEY,0))+S171*INDEX(WM_BI,MATCH($M171,WM_KEY,0)),""))</f>
        <v>3.57</v>
      </c>
      <c r="U171" s="42" t="str">
        <f>IF(T171="","",INDEX({"A1","A2","A3","B1","B2","B3","C1","C2","D1","D2","E1","E2"},MAX(1,MIN(12,ROUND(T171,0)))))</f>
        <v>B1</v>
      </c>
      <c r="V171" s="12" t="inlineStr">
        <is>
          <r>
            <rPr>
              <rFont val="Calibri"/>
              <sz val="10"/>
            </rPr>
            <t xml:space="preserve">New level A3 · Senior Associate. Current level on record: L3 – Professional / Associate. Change: ▲ Up.
Score 3.57 on the ladder scale → indicated level B1.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Stays at A3, the top of Band A:</t>
          </r>
          <r>
            <rPr>
              <rFont val="Calibri"/>
              <sz val="10"/>
            </rPr>
            <t xml:space="preserve"> to enter Band B the score must reach 3.5 on Band B's own weights, and it is 3.49.
</t>
          </r>
          <r>
            <rPr>
              <rFont val="Calibri"/>
              <b val="1"/>
              <sz val="10"/>
            </rPr>
            <t>Final level:</t>
          </r>
          <r>
            <rPr>
              <rFont val="Calibri"/>
              <sz val="10"/>
            </rPr>
            <t xml:space="preserve"> A3.</t>
          </r>
        </is>
      </c>
      <c r="W171" s="12" t="inlineStr">
        <is>
          <r>
            <rPr>
              <rFont val="Calibri"/>
              <b val="1"/>
              <sz val="10"/>
            </rPr>
            <t>Complexity &amp; Expertise:</t>
          </r>
          <r>
            <rPr>
              <rFont val="Calibri"/>
              <sz val="10"/>
            </rPr>
            <t xml:space="preserve"> 3 of 12 — Start: 3.0 · senior practitioner title; Evidence reads like A3: Prepares revenue and ARR forecasts on assumptions, IR data and invoices; needs accounting knowledge → matches the start
</t>
          </r>
          <r>
            <rPr>
              <rFont val="Calibri"/>
              <b val="1"/>
              <sz val="10"/>
            </rPr>
            <t>Autonomy &amp; Decision:</t>
          </r>
          <r>
            <rPr>
              <rFont val="Calibri"/>
              <sz val="10"/>
            </rPr>
            <t xml:space="preserve"> 2.5 of 12 · between A2 and A3 — Start: 3.0 · senior practitioner title; Evidence reads like A2: No decisions stated; answerable for wrong forecast assumptions → moved down 0.5
</t>
          </r>
          <r>
            <rPr>
              <rFont val="Calibri"/>
              <b val="1"/>
              <sz val="10"/>
            </rPr>
            <t>Accountability &amp; Impact:</t>
          </r>
          <r>
            <rPr>
              <rFont val="Calibri"/>
              <sz val="10"/>
            </rPr>
            <t xml:space="preserve"> 3 of 12 — Start: 3.0 · senior practitioner title; Evidence reads like A3: Revenue and ARR forecast, invoicing and IR data involving confidential numbers → matches the start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guidance of others described → moved down 0.5; Team: 0 direct reports · IC
</t>
          </r>
          <r>
            <rPr>
              <rFont val="Calibri"/>
              <b val="1"/>
              <sz val="10"/>
            </rPr>
            <t>Experience &amp; Qualification:</t>
          </r>
          <r>
            <rPr>
              <rFont val="Calibri"/>
              <sz val="10"/>
            </rPr>
            <t xml:space="preserve"> 9.5 of 12 · between D1 and D2 — Experience: 19.1 yrs total · 19.1 at IRIS; none recorded before IRIS = 9.5 on the experience scale; Qualification: B.Com · graduate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71" s="12" t="inlineStr">
        <is>
          <r>
            <rPr>
              <rFont val="Calibri"/>
              <b val="1"/>
              <sz val="10"/>
            </rPr>
            <t>Market level:</t>
          </r>
          <r>
            <rPr>
              <rFont val="Calibri"/>
              <sz val="10"/>
            </rPr>
            <t xml:space="preserve"> P2 · SFIA 3 Apply
</t>
          </r>
          <r>
            <rPr>
              <rFont val="Calibri"/>
              <b val="1"/>
              <sz val="10"/>
            </rPr>
            <t>Typical title:</t>
          </r>
          <r>
            <rPr>
              <rFont val="Calibri"/>
              <sz val="10"/>
            </rPr>
            <t xml:space="preserve"> Senior Data Analyst
</t>
          </r>
          <r>
            <rPr>
              <rFont val="Calibri"/>
              <b val="1"/>
              <sz val="10"/>
            </rPr>
            <t>At peers:</t>
          </r>
          <r>
            <rPr>
              <rFont val="Calibri"/>
              <sz val="10"/>
            </rPr>
            <t xml:space="preserve"> Atlassian company-wide P-levels – P40 Analyst · IRIS Vs Competitor Benchmark — data analyst ladder: Data Analyst II
</t>
          </r>
          <r>
            <rPr>
              <rFont val="Calibri"/>
              <b val="1"/>
              <sz val="10"/>
            </rPr>
            <t>Typical experience:</t>
          </r>
          <r>
            <rPr>
              <rFont val="Calibri"/>
              <sz val="10"/>
            </rPr>
            <t xml:space="preserve"> 2–5 yrs · IRIS guide 2–4
</t>
          </r>
          <r>
            <rPr>
              <rFont val="Calibri"/>
              <b val="1"/>
              <sz val="10"/>
            </rPr>
            <t>Standard:</t>
          </r>
          <r>
            <rPr>
              <rFont val="Calibri"/>
              <sz val="10"/>
            </rPr>
            <t xml:space="preserve"> DAMA-DMBOK</t>
          </r>
        </is>
      </c>
      <c r="Y171" s="12" t="inlineStr">
        <is>
          <r>
            <rPr>
              <rFont val="Calibri"/>
              <sz val="10"/>
            </rPr>
            <t xml:space="preserve">✓ HRIS: 19.1 yrs, B.Com, 0 direct reports
✓ Survey: 18 of 20 questions answered
✓ KRAs: reported deliverables
✓ Manager mapping: rating, 9-box
✗ Job description: not on file
</t>
          </r>
          <r>
            <rPr>
              <rFont val="Calibri"/>
              <b val="1"/>
              <sz val="10"/>
            </rPr>
            <t>Confidence:</t>
          </r>
          <r>
            <rPr>
              <rFont val="Calibri"/>
              <sz val="10"/>
            </rPr>
            <t xml:space="preserve"> Medium</t>
          </r>
        </is>
      </c>
      <c r="Z171" s="82" t="inlineStr">
        <is>
          <r>
            <rPr>
              <rFont val="Calibri"/>
              <color rgb="009C5700"/>
              <sz val="10"/>
            </rPr>
            <t xml:space="preserve">• </t>
          </r>
          <r>
            <rPr>
              <rFont val="Calibri"/>
              <b val="1"/>
              <color rgb="009C5700"/>
              <sz val="10"/>
            </rPr>
            <t>Near a gate:</t>
          </r>
          <r>
            <rPr>
              <rFont val="Calibri"/>
              <color rgb="009C5700"/>
              <sz val="10"/>
            </rPr>
            <t xml:space="preserve"> top of band: 3.49 on Band B's weights, 0.01 short of the 3.5 needed to enter Band B
• </t>
          </r>
          <r>
            <rPr>
              <rFont val="Calibri"/>
              <b val="1"/>
              <color rgb="009C5700"/>
              <sz val="10"/>
            </rPr>
            <t>Title check:</t>
          </r>
          <r>
            <rPr>
              <rFont val="Calibri"/>
              <color rgb="009C5700"/>
              <sz val="10"/>
            </rPr>
            <t xml:space="preserve"> Check title against ladder</t>
          </r>
        </is>
      </c>
      <c r="AA171" s="12" t="inlineStr">
        <is>
          <t>Nothing outstanding</t>
        </is>
      </c>
      <c r="AB17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Manager talent mapping — Latest rating: Not rated · manager · 9-Box Grid placement: Not placed · manager.</t>
          </r>
        </is>
      </c>
      <c r="AC171" s="84" t="n"/>
      <c r="AD171" s="84" t="n"/>
      <c r="AE171" s="84" t="n"/>
      <c r="AF171" s="12" t="n">
        <v>3</v>
      </c>
    </row>
    <row r="172" ht="400" customHeight="1">
      <c r="A172" s="12" t="inlineStr">
        <is>
          <t>IRIS2048</t>
        </is>
      </c>
      <c r="B172" s="10" t="inlineStr">
        <is>
          <t>Gajanan Vadekar</t>
        </is>
      </c>
      <c r="C172" s="12" t="inlineStr">
        <is>
          <t>Support</t>
        </is>
      </c>
      <c r="D172" s="12" t="inlineStr">
        <is>
          <t>Software Engineer</t>
        </is>
      </c>
      <c r="E172" s="85" t="inlineStr">
        <is>
          <t>Senior Software Engineer</t>
        </is>
      </c>
      <c r="F172" s="12" t="inlineStr">
        <is>
          <t>Engineering &amp; Development</t>
        </is>
      </c>
      <c r="G172" s="12" t="inlineStr">
        <is>
          <t>Application Maintenance &amp; Production Support</t>
        </is>
      </c>
      <c r="H172" s="12" t="inlineStr">
        <is>
          <t>IC</t>
        </is>
      </c>
      <c r="I172" s="42" t="inlineStr">
        <is>
          <t>L3 – Professional / Associate</t>
        </is>
      </c>
      <c r="J172" s="16" t="inlineStr">
        <is>
          <t>A3</t>
        </is>
      </c>
      <c r="K172" s="17" t="inlineStr">
        <is>
          <t>Senior Associate</t>
        </is>
      </c>
      <c r="L172" s="87" t="inlineStr">
        <is>
          <t>▲ Up</t>
        </is>
      </c>
      <c r="M172" s="12" t="inlineStr">
        <is>
          <t>CARBON · Support · Band A · Early career</t>
        </is>
      </c>
      <c r="N172" s="42" t="n">
        <v>2</v>
      </c>
      <c r="O172" s="42" t="n">
        <v>2</v>
      </c>
      <c r="P172" s="42" t="n">
        <v>2.5</v>
      </c>
      <c r="Q172" s="42" t="n">
        <v>1</v>
      </c>
      <c r="R172" s="42" t="n">
        <v>3.5</v>
      </c>
      <c r="S172" s="80" t="n">
        <v>2.5</v>
      </c>
      <c r="T172" s="81">
        <f>IF(OR($M172="",COUNT(N172,O172,P172,Q172,R172,S172)&lt;6),"",IFERROR(N172*INDEX(WM_C,MATCH($M172,WM_KEY,0))+O172*INDEX(WM_AU,MATCH($M172,WM_KEY,0))+P172*INDEX(WM_AC,MATCH($M172,WM_KEY,0))+Q172*INDEX(WM_L,MATCH($M172,WM_KEY,0))+R172*INDEX(WM_E,MATCH($M172,WM_KEY,0))+S172*INDEX(WM_BI,MATCH($M172,WM_KEY,0)),""))</f>
        <v>2.25</v>
      </c>
      <c r="U172" s="42" t="str">
        <f>IF(T172="","",INDEX({"A1","A2","A3","B1","B2","B3","C1","C2","D1","D2","E1","E2"},MAX(1,MIN(12,ROUND(T172,0)))))</f>
        <v>A2</v>
      </c>
      <c r="V172" s="12" t="inlineStr">
        <is>
          <r>
            <rPr>
              <rFont val="Calibri"/>
              <sz val="10"/>
            </rPr>
            <t xml:space="preserve">New level A3 · Senior Associate. Current level on record: L3 – Professional / Associate. Change: ▲ Up.
Score 2.25 on the ladder scale → indicated level A2.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4.1 years' experience is 2 years or more.
</t>
          </r>
          <r>
            <rPr>
              <rFont val="Calibri"/>
              <b val="1"/>
              <sz val="10"/>
            </rPr>
            <t>Final level:</t>
          </r>
          <r>
            <rPr>
              <rFont val="Calibri"/>
              <sz val="10"/>
            </rPr>
            <t xml:space="preserve"> A3.</t>
          </r>
        </is>
      </c>
      <c r="W172" s="12" t="inlineStr">
        <is>
          <r>
            <rPr>
              <rFont val="Calibri"/>
              <b val="1"/>
              <sz val="10"/>
            </rPr>
            <t>Complexity &amp; Expertise:</t>
          </r>
          <r>
            <rPr>
              <rFont val="Calibri"/>
              <sz val="10"/>
            </rPr>
            <t xml:space="preserve"> 2 of 12 — Start: 2.0 · practitioner title; Evidence reads like A2: Feature development, code quality and production support; no specific problems described → matches the start; KRA: “1.Ensure ≥ 95% MS 365 Add-in support tickets/incidents are acknowledged and responded to within defined TAT/SLA. 2.Improve issue resolution…”
</t>
          </r>
          <r>
            <rPr>
              <rFont val="Calibri"/>
              <b val="1"/>
              <sz val="10"/>
            </rPr>
            <t>Autonomy &amp; Decision:</t>
          </r>
          <r>
            <rPr>
              <rFont val="Calibri"/>
              <sz val="10"/>
            </rPr>
            <t xml:space="preserve"> 2 of 12 — Start: 2.0 · practitioner title; Evidence reads like A2: Decides on code fixes and improvements only → matches the start
</t>
          </r>
          <r>
            <rPr>
              <rFont val="Calibri"/>
              <b val="1"/>
              <sz val="10"/>
            </rPr>
            <t>Accountability &amp; Impact:</t>
          </r>
          <r>
            <rPr>
              <rFont val="Calibri"/>
              <sz val="10"/>
            </rPr>
            <t xml:space="preserve"> 2.5 of 12 · between A2 and A3 — Start: 2.0 · practitioner title; Evidence reads like A3: Own features and assigned areas, with production issues affecting multiple end users → moved up 0.5; KRA: “1.Ensure ≥ 95% MS 365 Add-in support tickets/incidents are acknowledged and responded to within defined TAT/SLA. 2.Improve issue resolution…”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3.5 of 12 · between A3 and B1 — Experience: 4.1 yrs total · 4.1 at IRIS; none recorded before IRIS = 3.4 on the experience scale; Qualification: B.Tech · graduate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72"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72" s="12" t="inlineStr">
        <is>
          <r>
            <rPr>
              <rFont val="Calibri"/>
              <sz val="10"/>
            </rPr>
            <t xml:space="preserve">✓ HRIS: 4.1 yrs, B.Tech,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72" s="12" t="inlineStr">
        <is>
          <t>—</t>
        </is>
      </c>
      <c r="AA172" s="12" t="inlineStr">
        <is>
          <t>Nothing outstanding</t>
        </is>
      </c>
      <c r="AB17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lead · issues · poor.
</t>
          </r>
          <r>
            <rPr>
              <rFont val="Calibri"/>
              <b val="1"/>
              <sz val="10"/>
            </rPr>
            <t>Measured on · manager-set KRA themes:</t>
          </r>
          <r>
            <rPr>
              <rFont val="Calibri"/>
              <sz val="10"/>
            </rPr>
            <t xml:space="preserve"> considering critical · stories considering · leakage qa/uat · production support · live production · responsibilities.
Manager talent mapping — Latest rating: Not rated · manager · 9-Box Grid placement: Trusted Professional.</t>
          </r>
        </is>
      </c>
      <c r="AC172" s="84" t="n"/>
      <c r="AD172" s="84" t="n"/>
      <c r="AE172" s="84" t="n"/>
      <c r="AF172" s="12" t="n">
        <v>2.5</v>
      </c>
    </row>
    <row r="173" ht="400" customHeight="1">
      <c r="A173" s="12" t="inlineStr">
        <is>
          <t>IRIS1941</t>
        </is>
      </c>
      <c r="B173" s="10" t="inlineStr">
        <is>
          <t>Manish Yadav</t>
        </is>
      </c>
      <c r="C173" s="12" t="inlineStr">
        <is>
          <t>Support</t>
        </is>
      </c>
      <c r="D173" s="12" t="inlineStr">
        <is>
          <t>Software Engineer</t>
        </is>
      </c>
      <c r="E173" s="85" t="inlineStr">
        <is>
          <t>Senior Software Engineer</t>
        </is>
      </c>
      <c r="F173" s="12" t="inlineStr">
        <is>
          <t>Engineering &amp; Development</t>
        </is>
      </c>
      <c r="G173" s="12" t="inlineStr">
        <is>
          <t>Application Maintenance &amp; Production Support</t>
        </is>
      </c>
      <c r="H173" s="12" t="inlineStr">
        <is>
          <t>IC</t>
        </is>
      </c>
      <c r="I173" s="42" t="inlineStr">
        <is>
          <t>L3 – Professional / Associate</t>
        </is>
      </c>
      <c r="J173" s="16" t="inlineStr">
        <is>
          <t>A3</t>
        </is>
      </c>
      <c r="K173" s="17" t="inlineStr">
        <is>
          <t>Senior Associate</t>
        </is>
      </c>
      <c r="L173" s="87" t="inlineStr">
        <is>
          <t>▲ Up</t>
        </is>
      </c>
      <c r="M173" s="12" t="inlineStr">
        <is>
          <t>CARBON · Support · Band A · Early career</t>
        </is>
      </c>
      <c r="N173" s="42" t="n">
        <v>2.5</v>
      </c>
      <c r="O173" s="42" t="n">
        <v>2.5</v>
      </c>
      <c r="P173" s="42" t="n">
        <v>2.5</v>
      </c>
      <c r="Q173" s="42" t="n">
        <v>1</v>
      </c>
      <c r="R173" s="42" t="n">
        <v>4</v>
      </c>
      <c r="S173" s="80" t="n">
        <v>2.5</v>
      </c>
      <c r="T173" s="81">
        <f>IF(OR($M173="",COUNT(N173,O173,P173,Q173,R173,S173)&lt;6),"",IFERROR(N173*INDEX(WM_C,MATCH($M173,WM_KEY,0))+O173*INDEX(WM_AU,MATCH($M173,WM_KEY,0))+P173*INDEX(WM_AC,MATCH($M173,WM_KEY,0))+Q173*INDEX(WM_L,MATCH($M173,WM_KEY,0))+R173*INDEX(WM_E,MATCH($M173,WM_KEY,0))+S173*INDEX(WM_BI,MATCH($M173,WM_KEY,0)),""))</f>
        <v>2.65</v>
      </c>
      <c r="U173" s="42" t="str">
        <f>IF(T173="","",INDEX({"A1","A2","A3","B1","B2","B3","C1","C2","D1","D2","E1","E2"},MAX(1,MIN(12,ROUND(T173,0)))))</f>
        <v>A3</v>
      </c>
      <c r="V173" s="12" t="inlineStr">
        <is>
          <r>
            <rPr>
              <rFont val="Calibri"/>
              <sz val="10"/>
            </rPr>
            <t xml:space="preserve">New level A3 · Senior Associate. Current level on record: L3 – Professional / Associate. Change: ▲ Up.
Score 2.65 on the ladder scale → indicated level A3.
</t>
          </r>
          <r>
            <rPr>
              <rFont val="Calibri"/>
              <b val="1"/>
              <sz val="10"/>
            </rPr>
            <t>Weights:</t>
          </r>
          <r>
            <rPr>
              <rFont val="Calibri"/>
              <sz val="10"/>
            </rPr>
            <t xml:space="preserve"> Complexity 54% · Autonomy 16% · Business impact 11% · Experience 10% · Accountability 9%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support is judged on client outcomes, so Business Impact +5 and Complexity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3" s="12" t="inlineStr">
        <is>
          <r>
            <rPr>
              <rFont val="Calibri"/>
              <b val="1"/>
              <sz val="10"/>
            </rPr>
            <t>Complexity &amp; Expertise:</t>
          </r>
          <r>
            <rPr>
              <rFont val="Calibri"/>
              <sz val="10"/>
            </rPr>
            <t xml:space="preserve"> 2.5 of 12 · between A2 and A3 — Start: 2.0 · practitioner title; Evidence reads like A3: Full-stack features across UI, backend services, APIs and database; root-cause debugging in established system → moved up 0.5; KRA: “1.Ensure ≥ 90% support tickets/incidents are acknowledged and responded to within defined TAT/SLA across supported products. 2.Improve…”
</t>
          </r>
          <r>
            <rPr>
              <rFont val="Calibri"/>
              <b val="1"/>
              <sz val="10"/>
            </rPr>
            <t>Autonomy &amp; Decision:</t>
          </r>
          <r>
            <rPr>
              <rFont val="Calibri"/>
              <sz val="10"/>
            </rPr>
            <t xml:space="preserve"> 2.5 of 12 · between A2 and A3 — Start: 2.0 · practitioner title; Evidence reads like A3: Chooses implementation approaches and modifies code independently within project scope → moved up 0.5
</t>
          </r>
          <r>
            <rPr>
              <rFont val="Calibri"/>
              <b val="1"/>
              <sz val="10"/>
            </rPr>
            <t>Accountability &amp; Impact:</t>
          </r>
          <r>
            <rPr>
              <rFont val="Calibri"/>
              <sz val="10"/>
            </rPr>
            <t xml:space="preserve"> 2.5 of 12 · between A2 and A3 — Start: 2.0 · practitioner title; Evidence reads like A3: Features end to end from requirement to delivery; manager notes platform-level fixes → moved up 0.5; KRA: “1.Ensure ≥ 90% support tickets/incidents are acknowledged and responded to within defined TAT/SLA across supported products. 2.Improve…”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4 of 12 — Experience: 5.3 yrs total · 0.2 before IRIS + 5.1 at IRIS = 3.9 on the experience scale; Qualification: B.E · graduate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173"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73" s="12" t="inlineStr">
        <is>
          <r>
            <rPr>
              <rFont val="Calibri"/>
              <sz val="10"/>
            </rPr>
            <t xml:space="preserve">✓ HRIS: 5.3 yrs, B.E,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High</t>
          </r>
        </is>
      </c>
      <c r="Z173" s="12" t="inlineStr">
        <is>
          <t>—</t>
        </is>
      </c>
      <c r="AA173" s="12" t="inlineStr">
        <is>
          <t>Nothing outstanding</t>
        </is>
      </c>
      <c r="AB17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lead · issues · poor.
</t>
          </r>
          <r>
            <rPr>
              <rFont val="Calibri"/>
              <b val="1"/>
              <sz val="10"/>
            </rPr>
            <t>Measured on · manager-set KRA themes:</t>
          </r>
          <r>
            <rPr>
              <rFont val="Calibri"/>
              <sz val="10"/>
            </rPr>
            <t xml:space="preserve"> considering critical · stories considering · leakage qa/uat · production support · live production · responsibilities.
Manager talent mapping — Latest rating: Not rated · manager · 9-Box Grid placement: Trusted Professional.</t>
          </r>
        </is>
      </c>
      <c r="AC173" s="84" t="n"/>
      <c r="AD173" s="84" t="n"/>
      <c r="AE173" s="84" t="n"/>
      <c r="AF173" s="12" t="n">
        <v>2.5</v>
      </c>
    </row>
    <row r="174" ht="119" customHeight="1">
      <c r="A174" s="12" t="inlineStr">
        <is>
          <t>No Emp ID · in-house consultant</t>
        </is>
      </c>
      <c r="B174" s="10" t="inlineStr">
        <is>
          <t>Kanika Jain</t>
        </is>
      </c>
      <c r="C174" s="12" t="inlineStr">
        <is>
          <t>Support</t>
        </is>
      </c>
      <c r="D174" s="12" t="inlineStr">
        <is>
          <t>Consultant</t>
        </is>
      </c>
      <c r="E174" s="85" t="inlineStr">
        <is>
          <t>Associate Consultant – Customer Success &amp; Account Management</t>
        </is>
      </c>
      <c r="F174" s="12" t="inlineStr">
        <is>
          <t>Customer Success &amp; Support</t>
        </is>
      </c>
      <c r="G174" s="12" t="inlineStr">
        <is>
          <t>Customer Success &amp; Account Management</t>
        </is>
      </c>
      <c r="H174" s="12" t="inlineStr">
        <is>
          <t>Consultant</t>
        </is>
      </c>
      <c r="I174" s="42" t="inlineStr">
        <is>
          <t>L3 – Professional / Associate</t>
        </is>
      </c>
      <c r="J174" s="36" t="inlineStr">
        <is>
          <t>X1</t>
        </is>
      </c>
      <c r="K174" s="37" t="inlineStr">
        <is>
          <t>Associate Consultant</t>
        </is>
      </c>
      <c r="L174" s="88" t="inlineStr">
        <is>
          <t>• Same level</t>
        </is>
      </c>
      <c r="M174" s="12" t="inlineStr">
        <is>
          <t>—</t>
        </is>
      </c>
      <c r="N174" s="42" t="inlineStr">
        <is>
          <t>—</t>
        </is>
      </c>
      <c r="O174" s="42" t="inlineStr">
        <is>
          <t>—</t>
        </is>
      </c>
      <c r="P174" s="42" t="inlineStr">
        <is>
          <t>—</t>
        </is>
      </c>
      <c r="Q174" s="42" t="inlineStr">
        <is>
          <t>—</t>
        </is>
      </c>
      <c r="R174" s="42" t="inlineStr">
        <is>
          <t>—</t>
        </is>
      </c>
      <c r="S174" s="80" t="inlineStr">
        <is>
          <t>—</t>
        </is>
      </c>
      <c r="T174" s="81" t="inlineStr">
        <is>
          <t>—</t>
        </is>
      </c>
      <c r="U174" s="42" t="inlineStr">
        <is>
          <t>Not scored</t>
        </is>
      </c>
      <c r="V174" s="12" t="inlineStr">
        <is>
          <t>New level X1 · Associate Consultant. Current level on record: L3 – Professional / Associate. Change: • Same level.
Consultants sit outside the career ladder, at X1–X3 by the scope of their statement of work.</t>
        </is>
      </c>
      <c r="W174" s="12" t="inlineStr">
        <is>
          <r>
            <rPr>
              <rFont val="Calibri"/>
              <b val="1"/>
              <sz val="10"/>
            </rPr>
            <t>Not scored:</t>
          </r>
          <r>
            <rPr>
              <rFont val="Calibri"/>
              <sz val="10"/>
            </rPr>
            <t xml:space="preserve"> consultants sit outside the career ladder · X1–X3, by the scope of their statement of work.</t>
          </r>
        </is>
      </c>
      <c r="X174" s="12" t="inlineStr">
        <is>
          <r>
            <rPr>
              <rFont val="Calibri"/>
              <b val="1"/>
              <sz val="10"/>
            </rPr>
            <t>Consultant:</t>
          </r>
          <r>
            <rPr>
              <rFont val="Calibri"/>
              <sz val="10"/>
            </rPr>
            <t xml:space="preserve"> priced by rate card under the statement of work.</t>
          </r>
        </is>
      </c>
      <c r="Y174" s="12" t="inlineStr">
        <is>
          <r>
            <rPr>
              <rFont val="Calibri"/>
              <sz val="10"/>
            </rPr>
            <t xml:space="preserve">✗ HRIS: experience missing, qualification missing, 0 direct reports
✗ Survey: no response
✗ KRAs: none on file
✓ Manager mapping: rating — filled from talent-mapping files: total experience, reporting manager
✓ Job description
</t>
          </r>
          <r>
            <rPr>
              <rFont val="Calibri"/>
              <b val="1"/>
              <sz val="10"/>
            </rPr>
            <t>Confidence:</t>
          </r>
          <r>
            <rPr>
              <rFont val="Calibri"/>
              <sz val="10"/>
            </rPr>
            <t xml:space="preserve"> —</t>
          </r>
        </is>
      </c>
      <c r="Z174" s="12" t="inlineStr">
        <is>
          <t>—</t>
        </is>
      </c>
      <c r="AA174" s="12" t="inlineStr">
        <is>
          <t>Nothing outstanding</t>
        </is>
      </c>
      <c r="AB174" s="12" t="inlineStr">
        <is>
          <r>
            <rPr>
              <rFont val="Calibri"/>
              <b val="1"/>
              <sz val="10"/>
            </rPr>
            <t>What the role answers for:</t>
          </r>
          <r>
            <rPr>
              <rFont val="Calibri"/>
              <sz val="10"/>
            </rPr>
            <t xml:space="preserve"> —.
</t>
          </r>
          <r>
            <rPr>
              <rFont val="Calibri"/>
              <b val="1"/>
              <sz val="10"/>
            </rPr>
            <t>If the work is missed · role-holders' themes:</t>
          </r>
          <r>
            <rPr>
              <rFont val="Calibri"/>
              <sz val="10"/>
            </rPr>
            <t xml:space="preserve"> business · impact · revenue.
Manager talent mapping — Latest rating: Not rated · manager.</t>
          </r>
        </is>
      </c>
      <c r="AC174" s="84" t="n"/>
      <c r="AD174" s="84" t="n"/>
      <c r="AE174" s="84" t="n"/>
      <c r="AF174" s="12" t="inlineStr">
        <is>
          <t>—</t>
        </is>
      </c>
    </row>
    <row r="175" ht="400" customHeight="1">
      <c r="A175" s="12" t="inlineStr">
        <is>
          <t>IRIS0249</t>
        </is>
      </c>
      <c r="B175" s="10" t="inlineStr">
        <is>
          <t>Ashish Singhvi</t>
        </is>
      </c>
      <c r="C175" s="12" t="inlineStr">
        <is>
          <t>Technology</t>
        </is>
      </c>
      <c r="D175" s="12" t="inlineStr">
        <is>
          <t>Product Engineering Head</t>
        </is>
      </c>
      <c r="E175" s="85" t="inlineStr">
        <is>
          <t>Head – Product Engineering</t>
        </is>
      </c>
      <c r="F175" s="12" t="inlineStr">
        <is>
          <t>Engineering &amp; Development</t>
        </is>
      </c>
      <c r="G175" s="12" t="inlineStr">
        <is>
          <t>Engineering Leadership</t>
        </is>
      </c>
      <c r="H175" s="12" t="inlineStr">
        <is>
          <t>People Manager</t>
        </is>
      </c>
      <c r="I175" s="42" t="inlineStr">
        <is>
          <t>Not in current mapping files</t>
        </is>
      </c>
      <c r="J175" s="24" t="inlineStr">
        <is>
          <t>C2</t>
        </is>
      </c>
      <c r="K175" s="25" t="inlineStr">
        <is>
          <t>Head of Function</t>
        </is>
      </c>
      <c r="L175" s="79" t="inlineStr">
        <is>
          <t>● Newly mapped</t>
        </is>
      </c>
      <c r="M175" s="12" t="inlineStr">
        <is>
          <t>CARBON · Technology · Band C · Head / Manager</t>
        </is>
      </c>
      <c r="N175" s="42" t="n">
        <v>8</v>
      </c>
      <c r="O175" s="42" t="n">
        <v>8</v>
      </c>
      <c r="P175" s="42" t="n">
        <v>8</v>
      </c>
      <c r="Q175" s="42" t="n">
        <v>8</v>
      </c>
      <c r="R175" s="42" t="n">
        <v>9.5</v>
      </c>
      <c r="S175" s="80" t="n">
        <v>8</v>
      </c>
      <c r="T175" s="81">
        <f>IF(OR($M175="",COUNT(N175,O175,P175,Q175,R175,S175)&lt;6),"",IFERROR(N175*INDEX(WM_C,MATCH($M175,WM_KEY,0))+O175*INDEX(WM_AU,MATCH($M175,WM_KEY,0))+P175*INDEX(WM_AC,MATCH($M175,WM_KEY,0))+Q175*INDEX(WM_L,MATCH($M175,WM_KEY,0))+R175*INDEX(WM_E,MATCH($M175,WM_KEY,0))+S175*INDEX(WM_BI,MATCH($M175,WM_KEY,0)),""))</f>
        <v>8.075</v>
      </c>
      <c r="U175" s="42" t="str">
        <f>IF(T175="","",INDEX({"A1","A2","A3","B1","B2","B3","C1","C2","D1","D2","E1","E2"},MAX(1,MIN(12,ROUND(T175,0)))))</f>
        <v>C2</v>
      </c>
      <c r="V175" s="12" t="inlineStr">
        <is>
          <r>
            <rPr>
              <rFont val="Calibri"/>
              <sz val="10"/>
            </rPr>
            <t xml:space="preserve">New level C2 · Head of Function. Current level on record: Not in current mapping files. Change: ● Newly mapped.
Score 8.07 on the ladder scale → indicated level C2.
</t>
          </r>
          <r>
            <rPr>
              <rFont val="Calibri"/>
              <b val="1"/>
              <sz val="10"/>
            </rPr>
            <t>Weights:</t>
          </r>
          <r>
            <rPr>
              <rFont val="Calibri"/>
              <sz val="10"/>
            </rPr>
            <t xml:space="preserve"> Complexity 48% · Autonomy 18% · Leadership 15% · Business impact 8% · Accountability 6% · Experience 5%
</t>
          </r>
          <r>
            <rPr>
              <rFont val="Calibri"/>
              <b val="1"/>
              <sz val="10"/>
            </rPr>
            <t>Why:</t>
          </r>
          <r>
            <rPr>
              <rFont val="Calibri"/>
              <sz val="10"/>
            </rPr>
            <t xml:space="preserve"> a head answers for a function through managers: Leadership 15%, with autonomy, accountability and impact rising; expertise still counts most.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5" s="12" t="inlineStr">
        <is>
          <r>
            <rPr>
              <rFont val="Calibri"/>
              <b val="1"/>
              <sz val="10"/>
            </rPr>
            <t>Complexity &amp; Expertise:</t>
          </r>
          <r>
            <rPr>
              <rFont val="Calibri"/>
              <sz val="10"/>
            </rPr>
            <t xml:space="preserve"> 8 of 12 — Start: 8.0 · head-of-function title; Evidence: no survey answers or KRAs on file → rating stays at the start
</t>
          </r>
          <r>
            <rPr>
              <rFont val="Calibri"/>
              <b val="1"/>
              <sz val="10"/>
            </rPr>
            <t>Autonomy &amp; Decision:</t>
          </r>
          <r>
            <rPr>
              <rFont val="Calibri"/>
              <sz val="10"/>
            </rPr>
            <t xml:space="preserve"> 8 of 12 — Start: 8.0 · head-of-function title; Evidence: no survey answers or KRAs on file → rating stays at the start
</t>
          </r>
          <r>
            <rPr>
              <rFont val="Calibri"/>
              <b val="1"/>
              <sz val="10"/>
            </rPr>
            <t>Accountability &amp; Impact:</t>
          </r>
          <r>
            <rPr>
              <rFont val="Calibri"/>
              <sz val="10"/>
            </rPr>
            <t xml:space="preserve"> 8 of 12 — Start: 8.0 · head-of-function title; 9 direct reports, 55 people below, 5 of them lead teams; Evidence: no survey answers or KRAs on file → rating stays at the start
</t>
          </r>
          <r>
            <rPr>
              <rFont val="Calibri"/>
              <b val="1"/>
              <sz val="10"/>
            </rPr>
            <t>Leadership &amp; Strategy:</t>
          </r>
          <r>
            <rPr>
              <rFont val="Calibri"/>
              <sz val="10"/>
            </rPr>
            <t xml:space="preserve"> 8 of 12 — Start: 8.0; Evidence: no survey answers or KRAs on file → rating stays at the start; Team: 9 direct reports · People Manager
</t>
          </r>
          <r>
            <rPr>
              <rFont val="Calibri"/>
              <b val="1"/>
              <sz val="10"/>
            </rPr>
            <t>Experience &amp; Qualification:</t>
          </r>
          <r>
            <rPr>
              <rFont val="Calibri"/>
              <sz val="10"/>
            </rPr>
            <t xml:space="preserve"> 9.5 of 12 · between D1 and D2 — Experience: 17.7 yrs total · 17.7 at IRIS; none recorded before IRIS = 9.1 on the experience scale; Qualification: MCA · postgraduate, relevant to the work → +0.5
</t>
          </r>
          <r>
            <rPr>
              <rFont val="Calibri"/>
              <b val="1"/>
              <sz val="10"/>
            </rPr>
            <t>Business Impact:</t>
          </r>
          <r>
            <rPr>
              <rFont val="Calibri"/>
              <sz val="10"/>
            </rPr>
            <t xml:space="preserve"> 8 of 12 — a starting estimate. — Start: 8, the role's accountability scope — what it answers for.; No survey or manager-mapping signal on criticality: kept at the start point.; Managers and heads: overwrite this rating on the Weightage sheet with the business impact you see — the score updates at once.; Ladder: C2 = Drives a function's or department's results and costs</t>
          </r>
        </is>
      </c>
      <c r="X175" s="12" t="inlineStr">
        <is>
          <r>
            <rPr>
              <rFont val="Calibri"/>
              <b val="1"/>
              <sz val="10"/>
            </rPr>
            <t>Market level:</t>
          </r>
          <r>
            <rPr>
              <rFont val="Calibri"/>
              <sz val="10"/>
            </rPr>
            <t xml:space="preserve"> P7 / M6 · SFIA 6 Initiate, influence
</t>
          </r>
          <r>
            <rPr>
              <rFont val="Calibri"/>
              <b val="1"/>
              <sz val="10"/>
            </rPr>
            <t>Typical title:</t>
          </r>
          <r>
            <rPr>
              <rFont val="Calibri"/>
              <sz val="10"/>
            </rPr>
            <t xml:space="preserve"> Senior Head / General Manager
</t>
          </r>
          <r>
            <rPr>
              <rFont val="Calibri"/>
              <b val="1"/>
              <sz val="10"/>
            </rPr>
            <t>At peers:</t>
          </r>
          <r>
            <rPr>
              <rFont val="Calibri"/>
              <sz val="10"/>
            </rPr>
            <t xml:space="preserve"> Salesforce – Architect / Principal Architect · Atlassian – P70 · Freshworks – Principal Engineer
</t>
          </r>
          <r>
            <rPr>
              <rFont val="Calibri"/>
              <b val="1"/>
              <sz val="10"/>
            </rPr>
            <t>Standard:</t>
          </r>
          <r>
            <rPr>
              <rFont val="Calibri"/>
              <sz val="10"/>
            </rPr>
            <t xml:space="preserve"> SFIA 9; OWASP secure coding</t>
          </r>
        </is>
      </c>
      <c r="Y175" s="12" t="inlineStr">
        <is>
          <r>
            <rPr>
              <rFont val="Calibri"/>
              <sz val="10"/>
            </rPr>
            <t xml:space="preserve">✓ HRIS: 17.7 yrs, MCA, 9 direct reports
✗ Survey: no response
✗ KRAs: none on file
✓ Manager mapping: rating, 9-box — filled from talent-mapping files: 9-box · CARBON grid
✗ Job description: not on file
</t>
          </r>
          <r>
            <rPr>
              <rFont val="Calibri"/>
              <b val="1"/>
              <sz val="10"/>
            </rPr>
            <t>Confidence:</t>
          </r>
          <r>
            <rPr>
              <rFont val="Calibri"/>
              <sz val="10"/>
            </rPr>
            <t xml:space="preserve"> Low</t>
          </r>
        </is>
      </c>
      <c r="Z175" s="82" t="inlineStr">
        <is>
          <r>
            <rPr>
              <rFont val="Calibri"/>
              <color rgb="009C5700"/>
              <sz val="10"/>
            </rPr>
            <t xml:space="preserve">• </t>
          </r>
          <r>
            <rPr>
              <rFont val="Calibri"/>
              <b val="1"/>
              <color rgb="009C5700"/>
              <sz val="10"/>
            </rPr>
            <t>C+ watch:</t>
          </r>
          <r>
            <rPr>
              <rFont val="Calibri"/>
              <color rgb="009C5700"/>
              <sz val="10"/>
            </rPr>
            <t xml:space="preserve"> leads people, Player-Coach score 8.07 · needs 8.25, C–A average 8.00 · needs 7.5</t>
          </r>
        </is>
      </c>
      <c r="AA175" s="83" t="inlineStr">
        <is>
          <t>• Survey response or KRAs describing the work · nothing on file — Employee + manager</t>
        </is>
      </c>
      <c r="AB175" s="12" t="inlineStr">
        <is>
          <r>
            <rPr>
              <rFont val="Calibri"/>
              <b val="1"/>
              <sz val="10"/>
            </rPr>
            <t>What the role answers for:</t>
          </r>
          <r>
            <rPr>
              <rFont val="Calibri"/>
              <sz val="10"/>
            </rPr>
            <t xml:space="preserve"> Function results, budget and risk.
</t>
          </r>
          <r>
            <rPr>
              <rFont val="Calibri"/>
              <b val="1"/>
              <sz val="10"/>
            </rPr>
            <t>Accountability &amp; Impact rating:</t>
          </r>
          <r>
            <rPr>
              <rFont val="Calibri"/>
              <sz val="10"/>
            </rPr>
            <t xml:space="preserve"> 8 of 12 · C2-level impact.
Leads 9 direct reports.
Manager talent mapping — Latest rating: Not rated · manager · 9-Box Grid placement: Underperformer / Exit Risk.</t>
          </r>
        </is>
      </c>
      <c r="AC175" s="84" t="n"/>
      <c r="AD175" s="84" t="n"/>
      <c r="AE175" s="84" t="n"/>
      <c r="AF175" s="12" t="n">
        <v>8</v>
      </c>
    </row>
    <row r="176" ht="400" customHeight="1">
      <c r="A176" s="12" t="inlineStr">
        <is>
          <t>IRIS1832</t>
        </is>
      </c>
      <c r="B176" s="10" t="inlineStr">
        <is>
          <t>Chetan Kotwal</t>
        </is>
      </c>
      <c r="C176" s="12" t="inlineStr">
        <is>
          <t>Technology</t>
        </is>
      </c>
      <c r="D176" s="12" t="inlineStr">
        <is>
          <t>Lead Software Engineer</t>
        </is>
      </c>
      <c r="E176" s="85" t="inlineStr">
        <is>
          <t>Senior Engineering Manager</t>
        </is>
      </c>
      <c r="F176" s="12" t="inlineStr">
        <is>
          <t>Engineering &amp; Development</t>
        </is>
      </c>
      <c r="G176" s="12" t="inlineStr">
        <is>
          <t>Backend Development</t>
        </is>
      </c>
      <c r="H176" s="12" t="inlineStr">
        <is>
          <t>People Manager</t>
        </is>
      </c>
      <c r="I176" s="42" t="inlineStr">
        <is>
          <t>L5 – Lead · IC</t>
        </is>
      </c>
      <c r="J176" s="20" t="inlineStr">
        <is>
          <t>B3</t>
        </is>
      </c>
      <c r="K176" s="21" t="inlineStr">
        <is>
          <t>Senior Manager</t>
        </is>
      </c>
      <c r="L176" s="88" t="inlineStr">
        <is>
          <t>• Same level</t>
        </is>
      </c>
      <c r="M176" s="12" t="inlineStr">
        <is>
          <t>CARBON · Technology · Band B · People Manager</t>
        </is>
      </c>
      <c r="N176" s="42" t="n">
        <v>5.5</v>
      </c>
      <c r="O176" s="42" t="n">
        <v>5.5</v>
      </c>
      <c r="P176" s="42" t="n">
        <v>5.5</v>
      </c>
      <c r="Q176" s="42" t="n">
        <v>5.5</v>
      </c>
      <c r="R176" s="42" t="n">
        <v>7.5</v>
      </c>
      <c r="S176" s="80" t="n">
        <v>5.5</v>
      </c>
      <c r="T176" s="81">
        <f>IF(OR($M176="",COUNT(N176,O176,P176,Q176,R176,S176)&lt;6),"",IFERROR(N176*INDEX(WM_C,MATCH($M176,WM_KEY,0))+O176*INDEX(WM_AU,MATCH($M176,WM_KEY,0))+P176*INDEX(WM_AC,MATCH($M176,WM_KEY,0))+Q176*INDEX(WM_L,MATCH($M176,WM_KEY,0))+R176*INDEX(WM_E,MATCH($M176,WM_KEY,0))+S176*INDEX(WM_BI,MATCH($M176,WM_KEY,0)),""))</f>
        <v>5.7</v>
      </c>
      <c r="U176" s="42" t="str">
        <f>IF(T176="","",INDEX({"A1","A2","A3","B1","B2","B3","C1","C2","D1","D2","E1","E2"},MAX(1,MIN(12,ROUND(T176,0)))))</f>
        <v>B3</v>
      </c>
      <c r="V176" s="12" t="inlineStr">
        <is>
          <r>
            <rPr>
              <rFont val="Calibri"/>
              <sz val="10"/>
            </rPr>
            <t xml:space="preserve">New level B3 · Senior Manager. Current level on record: L5 – Lead · IC. Change: • Same level.
Score 5.70 on the ladder scale → indicated level B3.
</t>
          </r>
          <r>
            <rPr>
              <rFont val="Calibri"/>
              <b val="1"/>
              <sz val="10"/>
            </rPr>
            <t>Weights:</t>
          </r>
          <r>
            <rPr>
              <rFont val="Calibri"/>
              <sz val="10"/>
            </rPr>
            <t xml:space="preserve"> Complexity 42% · Autonomy 18% · Leadership 15% · Experience 10% · Business impact 9% · Accountability 6%
</t>
          </r>
          <r>
            <rPr>
              <rFont val="Calibri"/>
              <b val="1"/>
              <sz val="10"/>
            </rPr>
            <t>Why:</t>
          </r>
          <r>
            <rPr>
              <rFont val="Calibri"/>
              <sz val="10"/>
            </rPr>
            <t xml:space="preserve"> a manager's results come through the team, so Leadership rises to 15% and Complexity falls; autonomy, accountability and impact rise.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6" s="12" t="inlineStr">
        <is>
          <r>
            <rPr>
              <rFont val="Calibri"/>
              <b val="1"/>
              <sz val="10"/>
            </rPr>
            <t>Complexity &amp; Expertise:</t>
          </r>
          <r>
            <rPr>
              <rFont val="Calibri"/>
              <sz val="10"/>
            </rPr>
            <t xml:space="preserve"> 5.5 of 12 · between B2 and B3 — Start: 6.0 · senior manager / lead specialist title; Evidence reads like B1: Technical feasibility analysis, solution design and resolving complex technical issues; few concrete objects named → moved down 0.5; KRA: “1.Ensure ≥ 95% delivery adherence for all committed DM module milestones across sprints and releases. 2.Develop deep expertise in Microsoft…”
</t>
          </r>
          <r>
            <rPr>
              <rFont val="Calibri"/>
              <b val="1"/>
              <sz val="10"/>
            </rPr>
            <t>Autonomy &amp; Decision:</t>
          </r>
          <r>
            <rPr>
              <rFont val="Calibri"/>
              <sz val="10"/>
            </rPr>
            <t xml:space="preserve"> 5.5 of 12 · between B2 and B3 — Start: 6.0 · senior manager / lead specialist title; Evidence reads like A3: Independently does R&amp;D on unknown challenges; no team-level calls stated → moved down 0.5
</t>
          </r>
          <r>
            <rPr>
              <rFont val="Calibri"/>
              <b val="1"/>
              <sz val="10"/>
            </rPr>
            <t>Accountability &amp; Impact:</t>
          </r>
          <r>
            <rPr>
              <rFont val="Calibri"/>
              <sz val="10"/>
            </rPr>
            <t xml:space="preserve"> 5.5 of 12 · between B2 and B3 — Start: 6.0 · senior manager / lead specialist title; 4 direct reports, 12 people below, 2 of them lead teams; Evidence reads like A3: Accountable for the features he owns being delivered with quality and on time → moved down 0.5; KRA: “1.Ensure ≥ 95% delivery adherence for all committed DM module milestones across sprints and releases. 2.Develop deep expertise in Microsoft…”
</t>
          </r>
          <r>
            <rPr>
              <rFont val="Calibri"/>
              <b val="1"/>
              <sz val="10"/>
            </rPr>
            <t>Leadership &amp; Strategy:</t>
          </r>
          <r>
            <rPr>
              <rFont val="Calibri"/>
              <sz val="10"/>
            </rPr>
            <t xml:space="preserve"> 5.5 of 12 · between B2 and B3 — Start: 6.0; Evidence reads like A3: 4 direct reports, but text only mentions team tuning and healthy team environment → moved down 0.5; Team: 4 direct reports · People Manager
</t>
          </r>
          <r>
            <rPr>
              <rFont val="Calibri"/>
              <b val="1"/>
              <sz val="10"/>
            </rPr>
            <t>Experience &amp; Qualification:</t>
          </r>
          <r>
            <rPr>
              <rFont val="Calibri"/>
              <sz val="10"/>
            </rPr>
            <t xml:space="preserve"> 7.5 of 12 · between C1 and C2 — Experience: 13.7 yrs total · 7.0 before IRIS + 6.7 at IRIS = 7.7 on the experience scale; Qualification: B.E · graduate, relevant to the work → no change
</t>
          </r>
          <r>
            <rPr>
              <rFont val="Calibri"/>
              <b val="1"/>
              <sz val="10"/>
            </rPr>
            <t>Business Impact:</t>
          </r>
          <r>
            <rPr>
              <rFont val="Calibri"/>
              <sz val="10"/>
            </rPr>
            <t xml:space="preserve"> 5.5 of 12 — a starting estimate. —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176" s="12" t="inlineStr">
        <is>
          <r>
            <rPr>
              <rFont val="Calibri"/>
              <b val="1"/>
              <sz val="10"/>
            </rPr>
            <t>Market level:</t>
          </r>
          <r>
            <rPr>
              <rFont val="Calibri"/>
              <sz val="10"/>
            </rPr>
            <t xml:space="preserve"> P5 / M4 · SFIA 5 Ensure, advise
</t>
          </r>
          <r>
            <rPr>
              <rFont val="Calibri"/>
              <b val="1"/>
              <sz val="10"/>
            </rPr>
            <t>Typical title:</t>
          </r>
          <r>
            <rPr>
              <rFont val="Calibri"/>
              <sz val="10"/>
            </rPr>
            <t xml:space="preserve"> Senior Manager
</t>
          </r>
          <r>
            <rPr>
              <rFont val="Calibri"/>
              <b val="1"/>
              <sz val="10"/>
            </rPr>
            <t>At peers:</t>
          </r>
          <r>
            <rPr>
              <rFont val="Calibri"/>
              <sz val="10"/>
            </rPr>
            <t xml:space="preserve"> Workiva – Staff SE · Broadridge India – Senior Lead SE · Nasdaq / AxiomSL – Lead SE
</t>
          </r>
          <r>
            <rPr>
              <rFont val="Calibri"/>
              <b val="1"/>
              <sz val="10"/>
            </rPr>
            <t>Typical experience:</t>
          </r>
          <r>
            <rPr>
              <rFont val="Calibri"/>
              <sz val="10"/>
            </rPr>
            <t xml:space="preserve"> 8–13 yrs · IRIS guide 8–12
</t>
          </r>
          <r>
            <rPr>
              <rFont val="Calibri"/>
              <b val="1"/>
              <sz val="10"/>
            </rPr>
            <t>Standard:</t>
          </r>
          <r>
            <rPr>
              <rFont val="Calibri"/>
              <sz val="10"/>
            </rPr>
            <t xml:space="preserve"> SFIA 9; OWASP secure coding</t>
          </r>
        </is>
      </c>
      <c r="Y176" s="12" t="inlineStr">
        <is>
          <r>
            <rPr>
              <rFont val="Calibri"/>
              <sz val="10"/>
            </rPr>
            <t xml:space="preserve">✓ HRIS: 13.7 yrs, B.E, 4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76" s="12" t="inlineStr">
        <is>
          <t>—</t>
        </is>
      </c>
      <c r="AA176" s="12" t="inlineStr">
        <is>
          <t>Nothing outstanding</t>
        </is>
      </c>
      <c r="AB176" s="12" t="inlineStr">
        <is>
          <r>
            <rPr>
              <rFont val="Calibri"/>
              <b val="1"/>
              <sz val="10"/>
            </rPr>
            <t>What the role answers for:</t>
          </r>
          <r>
            <rPr>
              <rFont val="Calibri"/>
              <sz val="10"/>
            </rPr>
            <t xml:space="preserve"> Several teams or a practice.
</t>
          </r>
          <r>
            <rPr>
              <rFont val="Calibri"/>
              <b val="1"/>
              <sz val="10"/>
            </rPr>
            <t>Accountability &amp; Impact rating:</t>
          </r>
          <r>
            <rPr>
              <rFont val="Calibri"/>
              <sz val="10"/>
            </rPr>
            <t xml:space="preserve"> 5.5 of 12 · B3-level impact.
Leads 4 direct reports.
</t>
          </r>
          <r>
            <rPr>
              <rFont val="Calibri"/>
              <b val="1"/>
              <sz val="10"/>
            </rPr>
            <t>If the work is missed · role-holders' themes:</t>
          </r>
          <r>
            <rPr>
              <rFont val="Calibri"/>
              <sz val="10"/>
            </rPr>
            <t xml:space="preserve"> delays · rework · issues · impact.
Manager talent mapping — Latest rating: Not rated · manager · 9-Box Grid placement: Underperformer / Exit Risk.</t>
          </r>
        </is>
      </c>
      <c r="AC176" s="84" t="n"/>
      <c r="AD176" s="84" t="n"/>
      <c r="AE176" s="84" t="n"/>
      <c r="AF176" s="12" t="n">
        <v>5.5</v>
      </c>
    </row>
    <row r="177" ht="400" customHeight="1">
      <c r="A177" s="12" t="inlineStr">
        <is>
          <t>IRIS0622</t>
        </is>
      </c>
      <c r="B177" s="10" t="inlineStr">
        <is>
          <t>Prasad Shirke</t>
        </is>
      </c>
      <c r="C177" s="12" t="inlineStr">
        <is>
          <t>Technology</t>
        </is>
      </c>
      <c r="D177" s="12" t="inlineStr">
        <is>
          <t>Senior Business Analyst</t>
        </is>
      </c>
      <c r="E177" s="85" t="inlineStr">
        <is>
          <t>Senior Business Analysis Specialist – POD Lead</t>
        </is>
      </c>
      <c r="F177" s="12" t="inlineStr">
        <is>
          <t>Business Analysis</t>
        </is>
      </c>
      <c r="G177" s="12" t="inlineStr">
        <is>
          <t>Business Analysis</t>
        </is>
      </c>
      <c r="H177" s="12" t="inlineStr">
        <is>
          <t>POD Lead</t>
        </is>
      </c>
      <c r="I177" s="42" t="inlineStr">
        <is>
          <t>L4 – Senior</t>
        </is>
      </c>
      <c r="J177" s="20" t="inlineStr">
        <is>
          <t>B2</t>
        </is>
      </c>
      <c r="K177" s="21" t="inlineStr">
        <is>
          <t>Senior Specialist · POD Lead</t>
        </is>
      </c>
      <c r="L177" s="87" t="inlineStr">
        <is>
          <t>▲ Up</t>
        </is>
      </c>
      <c r="M177" s="12" t="inlineStr">
        <is>
          <t>CARBON · Technology · Band B · Expert / POD Lead</t>
        </is>
      </c>
      <c r="N177" s="42" t="n">
        <v>3.5</v>
      </c>
      <c r="O177" s="42" t="n">
        <v>4.5</v>
      </c>
      <c r="P177" s="42" t="n">
        <v>5.5</v>
      </c>
      <c r="Q177" s="42" t="n">
        <v>5.5</v>
      </c>
      <c r="R177" s="42" t="n">
        <v>8.5</v>
      </c>
      <c r="S177" s="80" t="n">
        <v>5.5</v>
      </c>
      <c r="T177" s="81">
        <f>IF(OR($M177="",COUNT(N177,O177,P177,Q177,R177,S177)&lt;6),"",IFERROR(N177*INDEX(WM_C,MATCH($M177,WM_KEY,0))+O177*INDEX(WM_AU,MATCH($M177,WM_KEY,0))+P177*INDEX(WM_AC,MATCH($M177,WM_KEY,0))+Q177*INDEX(WM_L,MATCH($M177,WM_KEY,0))+R177*INDEX(WM_E,MATCH($M177,WM_KEY,0))+S177*INDEX(WM_BI,MATCH($M177,WM_KEY,0)),""))</f>
        <v>4.51</v>
      </c>
      <c r="U177" s="42" t="str">
        <f>IF(T177="","",INDEX({"A1","A2","A3","B1","B2","B3","C1","C2","D1","D2","E1","E2"},MAX(1,MIN(12,ROUND(T177,0)))))</f>
        <v>B2</v>
      </c>
      <c r="V177" s="12" t="inlineStr">
        <is>
          <r>
            <rPr>
              <rFont val="Calibri"/>
              <sz val="10"/>
            </rPr>
            <t xml:space="preserve">New level B2 · Senior Specialist · POD Lead. Current level on record: L4 – Senior. Change: ▲ Up.
Score 4.51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7" s="12" t="inlineStr">
        <is>
          <r>
            <rPr>
              <rFont val="Calibri"/>
              <b val="1"/>
              <sz val="10"/>
            </rPr>
            <t>Complexity &amp; Expertise:</t>
          </r>
          <r>
            <rPr>
              <rFont val="Calibri"/>
              <sz val="10"/>
            </rPr>
            <t xml:space="preserve"> 3.5 of 12 · between A3 and B1 — Start: 4.0 · lead / specialist title; Evidence reads like A3: Requirements and user stories for XBRL/SEC reporting product; SOC audit and XBRL certification → moved down 0.5; KRA: “1.Improve requirement clarity and completeness by ensuring ≥ 95% user stories are delivered with clear acceptance criteria, business rules,…”
</t>
          </r>
          <r>
            <rPr>
              <rFont val="Calibri"/>
              <b val="1"/>
              <sz val="10"/>
            </rPr>
            <t>Autonomy &amp; Decision:</t>
          </r>
          <r>
            <rPr>
              <rFont val="Calibri"/>
              <sz val="10"/>
            </rPr>
            <t xml:space="preserve"> 4.5 of 12 · between B1 and B2 — Start: 5.0 · lead / specialist title; reporting lines show a bigger role: 3 direct reports, 11 people below, 1 of them leads a team; Evidence reads like A3: Decides requirement priorities; nothing else named → moved down 0.5
</t>
          </r>
          <r>
            <rPr>
              <rFont val="Calibri"/>
              <b val="1"/>
              <sz val="10"/>
            </rPr>
            <t>Accountability &amp; Impact:</t>
          </r>
          <r>
            <rPr>
              <rFont val="Calibri"/>
              <sz val="10"/>
            </rPr>
            <t xml:space="preserve"> 5.5 of 12 · between B2 and B3 — Start: 6.0 · lead / specialist title; 3 direct reports, 11 people below, 1 of them leads a team; Evidence reads like A3: Requirement and user-story accuracy; SOC audit and XBRL certification for CARBON → moved down 0.5; KRA: “1.Improve requirement clarity and completeness by ensuring ≥ 95% user stories are delivered with clear acceptance criteria, business rules,…”
</t>
          </r>
          <r>
            <rPr>
              <rFont val="Calibri"/>
              <b val="1"/>
              <sz val="10"/>
            </rPr>
            <t>Leadership &amp; Strategy:</t>
          </r>
          <r>
            <rPr>
              <rFont val="Calibri"/>
              <sz val="10"/>
            </rPr>
            <t xml:space="preserve"> 5.5 of 12 · between B2 and B3 — Start: 6.0; Evidence reads like A3: 3 direct reports; survey describes no people leadership → moved down 0.5; Team: 3 direct reports · POD Lead
</t>
          </r>
          <r>
            <rPr>
              <rFont val="Calibri"/>
              <b val="1"/>
              <sz val="10"/>
            </rPr>
            <t>Experience &amp; Qualification:</t>
          </r>
          <r>
            <rPr>
              <rFont val="Calibri"/>
              <sz val="10"/>
            </rPr>
            <t xml:space="preserve"> 8.5 of 12 · between C2 and D1 — Experience: 15.4 yrs total · 15.4 at IRIS; none recorded before IRIS = 8.3 on the experience scale; Qualification: B.Com · graduate → no change
</t>
          </r>
          <r>
            <rPr>
              <rFont val="Calibri"/>
              <b val="1"/>
              <sz val="10"/>
            </rPr>
            <t>Business Impact:</t>
          </r>
          <r>
            <rPr>
              <rFont val="Calibri"/>
              <sz val="10"/>
            </rPr>
            <t xml:space="preserve"> 5.5 of 12 — a starting estimate. — Start: 5.5, the role's accountability scope — what it answers for.; No survey or manager-mapping signal on criticality: kept at the start point.;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177" s="12" t="inlineStr">
        <is>
          <r>
            <rPr>
              <rFont val="Calibri"/>
              <b val="1"/>
              <sz val="10"/>
            </rPr>
            <t>Market level:</t>
          </r>
          <r>
            <rPr>
              <rFont val="Calibri"/>
              <sz val="10"/>
            </rPr>
            <t xml:space="preserve"> P4 / M3 · SFIA 4–5
</t>
          </r>
          <r>
            <rPr>
              <rFont val="Calibri"/>
              <b val="1"/>
              <sz val="10"/>
            </rPr>
            <t>Typical title:</t>
          </r>
          <r>
            <rPr>
              <rFont val="Calibri"/>
              <sz val="10"/>
            </rPr>
            <t xml:space="preserve"> Lead Business Analyst
</t>
          </r>
          <r>
            <rPr>
              <rFont val="Calibri"/>
              <b val="1"/>
              <sz val="10"/>
            </rPr>
            <t>At peers:</t>
          </r>
          <r>
            <rPr>
              <rFont val="Calibri"/>
              <sz val="10"/>
            </rPr>
            <t xml:space="preserve"> Regnology — regulatory reporting – Senior BA · Reg Reporting · Big Four consulting – Manager · IRIS Vs Market Benchmark — IIBA certification pathway: CBAP
</t>
          </r>
          <r>
            <rPr>
              <rFont val="Calibri"/>
              <b val="1"/>
              <sz val="10"/>
            </rPr>
            <t>Typical experience:</t>
          </r>
          <r>
            <rPr>
              <rFont val="Calibri"/>
              <sz val="10"/>
            </rPr>
            <t xml:space="preserve"> 6–10 yrs · IRIS guide 6–9
</t>
          </r>
          <r>
            <rPr>
              <rFont val="Calibri"/>
              <b val="1"/>
              <sz val="10"/>
            </rPr>
            <t>Standard:</t>
          </r>
          <r>
            <rPr>
              <rFont val="Calibri"/>
              <sz val="10"/>
            </rPr>
            <t xml:space="preserve"> IIBA BABOK v3; certifications ECBA → CCBA → CBAP</t>
          </r>
        </is>
      </c>
      <c r="Y177" s="12" t="inlineStr">
        <is>
          <r>
            <rPr>
              <rFont val="Calibri"/>
              <sz val="10"/>
            </rPr>
            <t xml:space="preserve">✓ HRIS: 15.4 yrs, B.Com, 3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77" s="82" t="inlineStr">
        <is>
          <r>
            <rPr>
              <rFont val="Calibri"/>
              <color rgb="009C5700"/>
              <sz val="10"/>
            </rPr>
            <t xml:space="preserve">• </t>
          </r>
          <r>
            <rPr>
              <rFont val="Calibri"/>
              <b val="1"/>
              <color rgb="009C5700"/>
              <sz val="10"/>
            </rPr>
            <t>Close call:</t>
          </r>
          <r>
            <rPr>
              <rFont val="Calibri"/>
              <color rgb="009C5700"/>
              <sz val="10"/>
            </rPr>
            <t xml:space="preserve"> score 4.51 is within 0.05 of a rounding point</t>
          </r>
        </is>
      </c>
      <c r="AA177" s="83" t="inlineStr">
        <is>
          <t>• Confirm the reporting line — Manager</t>
        </is>
      </c>
      <c r="AB177"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5.5 of 12 · B3-level impact.
Leads 3 direct reports.
</t>
          </r>
          <r>
            <rPr>
              <rFont val="Calibri"/>
              <b val="1"/>
              <sz val="10"/>
            </rPr>
            <t>If the work is missed · role-holders' themes:</t>
          </r>
          <r>
            <rPr>
              <rFont val="Calibri"/>
              <sz val="10"/>
            </rPr>
            <t xml:space="preserve"> client · rework · delays.
Manager talent mapping — Latest rating: Not rated · manager · 9-Box Grid placement: Underperformer / Exit Risk.</t>
          </r>
        </is>
      </c>
      <c r="AC177" s="84" t="n"/>
      <c r="AD177" s="84" t="n"/>
      <c r="AE177" s="84" t="n"/>
      <c r="AF177" s="12" t="n">
        <v>5.5</v>
      </c>
    </row>
    <row r="178" ht="400" customHeight="1">
      <c r="A178" s="12" t="inlineStr">
        <is>
          <t>IRIS1477</t>
        </is>
      </c>
      <c r="B178" s="10" t="inlineStr">
        <is>
          <t>Dhiraj Suryawanshi</t>
        </is>
      </c>
      <c r="C178" s="12" t="inlineStr">
        <is>
          <t>Technology</t>
        </is>
      </c>
      <c r="D178" s="12" t="inlineStr">
        <is>
          <t>Lead Software Engineer</t>
        </is>
      </c>
      <c r="E178" s="85" t="inlineStr">
        <is>
          <t>Lead Software Engineer – POD Lead</t>
        </is>
      </c>
      <c r="F178" s="12" t="inlineStr">
        <is>
          <t>Engineering &amp; Development</t>
        </is>
      </c>
      <c r="G178" s="12" t="inlineStr">
        <is>
          <t>Full-Stack Development</t>
        </is>
      </c>
      <c r="H178" s="12" t="inlineStr">
        <is>
          <t>POD Lead</t>
        </is>
      </c>
      <c r="I178" s="42" t="inlineStr">
        <is>
          <t>L5 – Lead · IC</t>
        </is>
      </c>
      <c r="J178" s="20" t="inlineStr">
        <is>
          <t>B2</t>
        </is>
      </c>
      <c r="K178" s="21" t="inlineStr">
        <is>
          <t>Senior Specialist · POD Lead</t>
        </is>
      </c>
      <c r="L178" s="88" t="inlineStr">
        <is>
          <t>• Same level</t>
        </is>
      </c>
      <c r="M178" s="12" t="inlineStr">
        <is>
          <t>CARBON · Technology · Band B · Expert / POD Lead</t>
        </is>
      </c>
      <c r="N178" s="42" t="n">
        <v>5.5</v>
      </c>
      <c r="O178" s="42" t="n">
        <v>5</v>
      </c>
      <c r="P178" s="42" t="n">
        <v>4.5</v>
      </c>
      <c r="Q178" s="42" t="n">
        <v>4.5</v>
      </c>
      <c r="R178" s="42" t="n">
        <v>8</v>
      </c>
      <c r="S178" s="80" t="n">
        <v>4.5</v>
      </c>
      <c r="T178" s="81">
        <f>IF(OR($M178="",COUNT(N178,O178,P178,Q178,R178,S178)&lt;6),"",IFERROR(N178*INDEX(WM_C,MATCH($M178,WM_KEY,0))+O178*INDEX(WM_AU,MATCH($M178,WM_KEY,0))+P178*INDEX(WM_AC,MATCH($M178,WM_KEY,0))+Q178*INDEX(WM_L,MATCH($M178,WM_KEY,0))+R178*INDEX(WM_E,MATCH($M178,WM_KEY,0))+S178*INDEX(WM_BI,MATCH($M178,WM_KEY,0)),""))</f>
        <v>5.495</v>
      </c>
      <c r="U178" s="42" t="str">
        <f>IF(T178="","",INDEX({"A1","A2","A3","B1","B2","B3","C1","C2","D1","D2","E1","E2"},MAX(1,MIN(12,ROUND(T178,0)))))</f>
        <v>B2</v>
      </c>
      <c r="V178" s="12" t="inlineStr">
        <is>
          <r>
            <rPr>
              <rFont val="Calibri"/>
              <sz val="10"/>
            </rPr>
            <t xml:space="preserve">New level B2 · Senior Specialist · POD Lead. Current level on record: L5 – Lead · IC. Change: • Same level.
Score 5.50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8" s="12" t="inlineStr">
        <is>
          <r>
            <rPr>
              <rFont val="Calibri"/>
              <b val="1"/>
              <sz val="10"/>
            </rPr>
            <t>Complexity &amp; Expertise:</t>
          </r>
          <r>
            <rPr>
              <rFont val="Calibri"/>
              <sz val="10"/>
            </rPr>
            <t xml:space="preserve"> 5.5 of 12 · between B2 and B3 — Start: 6.0 · senior manager / lead specialist title; Evidence reads like B2: Solution architecture for AI agentic workflows and Azure document-processing automation; leads problem-solving on team's complex challenges → moved down 0.5; KRA: “1.Successfully deliver 100% committed milestones for strategic projects · including ACRA mandate within agreed scope, quality, and…”
</t>
          </r>
          <r>
            <rPr>
              <rFont val="Calibri"/>
              <b val="1"/>
              <sz val="10"/>
            </rPr>
            <t>Autonomy &amp; Decision:</t>
          </r>
          <r>
            <rPr>
              <rFont val="Calibri"/>
              <sz val="10"/>
            </rPr>
            <t xml:space="preserve"> 5 of 12 — Start: 6.0 · senior manager / lead specialist title; Evidence reads like B1: Decides architecture, R&amp;D implementation and code quality standards for the team → moved down 1
</t>
          </r>
          <r>
            <rPr>
              <rFont val="Calibri"/>
              <b val="1"/>
              <sz val="10"/>
            </rPr>
            <t>Accountability &amp; Impact:</t>
          </r>
          <r>
            <rPr>
              <rFont val="Calibri"/>
              <sz val="10"/>
            </rPr>
            <t xml:space="preserve"> 4.5 of 12 · between B1 and B2 — Start: 5.0 · senior manager / lead specialist title; 3 direct reports, 6 people below, 1 of them leads a team; Evidence reads like B1: Architecture decisions, end-to-end delivery and R&amp;D outcomes for a 3-person team → moved down 0.5; KRA: “1.Successfully deliver 100% committed milestones for strategic projects · including ACRA mandate within agreed scope, quality, and…”
</t>
          </r>
          <r>
            <rPr>
              <rFont val="Calibri"/>
              <b val="1"/>
              <sz val="10"/>
            </rPr>
            <t>Leadership &amp; Strategy:</t>
          </r>
          <r>
            <rPr>
              <rFont val="Calibri"/>
              <sz val="10"/>
            </rPr>
            <t xml:space="preserve"> 4.5 of 12 · between B1 and B2 — Start: 5.0; Evidence reads like B1: Team technical mentorship as a listed responsibility; 3 direct reports → moved down 0.5; Team: 3 direct reports · POD Lead
</t>
          </r>
          <r>
            <rPr>
              <rFont val="Calibri"/>
              <b val="1"/>
              <sz val="10"/>
            </rPr>
            <t>Experience &amp; Qualification:</t>
          </r>
          <r>
            <rPr>
              <rFont val="Calibri"/>
              <sz val="10"/>
            </rPr>
            <t xml:space="preserve"> 8 of 12 — Experience: 14.4 yrs total · 2.3 before IRIS + 12.1 at IRIS = 8.0 on the experience scale; Qualification: B.E · graduate, relevant to the work → no change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178" s="12" t="inlineStr">
        <is>
          <r>
            <rPr>
              <rFont val="Calibri"/>
              <b val="1"/>
              <sz val="10"/>
            </rPr>
            <t>Market level:</t>
          </r>
          <r>
            <rPr>
              <rFont val="Calibri"/>
              <sz val="10"/>
            </rPr>
            <t xml:space="preserve"> P4 / M3 · SFIA 4–5
</t>
          </r>
          <r>
            <rPr>
              <rFont val="Calibri"/>
              <b val="1"/>
              <sz val="10"/>
            </rPr>
            <t>Typical title:</t>
          </r>
          <r>
            <rPr>
              <rFont val="Calibri"/>
              <sz val="10"/>
            </rPr>
            <t xml:space="preserve"> Principal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178" s="12" t="inlineStr">
        <is>
          <r>
            <rPr>
              <rFont val="Calibri"/>
              <sz val="10"/>
            </rPr>
            <t xml:space="preserve">✓ HRIS: 14.4 yrs, B.E, 3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78" s="82" t="inlineStr">
        <is>
          <r>
            <rPr>
              <rFont val="Calibri"/>
              <color rgb="009C5700"/>
              <sz val="10"/>
            </rPr>
            <t xml:space="preserve">• </t>
          </r>
          <r>
            <rPr>
              <rFont val="Calibri"/>
              <b val="1"/>
              <color rgb="009C5700"/>
              <sz val="10"/>
            </rPr>
            <t>Close call:</t>
          </r>
          <r>
            <rPr>
              <rFont val="Calibri"/>
              <color rgb="009C5700"/>
              <sz val="10"/>
            </rPr>
            <t xml:space="preserve"> score 5.50 is within 0.05 of a rounding point
• </t>
          </r>
          <r>
            <rPr>
              <rFont val="Calibri"/>
              <b val="1"/>
              <color rgb="009C5700"/>
              <sz val="10"/>
            </rPr>
            <t>Title check:</t>
          </r>
          <r>
            <rPr>
              <rFont val="Calibri"/>
              <color rgb="009C5700"/>
              <sz val="10"/>
            </rPr>
            <t xml:space="preserve"> Check title against ladder</t>
          </r>
        </is>
      </c>
      <c r="AA178" s="12" t="inlineStr">
        <is>
          <t>Nothing outstanding</t>
        </is>
      </c>
      <c r="AB178"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3 direct reports.
</t>
          </r>
          <r>
            <rPr>
              <rFont val="Calibri"/>
              <b val="1"/>
              <sz val="10"/>
            </rPr>
            <t>If the work is missed · role-holders' themes:</t>
          </r>
          <r>
            <rPr>
              <rFont val="Calibri"/>
              <sz val="10"/>
            </rPr>
            <t xml:space="preserve"> delays · rework · issues.
Manager talent mapping — Latest rating: Not rated · manager · 9-Box Grid placement: Underperformer / Exit Risk.</t>
          </r>
        </is>
      </c>
      <c r="AC178" s="84" t="n"/>
      <c r="AD178" s="84" t="n"/>
      <c r="AE178" s="84" t="n"/>
      <c r="AF178" s="12" t="n">
        <v>4.5</v>
      </c>
    </row>
    <row r="179" ht="400" customHeight="1">
      <c r="A179" s="12" t="inlineStr">
        <is>
          <t>IRIS1986</t>
        </is>
      </c>
      <c r="B179" s="10" t="inlineStr">
        <is>
          <t>Sarfaraz Badi</t>
        </is>
      </c>
      <c r="C179" s="12" t="inlineStr">
        <is>
          <t>Technology</t>
        </is>
      </c>
      <c r="D179" s="12" t="inlineStr">
        <is>
          <t>Lead Software Engineer</t>
        </is>
      </c>
      <c r="E179" s="85" t="inlineStr">
        <is>
          <t>Lead Software Engineer – POD Lead</t>
        </is>
      </c>
      <c r="F179" s="12" t="inlineStr">
        <is>
          <t>Engineering &amp; Development</t>
        </is>
      </c>
      <c r="G179" s="12" t="inlineStr">
        <is>
          <t>Backend Development</t>
        </is>
      </c>
      <c r="H179" s="12" t="inlineStr">
        <is>
          <t>POD Lead</t>
        </is>
      </c>
      <c r="I179" s="42" t="inlineStr">
        <is>
          <t>L5 – Lead · IC</t>
        </is>
      </c>
      <c r="J179" s="20" t="inlineStr">
        <is>
          <t>B2</t>
        </is>
      </c>
      <c r="K179" s="21" t="inlineStr">
        <is>
          <t>Senior Specialist · POD Lead</t>
        </is>
      </c>
      <c r="L179" s="88" t="inlineStr">
        <is>
          <t>• Same level</t>
        </is>
      </c>
      <c r="M179" s="12" t="inlineStr">
        <is>
          <t>CARBON · Technology · Band B · Expert / POD Lead</t>
        </is>
      </c>
      <c r="N179" s="42" t="n">
        <v>5.5</v>
      </c>
      <c r="O179" s="42" t="n">
        <v>5</v>
      </c>
      <c r="P179" s="42" t="n">
        <v>4.5</v>
      </c>
      <c r="Q179" s="42" t="n">
        <v>4.5</v>
      </c>
      <c r="R179" s="42" t="n">
        <v>8</v>
      </c>
      <c r="S179" s="80" t="n">
        <v>4.5</v>
      </c>
      <c r="T179" s="81">
        <f>IF(OR($M179="",COUNT(N179,O179,P179,Q179,R179,S179)&lt;6),"",IFERROR(N179*INDEX(WM_C,MATCH($M179,WM_KEY,0))+O179*INDEX(WM_AU,MATCH($M179,WM_KEY,0))+P179*INDEX(WM_AC,MATCH($M179,WM_KEY,0))+Q179*INDEX(WM_L,MATCH($M179,WM_KEY,0))+R179*INDEX(WM_E,MATCH($M179,WM_KEY,0))+S179*INDEX(WM_BI,MATCH($M179,WM_KEY,0)),""))</f>
        <v>5.495</v>
      </c>
      <c r="U179" s="42" t="str">
        <f>IF(T179="","",INDEX({"A1","A2","A3","B1","B2","B3","C1","C2","D1","D2","E1","E2"},MAX(1,MIN(12,ROUND(T179,0)))))</f>
        <v>B2</v>
      </c>
      <c r="V179" s="12" t="inlineStr">
        <is>
          <r>
            <rPr>
              <rFont val="Calibri"/>
              <sz val="10"/>
            </rPr>
            <t xml:space="preserve">New level B2 · Senior Specialist · POD Lead. Current level on record: L5 – Lead · IC. Change: • Same level.
Score 5.50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79" s="12" t="inlineStr">
        <is>
          <r>
            <rPr>
              <rFont val="Calibri"/>
              <b val="1"/>
              <sz val="10"/>
            </rPr>
            <t>Complexity &amp; Expertise:</t>
          </r>
          <r>
            <rPr>
              <rFont val="Calibri"/>
              <sz val="10"/>
            </rPr>
            <t xml:space="preserve"> 5.5 of 12 · between B2 and B3 — Start: 6.0 · senior manager / lead specialist title; Evidence reads like B2: Technical design and leadership; cross-team dependencies, architecture responsibility, AI technology selection → moved down 0.5; KRA: “1.Improve engineering fundamentals and ensure ≥ 90% assigned deliverables meet expected quality standards without missing basic…”
</t>
          </r>
          <r>
            <rPr>
              <rFont val="Calibri"/>
              <b val="1"/>
              <sz val="10"/>
            </rPr>
            <t>Autonomy &amp; Decision:</t>
          </r>
          <r>
            <rPr>
              <rFont val="Calibri"/>
              <sz val="10"/>
            </rPr>
            <t xml:space="preserve"> 5 of 12 — Start: 6.0 · senior manager / lead specialist title; Evidence reads like B1: Decides implementation approach, AI technology selection, development priority, problem resolution → moved down 1
</t>
          </r>
          <r>
            <rPr>
              <rFont val="Calibri"/>
              <b val="1"/>
              <sz val="10"/>
            </rPr>
            <t>Accountability &amp; Impact:</t>
          </r>
          <r>
            <rPr>
              <rFont val="Calibri"/>
              <sz val="10"/>
            </rPr>
            <t xml:space="preserve"> 4.5 of 12 · between B1 and B2 — Start: 5.0 · senior manager / lead specialist title; 3 direct reports, 7 people below, 1 of them leads a team; Evidence reads like B1: Technical design, code quality and team delivery efficiency for a 3-person team → moved down 0.5; KRA: “1.Improve engineering fundamentals and ensure ≥ 90% assigned deliverables meet expected quality standards without missing basic…”
</t>
          </r>
          <r>
            <rPr>
              <rFont val="Calibri"/>
              <b val="1"/>
              <sz val="10"/>
            </rPr>
            <t>Leadership &amp; Strategy:</t>
          </r>
          <r>
            <rPr>
              <rFont val="Calibri"/>
              <sz val="10"/>
            </rPr>
            <t xml:space="preserve"> 4.5 of 12 · between B1 and B2 — Start: 5.0; Evidence reads like B1: Team leadership and guiding team members; code review; 3 direct reports → moved down 0.5; Team: 3 direct reports · POD Lead
</t>
          </r>
          <r>
            <rPr>
              <rFont val="Calibri"/>
              <b val="1"/>
              <sz val="10"/>
            </rPr>
            <t>Experience &amp; Qualification:</t>
          </r>
          <r>
            <rPr>
              <rFont val="Calibri"/>
              <sz val="10"/>
            </rPr>
            <t xml:space="preserve"> 8 of 12 — Experience: 13.6 yrs total · 9.0 before IRIS + 4.6 at IRIS = 7.6 on the experience scale; Qualification: MCA · postgraduate, relevant to the work → +0.5
</t>
          </r>
          <r>
            <rPr>
              <rFont val="Calibri"/>
              <b val="1"/>
              <sz val="10"/>
            </rPr>
            <t>Business Impact:</t>
          </r>
          <r>
            <rPr>
              <rFont val="Calibri"/>
              <sz val="10"/>
            </rPr>
            <t xml:space="preserve"> 4.5 of 12 — a starting estimate. — Start: 4.5, the role's accountability scope — what it answers for.; No survey or manager-mapping signal on criticality: kept at the start point.; Managers and heads: overwrite this rating on the Weightage sheet with the business impact you see — the score updates at once.; Ladder: B1 = Moves a module's, product area's or client account's results · B2 = Visible effect on a team's or client portfolio's revenue, quality or compliance</t>
          </r>
        </is>
      </c>
      <c r="X179" s="12" t="inlineStr">
        <is>
          <r>
            <rPr>
              <rFont val="Calibri"/>
              <b val="1"/>
              <sz val="10"/>
            </rPr>
            <t>Market level:</t>
          </r>
          <r>
            <rPr>
              <rFont val="Calibri"/>
              <sz val="10"/>
            </rPr>
            <t xml:space="preserve"> P4 / M3 · SFIA 4–5
</t>
          </r>
          <r>
            <rPr>
              <rFont val="Calibri"/>
              <b val="1"/>
              <sz val="10"/>
            </rPr>
            <t>Typical title:</t>
          </r>
          <r>
            <rPr>
              <rFont val="Calibri"/>
              <sz val="10"/>
            </rPr>
            <t xml:space="preserve"> Principal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179" s="12" t="inlineStr">
        <is>
          <r>
            <rPr>
              <rFont val="Calibri"/>
              <sz val="10"/>
            </rPr>
            <t xml:space="preserve">✓ HRIS: 13.6 yrs, MCA, 3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79" s="82" t="inlineStr">
        <is>
          <r>
            <rPr>
              <rFont val="Calibri"/>
              <color rgb="009C5700"/>
              <sz val="10"/>
            </rPr>
            <t xml:space="preserve">• </t>
          </r>
          <r>
            <rPr>
              <rFont val="Calibri"/>
              <b val="1"/>
              <color rgb="009C5700"/>
              <sz val="10"/>
            </rPr>
            <t>Close call:</t>
          </r>
          <r>
            <rPr>
              <rFont val="Calibri"/>
              <color rgb="009C5700"/>
              <sz val="10"/>
            </rPr>
            <t xml:space="preserve"> score 5.50 is within 0.05 of a rounding point
• </t>
          </r>
          <r>
            <rPr>
              <rFont val="Calibri"/>
              <b val="1"/>
              <color rgb="009C5700"/>
              <sz val="10"/>
            </rPr>
            <t>Title check:</t>
          </r>
          <r>
            <rPr>
              <rFont val="Calibri"/>
              <color rgb="009C5700"/>
              <sz val="10"/>
            </rPr>
            <t xml:space="preserve"> Check title against ladder</t>
          </r>
        </is>
      </c>
      <c r="AA179" s="12" t="inlineStr">
        <is>
          <t>Nothing outstanding</t>
        </is>
      </c>
      <c r="AB179"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4.5 of 12 · B1-level impact.
Leads 3 direct reports.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Not rated · manager · 9-Box Grid placement: Underperformer / Exit Risk.</t>
          </r>
        </is>
      </c>
      <c r="AC179" s="84" t="n"/>
      <c r="AD179" s="84" t="n"/>
      <c r="AE179" s="84" t="n"/>
      <c r="AF179" s="12" t="n">
        <v>4.5</v>
      </c>
    </row>
    <row r="180" ht="400" customHeight="1">
      <c r="A180" s="12" t="inlineStr">
        <is>
          <t>IRIS1535</t>
        </is>
      </c>
      <c r="B180" s="10" t="inlineStr">
        <is>
          <t>Siddhesh Kadam</t>
        </is>
      </c>
      <c r="C180" s="12" t="inlineStr">
        <is>
          <t>Technology</t>
        </is>
      </c>
      <c r="D180" s="12" t="inlineStr">
        <is>
          <t>Senior Software Engineer</t>
        </is>
      </c>
      <c r="E180" s="85" t="inlineStr">
        <is>
          <t>Senior Technical Specialist – POD Lead</t>
        </is>
      </c>
      <c r="F180" s="12" t="inlineStr">
        <is>
          <t>Engineering &amp; Development</t>
        </is>
      </c>
      <c r="G180" s="12" t="inlineStr">
        <is>
          <t>Backend Development</t>
        </is>
      </c>
      <c r="H180" s="12" t="inlineStr">
        <is>
          <t>POD Lead</t>
        </is>
      </c>
      <c r="I180" s="42" t="inlineStr">
        <is>
          <t>L4 – Senior</t>
        </is>
      </c>
      <c r="J180" s="20" t="inlineStr">
        <is>
          <t>B2</t>
        </is>
      </c>
      <c r="K180" s="21" t="inlineStr">
        <is>
          <t>Senior Specialist · POD Lead</t>
        </is>
      </c>
      <c r="L180" s="87" t="inlineStr">
        <is>
          <t>▲ Up</t>
        </is>
      </c>
      <c r="M180" s="12" t="inlineStr">
        <is>
          <t>CARBON · Technology · Band B · Expert / POD Lead</t>
        </is>
      </c>
      <c r="N180" s="42" t="n">
        <v>4</v>
      </c>
      <c r="O180" s="42" t="n">
        <v>5</v>
      </c>
      <c r="P180" s="42" t="n">
        <v>6</v>
      </c>
      <c r="Q180" s="42" t="n">
        <v>6</v>
      </c>
      <c r="R180" s="42" t="n">
        <v>6.5</v>
      </c>
      <c r="S180" s="80" t="n">
        <v>6</v>
      </c>
      <c r="T180" s="81">
        <f>IF(OR($M180="",COUNT(N180,O180,P180,Q180,R180,S180)&lt;6),"",IFERROR(N180*INDEX(WM_C,MATCH($M180,WM_KEY,0))+O180*INDEX(WM_AU,MATCH($M180,WM_KEY,0))+P180*INDEX(WM_AC,MATCH($M180,WM_KEY,0))+Q180*INDEX(WM_L,MATCH($M180,WM_KEY,0))+R180*INDEX(WM_E,MATCH($M180,WM_KEY,0))+S180*INDEX(WM_BI,MATCH($M180,WM_KEY,0)),""))</f>
        <v>4.76</v>
      </c>
      <c r="U180" s="42" t="str">
        <f>IF(T180="","",INDEX({"A1","A2","A3","B1","B2","B3","C1","C2","D1","D2","E1","E2"},MAX(1,MIN(12,ROUND(T180,0)))))</f>
        <v>B2</v>
      </c>
      <c r="V180" s="12" t="inlineStr">
        <is>
          <r>
            <rPr>
              <rFont val="Calibri"/>
              <sz val="10"/>
            </rPr>
            <t xml:space="preserve">New level B2 · Senior Specialist · POD Lead. Current level on record: L4 – Senior. Change: ▲ Up.
Score 4.76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80" s="12" t="inlineStr">
        <is>
          <r>
            <rPr>
              <rFont val="Calibri"/>
              <b val="1"/>
              <sz val="10"/>
            </rPr>
            <t>Complexity &amp; Expertise:</t>
          </r>
          <r>
            <rPr>
              <rFont val="Calibri"/>
              <sz val="10"/>
            </rPr>
            <t xml:space="preserve"> 4 of 12 — Start: 4.0 · senior practitioner title; reporting lines show a bigger role: 3 direct reports, 8 people below, 1 of them leads a team; Evidence: rated like 15 colleagues in the same role and department · own answers too general to rate → no change; KRA: “1.Design, build, and maintain minimum 4 reusable organization-wide platforms/tools (such as Scanning Portal, ETL utilities, RFP Portal,…”
</t>
          </r>
          <r>
            <rPr>
              <rFont val="Calibri"/>
              <b val="1"/>
              <sz val="10"/>
            </rPr>
            <t>Autonomy &amp; Decision:</t>
          </r>
          <r>
            <rPr>
              <rFont val="Calibri"/>
              <sz val="10"/>
            </rPr>
            <t xml:space="preserve"> 5 of 12 — Start: 5.0 · senior practitioner title; reporting lines show a bigger role: 3 direct reports, 8 people below, 1 of them leads a team; Evidence: rated like 15 colleagues in the same role and department · own answers too general to rate → no change
</t>
          </r>
          <r>
            <rPr>
              <rFont val="Calibri"/>
              <b val="1"/>
              <sz val="10"/>
            </rPr>
            <t>Accountability &amp; Impact:</t>
          </r>
          <r>
            <rPr>
              <rFont val="Calibri"/>
              <sz val="10"/>
            </rPr>
            <t xml:space="preserve"> 6 of 12 — Start: 6.0 · senior practitioner title; 3 direct reports, 8 people below, 1 of them leads a team; Evidence: rated like 15 colleagues in the same role and department · own answers too general to rate → no change; KRA: “1.Design, build, and maintain minimum 4 reusable organization-wide platforms/tools (such as Scanning Portal, ETL utilities, RFP Portal,…”
</t>
          </r>
          <r>
            <rPr>
              <rFont val="Calibri"/>
              <b val="1"/>
              <sz val="10"/>
            </rPr>
            <t>Leadership &amp; Strategy:</t>
          </r>
          <r>
            <rPr>
              <rFont val="Calibri"/>
              <sz val="10"/>
            </rPr>
            <t xml:space="preserve"> 6 of 12 — Start: 6.0; Evidence: rated like 15 colleagues in the same role and department · own answers too general to rate → no change; Team: 3 direct reports · POD Lead
</t>
          </r>
          <r>
            <rPr>
              <rFont val="Calibri"/>
              <b val="1"/>
              <sz val="10"/>
            </rPr>
            <t>Experience &amp; Qualification:</t>
          </r>
          <r>
            <rPr>
              <rFont val="Calibri"/>
              <sz val="10"/>
            </rPr>
            <t xml:space="preserve"> 6.5 of 12 · between B3 and C1 — Experience: 11.4 yrs total · 11.4 at IRIS; none recorded before IRIS = 6.7 on the experience scale; Qualification: B.E · graduate, relevant to the work → no change
</t>
          </r>
          <r>
            <rPr>
              <rFont val="Calibri"/>
              <b val="1"/>
              <sz val="10"/>
            </rPr>
            <t>Business Impact:</t>
          </r>
          <r>
            <rPr>
              <rFont val="Calibri"/>
              <sz val="10"/>
            </rPr>
            <t xml:space="preserve"> 6 of 12 — a starting estimate. — Start: 6, the role's accountability scope — what it answers for.; No survey or manager-mapping signal on criticality: kept at the start point.; Managers and heads: overwrite this rating on the Weightage sheet with the business impact you see — the score updates at once.; Ladder: B3 = Shapes the results of a practice or several teams</t>
          </r>
        </is>
      </c>
      <c r="X180" s="12" t="inlineStr">
        <is>
          <r>
            <rPr>
              <rFont val="Calibri"/>
              <b val="1"/>
              <sz val="10"/>
            </rPr>
            <t>Market level:</t>
          </r>
          <r>
            <rPr>
              <rFont val="Calibri"/>
              <sz val="10"/>
            </rPr>
            <t xml:space="preserve"> P4 / M3 · SFIA 4–5
</t>
          </r>
          <r>
            <rPr>
              <rFont val="Calibri"/>
              <b val="1"/>
              <sz val="10"/>
            </rPr>
            <t>Typical title:</t>
          </r>
          <r>
            <rPr>
              <rFont val="Calibri"/>
              <sz val="10"/>
            </rPr>
            <t xml:space="preserve"> Lead / Staff Engineer
</t>
          </r>
          <r>
            <rPr>
              <rFont val="Calibri"/>
              <b val="1"/>
              <sz val="10"/>
            </rPr>
            <t>At peers:</t>
          </r>
          <r>
            <rPr>
              <rFont val="Calibri"/>
              <sz val="10"/>
            </rPr>
            <t xml:space="preserve"> Workiva – Senior SE · Broadridge India – Lead SE · Nasdaq / AxiomSL – Senior SE
</t>
          </r>
          <r>
            <rPr>
              <rFont val="Calibri"/>
              <b val="1"/>
              <sz val="10"/>
            </rPr>
            <t>Typical experience:</t>
          </r>
          <r>
            <rPr>
              <rFont val="Calibri"/>
              <sz val="10"/>
            </rPr>
            <t xml:space="preserve"> 6–10 yrs · IRIS guide 6–9
</t>
          </r>
          <r>
            <rPr>
              <rFont val="Calibri"/>
              <b val="1"/>
              <sz val="10"/>
            </rPr>
            <t>Standard:</t>
          </r>
          <r>
            <rPr>
              <rFont val="Calibri"/>
              <sz val="10"/>
            </rPr>
            <t xml:space="preserve"> SFIA 9; OWASP secure coding</t>
          </r>
        </is>
      </c>
      <c r="Y180" s="12" t="inlineStr">
        <is>
          <r>
            <rPr>
              <rFont val="Calibri"/>
              <sz val="10"/>
            </rPr>
            <t xml:space="preserve">✓ HRIS: 11.4 yrs, B.E, 3 direct reports
✓ Survey: 20 of 20 questions answered
✓ KRAs: submitted, reported deliverables
✓ Manager mapping: rating, 9-box
✗ Job description: not on file
</t>
          </r>
          <r>
            <rPr>
              <rFont val="Calibri"/>
              <b val="1"/>
              <sz val="10"/>
            </rPr>
            <t>Confidence:</t>
          </r>
          <r>
            <rPr>
              <rFont val="Calibri"/>
              <sz val="10"/>
            </rPr>
            <t xml:space="preserve"> Low</t>
          </r>
        </is>
      </c>
      <c r="Z180" s="12" t="inlineStr">
        <is>
          <t>—</t>
        </is>
      </c>
      <c r="AA180" s="83" t="inlineStr">
        <is>
          <t>• Confirm the reporting line — Manager</t>
        </is>
      </c>
      <c r="AB180"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6 of 12 · B3-level impact.
Leads 3 direct reports.
</t>
          </r>
          <r>
            <rPr>
              <rFont val="Calibri"/>
              <b val="1"/>
              <sz val="10"/>
            </rPr>
            <t>If the work is missed · role-holders' themes:</t>
          </r>
          <r>
            <rPr>
              <rFont val="Calibri"/>
              <sz val="10"/>
            </rPr>
            <t xml:space="preserve"> rework · client · impact · production · issues.
</t>
          </r>
          <r>
            <rPr>
              <rFont val="Calibri"/>
              <b val="1"/>
              <sz val="10"/>
            </rPr>
            <t>Measured on · manager-set KRA themes:</t>
          </r>
          <r>
            <rPr>
              <rFont val="Calibri"/>
              <sz val="10"/>
            </rPr>
            <t xml:space="preserve"> modules · coverage · complete · components · committed · sprint.
Manager talent mapping — Latest rating: Not rated · manager · 9-Box Grid placement: Not placed · manager.</t>
          </r>
        </is>
      </c>
      <c r="AC180" s="84" t="n"/>
      <c r="AD180" s="84" t="n"/>
      <c r="AE180" s="84" t="n"/>
      <c r="AF180" s="12" t="n">
        <v>6</v>
      </c>
    </row>
    <row r="181" ht="400" customHeight="1">
      <c r="A181" s="12" t="inlineStr">
        <is>
          <t>IRIS1272</t>
        </is>
      </c>
      <c r="B181" s="10" t="inlineStr">
        <is>
          <t>Aaron Michael</t>
        </is>
      </c>
      <c r="C181" s="12" t="inlineStr">
        <is>
          <t>Technology</t>
        </is>
      </c>
      <c r="D181" s="12" t="inlineStr">
        <is>
          <t>Project Manager</t>
        </is>
      </c>
      <c r="E181" s="12" t="inlineStr">
        <is>
          <t>Project Manager</t>
        </is>
      </c>
      <c r="F181" s="12" t="inlineStr">
        <is>
          <t>Project &amp; Program Management</t>
        </is>
      </c>
      <c r="G181" s="12" t="inlineStr">
        <is>
          <t>Project &amp; Program Delivery</t>
        </is>
      </c>
      <c r="H181" s="12" t="inlineStr">
        <is>
          <t>IC</t>
        </is>
      </c>
      <c r="I181" s="42" t="inlineStr">
        <is>
          <t>L5 – Manager</t>
        </is>
      </c>
      <c r="J181" s="20" t="inlineStr">
        <is>
          <t>B2</t>
        </is>
      </c>
      <c r="K181" s="21" t="inlineStr">
        <is>
          <t>Senior Specialist</t>
        </is>
      </c>
      <c r="L181" s="88" t="inlineStr">
        <is>
          <t>• Same level</t>
        </is>
      </c>
      <c r="M181" s="12" t="inlineStr">
        <is>
          <t>CARBON · Technology · Band B · Expert / POD Lead</t>
        </is>
      </c>
      <c r="N181" s="42" t="n">
        <v>4.5</v>
      </c>
      <c r="O181" s="42" t="n">
        <v>5</v>
      </c>
      <c r="P181" s="42" t="n">
        <v>5</v>
      </c>
      <c r="Q181" s="42" t="n">
        <v>4</v>
      </c>
      <c r="R181" s="42" t="n">
        <v>8.5</v>
      </c>
      <c r="S181" s="80" t="n">
        <v>5.5</v>
      </c>
      <c r="T181" s="81">
        <f>IF(OR($M181="",COUNT(N181,O181,P181,Q181,R181,S181)&lt;6),"",IFERROR(N181*INDEX(WM_C,MATCH($M181,WM_KEY,0))+O181*INDEX(WM_AU,MATCH($M181,WM_KEY,0))+P181*INDEX(WM_AC,MATCH($M181,WM_KEY,0))+Q181*INDEX(WM_L,MATCH($M181,WM_KEY,0))+R181*INDEX(WM_E,MATCH($M181,WM_KEY,0))+S181*INDEX(WM_BI,MATCH($M181,WM_KEY,0)),""))</f>
        <v>5.055</v>
      </c>
      <c r="U181" s="42" t="str">
        <f>IF(T181="","",INDEX({"A1","A2","A3","B1","B2","B3","C1","C2","D1","D2","E1","E2"},MAX(1,MIN(12,ROUND(T181,0)))))</f>
        <v>B2</v>
      </c>
      <c r="V181" s="12" t="inlineStr">
        <is>
          <r>
            <rPr>
              <rFont val="Calibri"/>
              <sz val="10"/>
            </rPr>
            <t xml:space="preserve">New level B2 · Senior Specialist. Current level on record: L5 – Manager. Change: • Same level.
Score 5.06 on the ladder scale → indicated level B2.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81" s="12" t="inlineStr">
        <is>
          <r>
            <rPr>
              <rFont val="Calibri"/>
              <b val="1"/>
              <sz val="10"/>
            </rPr>
            <t>Complexity &amp; Expertise:</t>
          </r>
          <r>
            <rPr>
              <rFont val="Calibri"/>
              <sz val="10"/>
            </rPr>
            <t xml:space="preserve"> 4.5 of 12 · between B1 and B2 — Start: 5.0 · manager / senior specialist title; Evidence reads like B1: Scope, schedule, risk and client alignment for projects, including invoicing and payments → moved down 0.5; KRA: “On-time delivery: ≥95% Budget adherence: ≥90% Project CSAT: ≥4.7/5 Implementation NPS: &gt;70 First-time go-live success: ≥95% Average…”
</t>
          </r>
          <r>
            <rPr>
              <rFont val="Calibri"/>
              <b val="1"/>
              <sz val="10"/>
            </rPr>
            <t>Autonomy &amp; Decision:</t>
          </r>
          <r>
            <rPr>
              <rFont val="Calibri"/>
              <sz val="10"/>
            </rPr>
            <t xml:space="preserve"> 5 of 12 — Start: 5.0 · manager / senior specialist title; Evidence reads like B2: Decides client engagement and task assignment; sets team priorities → matches the start
</t>
          </r>
          <r>
            <rPr>
              <rFont val="Calibri"/>
              <b val="1"/>
              <sz val="10"/>
            </rPr>
            <t>Accountability &amp; Impact:</t>
          </r>
          <r>
            <rPr>
              <rFont val="Calibri"/>
              <sz val="10"/>
            </rPr>
            <t xml:space="preserve"> 5 of 12 — Start: 5.0 · manager / senior specialist title; Evidence reads like B2: Planning, execution and end-to-end delivery including invoicing and payments → matches the start; KRA: “On-time delivery: ≥95% Budget adherence: ≥90% Project CSAT: ≥4.7/5 Implementation NPS: &gt;70 First-time go-live success: ≥95% Average…”
</t>
          </r>
          <r>
            <rPr>
              <rFont val="Calibri"/>
              <b val="1"/>
              <sz val="10"/>
            </rPr>
            <t>Leadership &amp; Strategy:</t>
          </r>
          <r>
            <rPr>
              <rFont val="Calibri"/>
              <sz val="10"/>
            </rPr>
            <t xml:space="preserve"> 4 of 12 — Start: 4.0 · individual contributor, so influence only; Evidence reads like B1: Assigns tasks, sets priorities and guides the team; 0 direct reports → matches the start; Team: 0 direct reports · IC
</t>
          </r>
          <r>
            <rPr>
              <rFont val="Calibri"/>
              <b val="1"/>
              <sz val="10"/>
            </rPr>
            <t>Experience &amp; Qualification:</t>
          </r>
          <r>
            <rPr>
              <rFont val="Calibri"/>
              <sz val="10"/>
            </rPr>
            <t xml:space="preserve"> 8.5 of 12 · between C2 and D1 — Experience: 15.4 yrs total · 1.4 before IRIS + 14.0 at IRIS = 8.3 on the experience scale; Qualification: MMS · postgraduate → no change
</t>
          </r>
          <r>
            <rPr>
              <rFont val="Calibri"/>
              <b val="1"/>
              <sz val="10"/>
            </rPr>
            <t>Business Impact:</t>
          </r>
          <r>
            <rPr>
              <rFont val="Calibri"/>
              <sz val="10"/>
            </rPr>
            <t xml:space="preserve"> 5.5 of 12 — a starting estimate. — Start: 5, the role's accountability scope — what it answers for.; Moved +0.5: the survey / manager mapping marks it business-critical.; Managers and heads: overwrite this rating on the Weightage sheet with the business impact you see — the score updates at once.; Ladder: B2 = Visible effect on a team's or client portfolio's revenue, quality or compliance · B3 = Shapes the results of a practice or several teams</t>
          </r>
        </is>
      </c>
      <c r="X181" s="12" t="inlineStr">
        <is>
          <r>
            <rPr>
              <rFont val="Calibri"/>
              <b val="1"/>
              <sz val="10"/>
            </rPr>
            <t>Market level:</t>
          </r>
          <r>
            <rPr>
              <rFont val="Calibri"/>
              <sz val="10"/>
            </rPr>
            <t xml:space="preserve"> P4 / M3 · SFIA 4–5
</t>
          </r>
          <r>
            <rPr>
              <rFont val="Calibri"/>
              <b val="1"/>
              <sz val="10"/>
            </rPr>
            <t>Typical title:</t>
          </r>
          <r>
            <rPr>
              <rFont val="Calibri"/>
              <sz val="10"/>
            </rPr>
            <t xml:space="preserve"> Senior Project / Program Manager
</t>
          </r>
          <r>
            <rPr>
              <rFont val="Calibri"/>
              <b val="1"/>
              <sz val="10"/>
            </rPr>
            <t>At peers:</t>
          </r>
          <r>
            <rPr>
              <rFont val="Calibri"/>
              <sz val="10"/>
            </rPr>
            <t xml:space="preserve"> IRIS Vs Competitor Benchmark — PMI pathway + SaaS delivery ladder: Senior PM
</t>
          </r>
          <r>
            <rPr>
              <rFont val="Calibri"/>
              <b val="1"/>
              <sz val="10"/>
            </rPr>
            <t>Typical experience:</t>
          </r>
          <r>
            <rPr>
              <rFont val="Calibri"/>
              <sz val="10"/>
            </rPr>
            <t xml:space="preserve"> 6–10 yrs · IRIS guide 6–9
</t>
          </r>
          <r>
            <rPr>
              <rFont val="Calibri"/>
              <b val="1"/>
              <sz val="10"/>
            </rPr>
            <t>Standard:</t>
          </r>
          <r>
            <rPr>
              <rFont val="Calibri"/>
              <sz val="10"/>
            </rPr>
            <t xml:space="preserve"> PMI PMBOK and Talent Triangle; CAPM → PMP → PgMP</t>
          </r>
        </is>
      </c>
      <c r="Y181" s="12" t="inlineStr">
        <is>
          <r>
            <rPr>
              <rFont val="Calibri"/>
              <sz val="10"/>
            </rPr>
            <t xml:space="preserve">✓ HRIS: 15.4 yrs, MMS, 0 direct reports
✓ Survey: 20 of 20 questions answered
✓ KRAs: submitted, reported deliverables
✓ Manager mapping: rating, potential, 9-box
✓ Job description
</t>
          </r>
          <r>
            <rPr>
              <rFont val="Calibri"/>
              <b val="1"/>
              <sz val="10"/>
            </rPr>
            <t>Confidence:</t>
          </r>
          <r>
            <rPr>
              <rFont val="Calibri"/>
              <sz val="10"/>
            </rPr>
            <t xml:space="preserve"> Medium</t>
          </r>
        </is>
      </c>
      <c r="Z181" s="82" t="inlineStr">
        <is>
          <r>
            <rPr>
              <rFont val="Calibri"/>
              <color rgb="009C5700"/>
              <sz val="10"/>
            </rPr>
            <t xml:space="preserve">• </t>
          </r>
          <r>
            <rPr>
              <rFont val="Calibri"/>
              <b val="1"/>
              <color rgb="009C5700"/>
              <sz val="10"/>
            </rPr>
            <t>Title check:</t>
          </r>
          <r>
            <rPr>
              <rFont val="Calibri"/>
              <color rgb="009C5700"/>
              <sz val="10"/>
            </rPr>
            <t xml:space="preserve"> Market-standard role title</t>
          </r>
        </is>
      </c>
      <c r="AA181" s="83" t="inlineStr">
        <is>
          <t>• Confirm the reporting line — Manager</t>
        </is>
      </c>
      <c r="AB181" s="12" t="inlineStr">
        <is>
          <r>
            <rPr>
              <rFont val="Calibri"/>
              <b val="1"/>
              <sz val="10"/>
            </rPr>
            <t>What the role answers for:</t>
          </r>
          <r>
            <rPr>
              <rFont val="Calibri"/>
              <sz val="10"/>
            </rPr>
            <t xml:space="preserve"> One team or a client portfolio.
</t>
          </r>
          <r>
            <rPr>
              <rFont val="Calibri"/>
              <b val="1"/>
              <sz val="10"/>
            </rPr>
            <t>Accountability &amp; Impact rating:</t>
          </r>
          <r>
            <rPr>
              <rFont val="Calibri"/>
              <sz val="10"/>
            </rPr>
            <t xml:space="preserve"> 5 of 12 · B2-level impact.
From the survey and manager mapping — critical role: yes; successor named: no.
</t>
          </r>
          <r>
            <rPr>
              <rFont val="Calibri"/>
              <b val="1"/>
              <sz val="10"/>
            </rPr>
            <t>If the work is missed · role-holders' themes:</t>
          </r>
          <r>
            <rPr>
              <rFont val="Calibri"/>
              <sz val="10"/>
            </rPr>
            <t xml:space="preserve"> client · delivery · delays · project.
Manager talent mapping — Latest rating: 3 · Potential: Medium · 9-Box Grid placement: Core Contributor.</t>
          </r>
        </is>
      </c>
      <c r="AC181" s="84" t="n"/>
      <c r="AD181" s="84" t="n"/>
      <c r="AE181" s="84" t="n"/>
      <c r="AF181" s="12" t="n">
        <v>5.5</v>
      </c>
    </row>
    <row r="182" ht="400" customHeight="1">
      <c r="A182" s="12" t="inlineStr">
        <is>
          <t>IRIS2153</t>
        </is>
      </c>
      <c r="B182" s="10" t="inlineStr">
        <is>
          <t>Dhaval Lotwala</t>
        </is>
      </c>
      <c r="C182" s="12" t="inlineStr">
        <is>
          <t>Technology</t>
        </is>
      </c>
      <c r="D182" s="12" t="inlineStr">
        <is>
          <t>Senior Business Analyst</t>
        </is>
      </c>
      <c r="E182" s="85" t="inlineStr">
        <is>
          <t>Business Analysis Specialist</t>
        </is>
      </c>
      <c r="F182" s="12" t="inlineStr">
        <is>
          <t>Business Analysis</t>
        </is>
      </c>
      <c r="G182" s="12" t="inlineStr">
        <is>
          <t>Business Analysis</t>
        </is>
      </c>
      <c r="H182" s="12" t="inlineStr">
        <is>
          <t>IC</t>
        </is>
      </c>
      <c r="I182" s="42" t="inlineStr">
        <is>
          <t>L4 – Senior</t>
        </is>
      </c>
      <c r="J182" s="20" t="inlineStr">
        <is>
          <t>B1</t>
        </is>
      </c>
      <c r="K182" s="21" t="inlineStr">
        <is>
          <t>Specialist</t>
        </is>
      </c>
      <c r="L182" s="87" t="inlineStr">
        <is>
          <t>▲ Up</t>
        </is>
      </c>
      <c r="M182" s="12" t="inlineStr">
        <is>
          <t>CARBON · Technology · Band B · Expert / POD Lead</t>
        </is>
      </c>
      <c r="N182" s="42" t="n">
        <v>3.5</v>
      </c>
      <c r="O182" s="42" t="n">
        <v>3.5</v>
      </c>
      <c r="P182" s="42" t="n">
        <v>3.5</v>
      </c>
      <c r="Q182" s="42" t="n">
        <v>2.5</v>
      </c>
      <c r="R182" s="42" t="n">
        <v>7</v>
      </c>
      <c r="S182" s="80" t="n">
        <v>3.5</v>
      </c>
      <c r="T182" s="81">
        <f>IF(OR($M182="",COUNT(N182,O182,P182,Q182,R182,S182)&lt;6),"",IFERROR(N182*INDEX(WM_C,MATCH($M182,WM_KEY,0))+O182*INDEX(WM_AU,MATCH($M182,WM_KEY,0))+P182*INDEX(WM_AC,MATCH($M182,WM_KEY,0))+Q182*INDEX(WM_L,MATCH($M182,WM_KEY,0))+R182*INDEX(WM_E,MATCH($M182,WM_KEY,0))+S182*INDEX(WM_BI,MATCH($M182,WM_KEY,0)),""))</f>
        <v>3.8</v>
      </c>
      <c r="U182" s="42" t="str">
        <f>IF(T182="","",INDEX({"A1","A2","A3","B1","B2","B3","C1","C2","D1","D2","E1","E2"},MAX(1,MIN(12,ROUND(T182,0)))))</f>
        <v>B1</v>
      </c>
      <c r="V182" s="12" t="inlineStr">
        <is>
          <r>
            <rPr>
              <rFont val="Calibri"/>
              <sz val="10"/>
            </rPr>
            <t xml:space="preserve">New level B1 · Specialist. Current level on record: L4 – Senior. Change: ▲ Up.
Score 3.80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82" s="12" t="inlineStr">
        <is>
          <r>
            <rPr>
              <rFont val="Calibri"/>
              <b val="1"/>
              <sz val="10"/>
            </rPr>
            <t>Complexity &amp; Expertise:</t>
          </r>
          <r>
            <rPr>
              <rFont val="Calibri"/>
              <sz val="10"/>
            </rPr>
            <t xml:space="preserve"> 3.5 of 12 · between A3 and B1 — Start: 4.0 · lead / specialist title; Evidence reads like A3: own survey / KRA answers · summarised by the rater; not quoted → moved down 0.5; KRA: “1.Ensure ≥ 95% user stories are prepared before development start with complete business requirements, acceptance criteria, dependencies,…”
</t>
          </r>
          <r>
            <rPr>
              <rFont val="Calibri"/>
              <b val="1"/>
              <sz val="10"/>
            </rPr>
            <t>Autonomy &amp; Decision:</t>
          </r>
          <r>
            <rPr>
              <rFont val="Calibri"/>
              <sz val="10"/>
            </rPr>
            <t xml:space="preserve"> 3.5 of 12 · between A3 and B1 — Start: 4.0 · lead / specialist title; Evidence reads like A3: Decides stakeholder communication and system flow definition → moved down 0.5
</t>
          </r>
          <r>
            <rPr>
              <rFont val="Calibri"/>
              <b val="1"/>
              <sz val="10"/>
            </rPr>
            <t>Accountability &amp; Impact:</t>
          </r>
          <r>
            <rPr>
              <rFont val="Calibri"/>
              <sz val="10"/>
            </rPr>
            <t xml:space="preserve"> 3.5 of 12 · between A3 and B1 — Start: 4.0 · lead / specialist title; Evidence reads like A3: own survey / KRA answers · summarised by the rater; not quoted → moved down 0.5; KRA: “1.Ensure ≥ 95% user stories are prepared before development start with complete business requirements, acceptance criteria, dependencies,…”
</t>
          </r>
          <r>
            <rPr>
              <rFont val="Calibri"/>
              <b val="1"/>
              <sz val="10"/>
            </rPr>
            <t>Leadership &amp; Strategy:</t>
          </r>
          <r>
            <rPr>
              <rFont val="Calibri"/>
              <sz val="10"/>
            </rPr>
            <t xml:space="preserve"> 2.5 of 12 · between A2 and A3 — Start: 3.0 · individual contributor, so influence only; Evidence reads like A2: Checks in with team members on blockers and helps with detail → moved down 0.5; Team: 0 direct reports · IC
</t>
          </r>
          <r>
            <rPr>
              <rFont val="Calibri"/>
              <b val="1"/>
              <sz val="10"/>
            </rPr>
            <t>Experience &amp; Qualification:</t>
          </r>
          <r>
            <rPr>
              <rFont val="Calibri"/>
              <sz val="10"/>
            </rPr>
            <t xml:space="preserve"> 7 of 12 — Experience: 11.6 yrs total · 8.4 before IRIS + 3.2 at IRIS = 6.8 on the experience scale; Qualification: B.E · graduate, relevant to the work → no change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182"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Business Analyst
</t>
          </r>
          <r>
            <rPr>
              <rFont val="Calibri"/>
              <b val="1"/>
              <sz val="10"/>
            </rPr>
            <t>At peers:</t>
          </r>
          <r>
            <rPr>
              <rFont val="Calibri"/>
              <sz val="10"/>
            </rPr>
            <t xml:space="preserve"> Regnology — regulatory reporting – BA · Reg Reporting · Big Four consulting – Senior Consultant · IRIS Vs Market Benchmark — IIBA certification pathway: CCBA
</t>
          </r>
          <r>
            <rPr>
              <rFont val="Calibri"/>
              <b val="1"/>
              <sz val="10"/>
            </rPr>
            <t>Typical experience:</t>
          </r>
          <r>
            <rPr>
              <rFont val="Calibri"/>
              <sz val="10"/>
            </rPr>
            <t xml:space="preserve"> 4–8 yrs · IRIS guide 4–7
</t>
          </r>
          <r>
            <rPr>
              <rFont val="Calibri"/>
              <b val="1"/>
              <sz val="10"/>
            </rPr>
            <t>Standard:</t>
          </r>
          <r>
            <rPr>
              <rFont val="Calibri"/>
              <sz val="10"/>
            </rPr>
            <t xml:space="preserve"> IIBA BABOK v3; certifications ECBA → CCBA → CBAP</t>
          </r>
        </is>
      </c>
      <c r="Y182" s="12" t="inlineStr">
        <is>
          <r>
            <rPr>
              <rFont val="Calibri"/>
              <sz val="10"/>
            </rPr>
            <t xml:space="preserve">✓ HRIS: 11.6 yrs, B.E,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High</t>
          </r>
        </is>
      </c>
      <c r="Z182" s="12" t="inlineStr">
        <is>
          <t>—</t>
        </is>
      </c>
      <c r="AA182" s="12" t="inlineStr">
        <is>
          <t>Nothing outstanding</t>
        </is>
      </c>
      <c r="AB182"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client · delivery · escalation · unresolved · without.
</t>
          </r>
          <r>
            <rPr>
              <rFont val="Calibri"/>
              <b val="1"/>
              <sz val="10"/>
            </rPr>
            <t>Measured on · manager-set KRA themes:</t>
          </r>
          <r>
            <rPr>
              <rFont val="Calibri"/>
              <sz val="10"/>
            </rPr>
            <t xml:space="preserve"> releases · satisfaction · delivery · assigned · requirement.
Manager talent mapping — Latest rating: Not rated · manager · 9-Box Grid placement: Underperformer / Exit Risk.</t>
          </r>
        </is>
      </c>
      <c r="AC182" s="84" t="n"/>
      <c r="AD182" s="84" t="n"/>
      <c r="AE182" s="84" t="n"/>
      <c r="AF182" s="12" t="n">
        <v>3.5</v>
      </c>
    </row>
    <row r="183" ht="400" customHeight="1">
      <c r="A183" s="12" t="inlineStr">
        <is>
          <t>IRIS1890</t>
        </is>
      </c>
      <c r="B183" s="10" t="inlineStr">
        <is>
          <t>Hetal Chauhan</t>
        </is>
      </c>
      <c r="C183" s="12" t="inlineStr">
        <is>
          <t>Technology</t>
        </is>
      </c>
      <c r="D183" s="12" t="inlineStr">
        <is>
          <t>Software Engineer</t>
        </is>
      </c>
      <c r="E183" s="85" t="inlineStr">
        <is>
          <t>Technical Specialist – POD Lead</t>
        </is>
      </c>
      <c r="F183" s="12" t="inlineStr">
        <is>
          <t>Engineering &amp; Development</t>
        </is>
      </c>
      <c r="G183" s="12" t="inlineStr">
        <is>
          <t>Backend Development</t>
        </is>
      </c>
      <c r="H183" s="12" t="inlineStr">
        <is>
          <t>POD Lead</t>
        </is>
      </c>
      <c r="I183" s="42" t="inlineStr">
        <is>
          <t>L3 – Professional / Associate</t>
        </is>
      </c>
      <c r="J183" s="20" t="inlineStr">
        <is>
          <t>B1</t>
        </is>
      </c>
      <c r="K183" s="21" t="inlineStr">
        <is>
          <t>Specialist · POD Lead</t>
        </is>
      </c>
      <c r="L183" s="87" t="inlineStr">
        <is>
          <t>▲ Up</t>
        </is>
      </c>
      <c r="M183" s="12" t="inlineStr">
        <is>
          <t>CARBON · Technology · Band B · Expert / POD Lead</t>
        </is>
      </c>
      <c r="N183" s="42" t="n">
        <v>2.5</v>
      </c>
      <c r="O183" s="42" t="n">
        <v>3</v>
      </c>
      <c r="P183" s="42" t="n">
        <v>3.5</v>
      </c>
      <c r="Q183" s="42" t="n">
        <v>3.5</v>
      </c>
      <c r="R183" s="42" t="n">
        <v>9.5</v>
      </c>
      <c r="S183" s="80" t="n">
        <v>3.5</v>
      </c>
      <c r="T183" s="81">
        <f>IF(OR($M183="",COUNT(N183,O183,P183,Q183,R183,S183)&lt;6),"",IFERROR(N183*INDEX(WM_C,MATCH($M183,WM_KEY,0))+O183*INDEX(WM_AU,MATCH($M183,WM_KEY,0))+P183*INDEX(WM_AC,MATCH($M183,WM_KEY,0))+Q183*INDEX(WM_L,MATCH($M183,WM_KEY,0))+R183*INDEX(WM_E,MATCH($M183,WM_KEY,0))+S183*INDEX(WM_BI,MATCH($M183,WM_KEY,0)),""))</f>
        <v>3.455</v>
      </c>
      <c r="U183" s="42" t="str">
        <f>IF(T183="","",INDEX({"A1","A2","A3","B1","B2","B3","C1","C2","D1","D2","E1","E2"},MAX(1,MIN(12,ROUND(T183,0)))))</f>
        <v>A3</v>
      </c>
      <c r="V183" s="12" t="inlineStr">
        <is>
          <r>
            <rPr>
              <rFont val="Calibri"/>
              <sz val="10"/>
            </rPr>
            <t xml:space="preserve">New level B1 · Specialist · POD Lead. Current level on record: L3 – Professional / Associate. Change: ▲ Up.
Score 3.46 on the ladder scale → indicated level A3.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from A3 to B1:</t>
          </r>
          <r>
            <rPr>
              <rFont val="Calibri"/>
              <sz val="10"/>
            </rPr>
            <t xml:space="preserve"> POD Leads and People Managers start at B1.
</t>
          </r>
          <r>
            <rPr>
              <rFont val="Calibri"/>
              <b val="1"/>
              <sz val="10"/>
            </rPr>
            <t>Final level:</t>
          </r>
          <r>
            <rPr>
              <rFont val="Calibri"/>
              <sz val="10"/>
            </rPr>
            <t xml:space="preserve"> B1.</t>
          </r>
        </is>
      </c>
      <c r="W183" s="12" t="inlineStr">
        <is>
          <r>
            <rPr>
              <rFont val="Calibri"/>
              <b val="1"/>
              <sz val="10"/>
            </rPr>
            <t>Complexity &amp; Expertise:</t>
          </r>
          <r>
            <rPr>
              <rFont val="Calibri"/>
              <sz val="10"/>
            </rPr>
            <t xml:space="preserve"> 2.5 of 12 · between A2 and A3 — Start: 2.0 · practitioner title; Evidence reads like A3: Development plus requirement analysis, live-issue quick fixes and guiding team members; answers are brief → moved up 0.5; KRA: “1.Deliver ≥ 95% committed tasks for legacy and current CARBON modules within agreed timelines with high-quality execution. 2.Maintain…”
</t>
          </r>
          <r>
            <rPr>
              <rFont val="Calibri"/>
              <b val="1"/>
              <sz val="10"/>
            </rPr>
            <t>Autonomy &amp; Decision:</t>
          </r>
          <r>
            <rPr>
              <rFont val="Calibri"/>
              <sz val="10"/>
            </rPr>
            <t xml:space="preserve"> 3 of 12 — Start: 3.0 · practitioner title; reporting lines show a bigger role: 3 direct reports, 5 people below, 1 of them leads a team; Evidence reads like A3: Decides quick fixes of live issues on his own → matches the start
</t>
          </r>
          <r>
            <rPr>
              <rFont val="Calibri"/>
              <b val="1"/>
              <sz val="10"/>
            </rPr>
            <t>Accountability &amp; Impact:</t>
          </r>
          <r>
            <rPr>
              <rFont val="Calibri"/>
              <sz val="10"/>
            </rPr>
            <t xml:space="preserve"> 3.5 of 12 · between A3 and B1 — Start: 4.0 · practitioner title; 3 direct reports, 5 people below, 1 of them leads a team; Evidence reads like A3: On-time delivery of product requirements; errors pass wrong message to customer → moved down 0.5; KRA: “1.Deliver ≥ 95% committed tasks for legacy and current CARBON modules within agreed timelines with high-quality execution. 2.Maintain…”
</t>
          </r>
          <r>
            <rPr>
              <rFont val="Calibri"/>
              <b val="1"/>
              <sz val="10"/>
            </rPr>
            <t>Leadership &amp; Strategy:</t>
          </r>
          <r>
            <rPr>
              <rFont val="Calibri"/>
              <sz val="10"/>
            </rPr>
            <t xml:space="preserve"> 3.5 of 12 · between A3 and B1 — Start: 4.0; Evidence reads like A3: States 'guide team member' twice; 3 reports, no allocation or review described → moved down 0.5; Team: 3 direct reports · POD Lead
</t>
          </r>
          <r>
            <rPr>
              <rFont val="Calibri"/>
              <b val="1"/>
              <sz val="10"/>
            </rPr>
            <t>Experience &amp; Qualification:</t>
          </r>
          <r>
            <rPr>
              <rFont val="Calibri"/>
              <sz val="10"/>
            </rPr>
            <t xml:space="preserve"> 9.5 of 12 · between D1 and D2 — Experience: 16.8 yrs total · 11.1 before IRIS + 5.7 at IRIS = 8.8 on the experience scale; Qualification: MCA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183"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183" s="12" t="inlineStr">
        <is>
          <r>
            <rPr>
              <rFont val="Calibri"/>
              <sz val="10"/>
            </rPr>
            <t xml:space="preserve">✓ HRIS: 16.8 yrs, MCA, 3 direct reports
✓ Survey: 19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83" s="12" t="inlineStr">
        <is>
          <t>—</t>
        </is>
      </c>
      <c r="AA183" s="83" t="inlineStr">
        <is>
          <t>• Confirm the reporting line — Manager</t>
        </is>
      </c>
      <c r="AB183"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Leads 3 direct reports.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Not rated · manager · 9-Box Grid placement: Underperformer / Exit Risk.</t>
          </r>
        </is>
      </c>
      <c r="AC183" s="84" t="n"/>
      <c r="AD183" s="84" t="n"/>
      <c r="AE183" s="84" t="n"/>
      <c r="AF183" s="12" t="n">
        <v>3.5</v>
      </c>
    </row>
    <row r="184" ht="400" customHeight="1">
      <c r="A184" s="12" t="inlineStr">
        <is>
          <t>IRIS2374</t>
        </is>
      </c>
      <c r="B184" s="10" t="inlineStr">
        <is>
          <t>Huzefa Petit</t>
        </is>
      </c>
      <c r="C184" s="12" t="inlineStr">
        <is>
          <t>Technology</t>
        </is>
      </c>
      <c r="D184" s="12" t="inlineStr">
        <is>
          <t>Technical Support Lead</t>
        </is>
      </c>
      <c r="E184" s="85" t="inlineStr">
        <is>
          <t>Technical Specialist</t>
        </is>
      </c>
      <c r="F184" s="12" t="inlineStr">
        <is>
          <t>Engineering &amp; Development</t>
        </is>
      </c>
      <c r="G184" s="12" t="inlineStr">
        <is>
          <t>Backend Development</t>
        </is>
      </c>
      <c r="H184" s="12" t="inlineStr">
        <is>
          <t>IC</t>
        </is>
      </c>
      <c r="I184" s="42" t="inlineStr">
        <is>
          <t>L5 – Lead · IC</t>
        </is>
      </c>
      <c r="J184" s="20" t="inlineStr">
        <is>
          <t>B1</t>
        </is>
      </c>
      <c r="K184" s="21" t="inlineStr">
        <is>
          <t>Specialist</t>
        </is>
      </c>
      <c r="L184" s="86" t="inlineStr">
        <is>
          <t>▼ Down · pay &amp; title protected</t>
        </is>
      </c>
      <c r="M184" s="12" t="inlineStr">
        <is>
          <t>CARBON · Technology · Band B · Expert / POD Lead</t>
        </is>
      </c>
      <c r="N184" s="42" t="n">
        <v>3.5</v>
      </c>
      <c r="O184" s="42" t="n">
        <v>3.5</v>
      </c>
      <c r="P184" s="42" t="n">
        <v>3.5</v>
      </c>
      <c r="Q184" s="42" t="n">
        <v>3</v>
      </c>
      <c r="R184" s="42" t="n">
        <v>9</v>
      </c>
      <c r="S184" s="80" t="n">
        <v>3.5</v>
      </c>
      <c r="T184" s="81">
        <f>IF(OR($M184="",COUNT(N184,O184,P184,Q184,R184,S184)&lt;6),"",IFERROR(N184*INDEX(WM_C,MATCH($M184,WM_KEY,0))+O184*INDEX(WM_AU,MATCH($M184,WM_KEY,0))+P184*INDEX(WM_AC,MATCH($M184,WM_KEY,0))+Q184*INDEX(WM_L,MATCH($M184,WM_KEY,0))+R184*INDEX(WM_E,MATCH($M184,WM_KEY,0))+S184*INDEX(WM_BI,MATCH($M184,WM_KEY,0)),""))</f>
        <v>4.025</v>
      </c>
      <c r="U184" s="42" t="str">
        <f>IF(T184="","",INDEX({"A1","A2","A3","B1","B2","B3","C1","C2","D1","D2","E1","E2"},MAX(1,MIN(12,ROUND(T184,0)))))</f>
        <v>B1</v>
      </c>
      <c r="V184" s="12" t="inlineStr">
        <is>
          <r>
            <rPr>
              <rFont val="Calibri"/>
              <sz val="10"/>
            </rPr>
            <t xml:space="preserve">New level B1 · Specialist. Current level on record: L5 – Lead · IC. Change: ▼ Down · pay &amp; title protected.
Score 4.03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
</t>
          </r>
          <r>
            <rPr>
              <rFont val="Calibri"/>
              <b val="1"/>
              <sz val="10"/>
            </rPr>
            <t>The new level is below the current one:</t>
          </r>
          <r>
            <rPr>
              <rFont val="Calibri"/>
              <sz val="10"/>
            </rPr>
            <t xml:space="preserve"> pay and title are protected for one cycle, with a review date.</t>
          </r>
        </is>
      </c>
      <c r="W184" s="12" t="inlineStr">
        <is>
          <r>
            <rPr>
              <rFont val="Calibri"/>
              <b val="1"/>
              <sz val="10"/>
            </rPr>
            <t>Complexity &amp; Expertise:</t>
          </r>
          <r>
            <rPr>
              <rFont val="Calibri"/>
              <sz val="10"/>
            </rPr>
            <t xml:space="preserve"> 3.5 of 12 · between A3 and B1 — Start: 4.0 · lead / specialist title; Evidence reads like A3: Builds web UI automation, API and performance tests with JMeter and Postman → moved down 0.5; KRA: “1.Increase automation coverage across CARBON 3.0 to ≥ 90% UI regression coverage by FY end. 2.Enhance API performance testing framework…”
</t>
          </r>
          <r>
            <rPr>
              <rFont val="Calibri"/>
              <b val="1"/>
              <sz val="10"/>
            </rPr>
            <t>Autonomy &amp; Decision:</t>
          </r>
          <r>
            <rPr>
              <rFont val="Calibri"/>
              <sz val="10"/>
            </rPr>
            <t xml:space="preserve"> 3.5 of 12 · between A3 and B1 — Start: 4.0 · lead / specialist title; Evidence reads like A2: Chooses best approach and tools for own current testing work → moved down 0.5
</t>
          </r>
          <r>
            <rPr>
              <rFont val="Calibri"/>
              <b val="1"/>
              <sz val="10"/>
            </rPr>
            <t>Accountability &amp; Impact:</t>
          </r>
          <r>
            <rPr>
              <rFont val="Calibri"/>
              <sz val="10"/>
            </rPr>
            <t xml:space="preserve"> 3.5 of 12 · between A3 and B1 — Start: 4.0 · lead / specialist title; Evidence reads like A2: Accountable for own automation and API testing output → moved down 0.5; KRA: “1.Increase automation coverage across CARBON 3.0 to ≥ 90% UI regression coverage by FY end. 2.Enhance API performance testing framework…”
</t>
          </r>
          <r>
            <rPr>
              <rFont val="Calibri"/>
              <b val="1"/>
              <sz val="10"/>
            </rPr>
            <t>Leadership &amp; Strategy:</t>
          </r>
          <r>
            <rPr>
              <rFont val="Calibri"/>
              <sz val="10"/>
            </rPr>
            <t xml:space="preserve"> 3 of 12 — Start: 3.0 · individual contributor, so influence only; Evidence reads like A3: Says leads support team and guides peers; all concrete work is own testing; 0 reports → matches the start; Team: 0 direct reports · IC
</t>
          </r>
          <r>
            <rPr>
              <rFont val="Calibri"/>
              <b val="1"/>
              <sz val="10"/>
            </rPr>
            <t>Experience &amp; Qualification:</t>
          </r>
          <r>
            <rPr>
              <rFont val="Calibri"/>
              <sz val="10"/>
            </rPr>
            <t xml:space="preserve"> 9 of 12 — Experience: 16.4 yrs total · 15.0 before IRIS + 1.4 at IRIS = 8.6 on the experience scale; Qualification: MCA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184"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184" s="12" t="inlineStr">
        <is>
          <r>
            <rPr>
              <rFont val="Calibri"/>
              <sz val="10"/>
            </rPr>
            <t xml:space="preserve">✓ HRIS: 16.4 yrs, MCA,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84" s="82" t="inlineStr">
        <is>
          <r>
            <rPr>
              <rFont val="Calibri"/>
              <color rgb="009C5700"/>
              <sz val="10"/>
            </rPr>
            <t xml:space="preserve">• </t>
          </r>
          <r>
            <rPr>
              <rFont val="Calibri"/>
              <b val="1"/>
              <color rgb="009C5700"/>
              <sz val="10"/>
            </rPr>
            <t>Moves down:</t>
          </r>
          <r>
            <rPr>
              <rFont val="Calibri"/>
              <color rgb="009C5700"/>
              <sz val="10"/>
            </rPr>
            <t xml:space="preserve"> protected for one cycle</t>
          </r>
        </is>
      </c>
      <c r="AA184" s="83" t="inlineStr">
        <is>
          <t>• Confirm the reporting line — Manager</t>
        </is>
      </c>
      <c r="AB184"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3.5 of 12 · B1-level impact.
</t>
          </r>
          <r>
            <rPr>
              <rFont val="Calibri"/>
              <b val="1"/>
              <sz val="10"/>
            </rPr>
            <t>If the work is missed · role-holders' themes:</t>
          </r>
          <r>
            <rPr>
              <rFont val="Calibri"/>
              <sz val="10"/>
            </rPr>
            <t xml:space="preserve"> timeline · delays · rework.
</t>
          </r>
          <r>
            <rPr>
              <rFont val="Calibri"/>
              <b val="1"/>
              <sz val="10"/>
            </rPr>
            <t>Measured on · manager-set KRA themes:</t>
          </r>
          <r>
            <rPr>
              <rFont val="Calibri"/>
              <sz val="10"/>
            </rPr>
            <t xml:space="preserve"> reduce · production · time · quarterly · incidents resolved · stability critical.
Manager talent mapping — Latest rating: Not rated · manager · 9-Box Grid placement: Trusted Professional.</t>
          </r>
        </is>
      </c>
      <c r="AC184" s="84" t="n"/>
      <c r="AD184" s="84" t="n"/>
      <c r="AE184" s="84" t="n"/>
      <c r="AF184" s="12" t="n">
        <v>3.5</v>
      </c>
    </row>
    <row r="185" ht="400" customHeight="1">
      <c r="A185" s="12" t="inlineStr">
        <is>
          <t>IRIS2495</t>
        </is>
      </c>
      <c r="B185" s="10" t="inlineStr">
        <is>
          <t>Manasvi Sharma</t>
        </is>
      </c>
      <c r="C185" s="12" t="inlineStr">
        <is>
          <t>Technology</t>
        </is>
      </c>
      <c r="D185" s="12" t="inlineStr">
        <is>
          <t>Senior Software Engineer - AI/ML</t>
        </is>
      </c>
      <c r="E185" s="85" t="inlineStr">
        <is>
          <t>AI/ML Specialist – POD Lead</t>
        </is>
      </c>
      <c r="F185" s="12" t="inlineStr">
        <is>
          <t>Engineering &amp; Development</t>
        </is>
      </c>
      <c r="G185" s="12" t="inlineStr">
        <is>
          <t>AI / ML &amp; GenAI Engineering</t>
        </is>
      </c>
      <c r="H185" s="12" t="inlineStr">
        <is>
          <t>POD Lead</t>
        </is>
      </c>
      <c r="I185" s="42" t="inlineStr">
        <is>
          <t>L4 – Senior</t>
        </is>
      </c>
      <c r="J185" s="20" t="inlineStr">
        <is>
          <t>B1</t>
        </is>
      </c>
      <c r="K185" s="21" t="inlineStr">
        <is>
          <t>Specialist · POD Lead</t>
        </is>
      </c>
      <c r="L185" s="87" t="inlineStr">
        <is>
          <t>▲ Up</t>
        </is>
      </c>
      <c r="M185" s="12" t="inlineStr">
        <is>
          <t>CARBON · Technology · Band B · Expert / POD Lead</t>
        </is>
      </c>
      <c r="N185" s="42" t="n">
        <v>3.5</v>
      </c>
      <c r="O185" s="42" t="n">
        <v>3</v>
      </c>
      <c r="P185" s="42" t="n">
        <v>3</v>
      </c>
      <c r="Q185" s="42" t="n">
        <v>3</v>
      </c>
      <c r="R185" s="42" t="n">
        <v>5</v>
      </c>
      <c r="S185" s="80" t="n">
        <v>3.5</v>
      </c>
      <c r="T185" s="81">
        <f>IF(OR($M185="",COUNT(N185,O185,P185,Q185,R185,S185)&lt;6),"",IFERROR(N185*INDEX(WM_C,MATCH($M185,WM_KEY,0))+O185*INDEX(WM_AU,MATCH($M185,WM_KEY,0))+P185*INDEX(WM_AC,MATCH($M185,WM_KEY,0))+Q185*INDEX(WM_L,MATCH($M185,WM_KEY,0))+R185*INDEX(WM_E,MATCH($M185,WM_KEY,0))+S185*INDEX(WM_BI,MATCH($M185,WM_KEY,0)),""))</f>
        <v>3.515</v>
      </c>
      <c r="U185" s="42" t="str">
        <f>IF(T185="","",INDEX({"A1","A2","A3","B1","B2","B3","C1","C2","D1","D2","E1","E2"},MAX(1,MIN(12,ROUND(T185,0)))))</f>
        <v>B1</v>
      </c>
      <c r="V185" s="12" t="inlineStr">
        <is>
          <r>
            <rPr>
              <rFont val="Calibri"/>
              <sz val="10"/>
            </rPr>
            <t xml:space="preserve">New level B1 · Specialist · POD Lead. Current level on record: L4 – Senior. Change: ▲ Up.
Score 3.52 on the ladder scale → indicated level B1.
</t>
          </r>
          <r>
            <rPr>
              <rFont val="Calibri"/>
              <b val="1"/>
              <sz val="10"/>
            </rPr>
            <t>Weights:</t>
          </r>
          <r>
            <rPr>
              <rFont val="Calibri"/>
              <sz val="10"/>
            </rPr>
            <t xml:space="preserve"> Complexity 56% · Autonomy 17% · Experience 10% · Business impact 7% · Accountability 5% · Leadership 5%
</t>
          </r>
          <r>
            <rPr>
              <rFont val="Calibri"/>
              <b val="1"/>
              <sz val="10"/>
            </rPr>
            <t>Why:</t>
          </r>
          <r>
            <rPr>
              <rFont val="Calibri"/>
              <sz val="10"/>
            </rPr>
            <t xml:space="preserve"> specialists are judged mainly on depth of expertise, then on what they decide alone, what they answer for and their impact.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85" s="12" t="inlineStr">
        <is>
          <r>
            <rPr>
              <rFont val="Calibri"/>
              <b val="1"/>
              <sz val="10"/>
            </rPr>
            <t>Complexity &amp; Expertise:</t>
          </r>
          <r>
            <rPr>
              <rFont val="Calibri"/>
              <sz val="10"/>
            </rPr>
            <t xml:space="preserve"> 3.5 of 12 · between A3 and B1 — Start: 3.0 · senior practitioner title; Evidence reads like B1: Trains small language models, builds the data-engineering pipeline, benchmarks embeddings for anomaly detection → moved up 0.5; KRA: “1.Benchmark and evaluate minimum 5 open-source LLMs / SLMs against commercial models for IRIS AI use cases. 2.Reduce dependency on…”
</t>
          </r>
          <r>
            <rPr>
              <rFont val="Calibri"/>
              <b val="1"/>
              <sz val="10"/>
            </rPr>
            <t>Autonomy &amp; Decision:</t>
          </r>
          <r>
            <rPr>
              <rFont val="Calibri"/>
              <sz val="10"/>
            </rPr>
            <t xml:space="preserve"> 3 of 12 — Start: 3.0 · senior practitioner title; Evidence reads like A3: Decides research methodology and which AI tools to build → matches the start
</t>
          </r>
          <r>
            <rPr>
              <rFont val="Calibri"/>
              <b val="1"/>
              <sz val="10"/>
            </rPr>
            <t>Accountability &amp; Impact:</t>
          </r>
          <r>
            <rPr>
              <rFont val="Calibri"/>
              <sz val="10"/>
            </rPr>
            <t xml:space="preserve"> 3 of 12 — Start: 3.5 · senior practitioner title; 1 direct report; Evidence reads like A3: Owns the SLM training/data pipeline and embedding benchmarking; owned production anomaly-detection issues → moved down 0.5; KRA: “1.Benchmark and evaluate minimum 5 open-source LLMs / SLMs against commercial models for IRIS AI use cases. 2.Reduce dependency on…”
</t>
          </r>
          <r>
            <rPr>
              <rFont val="Calibri"/>
              <b val="1"/>
              <sz val="10"/>
            </rPr>
            <t>Leadership &amp; Strategy:</t>
          </r>
          <r>
            <rPr>
              <rFont val="Calibri"/>
              <sz val="10"/>
            </rPr>
            <t xml:space="preserve"> 3 of 12 — Start: 3.5; Evidence reads like A2: Helps the team understand problems across domains; no guiding of the one report described → moved down 0.5; Team: 1 direct report · POD Lead
</t>
          </r>
          <r>
            <rPr>
              <rFont val="Calibri"/>
              <b val="1"/>
              <sz val="10"/>
            </rPr>
            <t>Experience &amp; Qualification:</t>
          </r>
          <r>
            <rPr>
              <rFont val="Calibri"/>
              <sz val="10"/>
            </rPr>
            <t xml:space="preserve"> 5 of 12 — Experience: 7.5 yrs total · 7.0 before IRIS + 0.5 at IRIS = 5.0 on the experience scale; Qualification: B.Sc · graduate, relevant to the work → no change
</t>
          </r>
          <r>
            <rPr>
              <rFont val="Calibri"/>
              <b val="1"/>
              <sz val="10"/>
            </rPr>
            <t>Business Impact:</t>
          </r>
          <r>
            <rPr>
              <rFont val="Calibri"/>
              <sz val="10"/>
            </rPr>
            <t xml:space="preserve"> 3.5 of 12 — a starting estimate. —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r>
        </is>
      </c>
      <c r="X185" s="12" t="inlineStr">
        <is>
          <r>
            <rPr>
              <rFont val="Calibri"/>
              <b val="1"/>
              <sz val="10"/>
            </rPr>
            <t>Market level:</t>
          </r>
          <r>
            <rPr>
              <rFont val="Calibri"/>
              <sz val="10"/>
            </rPr>
            <t xml:space="preserve"> P3 / M2 · SFIA 4 Enable
</t>
          </r>
          <r>
            <rPr>
              <rFont val="Calibri"/>
              <b val="1"/>
              <sz val="10"/>
            </rPr>
            <t>Typical title:</t>
          </r>
          <r>
            <rPr>
              <rFont val="Calibri"/>
              <sz val="10"/>
            </rPr>
            <t xml:space="preserve"> Senior Software Engineer
</t>
          </r>
          <r>
            <rPr>
              <rFont val="Calibri"/>
              <b val="1"/>
              <sz val="10"/>
            </rPr>
            <t>At peers:</t>
          </r>
          <r>
            <rPr>
              <rFont val="Calibri"/>
              <sz val="10"/>
            </rPr>
            <t xml:space="preserve"> Workiva – SE / Senior SE · Broadridge India – Senior SE · Nasdaq / AxiomSL – Senior SE
</t>
          </r>
          <r>
            <rPr>
              <rFont val="Calibri"/>
              <b val="1"/>
              <sz val="10"/>
            </rPr>
            <t>Typical experience:</t>
          </r>
          <r>
            <rPr>
              <rFont val="Calibri"/>
              <sz val="10"/>
            </rPr>
            <t xml:space="preserve"> 4–8 yrs · IRIS guide 4–7
</t>
          </r>
          <r>
            <rPr>
              <rFont val="Calibri"/>
              <b val="1"/>
              <sz val="10"/>
            </rPr>
            <t>Standard:</t>
          </r>
          <r>
            <rPr>
              <rFont val="Calibri"/>
              <sz val="10"/>
            </rPr>
            <t xml:space="preserve"> SFIA 9; OWASP secure coding</t>
          </r>
        </is>
      </c>
      <c r="Y185" s="12" t="inlineStr">
        <is>
          <r>
            <rPr>
              <rFont val="Calibri"/>
              <sz val="10"/>
            </rPr>
            <t xml:space="preserve">✓ HRIS: 7.5 yrs, B.Sc, 1 direct report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85" s="82" t="inlineStr">
        <is>
          <r>
            <rPr>
              <rFont val="Calibri"/>
              <color rgb="009C5700"/>
              <sz val="10"/>
            </rPr>
            <t xml:space="preserve">• </t>
          </r>
          <r>
            <rPr>
              <rFont val="Calibri"/>
              <b val="1"/>
              <color rgb="009C5700"/>
              <sz val="10"/>
            </rPr>
            <t>Close call:</t>
          </r>
          <r>
            <rPr>
              <rFont val="Calibri"/>
              <color rgb="009C5700"/>
              <sz val="10"/>
            </rPr>
            <t xml:space="preserve"> score 3.52 is within 0.05 of a rounding point</t>
          </r>
        </is>
      </c>
      <c r="AA185" s="12" t="inlineStr">
        <is>
          <t>Nothing outstanding</t>
        </is>
      </c>
      <c r="AB185" s="12" t="inlineStr">
        <is>
          <r>
            <rPr>
              <rFont val="Calibri"/>
              <b val="1"/>
              <sz val="10"/>
            </rPr>
            <t>What the role answers for:</t>
          </r>
          <r>
            <rPr>
              <rFont val="Calibri"/>
              <sz val="10"/>
            </rPr>
            <t xml:space="preserve"> A domain or a small team.
</t>
          </r>
          <r>
            <rPr>
              <rFont val="Calibri"/>
              <b val="1"/>
              <sz val="10"/>
            </rPr>
            <t>Accountability &amp; Impact rating:</t>
          </r>
          <r>
            <rPr>
              <rFont val="Calibri"/>
              <sz val="10"/>
            </rPr>
            <t xml:space="preserve"> 3 of 12 · A3-level impact.
Leads 1 direct report.
From the survey and manager mapping — work only this person does: yes; successor named: no.
</t>
          </r>
          <r>
            <rPr>
              <rFont val="Calibri"/>
              <b val="1"/>
              <sz val="10"/>
            </rPr>
            <t>If the work is missed · role-holders' themes:</t>
          </r>
          <r>
            <rPr>
              <rFont val="Calibri"/>
              <sz val="10"/>
            </rPr>
            <t xml:space="preserve"> delays · lead · incorrect · rework · quality.
Manager talent mapping — Latest rating: Not rated · manager · 9-Box Grid placement: Trusted Professional.</t>
          </r>
        </is>
      </c>
      <c r="AC185" s="84" t="n"/>
      <c r="AD185" s="84" t="n"/>
      <c r="AE185" s="84" t="n"/>
      <c r="AF185" s="12" t="n">
        <v>3.5</v>
      </c>
    </row>
    <row r="186" ht="400" customHeight="1">
      <c r="A186" s="12" t="inlineStr">
        <is>
          <t>IRIS2491</t>
        </is>
      </c>
      <c r="B186" s="10" t="inlineStr">
        <is>
          <t>Ritik Wadje</t>
        </is>
      </c>
      <c r="C186" s="12" t="inlineStr">
        <is>
          <t>Technology</t>
        </is>
      </c>
      <c r="D186" s="12" t="inlineStr">
        <is>
          <t>Product Designer</t>
        </is>
      </c>
      <c r="E186" s="85" t="inlineStr">
        <is>
          <t>Senior Product Designer</t>
        </is>
      </c>
      <c r="F186" s="12" t="inlineStr">
        <is>
          <t>Design &amp; Creative</t>
        </is>
      </c>
      <c r="G186" s="12" t="inlineStr">
        <is>
          <t>UX / UI Design</t>
        </is>
      </c>
      <c r="H186" s="12" t="inlineStr">
        <is>
          <t>IC</t>
        </is>
      </c>
      <c r="I186" s="42" t="inlineStr">
        <is>
          <t>L3 – Professional / Associate</t>
        </is>
      </c>
      <c r="J186" s="16" t="inlineStr">
        <is>
          <t>A3</t>
        </is>
      </c>
      <c r="K186" s="17" t="inlineStr">
        <is>
          <t>Senior Associate</t>
        </is>
      </c>
      <c r="L186" s="87" t="inlineStr">
        <is>
          <t>▲ Up</t>
        </is>
      </c>
      <c r="M186" s="12" t="inlineStr">
        <is>
          <t>CARBON · Technology · Band A · Early career</t>
        </is>
      </c>
      <c r="N186" s="42" t="n">
        <v>3.5</v>
      </c>
      <c r="O186" s="42" t="n">
        <v>3</v>
      </c>
      <c r="P186" s="42" t="n">
        <v>3</v>
      </c>
      <c r="Q186" s="42" t="n">
        <v>2</v>
      </c>
      <c r="R186" s="42" t="n">
        <v>3.5</v>
      </c>
      <c r="S186" s="80" t="n">
        <v>3.5</v>
      </c>
      <c r="T186" s="81">
        <f>IF(OR($M186="",COUNT(N186,O186,P186,Q186,R186,S186)&lt;6),"",IFERROR(N186*INDEX(WM_C,MATCH($M186,WM_KEY,0))+O186*INDEX(WM_AU,MATCH($M186,WM_KEY,0))+P186*INDEX(WM_AC,MATCH($M186,WM_KEY,0))+Q186*INDEX(WM_L,MATCH($M186,WM_KEY,0))+R186*INDEX(WM_E,MATCH($M186,WM_KEY,0))+S186*INDEX(WM_BI,MATCH($M186,WM_KEY,0)),""))</f>
        <v>3.4</v>
      </c>
      <c r="U186" s="42" t="str">
        <f>IF(T186="","",INDEX({"A1","A2","A3","B1","B2","B3","C1","C2","D1","D2","E1","E2"},MAX(1,MIN(12,ROUND(T186,0)))))</f>
        <v>A3</v>
      </c>
      <c r="V186" s="12" t="inlineStr">
        <is>
          <r>
            <rPr>
              <rFont val="Calibri"/>
              <sz val="10"/>
            </rPr>
            <t xml:space="preserve">New level A3 · Senior Associate. Current level on record: L3 – Professional / Associate. Change: ▲ Up.
Score 3.40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86" s="12" t="inlineStr">
        <is>
          <r>
            <rPr>
              <rFont val="Calibri"/>
              <b val="1"/>
              <sz val="10"/>
            </rPr>
            <t>Complexity &amp; Expertise:</t>
          </r>
          <r>
            <rPr>
              <rFont val="Calibri"/>
              <sz val="10"/>
            </rPr>
            <t xml:space="preserve"> 3.5 of 12 · between A3 and B1 — Start: 3.0 · senior practitioner title; Evidence reads like B1: Sole designer: end-to-end product and UX design, research, brand assets, setting up design processes → moved up 0.5; KRA: “Refer to a separate sheet”
</t>
          </r>
          <r>
            <rPr>
              <rFont val="Calibri"/>
              <b val="1"/>
              <sz val="10"/>
            </rPr>
            <t>Autonomy &amp; Decision:</t>
          </r>
          <r>
            <rPr>
              <rFont val="Calibri"/>
              <sz val="10"/>
            </rPr>
            <t xml:space="preserve"> 3 of 12 — Start: 3.0 · senior practitioner title; Evidence reads like A3: Plans design sprints, research and competitor analysis independently → matches the start
</t>
          </r>
          <r>
            <rPr>
              <rFont val="Calibri"/>
              <b val="1"/>
              <sz val="10"/>
            </rPr>
            <t>Accountability &amp; Impact:</t>
          </r>
          <r>
            <rPr>
              <rFont val="Calibri"/>
              <sz val="10"/>
            </rPr>
            <t xml:space="preserve"> 3 of 12 — Start: 3.0 · senior practitioner title; Evidence reads like A3: Whole design process alone; reviews whether builds match Figma designs → matches the start; KRA: “Refer to a separate sheet”
</t>
          </r>
          <r>
            <rPr>
              <rFont val="Calibri"/>
              <b val="1"/>
              <sz val="10"/>
            </rPr>
            <t>Leadership &amp; Strategy:</t>
          </r>
          <r>
            <rPr>
              <rFont val="Calibri"/>
              <sz val="10"/>
            </rPr>
            <t xml:space="preserve"> 2 of 12 — not counted: the weight is 0% at this level — Start: 2.0 · individual contributor, so influence only; Evidence reads like A2: No reports; collaborates with developers and reviews their implementation → matches the start; Team: 0 direct reports · IC
</t>
          </r>
          <r>
            <rPr>
              <rFont val="Calibri"/>
              <b val="1"/>
              <sz val="10"/>
            </rPr>
            <t>Experience &amp; Qualification:</t>
          </r>
          <r>
            <rPr>
              <rFont val="Calibri"/>
              <sz val="10"/>
            </rPr>
            <t xml:space="preserve"> 3.5 of 12 · between A3 and B1 — Experience: 3.9 yrs total · 3.4 before IRIS + 0.5 at IRIS = 3.4 on the experience scale; Qualification: B.E · graduate, relevant to the work → no change
</t>
          </r>
          <r>
            <rPr>
              <rFont val="Calibri"/>
              <b val="1"/>
              <sz val="10"/>
            </rPr>
            <t>Business Impact:</t>
          </r>
          <r>
            <rPr>
              <rFont val="Calibri"/>
              <sz val="10"/>
            </rPr>
            <t xml:space="preserve"> 3.5 of 12 — a starting estimate. — Start: 3, the role's accountability scope — what it answers for.; Moved +0.5: the survey / manager mapping marks it business-critical.; Managers and heads: overwrite this rating on the Weightage sheet with the business impact you see — the score updates at once.; Ladder: A3 = A process or client deliverable depends on this work · B1 = Moves a module's, product area's or client account's results</t>
          </r>
        </is>
      </c>
      <c r="X186" s="12" t="inlineStr">
        <is>
          <r>
            <rPr>
              <rFont val="Calibri"/>
              <b val="1"/>
              <sz val="10"/>
            </rPr>
            <t>Market level:</t>
          </r>
          <r>
            <rPr>
              <rFont val="Calibri"/>
              <sz val="10"/>
            </rPr>
            <t xml:space="preserve"> P2 · SFIA 3 Apply
</t>
          </r>
          <r>
            <rPr>
              <rFont val="Calibri"/>
              <b val="1"/>
              <sz val="10"/>
            </rPr>
            <t>Typical title:</t>
          </r>
          <r>
            <rPr>
              <rFont val="Calibri"/>
              <sz val="10"/>
            </rPr>
            <t xml:space="preserve"> Designer
</t>
          </r>
          <r>
            <rPr>
              <rFont val="Calibri"/>
              <b val="1"/>
              <sz val="10"/>
            </rPr>
            <t>At peers:</t>
          </r>
          <r>
            <rPr>
              <rFont val="Calibri"/>
              <sz val="10"/>
            </rPr>
            <t xml:space="preserve"> IRIS Vs Competitor Benchmark — UX / design ladder: Designer
</t>
          </r>
          <r>
            <rPr>
              <rFont val="Calibri"/>
              <b val="1"/>
              <sz val="10"/>
            </rPr>
            <t>Typical experience:</t>
          </r>
          <r>
            <rPr>
              <rFont val="Calibri"/>
              <sz val="10"/>
            </rPr>
            <t xml:space="preserve"> 2–5 yrs · IRIS guide 2–4
</t>
          </r>
          <r>
            <rPr>
              <rFont val="Calibri"/>
              <b val="1"/>
              <sz val="10"/>
            </rPr>
            <t>Standard:</t>
          </r>
          <r>
            <rPr>
              <rFont val="Calibri"/>
              <sz val="10"/>
            </rPr>
            <t xml:space="preserve"> UX career ladder Junior → Designer → Senior → Lead → Principal; WCAG accessibility</t>
          </r>
        </is>
      </c>
      <c r="Y186" s="12" t="inlineStr">
        <is>
          <r>
            <rPr>
              <rFont val="Calibri"/>
              <sz val="10"/>
            </rPr>
            <t xml:space="preserve">✓ HRIS: 3.9 yrs, B.E, 0 direct reports
✓ Survey: 20 of 20 questions answered
✓ KRAs: submitted, reported deliverables
✓ Manager mapping: rating, potential, 9-box
✓ Job description
</t>
          </r>
          <r>
            <rPr>
              <rFont val="Calibri"/>
              <b val="1"/>
              <sz val="10"/>
            </rPr>
            <t>Confidence:</t>
          </r>
          <r>
            <rPr>
              <rFont val="Calibri"/>
              <sz val="10"/>
            </rPr>
            <t xml:space="preserve"> High</t>
          </r>
        </is>
      </c>
      <c r="Z186" s="12" t="inlineStr">
        <is>
          <t>—</t>
        </is>
      </c>
      <c r="AA186" s="12" t="inlineStr">
        <is>
          <t>Nothing outstanding</t>
        </is>
      </c>
      <c r="AB18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From the survey and manager mapping — critical role: yes; successor named: no.
Manager talent mapping — Latest rating: 4 · Potential: High · 9-Box Grid placement: High Impact / Growth Talent.</t>
          </r>
        </is>
      </c>
      <c r="AC186" s="84" t="n"/>
      <c r="AD186" s="84" t="n"/>
      <c r="AE186" s="84" t="n"/>
      <c r="AF186" s="12" t="n">
        <v>3.5</v>
      </c>
    </row>
    <row r="187" ht="400" customHeight="1">
      <c r="A187" s="12" t="inlineStr">
        <is>
          <t>IRIS2021</t>
        </is>
      </c>
      <c r="B187" s="10" t="inlineStr">
        <is>
          <t>Alpesh Chaudhari</t>
        </is>
      </c>
      <c r="C187" s="12" t="inlineStr">
        <is>
          <t>Technology</t>
        </is>
      </c>
      <c r="D187" s="12" t="inlineStr">
        <is>
          <t>Software Engineer</t>
        </is>
      </c>
      <c r="E187" s="85" t="inlineStr">
        <is>
          <t>Senior Software Engineer</t>
        </is>
      </c>
      <c r="F187" s="12" t="inlineStr">
        <is>
          <t>Engineering &amp; Development</t>
        </is>
      </c>
      <c r="G187" s="12" t="inlineStr">
        <is>
          <t>Backend Development</t>
        </is>
      </c>
      <c r="H187" s="12" t="inlineStr">
        <is>
          <t>IC</t>
        </is>
      </c>
      <c r="I187" s="42" t="inlineStr">
        <is>
          <t>L3 – Professional / Associate</t>
        </is>
      </c>
      <c r="J187" s="16" t="inlineStr">
        <is>
          <t>A3</t>
        </is>
      </c>
      <c r="K187" s="17" t="inlineStr">
        <is>
          <t>Senior Associate</t>
        </is>
      </c>
      <c r="L187" s="87" t="inlineStr">
        <is>
          <t>▲ Up</t>
        </is>
      </c>
      <c r="M187" s="12" t="inlineStr">
        <is>
          <t>CARBON · Technology · Band A · Early career</t>
        </is>
      </c>
      <c r="N187" s="42" t="n">
        <v>3</v>
      </c>
      <c r="O187" s="42" t="n">
        <v>3</v>
      </c>
      <c r="P187" s="42" t="n">
        <v>3.5</v>
      </c>
      <c r="Q187" s="42" t="n">
        <v>4</v>
      </c>
      <c r="R187" s="42" t="n">
        <v>4</v>
      </c>
      <c r="S187" s="80" t="n">
        <v>3.5</v>
      </c>
      <c r="T187" s="81">
        <f>IF(OR($M187="",COUNT(N187,O187,P187,Q187,R187,S187)&lt;6),"",IFERROR(N187*INDEX(WM_C,MATCH($M187,WM_KEY,0))+O187*INDEX(WM_AU,MATCH($M187,WM_KEY,0))+P187*INDEX(WM_AC,MATCH($M187,WM_KEY,0))+Q187*INDEX(WM_L,MATCH($M187,WM_KEY,0))+R187*INDEX(WM_E,MATCH($M187,WM_KEY,0))+S187*INDEX(WM_BI,MATCH($M187,WM_KEY,0)),""))</f>
        <v>3.15</v>
      </c>
      <c r="U187" s="42" t="str">
        <f>IF(T187="","",INDEX({"A1","A2","A3","B1","B2","B3","C1","C2","D1","D2","E1","E2"},MAX(1,MIN(12,ROUND(T187,0)))))</f>
        <v>A3</v>
      </c>
      <c r="V187" s="12" t="inlineStr">
        <is>
          <r>
            <rPr>
              <rFont val="Calibri"/>
              <sz val="10"/>
            </rPr>
            <t xml:space="preserve">New level A3 · Senior Associate. Current level on record: L3 – Professional / Associate. Change: ▲ Up.
Score 3.15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87" s="12" t="inlineStr">
        <is>
          <r>
            <rPr>
              <rFont val="Calibri"/>
              <b val="1"/>
              <sz val="10"/>
            </rPr>
            <t>Complexity &amp; Expertise:</t>
          </r>
          <r>
            <rPr>
              <rFont val="Calibri"/>
              <sz val="10"/>
            </rPr>
            <t xml:space="preserve"> 3 of 12 — Start: 2.0 · practitioner title; Evidence reads like B1: Takes the most complex features to production; builds AI features with LangGraph; architects solutions → moved up 1; KRA: “1.Deliver ≥ 95% committed AI / adhoc engineering tasks within agreed timelines with high-quality implementation. 2.Design and implement…”
</t>
          </r>
          <r>
            <rPr>
              <rFont val="Calibri"/>
              <b val="1"/>
              <sz val="10"/>
            </rPr>
            <t>Autonomy &amp; Decision:</t>
          </r>
          <r>
            <rPr>
              <rFont val="Calibri"/>
              <sz val="10"/>
            </rPr>
            <t xml:space="preserve"> 3 of 12 — Start: 3.0 · practitioner title; reporting lines show a bigger role: 3 direct reports; Evidence reads like A3: Decides research on new approaches, bug fixes and optimisation of existing code → matches the start
</t>
          </r>
          <r>
            <rPr>
              <rFont val="Calibri"/>
              <b val="1"/>
              <sz val="10"/>
            </rPr>
            <t>Accountability &amp; Impact:</t>
          </r>
          <r>
            <rPr>
              <rFont val="Calibri"/>
              <sz val="10"/>
            </rPr>
            <t xml:space="preserve"> 3.5 of 12 · between A3 and B1 — Start: 4.0 · practitioner title; 3 direct reports; Evidence reads like A3: Complex and AI-based features made production-ready, then owned and maintained → moved down 0.5; KRA: “1.Deliver ≥ 95% committed AI / adhoc engineering tasks within agreed timelines with high-quality implementation. 2.Design and implement…”
</t>
          </r>
          <r>
            <rPr>
              <rFont val="Calibri"/>
              <b val="1"/>
              <sz val="10"/>
            </rPr>
            <t>Leadership &amp; Strategy:</t>
          </r>
          <r>
            <rPr>
              <rFont val="Calibri"/>
              <sz val="10"/>
            </rPr>
            <t xml:space="preserve"> 4 of 12 — not counted: the weight is 0% at this level — Start: 4.0; Evidence reads like B1: Gives technical leadership and guidance to a team of junior developers; 3 reports → matches the start; Team: 3 direct reports · IC
</t>
          </r>
          <r>
            <rPr>
              <rFont val="Calibri"/>
              <b val="1"/>
              <sz val="10"/>
            </rPr>
            <t>Experience &amp; Qualification:</t>
          </r>
          <r>
            <rPr>
              <rFont val="Calibri"/>
              <sz val="10"/>
            </rPr>
            <t xml:space="preserve"> 4 of 12 — Experience: 4.6 yrs total · 0.3 before IRIS + 4.3 at IRIS = 3.6 on the experience scale; Qualification: MCA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187"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87" s="12" t="inlineStr">
        <is>
          <r>
            <rPr>
              <rFont val="Calibri"/>
              <sz val="10"/>
            </rPr>
            <t xml:space="preserve">✓ HRIS: 4.6 yrs, MCA, 3 direct reports
✓ Survey: 20 of 20 questions answered
✓ KRAs: submitted, reported deliverables
✓ Manager mapping: rating, 9-box
✗ Job description: not on file
</t>
          </r>
          <r>
            <rPr>
              <rFont val="Calibri"/>
              <b val="1"/>
              <sz val="10"/>
            </rPr>
            <t>Confidence:</t>
          </r>
          <r>
            <rPr>
              <rFont val="Calibri"/>
              <sz val="10"/>
            </rPr>
            <t xml:space="preserve"> Low</t>
          </r>
        </is>
      </c>
      <c r="Z187" s="12" t="inlineStr">
        <is>
          <t>—</t>
        </is>
      </c>
      <c r="AA187" s="83" t="inlineStr">
        <is>
          <t>• Confirm the reporting line — Manager</t>
        </is>
      </c>
      <c r="AB18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3 direct reports.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Not placed · manager.</t>
          </r>
        </is>
      </c>
      <c r="AC187" s="84" t="n"/>
      <c r="AD187" s="84" t="n"/>
      <c r="AE187" s="84" t="n"/>
      <c r="AF187" s="12" t="n">
        <v>3.5</v>
      </c>
    </row>
    <row r="188" ht="400" customHeight="1">
      <c r="A188" s="12" t="inlineStr">
        <is>
          <t>IRIS2440</t>
        </is>
      </c>
      <c r="B188" s="10" t="inlineStr">
        <is>
          <t>Aniket Kale</t>
        </is>
      </c>
      <c r="C188" s="12" t="inlineStr">
        <is>
          <t>Technology</t>
        </is>
      </c>
      <c r="D188" s="12" t="inlineStr">
        <is>
          <t>Senior Software Engineer</t>
        </is>
      </c>
      <c r="E188" s="12" t="inlineStr">
        <is>
          <t>Senior Software Engineer</t>
        </is>
      </c>
      <c r="F188" s="12" t="inlineStr">
        <is>
          <t>Engineering &amp; Development</t>
        </is>
      </c>
      <c r="G188" s="12" t="inlineStr">
        <is>
          <t>Backend Development</t>
        </is>
      </c>
      <c r="H188" s="12" t="inlineStr">
        <is>
          <t>IC</t>
        </is>
      </c>
      <c r="I188" s="42" t="inlineStr">
        <is>
          <t>L4 – Senior</t>
        </is>
      </c>
      <c r="J188" s="16" t="inlineStr">
        <is>
          <t>A3</t>
        </is>
      </c>
      <c r="K188" s="17" t="inlineStr">
        <is>
          <t>Senior Associate</t>
        </is>
      </c>
      <c r="L188" s="88" t="inlineStr">
        <is>
          <t>• Same level</t>
        </is>
      </c>
      <c r="M188" s="12" t="inlineStr">
        <is>
          <t>CARBON · Technology · Band A · Early career</t>
        </is>
      </c>
      <c r="N188" s="42" t="n">
        <v>3</v>
      </c>
      <c r="O188" s="42" t="n">
        <v>3</v>
      </c>
      <c r="P188" s="42" t="n">
        <v>3</v>
      </c>
      <c r="Q188" s="42" t="n">
        <v>2.5</v>
      </c>
      <c r="R188" s="42" t="n">
        <v>4.5</v>
      </c>
      <c r="S188" s="80" t="n">
        <v>3</v>
      </c>
      <c r="T188" s="81">
        <f>IF(OR($M188="",COUNT(N188,O188,P188,Q188,R188,S188)&lt;6),"",IFERROR(N188*INDEX(WM_C,MATCH($M188,WM_KEY,0))+O188*INDEX(WM_AU,MATCH($M188,WM_KEY,0))+P188*INDEX(WM_AC,MATCH($M188,WM_KEY,0))+Q188*INDEX(WM_L,MATCH($M188,WM_KEY,0))+R188*INDEX(WM_E,MATCH($M188,WM_KEY,0))+S188*INDEX(WM_BI,MATCH($M188,WM_KEY,0)),""))</f>
        <v>3.15</v>
      </c>
      <c r="U188" s="42" t="str">
        <f>IF(T188="","",INDEX({"A1","A2","A3","B1","B2","B3","C1","C2","D1","D2","E1","E2"},MAX(1,MIN(12,ROUND(T188,0)))))</f>
        <v>A3</v>
      </c>
      <c r="V188" s="12" t="inlineStr">
        <is>
          <r>
            <rPr>
              <rFont val="Calibri"/>
              <sz val="10"/>
            </rPr>
            <t xml:space="preserve">New level A3 · Senior Associate. Current level on record: L4 – Senior. Change: • Same level.
Score 3.15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88" s="12" t="inlineStr">
        <is>
          <r>
            <rPr>
              <rFont val="Calibri"/>
              <b val="1"/>
              <sz val="10"/>
            </rPr>
            <t>Complexity &amp; Expertise:</t>
          </r>
          <r>
            <rPr>
              <rFont val="Calibri"/>
              <sz val="10"/>
            </rPr>
            <t xml:space="preserve"> 3 of 12 — Start: 3.0 · senior practitioner title; Evidence reads like A3: Handles production issues, builds release packages, works on new POCs → matches the start; KRA: “1. Achieve ≥ 92% sprint and release delivery adherence by completing committed tasks within agreed timelines with high-quality execution…”
</t>
          </r>
          <r>
            <rPr>
              <rFont val="Calibri"/>
              <b val="1"/>
              <sz val="10"/>
            </rPr>
            <t>Autonomy &amp; Decision:</t>
          </r>
          <r>
            <rPr>
              <rFont val="Calibri"/>
              <sz val="10"/>
            </rPr>
            <t xml:space="preserve"> 3 of 12 — Start: 3.0 · senior practitioner title; Evidence reads like A3: Decides code changes; mentors juniors → matches the start
</t>
          </r>
          <r>
            <rPr>
              <rFont val="Calibri"/>
              <b val="1"/>
              <sz val="10"/>
            </rPr>
            <t>Accountability &amp; Impact:</t>
          </r>
          <r>
            <rPr>
              <rFont val="Calibri"/>
              <sz val="10"/>
            </rPr>
            <t xml:space="preserve"> 3 of 12 — Start: 3.0 · senior practitioner title; Evidence reads like A3: Solutions owned; production issue fixes and release packages → matches the start; KRA: “1. Achieve ≥ 92% sprint and release delivery adherence by completing committed tasks within agreed timelines with high-quality execution…”
</t>
          </r>
          <r>
            <rPr>
              <rFont val="Calibri"/>
              <b val="1"/>
              <sz val="10"/>
            </rPr>
            <t>Leadership &amp; Strategy:</t>
          </r>
          <r>
            <rPr>
              <rFont val="Calibri"/>
              <sz val="10"/>
            </rPr>
            <t xml:space="preserve"> 2.5 of 12 · between A2 and A3 — not counted: the weight is 0% at this level — Start: 2.0 · individual contributor, so influence only; Evidence reads like A3: Mentors juniors and assists team members to finish work on time → moved up 0.5; Team: 0 direct reports · IC
</t>
          </r>
          <r>
            <rPr>
              <rFont val="Calibri"/>
              <b val="1"/>
              <sz val="10"/>
            </rPr>
            <t>Experience &amp; Qualification:</t>
          </r>
          <r>
            <rPr>
              <rFont val="Calibri"/>
              <sz val="10"/>
            </rPr>
            <t xml:space="preserve"> 4.5 of 12 · between B1 and B2 — Experience: 6.9 yrs total · 6.0 before IRIS + 0.9 at IRIS = 4.7 on the experience scale; Qualification: B.E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88"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88" s="12" t="inlineStr">
        <is>
          <r>
            <rPr>
              <rFont val="Calibri"/>
              <sz val="10"/>
            </rPr>
            <t xml:space="preserve">✓ HRIS: 6.9 yrs, B.E,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88" s="12" t="inlineStr">
        <is>
          <t>—</t>
        </is>
      </c>
      <c r="AA188" s="12" t="inlineStr">
        <is>
          <t>Nothing outstanding</t>
        </is>
      </c>
      <c r="AB18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Reliable Specialist.</t>
          </r>
        </is>
      </c>
      <c r="AC188" s="84" t="n"/>
      <c r="AD188" s="84" t="n"/>
      <c r="AE188" s="84" t="n"/>
      <c r="AF188" s="12" t="n">
        <v>3</v>
      </c>
    </row>
    <row r="189" ht="400" customHeight="1">
      <c r="A189" s="12" t="inlineStr">
        <is>
          <t>IRIS2473</t>
        </is>
      </c>
      <c r="B189" s="10" t="inlineStr">
        <is>
          <t>Anuj Pardeshi</t>
        </is>
      </c>
      <c r="C189" s="12" t="inlineStr">
        <is>
          <t>Technology</t>
        </is>
      </c>
      <c r="D189" s="12" t="inlineStr">
        <is>
          <t>Software Engineer</t>
        </is>
      </c>
      <c r="E189" s="85" t="inlineStr">
        <is>
          <t>Senior Software Engineer</t>
        </is>
      </c>
      <c r="F189" s="12" t="inlineStr">
        <is>
          <t>Engineering &amp; Development</t>
        </is>
      </c>
      <c r="G189" s="12" t="inlineStr">
        <is>
          <t>Full-Stack Development</t>
        </is>
      </c>
      <c r="H189" s="12" t="inlineStr">
        <is>
          <t>IC</t>
        </is>
      </c>
      <c r="I189" s="42" t="inlineStr">
        <is>
          <t>L3 – Professional / Associate</t>
        </is>
      </c>
      <c r="J189" s="16" t="inlineStr">
        <is>
          <t>A3</t>
        </is>
      </c>
      <c r="K189" s="17" t="inlineStr">
        <is>
          <t>Senior Associate</t>
        </is>
      </c>
      <c r="L189" s="87" t="inlineStr">
        <is>
          <t>▲ Up</t>
        </is>
      </c>
      <c r="M189" s="12" t="inlineStr">
        <is>
          <t>CARBON · Technology · Band A · Early career</t>
        </is>
      </c>
      <c r="N189" s="42" t="n">
        <v>2</v>
      </c>
      <c r="O189" s="42" t="n">
        <v>1.5</v>
      </c>
      <c r="P189" s="42" t="n">
        <v>2</v>
      </c>
      <c r="Q189" s="42" t="n">
        <v>1</v>
      </c>
      <c r="R189" s="42" t="n">
        <v>3.5</v>
      </c>
      <c r="S189" s="80" t="n">
        <v>2</v>
      </c>
      <c r="T189" s="81">
        <f>IF(OR($M189="",COUNT(N189,O189,P189,Q189,R189,S189)&lt;6),"",IFERROR(N189*INDEX(WM_C,MATCH($M189,WM_KEY,0))+O189*INDEX(WM_AU,MATCH($M189,WM_KEY,0))+P189*INDEX(WM_AC,MATCH($M189,WM_KEY,0))+Q189*INDEX(WM_L,MATCH($M189,WM_KEY,0))+R189*INDEX(WM_E,MATCH($M189,WM_KEY,0))+S189*INDEX(WM_BI,MATCH($M189,WM_KEY,0)),""))</f>
        <v>2.07</v>
      </c>
      <c r="U189" s="42" t="str">
        <f>IF(T189="","",INDEX({"A1","A2","A3","B1","B2","B3","C1","C2","D1","D2","E1","E2"},MAX(1,MIN(12,ROUND(T189,0)))))</f>
        <v>A2</v>
      </c>
      <c r="V189" s="12" t="inlineStr">
        <is>
          <r>
            <rPr>
              <rFont val="Calibri"/>
              <sz val="10"/>
            </rPr>
            <t xml:space="preserve">New level A3 · Senior Associate. Current level on record: L3 – Professional / Associate. Change: ▲ Up.
Score 2.07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 years' experience is 2 years or more.
</t>
          </r>
          <r>
            <rPr>
              <rFont val="Calibri"/>
              <b val="1"/>
              <sz val="10"/>
            </rPr>
            <t>Final level:</t>
          </r>
          <r>
            <rPr>
              <rFont val="Calibri"/>
              <sz val="10"/>
            </rPr>
            <t xml:space="preserve"> A3.</t>
          </r>
        </is>
      </c>
      <c r="W189" s="12" t="inlineStr">
        <is>
          <r>
            <rPr>
              <rFont val="Calibri"/>
              <b val="1"/>
              <sz val="10"/>
            </rPr>
            <t>Complexity &amp; Expertise:</t>
          </r>
          <r>
            <rPr>
              <rFont val="Calibri"/>
              <sz val="10"/>
            </rPr>
            <t xml:space="preserve"> 2 of 12 — Start: 2.0 · practitioner title; Evidence reads like A2: own survey / KRA answers · summarised by the rater; not quoted → matches the start; KRA: “1. Achieve ≥ 90% sprint delivery adherence by completing committed tasks within agreed timelines with high-quality execution and minimal…”
</t>
          </r>
          <r>
            <rPr>
              <rFont val="Calibri"/>
              <b val="1"/>
              <sz val="10"/>
            </rPr>
            <t>Autonomy &amp; Decision:</t>
          </r>
          <r>
            <rPr>
              <rFont val="Calibri"/>
              <sz val="10"/>
            </rPr>
            <t xml:space="preserve"> 1.5 of 12 · between A1 and A2 — Start: 2.0 · practitioner title; Evidence reads like A1: Answers 'I cannot' when asked what is decided independently → moved down 0.5
</t>
          </r>
          <r>
            <rPr>
              <rFont val="Calibri"/>
              <b val="1"/>
              <sz val="10"/>
            </rPr>
            <t>Accountability &amp; Impact:</t>
          </r>
          <r>
            <rPr>
              <rFont val="Calibri"/>
              <sz val="10"/>
            </rPr>
            <t xml:space="preserve"> 2 of 12 — Start: 2.0 · practitioner title; Evidence reads like A2: Work on Carbon Calculator and Reports modules; no end-to-end ownership described → matches the start; KRA: “1. Achieve ≥ 90% sprint delivery adherence by completing committed tasks within agreed timelines with high-quality execution and minimal…”
</t>
          </r>
          <r>
            <rPr>
              <rFont val="Calibri"/>
              <b val="1"/>
              <sz val="10"/>
            </rPr>
            <t>Leadership &amp; Strategy:</t>
          </r>
          <r>
            <rPr>
              <rFont val="Calibri"/>
              <sz val="10"/>
            </rPr>
            <t xml:space="preserve"> 1 of 12 — not counted: the weight is 0% at this level — Start: 1.0 · individual contributor, so influence only; Evidence reads like A1: No guiding or reviewing of others described → matches the start; Team: 0 direct reports · IC
</t>
          </r>
          <r>
            <rPr>
              <rFont val="Calibri"/>
              <b val="1"/>
              <sz val="10"/>
            </rPr>
            <t>Experience &amp; Qualification:</t>
          </r>
          <r>
            <rPr>
              <rFont val="Calibri"/>
              <sz val="10"/>
            </rPr>
            <t xml:space="preserve"> 3.5 of 12 · between A3 and B1 — Experience: 4.0 yrs total · 3.4 before IRIS + 0.6 at IRIS = 3.4 on the experience scale; Qualification: B.Tech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89"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89" s="12" t="inlineStr">
        <is>
          <r>
            <rPr>
              <rFont val="Calibri"/>
              <sz val="10"/>
            </rPr>
            <t xml:space="preserve">✓ HRIS: 4.0 yrs, B.Tech,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89" s="12" t="inlineStr">
        <is>
          <t>—</t>
        </is>
      </c>
      <c r="AA189" s="12" t="inlineStr">
        <is>
          <t>Nothing outstanding</t>
        </is>
      </c>
      <c r="AB18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Trusted Professional.</t>
          </r>
        </is>
      </c>
      <c r="AC189" s="84" t="n"/>
      <c r="AD189" s="84" t="n"/>
      <c r="AE189" s="84" t="n"/>
      <c r="AF189" s="12" t="n">
        <v>2</v>
      </c>
    </row>
    <row r="190" ht="400" customHeight="1">
      <c r="A190" s="12" t="inlineStr">
        <is>
          <t>IRIS2031</t>
        </is>
      </c>
      <c r="B190" s="10" t="inlineStr">
        <is>
          <t>Bansi Amipara</t>
        </is>
      </c>
      <c r="C190" s="12" t="inlineStr">
        <is>
          <t>Technology</t>
        </is>
      </c>
      <c r="D190" s="12" t="inlineStr">
        <is>
          <t>Software Engineer</t>
        </is>
      </c>
      <c r="E190" s="85" t="inlineStr">
        <is>
          <t>Senior Software Engineer</t>
        </is>
      </c>
      <c r="F190" s="12" t="inlineStr">
        <is>
          <t>Engineering &amp; Development</t>
        </is>
      </c>
      <c r="G190" s="12" t="inlineStr">
        <is>
          <t>Backend Development</t>
        </is>
      </c>
      <c r="H190" s="12" t="inlineStr">
        <is>
          <t>IC</t>
        </is>
      </c>
      <c r="I190" s="42" t="inlineStr">
        <is>
          <t>L3 – Professional / Associate</t>
        </is>
      </c>
      <c r="J190" s="16" t="inlineStr">
        <is>
          <t>A3</t>
        </is>
      </c>
      <c r="K190" s="17" t="inlineStr">
        <is>
          <t>Senior Associate</t>
        </is>
      </c>
      <c r="L190" s="87" t="inlineStr">
        <is>
          <t>▲ Up</t>
        </is>
      </c>
      <c r="M190" s="12" t="inlineStr">
        <is>
          <t>CARBON · Technology · Band A · Early career</t>
        </is>
      </c>
      <c r="N190" s="42" t="n">
        <v>2</v>
      </c>
      <c r="O190" s="42" t="n">
        <v>2</v>
      </c>
      <c r="P190" s="42" t="n">
        <v>2</v>
      </c>
      <c r="Q190" s="42" t="n">
        <v>1</v>
      </c>
      <c r="R190" s="42" t="n">
        <v>4</v>
      </c>
      <c r="S190" s="80" t="n">
        <v>2</v>
      </c>
      <c r="T190" s="81">
        <f>IF(OR($M190="",COUNT(N190,O190,P190,Q190,R190,S190)&lt;6),"",IFERROR(N190*INDEX(WM_C,MATCH($M190,WM_KEY,0))+O190*INDEX(WM_AU,MATCH($M190,WM_KEY,0))+P190*INDEX(WM_AC,MATCH($M190,WM_KEY,0))+Q190*INDEX(WM_L,MATCH($M190,WM_KEY,0))+R190*INDEX(WM_E,MATCH($M190,WM_KEY,0))+S190*INDEX(WM_BI,MATCH($M190,WM_KEY,0)),""))</f>
        <v>2.2</v>
      </c>
      <c r="U190" s="42" t="str">
        <f>IF(T190="","",INDEX({"A1","A2","A3","B1","B2","B3","C1","C2","D1","D2","E1","E2"},MAX(1,MIN(12,ROUND(T190,0)))))</f>
        <v>A2</v>
      </c>
      <c r="V190" s="12" t="inlineStr">
        <is>
          <r>
            <rPr>
              <rFont val="Calibri"/>
              <sz val="10"/>
            </rPr>
            <t xml:space="preserve">New level A3 · Senior Associate. Current level on record: L3 – Professional / Associate. Change: ▲ Up.
Score 2.20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4.2 years' experience is 2 years or more.
</t>
          </r>
          <r>
            <rPr>
              <rFont val="Calibri"/>
              <b val="1"/>
              <sz val="10"/>
            </rPr>
            <t>Final level:</t>
          </r>
          <r>
            <rPr>
              <rFont val="Calibri"/>
              <sz val="10"/>
            </rPr>
            <t xml:space="preserve"> A3.</t>
          </r>
        </is>
      </c>
      <c r="W190" s="12" t="inlineStr">
        <is>
          <r>
            <rPr>
              <rFont val="Calibri"/>
              <b val="1"/>
              <sz val="10"/>
            </rPr>
            <t>Complexity &amp; Expertise:</t>
          </r>
          <r>
            <rPr>
              <rFont val="Calibri"/>
              <sz val="10"/>
            </rPr>
            <t xml:space="preserve"> 2 of 12 — Start: 2.0 · practitioner title; Evidence reads like A2: Full-stack development of AI-based reusable components; no harder cases described → matches the start; KRA: “1.Deliver ≥ 95% committed frontend/full-stack tasks within agreed timelines with high-quality implementation. 2.Strengthen expertise in…”
</t>
          </r>
          <r>
            <rPr>
              <rFont val="Calibri"/>
              <b val="1"/>
              <sz val="10"/>
            </rPr>
            <t>Autonomy &amp; Decision:</t>
          </r>
          <r>
            <rPr>
              <rFont val="Calibri"/>
              <sz val="10"/>
            </rPr>
            <t xml:space="preserve"> 2 of 12 — Start: 2.0 · practitioner title; Evidence reads like A2: Decides only on optimising existing output → matches the start
</t>
          </r>
          <r>
            <rPr>
              <rFont val="Calibri"/>
              <b val="1"/>
              <sz val="10"/>
            </rPr>
            <t>Accountability &amp; Impact:</t>
          </r>
          <r>
            <rPr>
              <rFont val="Calibri"/>
              <sz val="10"/>
            </rPr>
            <t xml:space="preserve"> 2 of 12 — Start: 2.0 · practitioner title; Evidence reads like A2: Own common components and feature stability meeting expected standards → matches the start; KRA: “1.Deliver ≥ 95% committed frontend/full-stack tasks within agreed timelines with high-quality implementation. 2.Strengthen expertise in…”
</t>
          </r>
          <r>
            <rPr>
              <rFont val="Calibri"/>
              <b val="1"/>
              <sz val="10"/>
            </rPr>
            <t>Leadership &amp; Strategy:</t>
          </r>
          <r>
            <rPr>
              <rFont val="Calibri"/>
              <sz val="10"/>
            </rPr>
            <t xml:space="preserve"> 1 of 12 — not counted: the weight is 0% at this level — Start: 1.0 · individual contributor, so influence only; Evidence reads like A1: No guiding or reviewing of others described → matches the start; Team: 0 direct reports · IC
</t>
          </r>
          <r>
            <rPr>
              <rFont val="Calibri"/>
              <b val="1"/>
              <sz val="10"/>
            </rPr>
            <t>Experience &amp; Qualification:</t>
          </r>
          <r>
            <rPr>
              <rFont val="Calibri"/>
              <sz val="10"/>
            </rPr>
            <t xml:space="preserve"> 4 of 12 — Experience: 4.2 yrs total · 4.2 at IRIS; none recorded before IRIS = 3.5 on the experience scale; Qualification: MSC-ICT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90"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90" s="12" t="inlineStr">
        <is>
          <r>
            <rPr>
              <rFont val="Calibri"/>
              <sz val="10"/>
            </rPr>
            <t xml:space="preserve">✓ HRIS: 4.2 yrs, MSC-ICT,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90" s="12" t="inlineStr">
        <is>
          <t>—</t>
        </is>
      </c>
      <c r="AA190" s="12" t="inlineStr">
        <is>
          <t>Nothing outstanding</t>
        </is>
      </c>
      <c r="AB19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Trusted Professional.</t>
          </r>
        </is>
      </c>
      <c r="AC190" s="84" t="n"/>
      <c r="AD190" s="84" t="n"/>
      <c r="AE190" s="84" t="n"/>
      <c r="AF190" s="12" t="n">
        <v>2</v>
      </c>
    </row>
    <row r="191" ht="400" customHeight="1">
      <c r="A191" s="12" t="inlineStr">
        <is>
          <t>IRIS1883</t>
        </is>
      </c>
      <c r="B191" s="10" t="inlineStr">
        <is>
          <t>Bikram Prasad</t>
        </is>
      </c>
      <c r="C191" s="12" t="inlineStr">
        <is>
          <t>Technology</t>
        </is>
      </c>
      <c r="D191" s="12" t="inlineStr">
        <is>
          <t>Software Engineer</t>
        </is>
      </c>
      <c r="E191" s="85" t="inlineStr">
        <is>
          <t>Senior Software Engineer</t>
        </is>
      </c>
      <c r="F191" s="12" t="inlineStr">
        <is>
          <t>Engineering &amp; Development</t>
        </is>
      </c>
      <c r="G191" s="12" t="inlineStr">
        <is>
          <t>Backend Development</t>
        </is>
      </c>
      <c r="H191" s="12" t="inlineStr">
        <is>
          <t>IC</t>
        </is>
      </c>
      <c r="I191" s="42" t="inlineStr">
        <is>
          <t>L3 – Professional / Associate</t>
        </is>
      </c>
      <c r="J191" s="16" t="inlineStr">
        <is>
          <t>A3</t>
        </is>
      </c>
      <c r="K191" s="17" t="inlineStr">
        <is>
          <t>Senior Associate</t>
        </is>
      </c>
      <c r="L191" s="87" t="inlineStr">
        <is>
          <t>▲ Up</t>
        </is>
      </c>
      <c r="M191" s="12" t="inlineStr">
        <is>
          <t>CARBON · Technology · Band A · Early career</t>
        </is>
      </c>
      <c r="N191" s="42" t="n">
        <v>2.5</v>
      </c>
      <c r="O191" s="42" t="n">
        <v>2</v>
      </c>
      <c r="P191" s="42" t="n">
        <v>3</v>
      </c>
      <c r="Q191" s="42" t="n">
        <v>2.5</v>
      </c>
      <c r="R191" s="42" t="n">
        <v>4</v>
      </c>
      <c r="S191" s="80" t="n">
        <v>3.5</v>
      </c>
      <c r="T191" s="81">
        <f>IF(OR($M191="",COUNT(N191,O191,P191,Q191,R191,S191)&lt;6),"",IFERROR(N191*INDEX(WM_C,MATCH($M191,WM_KEY,0))+O191*INDEX(WM_AU,MATCH($M191,WM_KEY,0))+P191*INDEX(WM_AC,MATCH($M191,WM_KEY,0))+Q191*INDEX(WM_L,MATCH($M191,WM_KEY,0))+R191*INDEX(WM_E,MATCH($M191,WM_KEY,0))+S191*INDEX(WM_BI,MATCH($M191,WM_KEY,0)),""))</f>
        <v>2.65</v>
      </c>
      <c r="U191" s="42" t="str">
        <f>IF(T191="","",INDEX({"A1","A2","A3","B1","B2","B3","C1","C2","D1","D2","E1","E2"},MAX(1,MIN(12,ROUND(T191,0)))))</f>
        <v>A3</v>
      </c>
      <c r="V191" s="12" t="inlineStr">
        <is>
          <r>
            <rPr>
              <rFont val="Calibri"/>
              <sz val="10"/>
            </rPr>
            <t xml:space="preserve">New level A3 · Senior Associate. Current level on record: L3 – Professional / Associate. Change: ▲ Up.
Score 2.65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91" s="12" t="inlineStr">
        <is>
          <r>
            <rPr>
              <rFont val="Calibri"/>
              <b val="1"/>
              <sz val="10"/>
            </rPr>
            <t>Complexity &amp; Expertise:</t>
          </r>
          <r>
            <rPr>
              <rFont val="Calibri"/>
              <sz val="10"/>
            </rPr>
            <t xml:space="preserve"> 2.5 of 12 · between A2 and A3 — Start: 2.0 · practitioner title; Evidence reads like A3: Runs deployments, patch releases, CVE fixes and production issue fixes; handles InDesign PDF issues → moved up 0.5; KRA: “1.Ensure ≥ 99.5% infrastructure/platform availability across all critical environments with minimal downtime. 2.Improve DevOps automation…”
</t>
          </r>
          <r>
            <rPr>
              <rFont val="Calibri"/>
              <b val="1"/>
              <sz val="10"/>
            </rPr>
            <t>Autonomy &amp; Decision:</t>
          </r>
          <r>
            <rPr>
              <rFont val="Calibri"/>
              <sz val="10"/>
            </rPr>
            <t xml:space="preserve"> 2 of 12 — Start: 2.5 · practitioner title; reporting lines show a bigger role: 1 direct report, 3 people below, 1 of them leads a team; Evidence reads like A2: Only cites 'new technology' as an independent decision → moved down 0.5
</t>
          </r>
          <r>
            <rPr>
              <rFont val="Calibri"/>
              <b val="1"/>
              <sz val="10"/>
            </rPr>
            <t>Accountability &amp; Impact:</t>
          </r>
          <r>
            <rPr>
              <rFont val="Calibri"/>
              <sz val="10"/>
            </rPr>
            <t xml:space="preserve"> 3 of 12 — Start: 3.5 · practitioner title; 1 direct report, 3 people below, 1 of them leads a team; Evidence reads like A3: Answers for applications running smoothly on servers and daily patch/CVE updates → moved down 0.5; KRA: “1.Ensure ≥ 99.5% infrastructure/platform availability across all critical environments with minimal downtime. 2.Improve DevOps automation…”
</t>
          </r>
          <r>
            <rPr>
              <rFont val="Calibri"/>
              <b val="1"/>
              <sz val="10"/>
            </rPr>
            <t>Leadership &amp; Strategy:</t>
          </r>
          <r>
            <rPr>
              <rFont val="Calibri"/>
              <sz val="10"/>
            </rPr>
            <t xml:space="preserve"> 2.5 of 12 · between A2 and A3 — not counted: the weight is 0% at this level — Start: 3.5; Evidence reads like A1: No guiding described despite one report → moved down 1; Team: 1 direct report · IC
</t>
          </r>
          <r>
            <rPr>
              <rFont val="Calibri"/>
              <b val="1"/>
              <sz val="10"/>
            </rPr>
            <t>Experience &amp; Qualification:</t>
          </r>
          <r>
            <rPr>
              <rFont val="Calibri"/>
              <sz val="10"/>
            </rPr>
            <t xml:space="preserve"> 4 of 12 — Experience: 5.8 yrs total · 5.8 at IRIS; none recorded before IRIS = 4.2 on the experience scale; Qualification: B.Tech · graduate, relevant to the work → no change
</t>
          </r>
          <r>
            <rPr>
              <rFont val="Calibri"/>
              <b val="1"/>
              <sz val="10"/>
            </rPr>
            <t>Business Impact:</t>
          </r>
          <r>
            <rPr>
              <rFont val="Calibri"/>
              <sz val="10"/>
            </rPr>
            <t xml:space="preserve"> 3.5 of 12 — a starting estimate. — Start: 3, the role's accountability scope — what it answers for.; Moved +0.5: it does work no one else does.; Managers and heads: overwrite this rating on the Weightage sheet with the business impact you see — the score updates at once.; Ladder: A3 = A process or client deliverable depends on this work · B1 = Moves a module's, product area's or client account's results</t>
          </r>
        </is>
      </c>
      <c r="X191"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91" s="12" t="inlineStr">
        <is>
          <r>
            <rPr>
              <rFont val="Calibri"/>
              <sz val="10"/>
            </rPr>
            <t xml:space="preserve">✓ HRIS: 5.8 yrs, B.Tech, 1 direct report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High</t>
          </r>
        </is>
      </c>
      <c r="Z191" s="12" t="inlineStr">
        <is>
          <t>—</t>
        </is>
      </c>
      <c r="AA191" s="83" t="inlineStr">
        <is>
          <t>• Confirm the reporting line — Manager</t>
        </is>
      </c>
      <c r="AB19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1 direct report.
From the survey and manager mapping — work only this person does: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Underperformer / Exit Risk.</t>
          </r>
        </is>
      </c>
      <c r="AC191" s="84" t="n"/>
      <c r="AD191" s="84" t="n"/>
      <c r="AE191" s="84" t="n"/>
      <c r="AF191" s="12" t="n">
        <v>3.5</v>
      </c>
    </row>
    <row r="192" ht="400" customHeight="1">
      <c r="A192" s="12" t="inlineStr">
        <is>
          <t>IRIS2280</t>
        </is>
      </c>
      <c r="B192" s="10" t="inlineStr">
        <is>
          <t>Harsh Borad</t>
        </is>
      </c>
      <c r="C192" s="12" t="inlineStr">
        <is>
          <t>Technology</t>
        </is>
      </c>
      <c r="D192" s="12" t="inlineStr">
        <is>
          <t>Software Engineer</t>
        </is>
      </c>
      <c r="E192" s="85" t="inlineStr">
        <is>
          <t>Senior Software Engineer</t>
        </is>
      </c>
      <c r="F192" s="12" t="inlineStr">
        <is>
          <t>Engineering &amp; Development</t>
        </is>
      </c>
      <c r="G192" s="12" t="inlineStr">
        <is>
          <t>Full-Stack Development</t>
        </is>
      </c>
      <c r="H192" s="12" t="inlineStr">
        <is>
          <t>IC</t>
        </is>
      </c>
      <c r="I192" s="42" t="inlineStr">
        <is>
          <t>L3 – Professional / Associate</t>
        </is>
      </c>
      <c r="J192" s="16" t="inlineStr">
        <is>
          <t>A3</t>
        </is>
      </c>
      <c r="K192" s="17" t="inlineStr">
        <is>
          <t>Senior Associate</t>
        </is>
      </c>
      <c r="L192" s="87" t="inlineStr">
        <is>
          <t>▲ Up</t>
        </is>
      </c>
      <c r="M192" s="12" t="inlineStr">
        <is>
          <t>CARBON · Technology · Band A · Early career</t>
        </is>
      </c>
      <c r="N192" s="42" t="n">
        <v>2.5</v>
      </c>
      <c r="O192" s="42" t="n">
        <v>2.5</v>
      </c>
      <c r="P192" s="42" t="n">
        <v>2</v>
      </c>
      <c r="Q192" s="42" t="n">
        <v>1</v>
      </c>
      <c r="R192" s="42" t="n">
        <v>2.5</v>
      </c>
      <c r="S192" s="80" t="n">
        <v>2</v>
      </c>
      <c r="T192" s="81">
        <f>IF(OR($M192="",COUNT(N192,O192,P192,Q192,R192,S192)&lt;6),"",IFERROR(N192*INDEX(WM_C,MATCH($M192,WM_KEY,0))+O192*INDEX(WM_AU,MATCH($M192,WM_KEY,0))+P192*INDEX(WM_AC,MATCH($M192,WM_KEY,0))+Q192*INDEX(WM_L,MATCH($M192,WM_KEY,0))+R192*INDEX(WM_E,MATCH($M192,WM_KEY,0))+S192*INDEX(WM_BI,MATCH($M192,WM_KEY,0)),""))</f>
        <v>2.45</v>
      </c>
      <c r="U192" s="42" t="str">
        <f>IF(T192="","",INDEX({"A1","A2","A3","B1","B2","B3","C1","C2","D1","D2","E1","E2"},MAX(1,MIN(12,ROUND(T192,0)))))</f>
        <v>A2</v>
      </c>
      <c r="V192" s="12" t="inlineStr">
        <is>
          <r>
            <rPr>
              <rFont val="Calibri"/>
              <sz val="10"/>
            </rPr>
            <t xml:space="preserve">New level A3 · Senior Associate. Current level on record: L3 – Professional / Associate. Change: ▲ Up.
Score 2.45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2.4 years' experience is 2 years or more.
</t>
          </r>
          <r>
            <rPr>
              <rFont val="Calibri"/>
              <b val="1"/>
              <sz val="10"/>
            </rPr>
            <t>Final level:</t>
          </r>
          <r>
            <rPr>
              <rFont val="Calibri"/>
              <sz val="10"/>
            </rPr>
            <t xml:space="preserve"> A3.</t>
          </r>
        </is>
      </c>
      <c r="W192" s="12" t="inlineStr">
        <is>
          <r>
            <rPr>
              <rFont val="Calibri"/>
              <b val="1"/>
              <sz val="10"/>
            </rPr>
            <t>Complexity &amp; Expertise:</t>
          </r>
          <r>
            <rPr>
              <rFont val="Calibri"/>
              <sz val="10"/>
            </rPr>
            <t xml:space="preserve"> 2.5 of 12 · between A2 and A3 — Start: 2.0 · practitioner title; Evidence reads like A3: Builds reusable front-end components and REST APIs for whole features; solves performance issues → moved up 0.5; KRA: “1.Deliver ≥ 85% committed frontend tasks within agreed timelines with improved execution speed and quality. 2.Improve execution speed and…”
</t>
          </r>
          <r>
            <rPr>
              <rFont val="Calibri"/>
              <b val="1"/>
              <sz val="10"/>
            </rPr>
            <t>Autonomy &amp; Decision:</t>
          </r>
          <r>
            <rPr>
              <rFont val="Calibri"/>
              <sz val="10"/>
            </rPr>
            <t xml:space="preserve"> 2.5 of 12 · between A2 and A3 — Start: 2.0 · practitioner title; Evidence reads like A3: Decides feature enhancements, code structure, performance and bug fixes on own features → moved up 0.5
</t>
          </r>
          <r>
            <rPr>
              <rFont val="Calibri"/>
              <b val="1"/>
              <sz val="10"/>
            </rPr>
            <t>Accountability &amp; Impact:</t>
          </r>
          <r>
            <rPr>
              <rFont val="Calibri"/>
              <sz val="10"/>
            </rPr>
            <t xml:space="preserve"> 2 of 12 — Start: 2.0 · practitioner title; Evidence reads like A2: own survey / KRA answers · summarised by the rater; not quoted → matches the start; KRA: “1.Deliver ≥ 85% committed frontend tasks within agreed timelines with improved execution speed and quality. 2.Improve execution speed and…”
</t>
          </r>
          <r>
            <rPr>
              <rFont val="Calibri"/>
              <b val="1"/>
              <sz val="10"/>
            </rPr>
            <t>Leadership &amp; Strategy:</t>
          </r>
          <r>
            <rPr>
              <rFont val="Calibri"/>
              <sz val="10"/>
            </rPr>
            <t xml:space="preserve"> 1 of 12 — not counted: the weight is 0% at this level — Start: 1.0 · individual contributor, so influence only; Evidence reads like A1: No guiding or reviewing of others described → matches the start; Team: 0 direct reports · IC
</t>
          </r>
          <r>
            <rPr>
              <rFont val="Calibri"/>
              <b val="1"/>
              <sz val="10"/>
            </rPr>
            <t>Experience &amp; Qualification:</t>
          </r>
          <r>
            <rPr>
              <rFont val="Calibri"/>
              <sz val="10"/>
            </rPr>
            <t xml:space="preserve"> 2.5 of 12 · between A2 and A3 — Experience: 2.4 yrs total · 0.2 before IRIS + 2.2 at IRIS = 2.7 on the experience scale; Qualification: B.Tech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92"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92" s="12" t="inlineStr">
        <is>
          <r>
            <rPr>
              <rFont val="Calibri"/>
              <sz val="10"/>
            </rPr>
            <t xml:space="preserve">✓ HRIS: 2.4 yrs, B.Tech,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92" s="12" t="inlineStr">
        <is>
          <t>—</t>
        </is>
      </c>
      <c r="AA192" s="12" t="inlineStr">
        <is>
          <t>Nothing outstanding</t>
        </is>
      </c>
      <c r="AB19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Trusted Professional.</t>
          </r>
        </is>
      </c>
      <c r="AC192" s="84" t="n"/>
      <c r="AD192" s="84" t="n"/>
      <c r="AE192" s="84" t="n"/>
      <c r="AF192" s="12" t="n">
        <v>2</v>
      </c>
    </row>
    <row r="193" ht="400" customHeight="1">
      <c r="A193" s="12" t="inlineStr">
        <is>
          <t>IRIS2544</t>
        </is>
      </c>
      <c r="B193" s="10" t="inlineStr">
        <is>
          <t>Harsh Icecreamwala</t>
        </is>
      </c>
      <c r="C193" s="12" t="inlineStr">
        <is>
          <t>Technology</t>
        </is>
      </c>
      <c r="D193" s="12" t="inlineStr">
        <is>
          <t>Software Engineer</t>
        </is>
      </c>
      <c r="E193" s="85" t="inlineStr">
        <is>
          <t>Senior Software Engineer</t>
        </is>
      </c>
      <c r="F193" s="12" t="inlineStr">
        <is>
          <t>Engineering &amp; Development</t>
        </is>
      </c>
      <c r="G193" s="12" t="inlineStr">
        <is>
          <t>Backend Development</t>
        </is>
      </c>
      <c r="H193" s="12" t="inlineStr">
        <is>
          <t>IC</t>
        </is>
      </c>
      <c r="I193" s="42" t="inlineStr">
        <is>
          <t>Not in current mapping files</t>
        </is>
      </c>
      <c r="J193" s="16" t="inlineStr">
        <is>
          <t>A3</t>
        </is>
      </c>
      <c r="K193" s="17" t="inlineStr">
        <is>
          <t>Senior Associate</t>
        </is>
      </c>
      <c r="L193" s="79" t="inlineStr">
        <is>
          <t>● Newly mapped</t>
        </is>
      </c>
      <c r="M193" s="12" t="inlineStr">
        <is>
          <t>CARBON · Technology · Band A · Early career</t>
        </is>
      </c>
      <c r="N193" s="42" t="n">
        <v>2</v>
      </c>
      <c r="O193" s="42" t="n">
        <v>2</v>
      </c>
      <c r="P193" s="42" t="n">
        <v>2</v>
      </c>
      <c r="Q193" s="42" t="n">
        <v>1</v>
      </c>
      <c r="R193" s="42" t="n">
        <v>3.5</v>
      </c>
      <c r="S193" s="80" t="n">
        <v>2</v>
      </c>
      <c r="T193" s="81">
        <f>IF(OR($M193="",COUNT(N193,O193,P193,Q193,R193,S193)&lt;6),"",IFERROR(N193*INDEX(WM_C,MATCH($M193,WM_KEY,0))+O193*INDEX(WM_AU,MATCH($M193,WM_KEY,0))+P193*INDEX(WM_AC,MATCH($M193,WM_KEY,0))+Q193*INDEX(WM_L,MATCH($M193,WM_KEY,0))+R193*INDEX(WM_E,MATCH($M193,WM_KEY,0))+S193*INDEX(WM_BI,MATCH($M193,WM_KEY,0)),""))</f>
        <v>2.15</v>
      </c>
      <c r="U193" s="42" t="str">
        <f>IF(T193="","",INDEX({"A1","A2","A3","B1","B2","B3","C1","C2","D1","D2","E1","E2"},MAX(1,MIN(12,ROUND(T193,0)))))</f>
        <v>A2</v>
      </c>
      <c r="V193" s="12" t="inlineStr">
        <is>
          <r>
            <rPr>
              <rFont val="Calibri"/>
              <sz val="10"/>
            </rPr>
            <t xml:space="preserve">New level A3 · Senior Associate. Current level on record: Not in current mapping files. Change: ● Newly mapped.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2.9 years' experience is 2 years or more.
</t>
          </r>
          <r>
            <rPr>
              <rFont val="Calibri"/>
              <b val="1"/>
              <sz val="10"/>
            </rPr>
            <t>Final level:</t>
          </r>
          <r>
            <rPr>
              <rFont val="Calibri"/>
              <sz val="10"/>
            </rPr>
            <t xml:space="preserve"> A3.</t>
          </r>
        </is>
      </c>
      <c r="W193" s="12" t="inlineStr">
        <is>
          <r>
            <rPr>
              <rFont val="Calibri"/>
              <b val="1"/>
              <sz val="10"/>
            </rPr>
            <t>Complexity &amp; Expertise:</t>
          </r>
          <r>
            <rPr>
              <rFont val="Calibri"/>
              <sz val="10"/>
            </rPr>
            <t xml:space="preserve"> 2 of 12 — Start: 2.0 · practitioner title; Evidence reads like A2: Builds product features from gathered requirements, checking compatibility with existing features → matches the start
</t>
          </r>
          <r>
            <rPr>
              <rFont val="Calibri"/>
              <b val="1"/>
              <sz val="10"/>
            </rPr>
            <t>Autonomy &amp; Decision:</t>
          </r>
          <r>
            <rPr>
              <rFont val="Calibri"/>
              <sz val="10"/>
            </rPr>
            <t xml:space="preserve"> 2 of 12 — Start: 2.0 · practitioner title; Evidence reads like A2: Decides the end-to-end flow of own features → matches the start
</t>
          </r>
          <r>
            <rPr>
              <rFont val="Calibri"/>
              <b val="1"/>
              <sz val="10"/>
            </rPr>
            <t>Accountability &amp; Impact:</t>
          </r>
          <r>
            <rPr>
              <rFont val="Calibri"/>
              <sz val="10"/>
            </rPr>
            <t xml:space="preserve"> 2 of 12 — Start: 2.0 · practitioner title; Evidence reads like A2: Features personally built for clients; delay hurts release consistency → matches the start
</t>
          </r>
          <r>
            <rPr>
              <rFont val="Calibri"/>
              <b val="1"/>
              <sz val="10"/>
            </rPr>
            <t>Leadership &amp; Strategy:</t>
          </r>
          <r>
            <rPr>
              <rFont val="Calibri"/>
              <sz val="10"/>
            </rPr>
            <t xml:space="preserve"> 1 of 12 — not counted: the weight is 0% at this level — Start: 1.0 · individual contributor, so influence only; Evidence reads like A1: No guiding or reviewing of others described → matches the start; Team: 0 direct reports · IC
</t>
          </r>
          <r>
            <rPr>
              <rFont val="Calibri"/>
              <b val="1"/>
              <sz val="10"/>
            </rPr>
            <t>Experience &amp; Qualification:</t>
          </r>
          <r>
            <rPr>
              <rFont val="Calibri"/>
              <sz val="10"/>
            </rPr>
            <t xml:space="preserve"> 3.5 of 12 · between A3 and B1 — Experience: 2.9 yrs total · 2.7 before IRIS + 0.2 at IRIS = 3.0 on the experience scale; Qualification: Master of Science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93"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93" s="12" t="inlineStr">
        <is>
          <r>
            <rPr>
              <rFont val="Calibri"/>
              <sz val="10"/>
            </rPr>
            <t xml:space="preserve">✓ HRIS: 2.9 yrs, Master of Science, 0 direct reports
✓ Survey: 20 of 20 questions answered
✗ KRAs: none on file
✓ Manager mapping: rating, 9-box
✗ Job description: not on file
</t>
          </r>
          <r>
            <rPr>
              <rFont val="Calibri"/>
              <b val="1"/>
              <sz val="10"/>
            </rPr>
            <t>Confidence:</t>
          </r>
          <r>
            <rPr>
              <rFont val="Calibri"/>
              <sz val="10"/>
            </rPr>
            <t xml:space="preserve"> Medium</t>
          </r>
        </is>
      </c>
      <c r="Z193" s="12" t="inlineStr">
        <is>
          <t>—</t>
        </is>
      </c>
      <c r="AA193" s="12" t="inlineStr">
        <is>
          <t>Nothing outstanding</t>
        </is>
      </c>
      <c r="AB19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Not placed · manager.</t>
          </r>
        </is>
      </c>
      <c r="AC193" s="84" t="n"/>
      <c r="AD193" s="84" t="n"/>
      <c r="AE193" s="84" t="n"/>
      <c r="AF193" s="12" t="n">
        <v>2</v>
      </c>
    </row>
    <row r="194" ht="400" customHeight="1">
      <c r="A194" s="12" t="inlineStr">
        <is>
          <t>IRIS2024</t>
        </is>
      </c>
      <c r="B194" s="10" t="inlineStr">
        <is>
          <t>Imtiyaz Pathan</t>
        </is>
      </c>
      <c r="C194" s="12" t="inlineStr">
        <is>
          <t>Technology</t>
        </is>
      </c>
      <c r="D194" s="12" t="inlineStr">
        <is>
          <t>Software Engineer</t>
        </is>
      </c>
      <c r="E194" s="85" t="inlineStr">
        <is>
          <t>Senior Software Engineer</t>
        </is>
      </c>
      <c r="F194" s="12" t="inlineStr">
        <is>
          <t>Engineering &amp; Development</t>
        </is>
      </c>
      <c r="G194" s="12" t="inlineStr">
        <is>
          <t>Backend Development</t>
        </is>
      </c>
      <c r="H194" s="12" t="inlineStr">
        <is>
          <t>IC</t>
        </is>
      </c>
      <c r="I194" s="42" t="inlineStr">
        <is>
          <t>L3 – Professional / Associate</t>
        </is>
      </c>
      <c r="J194" s="16" t="inlineStr">
        <is>
          <t>A3</t>
        </is>
      </c>
      <c r="K194" s="17" t="inlineStr">
        <is>
          <t>Senior Associate</t>
        </is>
      </c>
      <c r="L194" s="87" t="inlineStr">
        <is>
          <t>▲ Up</t>
        </is>
      </c>
      <c r="M194" s="12" t="inlineStr">
        <is>
          <t>CARBON · Technology · Band A · Early career</t>
        </is>
      </c>
      <c r="N194" s="42" t="n">
        <v>2</v>
      </c>
      <c r="O194" s="42" t="n">
        <v>2</v>
      </c>
      <c r="P194" s="42" t="n">
        <v>2</v>
      </c>
      <c r="Q194" s="42" t="n">
        <v>1</v>
      </c>
      <c r="R194" s="42" t="n">
        <v>4</v>
      </c>
      <c r="S194" s="80" t="n">
        <v>2</v>
      </c>
      <c r="T194" s="81">
        <f>IF(OR($M194="",COUNT(N194,O194,P194,Q194,R194,S194)&lt;6),"",IFERROR(N194*INDEX(WM_C,MATCH($M194,WM_KEY,0))+O194*INDEX(WM_AU,MATCH($M194,WM_KEY,0))+P194*INDEX(WM_AC,MATCH($M194,WM_KEY,0))+Q194*INDEX(WM_L,MATCH($M194,WM_KEY,0))+R194*INDEX(WM_E,MATCH($M194,WM_KEY,0))+S194*INDEX(WM_BI,MATCH($M194,WM_KEY,0)),""))</f>
        <v>2.2</v>
      </c>
      <c r="U194" s="42" t="str">
        <f>IF(T194="","",INDEX({"A1","A2","A3","B1","B2","B3","C1","C2","D1","D2","E1","E2"},MAX(1,MIN(12,ROUND(T194,0)))))</f>
        <v>A2</v>
      </c>
      <c r="V194" s="12" t="inlineStr">
        <is>
          <r>
            <rPr>
              <rFont val="Calibri"/>
              <sz val="10"/>
            </rPr>
            <t xml:space="preserve">New level A3 · Senior Associate. Current level on record: L3 – Professional / Associate. Change: ▲ Up.
Score 2.20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4.3 years' experience is 2 years or more.
</t>
          </r>
          <r>
            <rPr>
              <rFont val="Calibri"/>
              <b val="1"/>
              <sz val="10"/>
            </rPr>
            <t>Final level:</t>
          </r>
          <r>
            <rPr>
              <rFont val="Calibri"/>
              <sz val="10"/>
            </rPr>
            <t xml:space="preserve"> A3.</t>
          </r>
        </is>
      </c>
      <c r="W194" s="12" t="inlineStr">
        <is>
          <r>
            <rPr>
              <rFont val="Calibri"/>
              <b val="1"/>
              <sz val="10"/>
            </rPr>
            <t>Complexity &amp; Expertise:</t>
          </r>
          <r>
            <rPr>
              <rFont val="Calibri"/>
              <sz val="10"/>
            </rPr>
            <t xml:space="preserve"> 2 of 12 — Start: 2.0 · practitioner title; Evidence reads like A2: own survey / KRA answers · summarised by the rater; not quoted → matches the start; KRA: “1.Deliver ≥ 95% committed full-stack tasks within agreed timelines with high-quality implementation. 2.Improve technical depth by…”
</t>
          </r>
          <r>
            <rPr>
              <rFont val="Calibri"/>
              <b val="1"/>
              <sz val="10"/>
            </rPr>
            <t>Autonomy &amp; Decision:</t>
          </r>
          <r>
            <rPr>
              <rFont val="Calibri"/>
              <sz val="10"/>
            </rPr>
            <t xml:space="preserve"> 2 of 12 — Start: 2.0 · practitioner title; Evidence reads like A2: Independent only on 'technical implementation' of own tasks → matches the start
</t>
          </r>
          <r>
            <rPr>
              <rFont val="Calibri"/>
              <b val="1"/>
              <sz val="10"/>
            </rPr>
            <t>Accountability &amp; Impact:</t>
          </r>
          <r>
            <rPr>
              <rFont val="Calibri"/>
              <sz val="10"/>
            </rPr>
            <t xml:space="preserve"> 2 of 12 — Start: 2.0 · practitioner title; Evidence reads like A2: Own features and automation workflows working reliably; errors cause rework and bugs → matches the start; KRA: “1.Deliver ≥ 95% committed full-stack tasks within agreed timelines with high-quality implementation. 2.Improve technical depth by…”
</t>
          </r>
          <r>
            <rPr>
              <rFont val="Calibri"/>
              <b val="1"/>
              <sz val="10"/>
            </rPr>
            <t>Leadership &amp; Strategy:</t>
          </r>
          <r>
            <rPr>
              <rFont val="Calibri"/>
              <sz val="10"/>
            </rPr>
            <t xml:space="preserve"> 1 of 12 — not counted: the weight is 0% at this level — Start: 1.0 · individual contributor, so influence only; Evidence reads like A1: No guidance or review of others described → matches the start; Team: 0 direct reports · IC
</t>
          </r>
          <r>
            <rPr>
              <rFont val="Calibri"/>
              <b val="1"/>
              <sz val="10"/>
            </rPr>
            <t>Experience &amp; Qualification:</t>
          </r>
          <r>
            <rPr>
              <rFont val="Calibri"/>
              <sz val="10"/>
            </rPr>
            <t xml:space="preserve"> 4 of 12 — Experience: 4.3 yrs total · 4.3 at IRIS; none recorded before IRIS = 3.5 on the experience scale; Qualification: MCA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94"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94" s="12" t="inlineStr">
        <is>
          <r>
            <rPr>
              <rFont val="Calibri"/>
              <sz val="10"/>
            </rPr>
            <t xml:space="preserve">✓ HRIS: 4.3 yrs, MCA,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94" s="12" t="inlineStr">
        <is>
          <t>—</t>
        </is>
      </c>
      <c r="AA194" s="12" t="inlineStr">
        <is>
          <t>Nothing outstanding</t>
        </is>
      </c>
      <c r="AB19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Trusted Professional.</t>
          </r>
        </is>
      </c>
      <c r="AC194" s="84" t="n"/>
      <c r="AD194" s="84" t="n"/>
      <c r="AE194" s="84" t="n"/>
      <c r="AF194" s="12" t="n">
        <v>2</v>
      </c>
    </row>
    <row r="195" ht="400" customHeight="1">
      <c r="A195" s="12" t="inlineStr">
        <is>
          <t>IRIS2109</t>
        </is>
      </c>
      <c r="B195" s="10" t="inlineStr">
        <is>
          <t>Jayshiv Patel</t>
        </is>
      </c>
      <c r="C195" s="12" t="inlineStr">
        <is>
          <t>Technology</t>
        </is>
      </c>
      <c r="D195" s="12" t="inlineStr">
        <is>
          <t>Software Engineer</t>
        </is>
      </c>
      <c r="E195" s="85" t="inlineStr">
        <is>
          <t>Senior Software Engineer</t>
        </is>
      </c>
      <c r="F195" s="12" t="inlineStr">
        <is>
          <t>Engineering &amp; Development</t>
        </is>
      </c>
      <c r="G195" s="12" t="inlineStr">
        <is>
          <t>Full-Stack Development</t>
        </is>
      </c>
      <c r="H195" s="12" t="inlineStr">
        <is>
          <t>IC</t>
        </is>
      </c>
      <c r="I195" s="42" t="inlineStr">
        <is>
          <t>L3 – Professional / Associate</t>
        </is>
      </c>
      <c r="J195" s="16" t="inlineStr">
        <is>
          <t>A3</t>
        </is>
      </c>
      <c r="K195" s="17" t="inlineStr">
        <is>
          <t>Senior Associate</t>
        </is>
      </c>
      <c r="L195" s="87" t="inlineStr">
        <is>
          <t>▲ Up</t>
        </is>
      </c>
      <c r="M195" s="12" t="inlineStr">
        <is>
          <t>CARBON · Technology · Band A · Early career</t>
        </is>
      </c>
      <c r="N195" s="42" t="n">
        <v>2.5</v>
      </c>
      <c r="O195" s="42" t="n">
        <v>2.5</v>
      </c>
      <c r="P195" s="42" t="n">
        <v>3.5</v>
      </c>
      <c r="Q195" s="42" t="n">
        <v>3.5</v>
      </c>
      <c r="R195" s="42" t="n">
        <v>3.5</v>
      </c>
      <c r="S195" s="80" t="n">
        <v>3.5</v>
      </c>
      <c r="T195" s="81">
        <f>IF(OR($M195="",COUNT(N195,O195,P195,Q195,R195,S195)&lt;6),"",IFERROR(N195*INDEX(WM_C,MATCH($M195,WM_KEY,0))+O195*INDEX(WM_AU,MATCH($M195,WM_KEY,0))+P195*INDEX(WM_AC,MATCH($M195,WM_KEY,0))+Q195*INDEX(WM_L,MATCH($M195,WM_KEY,0))+R195*INDEX(WM_E,MATCH($M195,WM_KEY,0))+S195*INDEX(WM_BI,MATCH($M195,WM_KEY,0)),""))</f>
        <v>2.7</v>
      </c>
      <c r="U195" s="42" t="str">
        <f>IF(T195="","",INDEX({"A1","A2","A3","B1","B2","B3","C1","C2","D1","D2","E1","E2"},MAX(1,MIN(12,ROUND(T195,0)))))</f>
        <v>A3</v>
      </c>
      <c r="V195" s="12" t="inlineStr">
        <is>
          <r>
            <rPr>
              <rFont val="Calibri"/>
              <sz val="10"/>
            </rPr>
            <t xml:space="preserve">New level A3 · Senior Associate. Current level on record: L3 – Professional / Associate. Change: ▲ Up.
Score 2.70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95" s="12" t="inlineStr">
        <is>
          <r>
            <rPr>
              <rFont val="Calibri"/>
              <b val="1"/>
              <sz val="10"/>
            </rPr>
            <t>Complexity &amp; Expertise:</t>
          </r>
          <r>
            <rPr>
              <rFont val="Calibri"/>
              <sz val="10"/>
            </rPr>
            <t xml:space="preserve"> 2.5 of 12 · between A2 and A3 — Start: 2.0 · practitioner title; Evidence reads like A3: Feature development across backend and frontend, production support, technical guidance to team → moved up 0.5; KRA: “1.Deliver ≥ 95% committed MS 365 / Office Add-in tasks within agreed timelines with high-quality implementation. 2.Improve technical…”
</t>
          </r>
          <r>
            <rPr>
              <rFont val="Calibri"/>
              <b val="1"/>
              <sz val="10"/>
            </rPr>
            <t>Autonomy &amp; Decision:</t>
          </r>
          <r>
            <rPr>
              <rFont val="Calibri"/>
              <sz val="10"/>
            </rPr>
            <t xml:space="preserve"> 2.5 of 12 · between A2 and A3 — Start: 3.0 · practitioner title; reporting lines show a bigger role: 2 direct reports; Evidence reads like A2: Decides 'feature implementation' only; no wider calls stated → moved down 0.5
</t>
          </r>
          <r>
            <rPr>
              <rFont val="Calibri"/>
              <b val="1"/>
              <sz val="10"/>
            </rPr>
            <t>Accountability &amp; Impact:</t>
          </r>
          <r>
            <rPr>
              <rFont val="Calibri"/>
              <sz val="10"/>
            </rPr>
            <t xml:space="preserve"> 3.5 of 12 · between A3 and B1 — Start: 4.0 · practitioner title; 2 direct reports; Evidence reads like A3: own survey / KRA answers · summarised by the rater; not quoted → moved down 0.5; KRA: “1.Deliver ≥ 95% committed MS 365 / Office Add-in tasks within agreed timelines with high-quality implementation. 2.Improve technical…”
</t>
          </r>
          <r>
            <rPr>
              <rFont val="Calibri"/>
              <b val="1"/>
              <sz val="10"/>
            </rPr>
            <t>Leadership &amp; Strategy:</t>
          </r>
          <r>
            <rPr>
              <rFont val="Calibri"/>
              <sz val="10"/>
            </rPr>
            <t xml:space="preserve"> 3.5 of 12 · between A3 and B1 — not counted: the weight is 0% at this level — Start: 4.0; Evidence reads like A3: 'Team technical guidance' is a listed responsibility; 2 reports → moved down 0.5; Team: 2 direct reports · IC
</t>
          </r>
          <r>
            <rPr>
              <rFont val="Calibri"/>
              <b val="1"/>
              <sz val="10"/>
            </rPr>
            <t>Experience &amp; Qualification:</t>
          </r>
          <r>
            <rPr>
              <rFont val="Calibri"/>
              <sz val="10"/>
            </rPr>
            <t xml:space="preserve"> 3.5 of 12 · between A3 and B1 — Experience: 3.5 yrs total · 3.5 at IRIS; none recorded before IRIS = 3.2 on the experience scale; Qualification: Msc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195"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95" s="12" t="inlineStr">
        <is>
          <r>
            <rPr>
              <rFont val="Calibri"/>
              <sz val="10"/>
            </rPr>
            <t xml:space="preserve">✓ HRIS: 3.5 yrs, Msc, 2 direct reports
✓ Survey: 20 of 20 questions answered
✓ KRAs: submitted, reported deliverables
✓ Manager mapping: rating, 9-box
✗ Job description: not on file
</t>
          </r>
          <r>
            <rPr>
              <rFont val="Calibri"/>
              <b val="1"/>
              <sz val="10"/>
            </rPr>
            <t>Confidence:</t>
          </r>
          <r>
            <rPr>
              <rFont val="Calibri"/>
              <sz val="10"/>
            </rPr>
            <t xml:space="preserve"> Low</t>
          </r>
        </is>
      </c>
      <c r="Z195" s="12" t="inlineStr">
        <is>
          <t>—</t>
        </is>
      </c>
      <c r="AA195" s="83" t="inlineStr">
        <is>
          <t>• Confirm the reporting line — Manager</t>
        </is>
      </c>
      <c r="AB19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AC195" s="84" t="n"/>
      <c r="AD195" s="84" t="n"/>
      <c r="AE195" s="84" t="n"/>
      <c r="AF195" s="12" t="n">
        <v>3.5</v>
      </c>
    </row>
    <row r="196" ht="400" customHeight="1">
      <c r="A196" s="12" t="inlineStr">
        <is>
          <t>IRIS2472</t>
        </is>
      </c>
      <c r="B196" s="10" t="inlineStr">
        <is>
          <t>Karan Kapadia</t>
        </is>
      </c>
      <c r="C196" s="12" t="inlineStr">
        <is>
          <t>Technology</t>
        </is>
      </c>
      <c r="D196" s="12" t="inlineStr">
        <is>
          <t>Software Engineer</t>
        </is>
      </c>
      <c r="E196" s="85" t="inlineStr">
        <is>
          <t>Senior Software Engineer</t>
        </is>
      </c>
      <c r="F196" s="12" t="inlineStr">
        <is>
          <t>Engineering &amp; Development</t>
        </is>
      </c>
      <c r="G196" s="12" t="inlineStr">
        <is>
          <t>Full-Stack Development</t>
        </is>
      </c>
      <c r="H196" s="12" t="inlineStr">
        <is>
          <t>IC</t>
        </is>
      </c>
      <c r="I196" s="42" t="inlineStr">
        <is>
          <t>L3 – Professional / Associate</t>
        </is>
      </c>
      <c r="J196" s="16" t="inlineStr">
        <is>
          <t>A3</t>
        </is>
      </c>
      <c r="K196" s="17" t="inlineStr">
        <is>
          <t>Senior Associate</t>
        </is>
      </c>
      <c r="L196" s="87" t="inlineStr">
        <is>
          <t>▲ Up</t>
        </is>
      </c>
      <c r="M196" s="12" t="inlineStr">
        <is>
          <t>CARBON · Technology · Band A · Early career</t>
        </is>
      </c>
      <c r="N196" s="42" t="n">
        <v>2</v>
      </c>
      <c r="O196" s="42" t="n">
        <v>2</v>
      </c>
      <c r="P196" s="42" t="n">
        <v>2</v>
      </c>
      <c r="Q196" s="42" t="n">
        <v>1</v>
      </c>
      <c r="R196" s="42" t="n">
        <v>4</v>
      </c>
      <c r="S196" s="80" t="n">
        <v>2</v>
      </c>
      <c r="T196" s="81">
        <f>IF(OR($M196="",COUNT(N196,O196,P196,Q196,R196,S196)&lt;6),"",IFERROR(N196*INDEX(WM_C,MATCH($M196,WM_KEY,0))+O196*INDEX(WM_AU,MATCH($M196,WM_KEY,0))+P196*INDEX(WM_AC,MATCH($M196,WM_KEY,0))+Q196*INDEX(WM_L,MATCH($M196,WM_KEY,0))+R196*INDEX(WM_E,MATCH($M196,WM_KEY,0))+S196*INDEX(WM_BI,MATCH($M196,WM_KEY,0)),""))</f>
        <v>2.2</v>
      </c>
      <c r="U196" s="42" t="str">
        <f>IF(T196="","",INDEX({"A1","A2","A3","B1","B2","B3","C1","C2","D1","D2","E1","E2"},MAX(1,MIN(12,ROUND(T196,0)))))</f>
        <v>A2</v>
      </c>
      <c r="V196" s="12" t="inlineStr">
        <is>
          <r>
            <rPr>
              <rFont val="Calibri"/>
              <sz val="10"/>
            </rPr>
            <t xml:space="preserve">New level A3 · Senior Associate. Current level on record: L3 – Professional / Associate. Change: ▲ Up.
Score 2.20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4.4 years' experience is 2 years or more.
</t>
          </r>
          <r>
            <rPr>
              <rFont val="Calibri"/>
              <b val="1"/>
              <sz val="10"/>
            </rPr>
            <t>Final level:</t>
          </r>
          <r>
            <rPr>
              <rFont val="Calibri"/>
              <sz val="10"/>
            </rPr>
            <t xml:space="preserve"> A3.</t>
          </r>
        </is>
      </c>
      <c r="W196" s="12" t="inlineStr">
        <is>
          <r>
            <rPr>
              <rFont val="Calibri"/>
              <b val="1"/>
              <sz val="10"/>
            </rPr>
            <t>Complexity &amp; Expertise:</t>
          </r>
          <r>
            <rPr>
              <rFont val="Calibri"/>
              <sz val="10"/>
            </rPr>
            <t xml:space="preserve"> 2 of 12 — Start: 2.0 · practitioner title; Evidence reads like A2: Lists product understanding, system design, logic; data integration; no concrete problems described → matches the start; KRA: “1. Strengthen technical expertise in.NET, React, APIs, database handling, and full-stack development by contributing to ≥ 50% end-to-end…”
</t>
          </r>
          <r>
            <rPr>
              <rFont val="Calibri"/>
              <b val="1"/>
              <sz val="10"/>
            </rPr>
            <t>Autonomy &amp; Decision:</t>
          </r>
          <r>
            <rPr>
              <rFont val="Calibri"/>
              <sz val="10"/>
            </rPr>
            <t xml:space="preserve"> 2 of 12 — Start: 2.0 · practitioner title; Evidence reads like A2: Decides model change requests; discusses with team before starting any work → matches the start
</t>
          </r>
          <r>
            <rPr>
              <rFont val="Calibri"/>
              <b val="1"/>
              <sz val="10"/>
            </rPr>
            <t>Accountability &amp; Impact:</t>
          </r>
          <r>
            <rPr>
              <rFont val="Calibri"/>
              <sz val="10"/>
            </rPr>
            <t xml:space="preserve"> 2 of 12 — Start: 2.0 · practitioner title; Evidence reads like A2: own survey / KRA answers · summarised by the rater; not quoted → matches the start; KRA: “1. Strengthen technical expertise in.NET, React, APIs, database handling, and full-stack development by contributing to ≥ 50% end-to-end…”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4 of 12 — Experience: 4.4 yrs total · 3.8 before IRIS + 0.6 at IRIS = 3.6 on the experience scale; Qualification: MCA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96"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96" s="12" t="inlineStr">
        <is>
          <r>
            <rPr>
              <rFont val="Calibri"/>
              <sz val="10"/>
            </rPr>
            <t xml:space="preserve">✓ HRIS: 4.4 yrs, MCA, 0 direct reports
✓ Survey: 19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96" s="12" t="inlineStr">
        <is>
          <t>—</t>
        </is>
      </c>
      <c r="AA196" s="12" t="inlineStr">
        <is>
          <t>Nothing outstanding</t>
        </is>
      </c>
      <c r="AB19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Future Leader.</t>
          </r>
        </is>
      </c>
      <c r="AC196" s="84" t="n"/>
      <c r="AD196" s="84" t="n"/>
      <c r="AE196" s="84" t="n"/>
      <c r="AF196" s="12" t="n">
        <v>2</v>
      </c>
    </row>
    <row r="197" ht="400" customHeight="1">
      <c r="A197" s="12" t="inlineStr">
        <is>
          <t>IRIS2032</t>
        </is>
      </c>
      <c r="B197" s="10" t="inlineStr">
        <is>
          <t>Kinjal Rathod</t>
        </is>
      </c>
      <c r="C197" s="12" t="inlineStr">
        <is>
          <t>Technology</t>
        </is>
      </c>
      <c r="D197" s="12" t="inlineStr">
        <is>
          <t>Software Engineer</t>
        </is>
      </c>
      <c r="E197" s="85" t="inlineStr">
        <is>
          <t>Senior Software Engineer</t>
        </is>
      </c>
      <c r="F197" s="12" t="inlineStr">
        <is>
          <t>Engineering &amp; Development</t>
        </is>
      </c>
      <c r="G197" s="12" t="inlineStr">
        <is>
          <t>Backend Development</t>
        </is>
      </c>
      <c r="H197" s="12" t="inlineStr">
        <is>
          <t>IC</t>
        </is>
      </c>
      <c r="I197" s="42" t="inlineStr">
        <is>
          <t>L3 – Professional / Associate</t>
        </is>
      </c>
      <c r="J197" s="16" t="inlineStr">
        <is>
          <t>A3</t>
        </is>
      </c>
      <c r="K197" s="17" t="inlineStr">
        <is>
          <t>Senior Associate</t>
        </is>
      </c>
      <c r="L197" s="87" t="inlineStr">
        <is>
          <t>▲ Up</t>
        </is>
      </c>
      <c r="M197" s="12" t="inlineStr">
        <is>
          <t>CARBON · Technology · Band A · Early career</t>
        </is>
      </c>
      <c r="N197" s="42" t="n">
        <v>2</v>
      </c>
      <c r="O197" s="42" t="n">
        <v>2</v>
      </c>
      <c r="P197" s="42" t="n">
        <v>2</v>
      </c>
      <c r="Q197" s="42" t="n">
        <v>1</v>
      </c>
      <c r="R197" s="42" t="n">
        <v>4</v>
      </c>
      <c r="S197" s="80" t="n">
        <v>2</v>
      </c>
      <c r="T197" s="81">
        <f>IF(OR($M197="",COUNT(N197,O197,P197,Q197,R197,S197)&lt;6),"",IFERROR(N197*INDEX(WM_C,MATCH($M197,WM_KEY,0))+O197*INDEX(WM_AU,MATCH($M197,WM_KEY,0))+P197*INDEX(WM_AC,MATCH($M197,WM_KEY,0))+Q197*INDEX(WM_L,MATCH($M197,WM_KEY,0))+R197*INDEX(WM_E,MATCH($M197,WM_KEY,0))+S197*INDEX(WM_BI,MATCH($M197,WM_KEY,0)),""))</f>
        <v>2.2</v>
      </c>
      <c r="U197" s="42" t="str">
        <f>IF(T197="","",INDEX({"A1","A2","A3","B1","B2","B3","C1","C2","D1","D2","E1","E2"},MAX(1,MIN(12,ROUND(T197,0)))))</f>
        <v>A2</v>
      </c>
      <c r="V197" s="12" t="inlineStr">
        <is>
          <r>
            <rPr>
              <rFont val="Calibri"/>
              <sz val="10"/>
            </rPr>
            <t xml:space="preserve">New level A3 · Senior Associate. Current level on record: L3 – Professional / Associate. Change: ▲ Up.
Score 2.20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4.2 years' experience is 2 years or more.
</t>
          </r>
          <r>
            <rPr>
              <rFont val="Calibri"/>
              <b val="1"/>
              <sz val="10"/>
            </rPr>
            <t>Final level:</t>
          </r>
          <r>
            <rPr>
              <rFont val="Calibri"/>
              <sz val="10"/>
            </rPr>
            <t xml:space="preserve"> A3.</t>
          </r>
        </is>
      </c>
      <c r="W197" s="12" t="inlineStr">
        <is>
          <r>
            <rPr>
              <rFont val="Calibri"/>
              <b val="1"/>
              <sz val="10"/>
            </rPr>
            <t>Complexity &amp; Expertise:</t>
          </r>
          <r>
            <rPr>
              <rFont val="Calibri"/>
              <sz val="10"/>
            </rPr>
            <t xml:space="preserve"> 2 of 12 — Start: 2.0 · practitioner title; Evidence reads like A2: Backend and frontend feature development; nothing beyond standard development described → matches the start; KRA: “1.Deliver ≥ 90% committed development tasks within agreed timelines with improved implementation quality. 2.Reduce issue reopen rate and…”
</t>
          </r>
          <r>
            <rPr>
              <rFont val="Calibri"/>
              <b val="1"/>
              <sz val="10"/>
            </rPr>
            <t>Autonomy &amp; Decision:</t>
          </r>
          <r>
            <rPr>
              <rFont val="Calibri"/>
              <sz val="10"/>
            </rPr>
            <t xml:space="preserve"> 2 of 12 — Start: 2.0 · practitioner title; Evidence reads like A2: Only 'explore better outputs' given as independent decision → matches the start
</t>
          </r>
          <r>
            <rPr>
              <rFont val="Calibri"/>
              <b val="1"/>
              <sz val="10"/>
            </rPr>
            <t>Accountability &amp; Impact:</t>
          </r>
          <r>
            <rPr>
              <rFont val="Calibri"/>
              <sz val="10"/>
            </rPr>
            <t xml:space="preserve"> 2 of 12 — Start: 2.0 · practitioner title; Evidence reads like A2: Quality, correctness and timely delivery of own features → matches the start; KRA: “1.Deliver ≥ 90% committed development tasks within agreed timelines with improved implementation quality. 2.Reduce issue reopen rate and…”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4 of 12 — Experience: 4.2 yrs total · 4.2 at IRIS; none recorded before IRIS = 3.5 on the experience scale; Qualification: MSc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97"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97" s="12" t="inlineStr">
        <is>
          <r>
            <rPr>
              <rFont val="Calibri"/>
              <sz val="10"/>
            </rPr>
            <t xml:space="preserve">✓ HRIS: 4.2 yrs, MSc,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97" s="12" t="inlineStr">
        <is>
          <t>—</t>
        </is>
      </c>
      <c r="AA197" s="12" t="inlineStr">
        <is>
          <t>Nothing outstanding</t>
        </is>
      </c>
      <c r="AB19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Future Leader.</t>
          </r>
        </is>
      </c>
      <c r="AC197" s="84" t="n"/>
      <c r="AD197" s="84" t="n"/>
      <c r="AE197" s="84" t="n"/>
      <c r="AF197" s="12" t="n">
        <v>2</v>
      </c>
    </row>
    <row r="198" ht="400" customHeight="1">
      <c r="A198" s="12" t="inlineStr">
        <is>
          <t>IRIS2354</t>
        </is>
      </c>
      <c r="B198" s="10" t="inlineStr">
        <is>
          <t>Kuldip D Shah</t>
        </is>
      </c>
      <c r="C198" s="12" t="inlineStr">
        <is>
          <t>Technology</t>
        </is>
      </c>
      <c r="D198" s="12" t="inlineStr">
        <is>
          <t>Software Engineer</t>
        </is>
      </c>
      <c r="E198" s="85" t="inlineStr">
        <is>
          <t>Senior Software Engineer</t>
        </is>
      </c>
      <c r="F198" s="12" t="inlineStr">
        <is>
          <t>Engineering &amp; Development</t>
        </is>
      </c>
      <c r="G198" s="12" t="inlineStr">
        <is>
          <t>Full-Stack Development</t>
        </is>
      </c>
      <c r="H198" s="12" t="inlineStr">
        <is>
          <t>IC</t>
        </is>
      </c>
      <c r="I198" s="42" t="inlineStr">
        <is>
          <t>L3 – Professional / Associate</t>
        </is>
      </c>
      <c r="J198" s="16" t="inlineStr">
        <is>
          <t>A3</t>
        </is>
      </c>
      <c r="K198" s="17" t="inlineStr">
        <is>
          <t>Senior Associate</t>
        </is>
      </c>
      <c r="L198" s="87" t="inlineStr">
        <is>
          <t>▲ Up</t>
        </is>
      </c>
      <c r="M198" s="12" t="inlineStr">
        <is>
          <t>CARBON · Technology · Band A · Early career</t>
        </is>
      </c>
      <c r="N198" s="42" t="n">
        <v>2</v>
      </c>
      <c r="O198" s="42" t="n">
        <v>2</v>
      </c>
      <c r="P198" s="42" t="n">
        <v>2</v>
      </c>
      <c r="Q198" s="42" t="n">
        <v>1</v>
      </c>
      <c r="R198" s="42" t="n">
        <v>3.5</v>
      </c>
      <c r="S198" s="80" t="n">
        <v>2</v>
      </c>
      <c r="T198" s="81">
        <f>IF(OR($M198="",COUNT(N198,O198,P198,Q198,R198,S198)&lt;6),"",IFERROR(N198*INDEX(WM_C,MATCH($M198,WM_KEY,0))+O198*INDEX(WM_AU,MATCH($M198,WM_KEY,0))+P198*INDEX(WM_AC,MATCH($M198,WM_KEY,0))+Q198*INDEX(WM_L,MATCH($M198,WM_KEY,0))+R198*INDEX(WM_E,MATCH($M198,WM_KEY,0))+S198*INDEX(WM_BI,MATCH($M198,WM_KEY,0)),""))</f>
        <v>2.15</v>
      </c>
      <c r="U198" s="42" t="str">
        <f>IF(T198="","",INDEX({"A1","A2","A3","B1","B2","B3","C1","C2","D1","D2","E1","E2"},MAX(1,MIN(12,ROUND(T198,0)))))</f>
        <v>A2</v>
      </c>
      <c r="V198"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4.5 years' experience is 2 years or more.
</t>
          </r>
          <r>
            <rPr>
              <rFont val="Calibri"/>
              <b val="1"/>
              <sz val="10"/>
            </rPr>
            <t>Final level:</t>
          </r>
          <r>
            <rPr>
              <rFont val="Calibri"/>
              <sz val="10"/>
            </rPr>
            <t xml:space="preserve"> A3.</t>
          </r>
        </is>
      </c>
      <c r="W198" s="12" t="inlineStr">
        <is>
          <r>
            <rPr>
              <rFont val="Calibri"/>
              <b val="1"/>
              <sz val="10"/>
            </rPr>
            <t>Complexity &amp; Expertise:</t>
          </r>
          <r>
            <rPr>
              <rFont val="Calibri"/>
              <sz val="10"/>
            </rPr>
            <t xml:space="preserve"> 2 of 12 — Start: 2.0 · practitioner title; Evidence reads like A2: Frontend features, bug fixing, API integration and performance improvement in React → matches the start; KRA: “1.Improve execution speed and reduce task completion turnaround time by ≥ 40% YoY. 2.Improve delivery ownership by completing ≥ 85%…”
</t>
          </r>
          <r>
            <rPr>
              <rFont val="Calibri"/>
              <b val="1"/>
              <sz val="10"/>
            </rPr>
            <t>Autonomy &amp; Decision:</t>
          </r>
          <r>
            <rPr>
              <rFont val="Calibri"/>
              <sz val="10"/>
            </rPr>
            <t xml:space="preserve"> 2 of 12 — Start: 2.0 · practitioner title; Evidence reads like A2: Only 'problem solving' given as independent decision → matches the start
</t>
          </r>
          <r>
            <rPr>
              <rFont val="Calibri"/>
              <b val="1"/>
              <sz val="10"/>
            </rPr>
            <t>Accountability &amp; Impact:</t>
          </r>
          <r>
            <rPr>
              <rFont val="Calibri"/>
              <sz val="10"/>
            </rPr>
            <t xml:space="preserve"> 2 of 12 — Start: 2.0 · practitioner title; Evidence reads like A2: Own frontend features, API integration and bug fixes; errors cause UI issues and delays → matches the start; KRA: “1.Improve execution speed and reduce task completion turnaround time by ≥ 40% YoY. 2.Improve delivery ownership by completing ≥ 85%…”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3.5 of 12 · between A3 and B1 — Experience: 4.5 yrs total · 3.0 before IRIS + 1.5 at IRIS = 3.6 on the experience scale; Qualification: BCA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198"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98" s="12" t="inlineStr">
        <is>
          <r>
            <rPr>
              <rFont val="Calibri"/>
              <sz val="10"/>
            </rPr>
            <t xml:space="preserve">✓ HRIS: 4.5 yrs, BCA,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198" s="12" t="inlineStr">
        <is>
          <t>—</t>
        </is>
      </c>
      <c r="AA198" s="12" t="inlineStr">
        <is>
          <t>Nothing outstanding</t>
        </is>
      </c>
      <c r="AB19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Underperformer / Exit Risk.</t>
          </r>
        </is>
      </c>
      <c r="AC198" s="84" t="n"/>
      <c r="AD198" s="84" t="n"/>
      <c r="AE198" s="84" t="n"/>
      <c r="AF198" s="12" t="n">
        <v>2</v>
      </c>
    </row>
    <row r="199" ht="400" customHeight="1">
      <c r="A199" s="12" t="inlineStr">
        <is>
          <t>IRIS2283</t>
        </is>
      </c>
      <c r="B199" s="10" t="inlineStr">
        <is>
          <t>Kunal Jadhav</t>
        </is>
      </c>
      <c r="C199" s="12" t="inlineStr">
        <is>
          <t>Technology</t>
        </is>
      </c>
      <c r="D199" s="12" t="inlineStr">
        <is>
          <t>Software Engineer</t>
        </is>
      </c>
      <c r="E199" s="85" t="inlineStr">
        <is>
          <t>Senior Software Engineer</t>
        </is>
      </c>
      <c r="F199" s="12" t="inlineStr">
        <is>
          <t>Engineering &amp; Development</t>
        </is>
      </c>
      <c r="G199" s="12" t="inlineStr">
        <is>
          <t>Full-Stack Development</t>
        </is>
      </c>
      <c r="H199" s="12" t="inlineStr">
        <is>
          <t>IC</t>
        </is>
      </c>
      <c r="I199" s="42" t="inlineStr">
        <is>
          <t>L3 – Professional / Associate</t>
        </is>
      </c>
      <c r="J199" s="16" t="inlineStr">
        <is>
          <t>A3</t>
        </is>
      </c>
      <c r="K199" s="17" t="inlineStr">
        <is>
          <t>Senior Associate</t>
        </is>
      </c>
      <c r="L199" s="87" t="inlineStr">
        <is>
          <t>▲ Up</t>
        </is>
      </c>
      <c r="M199" s="12" t="inlineStr">
        <is>
          <t>CARBON · Technology · Band A · Early career</t>
        </is>
      </c>
      <c r="N199" s="42" t="n">
        <v>2.5</v>
      </c>
      <c r="O199" s="42" t="n">
        <v>3</v>
      </c>
      <c r="P199" s="42" t="n">
        <v>3</v>
      </c>
      <c r="Q199" s="42" t="n">
        <v>3</v>
      </c>
      <c r="R199" s="42" t="n">
        <v>2.5</v>
      </c>
      <c r="S199" s="80" t="n">
        <v>3</v>
      </c>
      <c r="T199" s="81">
        <f>IF(OR($M199="",COUNT(N199,O199,P199,Q199,R199,S199)&lt;6),"",IFERROR(N199*INDEX(WM_C,MATCH($M199,WM_KEY,0))+O199*INDEX(WM_AU,MATCH($M199,WM_KEY,0))+P199*INDEX(WM_AC,MATCH($M199,WM_KEY,0))+Q199*INDEX(WM_L,MATCH($M199,WM_KEY,0))+R199*INDEX(WM_E,MATCH($M199,WM_KEY,0))+S199*INDEX(WM_BI,MATCH($M199,WM_KEY,0)),""))</f>
        <v>2.63</v>
      </c>
      <c r="U199" s="42" t="str">
        <f>IF(T199="","",INDEX({"A1","A2","A3","B1","B2","B3","C1","C2","D1","D2","E1","E2"},MAX(1,MIN(12,ROUND(T199,0)))))</f>
        <v>A3</v>
      </c>
      <c r="V199" s="12" t="inlineStr">
        <is>
          <r>
            <rPr>
              <rFont val="Calibri"/>
              <sz val="10"/>
            </rPr>
            <t xml:space="preserve">New level A3 · Senior Associate. Current level on record: L3 – Professional / Associate. Change: ▲ Up.
Score 2.63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199" s="12" t="inlineStr">
        <is>
          <r>
            <rPr>
              <rFont val="Calibri"/>
              <b val="1"/>
              <sz val="10"/>
            </rPr>
            <t>Complexity &amp; Expertise:</t>
          </r>
          <r>
            <rPr>
              <rFont val="Calibri"/>
              <sz val="10"/>
            </rPr>
            <t xml:space="preserve"> 2.5 of 12 · between A2 and A3 — Start: 2.0 · practitioner title; Evidence reads like A3: Develops and integrates client-driven features; ad-hoc requests and system designs; architects product flow → moved up 0.5; KRA: “1.Deliver ≥ 95% committed tasks within agreed timelines with high-quality implementation. 2.Improve technical depth by independently…”
</t>
          </r>
          <r>
            <rPr>
              <rFont val="Calibri"/>
              <b val="1"/>
              <sz val="10"/>
            </rPr>
            <t>Autonomy &amp; Decision:</t>
          </r>
          <r>
            <rPr>
              <rFont val="Calibri"/>
              <sz val="10"/>
            </rPr>
            <t xml:space="preserve"> 3 of 12 — Start: 3.0 · practitioner title; reporting lines show a bigger role: 2 direct reports; Evidence reads like A3: Independently architects product flow and adapts requirements in his own development → matches the start
</t>
          </r>
          <r>
            <rPr>
              <rFont val="Calibri"/>
              <b val="1"/>
              <sz val="10"/>
            </rPr>
            <t>Accountability &amp; Impact:</t>
          </r>
          <r>
            <rPr>
              <rFont val="Calibri"/>
              <sz val="10"/>
            </rPr>
            <t xml:space="preserve"> 3 of 12 — Start: 4.0 · practitioner title; 2 direct reports; Evidence reads like A2: Bugs in product and correct understanding of requirements in his own work → moved down 1; KRA: “1.Deliver ≥ 95% committed tasks within agreed timelines with high-quality implementation. 2.Improve technical depth by independently…”
</t>
          </r>
          <r>
            <rPr>
              <rFont val="Calibri"/>
              <b val="1"/>
              <sz val="10"/>
            </rPr>
            <t>Leadership &amp; Strategy:</t>
          </r>
          <r>
            <rPr>
              <rFont val="Calibri"/>
              <sz val="10"/>
            </rPr>
            <t xml:space="preserve"> 3 of 12 — not counted: the weight is 0% at this level — Start: 4.0; Evidence reads like A1: No guidance or allocation described despite 2 reports → moved down 1; Team: 2 direct reports · IC
</t>
          </r>
          <r>
            <rPr>
              <rFont val="Calibri"/>
              <b val="1"/>
              <sz val="10"/>
            </rPr>
            <t>Experience &amp; Qualification:</t>
          </r>
          <r>
            <rPr>
              <rFont val="Calibri"/>
              <sz val="10"/>
            </rPr>
            <t xml:space="preserve"> 2.5 of 12 · between A2 and A3 — Experience: 2.2 yrs total · 2.2 at IRIS; none recorded before IRIS = 2.6 on the experience scale; Qualification: Bachelor of Science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199"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199" s="12" t="inlineStr">
        <is>
          <r>
            <rPr>
              <rFont val="Calibri"/>
              <sz val="10"/>
            </rPr>
            <t xml:space="preserve">✓ HRIS: 2.2 yrs, Bachelor of Science, 2 direct reports
✓ Survey: 20 of 20 questions answered
✓ KRAs: submitted, reported deliverables
✓ Manager mapping: rating, 9-box
✗ Job description: not on file
</t>
          </r>
          <r>
            <rPr>
              <rFont val="Calibri"/>
              <b val="1"/>
              <sz val="10"/>
            </rPr>
            <t>Confidence:</t>
          </r>
          <r>
            <rPr>
              <rFont val="Calibri"/>
              <sz val="10"/>
            </rPr>
            <t xml:space="preserve"> Low</t>
          </r>
        </is>
      </c>
      <c r="Z199" s="12" t="inlineStr">
        <is>
          <t>—</t>
        </is>
      </c>
      <c r="AA199" s="83" t="inlineStr">
        <is>
          <t>• Confirm the reporting line — Manager</t>
        </is>
      </c>
      <c r="AB19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2 direct reports.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AC199" s="84" t="n"/>
      <c r="AD199" s="84" t="n"/>
      <c r="AE199" s="84" t="n"/>
      <c r="AF199" s="12" t="n">
        <v>3</v>
      </c>
    </row>
    <row r="200" ht="400" customHeight="1">
      <c r="A200" s="12" t="inlineStr">
        <is>
          <t>IRIS2171</t>
        </is>
      </c>
      <c r="B200" s="10" t="inlineStr">
        <is>
          <t>Kush Govani</t>
        </is>
      </c>
      <c r="C200" s="12" t="inlineStr">
        <is>
          <t>Technology</t>
        </is>
      </c>
      <c r="D200" s="12" t="inlineStr">
        <is>
          <t>Software Engineer</t>
        </is>
      </c>
      <c r="E200" s="85" t="inlineStr">
        <is>
          <t>Senior UI Developer</t>
        </is>
      </c>
      <c r="F200" s="12" t="inlineStr">
        <is>
          <t>Engineering &amp; Development</t>
        </is>
      </c>
      <c r="G200" s="12" t="inlineStr">
        <is>
          <t>Front-End / UI Development</t>
        </is>
      </c>
      <c r="H200" s="12" t="inlineStr">
        <is>
          <t>IC</t>
        </is>
      </c>
      <c r="I200" s="42" t="inlineStr">
        <is>
          <t>L3 – Professional / Associate</t>
        </is>
      </c>
      <c r="J200" s="16" t="inlineStr">
        <is>
          <t>A3</t>
        </is>
      </c>
      <c r="K200" s="17" t="inlineStr">
        <is>
          <t>Senior Associate</t>
        </is>
      </c>
      <c r="L200" s="87" t="inlineStr">
        <is>
          <t>▲ Up</t>
        </is>
      </c>
      <c r="M200" s="12" t="inlineStr">
        <is>
          <t>CARBON · Technology · Band A · Early career</t>
        </is>
      </c>
      <c r="N200" s="42" t="n">
        <v>2</v>
      </c>
      <c r="O200" s="42" t="n">
        <v>2</v>
      </c>
      <c r="P200" s="42" t="n">
        <v>2</v>
      </c>
      <c r="Q200" s="42" t="n">
        <v>1</v>
      </c>
      <c r="R200" s="42" t="n">
        <v>3</v>
      </c>
      <c r="S200" s="80" t="n">
        <v>2</v>
      </c>
      <c r="T200" s="81">
        <f>IF(OR($M200="",COUNT(N200,O200,P200,Q200,R200,S200)&lt;6),"",IFERROR(N200*INDEX(WM_C,MATCH($M200,WM_KEY,0))+O200*INDEX(WM_AU,MATCH($M200,WM_KEY,0))+P200*INDEX(WM_AC,MATCH($M200,WM_KEY,0))+Q200*INDEX(WM_L,MATCH($M200,WM_KEY,0))+R200*INDEX(WM_E,MATCH($M200,WM_KEY,0))+S200*INDEX(WM_BI,MATCH($M200,WM_KEY,0)),""))</f>
        <v>2.1</v>
      </c>
      <c r="U200" s="42" t="str">
        <f>IF(T200="","",INDEX({"A1","A2","A3","B1","B2","B3","C1","C2","D1","D2","E1","E2"},MAX(1,MIN(12,ROUND(T200,0)))))</f>
        <v>A2</v>
      </c>
      <c r="V200" s="12" t="inlineStr">
        <is>
          <r>
            <rPr>
              <rFont val="Calibri"/>
              <sz val="10"/>
            </rPr>
            <t xml:space="preserve">New level A3 · Senior Associate. Current level on record: L3 – Professional / Associate. Change: ▲ Up.
Score 2.10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3.1 years' experience is 2 years or more.
</t>
          </r>
          <r>
            <rPr>
              <rFont val="Calibri"/>
              <b val="1"/>
              <sz val="10"/>
            </rPr>
            <t>Final level:</t>
          </r>
          <r>
            <rPr>
              <rFont val="Calibri"/>
              <sz val="10"/>
            </rPr>
            <t xml:space="preserve"> A3.</t>
          </r>
        </is>
      </c>
      <c r="W200" s="12" t="inlineStr">
        <is>
          <r>
            <rPr>
              <rFont val="Calibri"/>
              <b val="1"/>
              <sz val="10"/>
            </rPr>
            <t>Complexity &amp; Expertise:</t>
          </r>
          <r>
            <rPr>
              <rFont val="Calibri"/>
              <sz val="10"/>
            </rPr>
            <t xml:space="preserve"> 2 of 12 — Start: 2.0 · practitioner title; Evidence reads like A2: React UI features, bug fixes, live issue resolution, UI improvements → matches the start; KRA: “1.Deliver ≥ 95% committed frontend tasks within agreed timelines with high-quality execution. 2.Improve technical capability by…”
</t>
          </r>
          <r>
            <rPr>
              <rFont val="Calibri"/>
              <b val="1"/>
              <sz val="10"/>
            </rPr>
            <t>Autonomy &amp; Decision:</t>
          </r>
          <r>
            <rPr>
              <rFont val="Calibri"/>
              <sz val="10"/>
            </rPr>
            <t xml:space="preserve"> 2 of 12 — Start: 2.0 · practitioner title; Evidence reads like A2: Decides 'React UI new ideas' only → matches the start
</t>
          </r>
          <r>
            <rPr>
              <rFont val="Calibri"/>
              <b val="1"/>
              <sz val="10"/>
            </rPr>
            <t>Accountability &amp; Impact:</t>
          </r>
          <r>
            <rPr>
              <rFont val="Calibri"/>
              <sz val="10"/>
            </rPr>
            <t xml:space="preserve"> 2 of 12 — Start: 2.0 · practitioner title; Evidence reads like A2: Quality and timely delivery of own React features, UI changes and bug fixes → matches the start; KRA: “1.Deliver ≥ 95% committed frontend tasks within agreed timelines with high-quality execution. 2.Improve technical capability by…”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 of 12 — Experience: 3.1 yrs total · 3.1 at IRIS; none recorded before IRIS = 3.0 on the experience scale; Qualification: B.Com · graduate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00"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00" s="12" t="inlineStr">
        <is>
          <r>
            <rPr>
              <rFont val="Calibri"/>
              <sz val="10"/>
            </rPr>
            <t xml:space="preserve">✓ HRIS: 3.1 yrs, B.Com,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200" s="12" t="inlineStr">
        <is>
          <t>—</t>
        </is>
      </c>
      <c r="AA200" s="12" t="inlineStr">
        <is>
          <t>Nothing outstanding</t>
        </is>
      </c>
      <c r="AB20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Trusted Professional.</t>
          </r>
        </is>
      </c>
      <c r="AC200" s="84" t="n"/>
      <c r="AD200" s="84" t="n"/>
      <c r="AE200" s="84" t="n"/>
      <c r="AF200" s="12" t="n">
        <v>2</v>
      </c>
    </row>
    <row r="201" ht="400" customHeight="1">
      <c r="A201" s="12" t="inlineStr">
        <is>
          <t>IRIS2509</t>
        </is>
      </c>
      <c r="B201" s="10" t="inlineStr">
        <is>
          <t>Mandar Ukrulkar</t>
        </is>
      </c>
      <c r="C201" s="12" t="inlineStr">
        <is>
          <t>Technology</t>
        </is>
      </c>
      <c r="D201" s="12" t="inlineStr">
        <is>
          <t>Software Engineer - AI/ML</t>
        </is>
      </c>
      <c r="E201" s="85" t="inlineStr">
        <is>
          <t>Senior AI/ML Engineer</t>
        </is>
      </c>
      <c r="F201" s="12" t="inlineStr">
        <is>
          <t>Engineering &amp; Development</t>
        </is>
      </c>
      <c r="G201" s="12" t="inlineStr">
        <is>
          <t>AI / ML &amp; GenAI Engineering</t>
        </is>
      </c>
      <c r="H201" s="12" t="inlineStr">
        <is>
          <t>IC</t>
        </is>
      </c>
      <c r="I201" s="42" t="inlineStr">
        <is>
          <t>L3 – Professional / Associate</t>
        </is>
      </c>
      <c r="J201" s="16" t="inlineStr">
        <is>
          <t>A3</t>
        </is>
      </c>
      <c r="K201" s="17" t="inlineStr">
        <is>
          <t>Senior Associate</t>
        </is>
      </c>
      <c r="L201" s="87" t="inlineStr">
        <is>
          <t>▲ Up</t>
        </is>
      </c>
      <c r="M201" s="12" t="inlineStr">
        <is>
          <t>CARBON · Technology · Band A · Early career</t>
        </is>
      </c>
      <c r="N201" s="42" t="n">
        <v>2</v>
      </c>
      <c r="O201" s="42" t="n">
        <v>2</v>
      </c>
      <c r="P201" s="42" t="n">
        <v>3</v>
      </c>
      <c r="Q201" s="42" t="n">
        <v>3</v>
      </c>
      <c r="R201" s="42" t="n">
        <v>3.5</v>
      </c>
      <c r="S201" s="80" t="n">
        <v>3</v>
      </c>
      <c r="T201" s="81">
        <f>IF(OR($M201="",COUNT(N201,O201,P201,Q201,R201,S201)&lt;6),"",IFERROR(N201*INDEX(WM_C,MATCH($M201,WM_KEY,0))+O201*INDEX(WM_AU,MATCH($M201,WM_KEY,0))+P201*INDEX(WM_AC,MATCH($M201,WM_KEY,0))+Q201*INDEX(WM_L,MATCH($M201,WM_KEY,0))+R201*INDEX(WM_E,MATCH($M201,WM_KEY,0))+S201*INDEX(WM_BI,MATCH($M201,WM_KEY,0)),""))</f>
        <v>2.25</v>
      </c>
      <c r="U201" s="42" t="str">
        <f>IF(T201="","",INDEX({"A1","A2","A3","B1","B2","B3","C1","C2","D1","D2","E1","E2"},MAX(1,MIN(12,ROUND(T201,0)))))</f>
        <v>A2</v>
      </c>
      <c r="V201" s="12" t="inlineStr">
        <is>
          <r>
            <rPr>
              <rFont val="Calibri"/>
              <sz val="10"/>
            </rPr>
            <t xml:space="preserve">New level A3 · Senior Associate. Current level on record: L3 – Professional / Associate. Change: ▲ Up.
Score 2.25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4.4 years' experience is 2 years or more.
</t>
          </r>
          <r>
            <rPr>
              <rFont val="Calibri"/>
              <b val="1"/>
              <sz val="10"/>
            </rPr>
            <t>Final level:</t>
          </r>
          <r>
            <rPr>
              <rFont val="Calibri"/>
              <sz val="10"/>
            </rPr>
            <t xml:space="preserve"> A3.</t>
          </r>
        </is>
      </c>
      <c r="W201" s="12" t="inlineStr">
        <is>
          <r>
            <rPr>
              <rFont val="Calibri"/>
              <b val="1"/>
              <sz val="10"/>
            </rPr>
            <t>Complexity &amp; Expertise:</t>
          </r>
          <r>
            <rPr>
              <rFont val="Calibri"/>
              <sz val="10"/>
            </rPr>
            <t xml:space="preserve"> 2 of 12 — Start: 2.0 · practitioner title; Evidence reads like A2: Builds AI backends and APIs in Python; very little detail on the problems solved → matches the start; KRA: “1.Benchmark and evaluate minimum 5 open-source LLMs / SLMs against commercial models for IRIS AI use cases. 2.Reduce dependency on…”
</t>
          </r>
          <r>
            <rPr>
              <rFont val="Calibri"/>
              <b val="1"/>
              <sz val="10"/>
            </rPr>
            <t>Autonomy &amp; Decision:</t>
          </r>
          <r>
            <rPr>
              <rFont val="Calibri"/>
              <sz val="10"/>
            </rPr>
            <t xml:space="preserve"> 2 of 12 — Start: 2.5 · practitioner title; reporting lines show a bigger role: 1 direct report; Evidence reads like A2: Only cites debugging as an independent decision → moved down 0.5
</t>
          </r>
          <r>
            <rPr>
              <rFont val="Calibri"/>
              <b val="1"/>
              <sz val="10"/>
            </rPr>
            <t>Accountability &amp; Impact:</t>
          </r>
          <r>
            <rPr>
              <rFont val="Calibri"/>
              <sz val="10"/>
            </rPr>
            <t xml:space="preserve"> 3 of 12 — Start: 3.5 · practitioner title; 1 direct report; Evidence reads like A2: Accountable for quality of AI-generated content; errors are root-caused and reworked → moved down 0.5; KRA: “1.Benchmark and evaluate minimum 5 open-source LLMs / SLMs against commercial models for IRIS AI use cases. 2.Reduce dependency on…”
</t>
          </r>
          <r>
            <rPr>
              <rFont val="Calibri"/>
              <b val="1"/>
              <sz val="10"/>
            </rPr>
            <t>Leadership &amp; Strategy:</t>
          </r>
          <r>
            <rPr>
              <rFont val="Calibri"/>
              <sz val="10"/>
            </rPr>
            <t xml:space="preserve"> 3 of 12 — not counted: the weight is 0% at this level — Start: 3.5; Evidence reads like A1: No guiding or leading described, despite one direct report in HR data → moved down 0.5; Team: 1 direct report · IC
</t>
          </r>
          <r>
            <rPr>
              <rFont val="Calibri"/>
              <b val="1"/>
              <sz val="10"/>
            </rPr>
            <t>Experience &amp; Qualification:</t>
          </r>
          <r>
            <rPr>
              <rFont val="Calibri"/>
              <sz val="10"/>
            </rPr>
            <t xml:space="preserve"> 3.5 of 12 · between A3 and B1 — Experience: 4.4 yrs total · 4.0 before IRIS + 0.4 at IRIS = 3.6 on the experience scale; Qualification: B.E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201"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01" s="12" t="inlineStr">
        <is>
          <r>
            <rPr>
              <rFont val="Calibri"/>
              <sz val="10"/>
            </rPr>
            <t xml:space="preserve">✓ HRIS: 4.4 yrs, B.E, 1 direct report
✓ Survey: 20 of 20 questions answered
✓ KRAs: submitted
✓ Manager mapping: rating, 9-box — filled from talent-mapping files: 9-box · CARBON grid
✗ Job description: not on file
</t>
          </r>
          <r>
            <rPr>
              <rFont val="Calibri"/>
              <b val="1"/>
              <sz val="10"/>
            </rPr>
            <t>Confidence:</t>
          </r>
          <r>
            <rPr>
              <rFont val="Calibri"/>
              <sz val="10"/>
            </rPr>
            <t xml:space="preserve"> Medium</t>
          </r>
        </is>
      </c>
      <c r="Z201" s="12" t="inlineStr">
        <is>
          <t>—</t>
        </is>
      </c>
      <c r="AA201" s="83" t="inlineStr">
        <is>
          <t>• Confirm the reporting line — Manager</t>
        </is>
      </c>
      <c r="AB20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Leads 1 direct report.
</t>
          </r>
          <r>
            <rPr>
              <rFont val="Calibri"/>
              <b val="1"/>
              <sz val="10"/>
            </rPr>
            <t>If the work is missed · role-holders' themes:</t>
          </r>
          <r>
            <rPr>
              <rFont val="Calibri"/>
              <sz val="10"/>
            </rPr>
            <t xml:space="preserve"> cause.
Manager talent mapping — Latest rating: Not rated · manager · 9-Box Grid placement: Future Leader.</t>
          </r>
        </is>
      </c>
      <c r="AC201" s="84" t="n"/>
      <c r="AD201" s="84" t="n"/>
      <c r="AE201" s="84" t="n"/>
      <c r="AF201" s="12" t="n">
        <v>3</v>
      </c>
    </row>
    <row r="202" ht="400" customHeight="1">
      <c r="A202" s="12" t="inlineStr">
        <is>
          <t>IRIS2445</t>
        </is>
      </c>
      <c r="B202" s="10" t="inlineStr">
        <is>
          <t>Mohammad Irfan</t>
        </is>
      </c>
      <c r="C202" s="12" t="inlineStr">
        <is>
          <t>Technology</t>
        </is>
      </c>
      <c r="D202" s="12" t="inlineStr">
        <is>
          <t>Senior Software Engineer - AI/ML</t>
        </is>
      </c>
      <c r="E202" s="85" t="inlineStr">
        <is>
          <t>Senior AI/ML Engineer</t>
        </is>
      </c>
      <c r="F202" s="12" t="inlineStr">
        <is>
          <t>Engineering &amp; Development</t>
        </is>
      </c>
      <c r="G202" s="12" t="inlineStr">
        <is>
          <t>AI / ML &amp; GenAI Engineering</t>
        </is>
      </c>
      <c r="H202" s="12" t="inlineStr">
        <is>
          <t>IC</t>
        </is>
      </c>
      <c r="I202" s="42" t="inlineStr">
        <is>
          <t>L4 – Senior</t>
        </is>
      </c>
      <c r="J202" s="16" t="inlineStr">
        <is>
          <t>A3</t>
        </is>
      </c>
      <c r="K202" s="17" t="inlineStr">
        <is>
          <t>Senior Associate</t>
        </is>
      </c>
      <c r="L202" s="88" t="inlineStr">
        <is>
          <t>• Same level</t>
        </is>
      </c>
      <c r="M202" s="12" t="inlineStr">
        <is>
          <t>CARBON · Technology · Band A · Early career</t>
        </is>
      </c>
      <c r="N202" s="42" t="n">
        <v>3.5</v>
      </c>
      <c r="O202" s="42" t="n">
        <v>3</v>
      </c>
      <c r="P202" s="42" t="n">
        <v>3</v>
      </c>
      <c r="Q202" s="42" t="n">
        <v>1.5</v>
      </c>
      <c r="R202" s="42" t="n">
        <v>4</v>
      </c>
      <c r="S202" s="80" t="n">
        <v>3</v>
      </c>
      <c r="T202" s="81">
        <f>IF(OR($M202="",COUNT(N202,O202,P202,Q202,R202,S202)&lt;6),"",IFERROR(N202*INDEX(WM_C,MATCH($M202,WM_KEY,0))+O202*INDEX(WM_AU,MATCH($M202,WM_KEY,0))+P202*INDEX(WM_AC,MATCH($M202,WM_KEY,0))+Q202*INDEX(WM_L,MATCH($M202,WM_KEY,0))+R202*INDEX(WM_E,MATCH($M202,WM_KEY,0))+S202*INDEX(WM_BI,MATCH($M202,WM_KEY,0)),""))</f>
        <v>3.42</v>
      </c>
      <c r="U202" s="42" t="str">
        <f>IF(T202="","",INDEX({"A1","A2","A3","B1","B2","B3","C1","C2","D1","D2","E1","E2"},MAX(1,MIN(12,ROUND(T202,0)))))</f>
        <v>A3</v>
      </c>
      <c r="V202" s="12" t="inlineStr">
        <is>
          <r>
            <rPr>
              <rFont val="Calibri"/>
              <sz val="10"/>
            </rPr>
            <t xml:space="preserve">New level A3 · Senior Associate. Current level on record: L4 – Senior. Change: • Same level.
Score 3.42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02" s="12" t="inlineStr">
        <is>
          <r>
            <rPr>
              <rFont val="Calibri"/>
              <b val="1"/>
              <sz val="10"/>
            </rPr>
            <t>Complexity &amp; Expertise:</t>
          </r>
          <r>
            <rPr>
              <rFont val="Calibri"/>
              <sz val="10"/>
            </rPr>
            <t xml:space="preserve"> 3.5 of 12 · between A3 and B1 — Start: 3.0 · senior practitioner title; Evidence reads like B1: Designs and builds a multi-agent financial assistant combining agentic AI, RAG and document intelligence → moved up 0.5; KRA: “1.Design and implement reusable IDP components/services by reusing current copilot capabilities, reducing duplicate development effort by ≥…”
</t>
          </r>
          <r>
            <rPr>
              <rFont val="Calibri"/>
              <b val="1"/>
              <sz val="10"/>
            </rPr>
            <t>Autonomy &amp; Decision:</t>
          </r>
          <r>
            <rPr>
              <rFont val="Calibri"/>
              <sz val="10"/>
            </rPr>
            <t xml:space="preserve"> 3 of 12 — Start: 3.0 · senior practitioner title; Evidence reads like A3: Decides research and experiments alone; sole owner of the assistant's design → matches the start
</t>
          </r>
          <r>
            <rPr>
              <rFont val="Calibri"/>
              <b val="1"/>
              <sz val="10"/>
            </rPr>
            <t>Accountability &amp; Impact:</t>
          </r>
          <r>
            <rPr>
              <rFont val="Calibri"/>
              <sz val="10"/>
            </rPr>
            <t xml:space="preserve"> 3 of 12 — Start: 3.0 · senior practitioner title; Evidence reads like A3: Accuracy and reliability of the multi-agent assistant's responses; does RCA on tester-reported faults → matches the start; KRA: “1.Design and implement reusable IDP components/services by reusing current copilot capabilities, reducing duplicate development effort by ≥…”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reviewing of others described → moved down 0.5; Team: 0 direct reports · IC
</t>
          </r>
          <r>
            <rPr>
              <rFont val="Calibri"/>
              <b val="1"/>
              <sz val="10"/>
            </rPr>
            <t>Experience &amp; Qualification:</t>
          </r>
          <r>
            <rPr>
              <rFont val="Calibri"/>
              <sz val="10"/>
            </rPr>
            <t xml:space="preserve"> 4 of 12 — Experience: 4.5 yrs total · 3.7 before IRIS + 0.8 at IRIS = 3.6 on the experience scale; Qualification: M.Sc · postgraduate, relevant to the work → +0.5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202"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02" s="12" t="inlineStr">
        <is>
          <r>
            <rPr>
              <rFont val="Calibri"/>
              <sz val="10"/>
            </rPr>
            <t xml:space="preserve">✓ HRIS: 4.5 yrs, M.Sc,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202" s="12" t="inlineStr">
        <is>
          <t>—</t>
        </is>
      </c>
      <c r="AA202" s="12" t="inlineStr">
        <is>
          <t>Nothing outstanding</t>
        </is>
      </c>
      <c r="AB20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cause.
Manager talent mapping — Latest rating: Not rated · manager · 9-Box Grid placement: Future Leader.</t>
          </r>
        </is>
      </c>
      <c r="AC202" s="84" t="n"/>
      <c r="AD202" s="84" t="n"/>
      <c r="AE202" s="84" t="n"/>
      <c r="AF202" s="12" t="n">
        <v>3</v>
      </c>
    </row>
    <row r="203" ht="400" customHeight="1">
      <c r="A203" s="12" t="inlineStr">
        <is>
          <t>IRIS2418</t>
        </is>
      </c>
      <c r="B203" s="10" t="inlineStr">
        <is>
          <t>Omkar Dhumal</t>
        </is>
      </c>
      <c r="C203" s="12" t="inlineStr">
        <is>
          <t>Technology</t>
        </is>
      </c>
      <c r="D203" s="12" t="inlineStr">
        <is>
          <t>Software Engineer</t>
        </is>
      </c>
      <c r="E203" s="85" t="inlineStr">
        <is>
          <t>Senior UI Developer</t>
        </is>
      </c>
      <c r="F203" s="12" t="inlineStr">
        <is>
          <t>Engineering &amp; Development</t>
        </is>
      </c>
      <c r="G203" s="12" t="inlineStr">
        <is>
          <t>Front-End / UI Development</t>
        </is>
      </c>
      <c r="H203" s="12" t="inlineStr">
        <is>
          <t>IC</t>
        </is>
      </c>
      <c r="I203" s="42" t="inlineStr">
        <is>
          <t>L3 – Professional / Associate</t>
        </is>
      </c>
      <c r="J203" s="16" t="inlineStr">
        <is>
          <t>A3</t>
        </is>
      </c>
      <c r="K203" s="17" t="inlineStr">
        <is>
          <t>Senior Associate</t>
        </is>
      </c>
      <c r="L203" s="87" t="inlineStr">
        <is>
          <t>▲ Up</t>
        </is>
      </c>
      <c r="M203" s="12" t="inlineStr">
        <is>
          <t>CARBON · Technology · Band A · Early career</t>
        </is>
      </c>
      <c r="N203" s="42" t="n">
        <v>2.5</v>
      </c>
      <c r="O203" s="42" t="n">
        <v>2</v>
      </c>
      <c r="P203" s="42" t="n">
        <v>2</v>
      </c>
      <c r="Q203" s="42" t="n">
        <v>1</v>
      </c>
      <c r="R203" s="42" t="n">
        <v>3.5</v>
      </c>
      <c r="S203" s="80" t="n">
        <v>2</v>
      </c>
      <c r="T203" s="81">
        <f>IF(OR($M203="",COUNT(N203,O203,P203,Q203,R203,S203)&lt;6),"",IFERROR(N203*INDEX(WM_C,MATCH($M203,WM_KEY,0))+O203*INDEX(WM_AU,MATCH($M203,WM_KEY,0))+P203*INDEX(WM_AC,MATCH($M203,WM_KEY,0))+Q203*INDEX(WM_L,MATCH($M203,WM_KEY,0))+R203*INDEX(WM_E,MATCH($M203,WM_KEY,0))+S203*INDEX(WM_BI,MATCH($M203,WM_KEY,0)),""))</f>
        <v>2.47</v>
      </c>
      <c r="U203" s="42" t="str">
        <f>IF(T203="","",INDEX({"A1","A2","A3","B1","B2","B3","C1","C2","D1","D2","E1","E2"},MAX(1,MIN(12,ROUND(T203,0)))))</f>
        <v>A2</v>
      </c>
      <c r="V203" s="12" t="inlineStr">
        <is>
          <r>
            <rPr>
              <rFont val="Calibri"/>
              <sz val="10"/>
            </rPr>
            <t xml:space="preserve">New level A3 · Senior Associate. Current level on record: L3 – Professional / Associate. Change: ▲ Up.
Score 2.47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3.3 years' experience is 2 years or more.
</t>
          </r>
          <r>
            <rPr>
              <rFont val="Calibri"/>
              <b val="1"/>
              <sz val="10"/>
            </rPr>
            <t>Final level:</t>
          </r>
          <r>
            <rPr>
              <rFont val="Calibri"/>
              <sz val="10"/>
            </rPr>
            <t xml:space="preserve"> A3.</t>
          </r>
        </is>
      </c>
      <c r="W203" s="12" t="inlineStr">
        <is>
          <r>
            <rPr>
              <rFont val="Calibri"/>
              <b val="1"/>
              <sz val="10"/>
            </rPr>
            <t>Complexity &amp; Expertise:</t>
          </r>
          <r>
            <rPr>
              <rFont val="Calibri"/>
              <sz val="10"/>
            </rPr>
            <t xml:space="preserve"> 2.5 of 12 · between A2 and A3 — Start: 2.0 · practitioner title; Evidence reads like A3: UI work across micro-frontends, module federation, multiple frameworks and backend integrations; performance focus → moved up 0.5; KRA: “1. Achieve ≥ 90% sprint delivery adherence by completing committed tasks within agreed timelines with high-quality execution and minimal…”
</t>
          </r>
          <r>
            <rPr>
              <rFont val="Calibri"/>
              <b val="1"/>
              <sz val="10"/>
            </rPr>
            <t>Autonomy &amp; Decision:</t>
          </r>
          <r>
            <rPr>
              <rFont val="Calibri"/>
              <sz val="10"/>
            </rPr>
            <t xml:space="preserve"> 2 of 12 — Start: 2.0 · practitioner title; Evidence reads like A2: Decides user-experience aspects of own UI work only → matches the start
</t>
          </r>
          <r>
            <rPr>
              <rFont val="Calibri"/>
              <b val="1"/>
              <sz val="10"/>
            </rPr>
            <t>Accountability &amp; Impact:</t>
          </r>
          <r>
            <rPr>
              <rFont val="Calibri"/>
              <sz val="10"/>
            </rPr>
            <t xml:space="preserve"> 2 of 12 — Start: 2.0 · practitioner title; Evidence reads like A2: UI he develops, currently the Disclosure Management add-in interface → matches the start; KRA: “1. Achieve ≥ 90% sprint delivery adherence by completing committed tasks within agreed timelines with high-quality execution and minimal…”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3.5 of 12 · between A3 and B1 — Experience: 3.3 yrs total · 2.2 before IRIS + 1.1 at IRIS = 3.1 on the experience scale; Qualification: M.Sc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03"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03" s="12" t="inlineStr">
        <is>
          <r>
            <rPr>
              <rFont val="Calibri"/>
              <sz val="10"/>
            </rPr>
            <t xml:space="preserve">✓ HRIS: 3.3 yrs, M.Sc,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203" s="12" t="inlineStr">
        <is>
          <t>—</t>
        </is>
      </c>
      <c r="AA203" s="12" t="inlineStr">
        <is>
          <t>Nothing outstanding</t>
        </is>
      </c>
      <c r="AB20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Reliable Specialist.</t>
          </r>
        </is>
      </c>
      <c r="AC203" s="84" t="n"/>
      <c r="AD203" s="84" t="n"/>
      <c r="AE203" s="84" t="n"/>
      <c r="AF203" s="12" t="n">
        <v>2</v>
      </c>
    </row>
    <row r="204" ht="400" customHeight="1">
      <c r="A204" s="12" t="inlineStr">
        <is>
          <t>IRIS2160</t>
        </is>
      </c>
      <c r="B204" s="10" t="inlineStr">
        <is>
          <t>Parth Jitendrabhai Parmar</t>
        </is>
      </c>
      <c r="C204" s="12" t="inlineStr">
        <is>
          <t>Technology</t>
        </is>
      </c>
      <c r="D204" s="12" t="inlineStr">
        <is>
          <t>Software Engineer</t>
        </is>
      </c>
      <c r="E204" s="85" t="inlineStr">
        <is>
          <t>Senior Software Engineer</t>
        </is>
      </c>
      <c r="F204" s="12" t="inlineStr">
        <is>
          <t>Engineering &amp; Development</t>
        </is>
      </c>
      <c r="G204" s="12" t="inlineStr">
        <is>
          <t>Full-Stack Development</t>
        </is>
      </c>
      <c r="H204" s="12" t="inlineStr">
        <is>
          <t>IC</t>
        </is>
      </c>
      <c r="I204" s="42" t="inlineStr">
        <is>
          <t>L3 – Professional / Associate</t>
        </is>
      </c>
      <c r="J204" s="16" t="inlineStr">
        <is>
          <t>A3</t>
        </is>
      </c>
      <c r="K204" s="17" t="inlineStr">
        <is>
          <t>Senior Associate</t>
        </is>
      </c>
      <c r="L204" s="87" t="inlineStr">
        <is>
          <t>▲ Up</t>
        </is>
      </c>
      <c r="M204" s="12" t="inlineStr">
        <is>
          <t>CARBON · Technology · Band A · Early career</t>
        </is>
      </c>
      <c r="N204" s="42" t="n">
        <v>2.5</v>
      </c>
      <c r="O204" s="42" t="n">
        <v>3</v>
      </c>
      <c r="P204" s="42" t="n">
        <v>3.5</v>
      </c>
      <c r="Q204" s="42" t="n">
        <v>3</v>
      </c>
      <c r="R204" s="42" t="n">
        <v>3.5</v>
      </c>
      <c r="S204" s="80" t="n">
        <v>3.5</v>
      </c>
      <c r="T204" s="81">
        <f>IF(OR($M204="",COUNT(N204,O204,P204,Q204,R204,S204)&lt;6),"",IFERROR(N204*INDEX(WM_C,MATCH($M204,WM_KEY,0))+O204*INDEX(WM_AU,MATCH($M204,WM_KEY,0))+P204*INDEX(WM_AC,MATCH($M204,WM_KEY,0))+Q204*INDEX(WM_L,MATCH($M204,WM_KEY,0))+R204*INDEX(WM_E,MATCH($M204,WM_KEY,0))+S204*INDEX(WM_BI,MATCH($M204,WM_KEY,0)),""))</f>
        <v>2.78</v>
      </c>
      <c r="U204" s="42" t="str">
        <f>IF(T204="","",INDEX({"A1","A2","A3","B1","B2","B3","C1","C2","D1","D2","E1","E2"},MAX(1,MIN(12,ROUND(T204,0)))))</f>
        <v>A3</v>
      </c>
      <c r="V204" s="12" t="inlineStr">
        <is>
          <r>
            <rPr>
              <rFont val="Calibri"/>
              <sz val="10"/>
            </rPr>
            <t xml:space="preserve">New level A3 · Senior Associate. Current level on record: L3 – Professional / Associate. Change: ▲ Up.
Score 2.78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04" s="12" t="inlineStr">
        <is>
          <r>
            <rPr>
              <rFont val="Calibri"/>
              <b val="1"/>
              <sz val="10"/>
            </rPr>
            <t>Complexity &amp; Expertise:</t>
          </r>
          <r>
            <rPr>
              <rFont val="Calibri"/>
              <sz val="10"/>
            </rPr>
            <t xml:space="preserve"> 2.5 of 12 · between A2 and A3 — Start: 2.0 · practitioner title; Evidence reads like A3: Designs and builds full-stack features; deployment and DevOps automation; production deployment done by few → moved up 0.5; KRA: “1.Deliver ≥ 95% committed full-stack and DevOps tasks within agreed timelines with high-quality execution. 2.Successfully manage and…”
</t>
          </r>
          <r>
            <rPr>
              <rFont val="Calibri"/>
              <b val="1"/>
              <sz val="10"/>
            </rPr>
            <t>Autonomy &amp; Decision:</t>
          </r>
          <r>
            <rPr>
              <rFont val="Calibri"/>
              <sz val="10"/>
            </rPr>
            <t xml:space="preserve"> 3 of 12 — Start: 3.0 · practitioner title; reporting lines show a bigger role: 2 direct reports; Evidence reads like A3: Independently designs solution, optimises code and automates repeated tasks → matches the start
</t>
          </r>
          <r>
            <rPr>
              <rFont val="Calibri"/>
              <b val="1"/>
              <sz val="10"/>
            </rPr>
            <t>Accountability &amp; Impact:</t>
          </r>
          <r>
            <rPr>
              <rFont val="Calibri"/>
              <sz val="10"/>
            </rPr>
            <t xml:space="preserve"> 3.5 of 12 · between A3 and B1 — Start: 4.0 · practitioner title; 2 direct reports; Evidence reads like A3: Feature end to end from design to production readiness → moved down 0.5; KRA: “1.Deliver ≥ 95% committed full-stack and DevOps tasks within agreed timelines with high-quality execution. 2.Successfully manage and…”
</t>
          </r>
          <r>
            <rPr>
              <rFont val="Calibri"/>
              <b val="1"/>
              <sz val="10"/>
            </rPr>
            <t>Leadership &amp; Strategy:</t>
          </r>
          <r>
            <rPr>
              <rFont val="Calibri"/>
              <sz val="10"/>
            </rPr>
            <t xml:space="preserve"> 3 of 12 — not counted: the weight is 0% at this level — Start: 4.0; Evidence reads like A1: No guidance of others described despite 2 reports → moved down 1; Team: 2 direct reports · IC
</t>
          </r>
          <r>
            <rPr>
              <rFont val="Calibri"/>
              <b val="1"/>
              <sz val="10"/>
            </rPr>
            <t>Experience &amp; Qualification:</t>
          </r>
          <r>
            <rPr>
              <rFont val="Calibri"/>
              <sz val="10"/>
            </rPr>
            <t xml:space="preserve"> 3.5 of 12 · between A3 and B1 — Experience: 4.4 yrs total · 1.2 before IRIS + 3.2 at IRIS = 3.6 on the experience scale; Qualification: B.SC · graduate, relevant to the work → no change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204"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04" s="12" t="inlineStr">
        <is>
          <r>
            <rPr>
              <rFont val="Calibri"/>
              <sz val="10"/>
            </rPr>
            <t xml:space="preserve">✓ HRIS: 4.4 yrs, B.SC, 2 direct reports
✓ Survey: 20 of 20 questions answered
✓ KRAs: submitted, reported deliverables
✓ Manager mapping: rating, 9-box
✗ Job description: not on file
</t>
          </r>
          <r>
            <rPr>
              <rFont val="Calibri"/>
              <b val="1"/>
              <sz val="10"/>
            </rPr>
            <t>Confidence:</t>
          </r>
          <r>
            <rPr>
              <rFont val="Calibri"/>
              <sz val="10"/>
            </rPr>
            <t xml:space="preserve"> Low</t>
          </r>
        </is>
      </c>
      <c r="Z204" s="12" t="inlineStr">
        <is>
          <t>—</t>
        </is>
      </c>
      <c r="AA204" s="83" t="inlineStr">
        <is>
          <t>• Confirm the reporting line — Manager</t>
        </is>
      </c>
      <c r="AB20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AC204" s="84" t="n"/>
      <c r="AD204" s="84" t="n"/>
      <c r="AE204" s="84" t="n"/>
      <c r="AF204" s="12" t="n">
        <v>3.5</v>
      </c>
    </row>
    <row r="205" ht="400" customHeight="1">
      <c r="A205" s="12" t="inlineStr">
        <is>
          <t>IRIS2146</t>
        </is>
      </c>
      <c r="B205" s="10" t="inlineStr">
        <is>
          <t>Parthviben Mistry</t>
        </is>
      </c>
      <c r="C205" s="12" t="inlineStr">
        <is>
          <t>Technology</t>
        </is>
      </c>
      <c r="D205" s="12" t="inlineStr">
        <is>
          <t>Software Engineer</t>
        </is>
      </c>
      <c r="E205" s="85" t="inlineStr">
        <is>
          <t>Senior Software Engineer</t>
        </is>
      </c>
      <c r="F205" s="12" t="inlineStr">
        <is>
          <t>Engineering &amp; Development</t>
        </is>
      </c>
      <c r="G205" s="12" t="inlineStr">
        <is>
          <t>Full-Stack Development</t>
        </is>
      </c>
      <c r="H205" s="12" t="inlineStr">
        <is>
          <t>IC</t>
        </is>
      </c>
      <c r="I205" s="42" t="inlineStr">
        <is>
          <t>L3 – Professional / Associate</t>
        </is>
      </c>
      <c r="J205" s="16" t="inlineStr">
        <is>
          <t>A3</t>
        </is>
      </c>
      <c r="K205" s="17" t="inlineStr">
        <is>
          <t>Senior Associate</t>
        </is>
      </c>
      <c r="L205" s="87" t="inlineStr">
        <is>
          <t>▲ Up</t>
        </is>
      </c>
      <c r="M205" s="12" t="inlineStr">
        <is>
          <t>CARBON · Technology · Band A · Early career</t>
        </is>
      </c>
      <c r="N205" s="42" t="n">
        <v>3</v>
      </c>
      <c r="O205" s="42" t="n">
        <v>3</v>
      </c>
      <c r="P205" s="42" t="n">
        <v>3</v>
      </c>
      <c r="Q205" s="42" t="n">
        <v>2</v>
      </c>
      <c r="R205" s="42" t="n">
        <v>3.5</v>
      </c>
      <c r="S205" s="80" t="n">
        <v>3</v>
      </c>
      <c r="T205" s="81">
        <f>IF(OR($M205="",COUNT(N205,O205,P205,Q205,R205,S205)&lt;6),"",IFERROR(N205*INDEX(WM_C,MATCH($M205,WM_KEY,0))+O205*INDEX(WM_AU,MATCH($M205,WM_KEY,0))+P205*INDEX(WM_AC,MATCH($M205,WM_KEY,0))+Q205*INDEX(WM_L,MATCH($M205,WM_KEY,0))+R205*INDEX(WM_E,MATCH($M205,WM_KEY,0))+S205*INDEX(WM_BI,MATCH($M205,WM_KEY,0)),""))</f>
        <v>3.05</v>
      </c>
      <c r="U205" s="42" t="str">
        <f>IF(T205="","",INDEX({"A1","A2","A3","B1","B2","B3","C1","C2","D1","D2","E1","E2"},MAX(1,MIN(12,ROUND(T205,0)))))</f>
        <v>A3</v>
      </c>
      <c r="V205" s="12" t="inlineStr">
        <is>
          <r>
            <rPr>
              <rFont val="Calibri"/>
              <sz val="10"/>
            </rPr>
            <t xml:space="preserve">New level A3 · Senior Associate. Current level on record: L3 – Professional / Associate. Change: ▲ Up.
Score 3.05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05" s="12" t="inlineStr">
        <is>
          <r>
            <rPr>
              <rFont val="Calibri"/>
              <b val="1"/>
              <sz val="10"/>
            </rPr>
            <t>Complexity &amp; Expertise:</t>
          </r>
          <r>
            <rPr>
              <rFont val="Calibri"/>
              <sz val="10"/>
            </rPr>
            <t xml:space="preserve"> 3 of 12 — Start: 2.0 · practitioner title; Evidence reads like B1: Micro-frontend architecture, Module Federation, shared libraries, CDNs and common components for the product → moved up 1; KRA: “1.Maintain and enhance CARBON 3.0 frontend architecture to ensure ≥ 95% adherence to UI framework standards and reusable component design.…”
</t>
          </r>
          <r>
            <rPr>
              <rFont val="Calibri"/>
              <b val="1"/>
              <sz val="10"/>
            </rPr>
            <t>Autonomy &amp; Decision:</t>
          </r>
          <r>
            <rPr>
              <rFont val="Calibri"/>
              <sz val="10"/>
            </rPr>
            <t xml:space="preserve"> 3 of 12 — Start: 2.0 · practitioner title; Evidence reads like B1: own survey / KRA answers · summarised by the rater; not quoted → moved up 1
</t>
          </r>
          <r>
            <rPr>
              <rFont val="Calibri"/>
              <b val="1"/>
              <sz val="10"/>
            </rPr>
            <t>Accountability &amp; Impact:</t>
          </r>
          <r>
            <rPr>
              <rFont val="Calibri"/>
              <sz val="10"/>
            </rPr>
            <t xml:space="preserve"> 3 of 12 — Start: 2.0 · practitioner title; Evidence reads like B1: own survey / KRA answers · summarised by the rater; not quoted → moved up 1; KRA: “1.Maintain and enhance CARBON 3.0 frontend architecture to ensure ≥ 95% adherence to UI framework standards and reusable component design.…”
</t>
          </r>
          <r>
            <rPr>
              <rFont val="Calibri"/>
              <b val="1"/>
              <sz val="10"/>
            </rPr>
            <t>Leadership &amp; Strategy:</t>
          </r>
          <r>
            <rPr>
              <rFont val="Calibri"/>
              <sz val="10"/>
            </rPr>
            <t xml:space="preserve"> 2 of 12 — not counted: the weight is 0% at this level — Start: 1.0 · individual contributor, so influence only; Evidence reads like A3: Supports and guides the team; writes reusable skill doc for product team → moved up 1; Team: 0 direct reports · IC
</t>
          </r>
          <r>
            <rPr>
              <rFont val="Calibri"/>
              <b val="1"/>
              <sz val="10"/>
            </rPr>
            <t>Experience &amp; Qualification:</t>
          </r>
          <r>
            <rPr>
              <rFont val="Calibri"/>
              <sz val="10"/>
            </rPr>
            <t xml:space="preserve"> 3.5 of 12 · between A3 and B1 — Experience: 4.3 yrs total · 1.0 before IRIS + 3.3 at IRIS = 3.5 on the experience scale; Qualification: B.Tech · graduate, relevant to the work → no change
</t>
          </r>
          <r>
            <rPr>
              <rFont val="Calibri"/>
              <b val="1"/>
              <sz val="10"/>
            </rPr>
            <t>Business Impact:</t>
          </r>
          <r>
            <rPr>
              <rFont val="Calibri"/>
              <sz val="10"/>
            </rPr>
            <t xml:space="preserve"> 3 of 12 — a starting estimate. — Start: 3,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t>
          </r>
        </is>
      </c>
      <c r="X205"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05" s="12" t="inlineStr">
        <is>
          <r>
            <rPr>
              <rFont val="Calibri"/>
              <sz val="10"/>
            </rPr>
            <t xml:space="preserve">✓ HRIS: 4.3 yrs, B.Tech,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High</t>
          </r>
        </is>
      </c>
      <c r="Z205" s="12" t="inlineStr">
        <is>
          <t>—</t>
        </is>
      </c>
      <c r="AA205" s="12" t="inlineStr">
        <is>
          <t>Nothing outstanding</t>
        </is>
      </c>
      <c r="AB205"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 of 12 · A3-level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Trusted Professional.</t>
          </r>
        </is>
      </c>
      <c r="AC205" s="84" t="n"/>
      <c r="AD205" s="84" t="n"/>
      <c r="AE205" s="84" t="n"/>
      <c r="AF205" s="12" t="n">
        <v>3</v>
      </c>
    </row>
    <row r="206" ht="400" customHeight="1">
      <c r="A206" s="12" t="inlineStr">
        <is>
          <t>IRIS2434</t>
        </is>
      </c>
      <c r="B206" s="10" t="inlineStr">
        <is>
          <t>Prachi Digambar Raut</t>
        </is>
      </c>
      <c r="C206" s="12" t="inlineStr">
        <is>
          <t>Technology</t>
        </is>
      </c>
      <c r="D206" s="12" t="inlineStr">
        <is>
          <t>Software Engineer</t>
        </is>
      </c>
      <c r="E206" s="85" t="inlineStr">
        <is>
          <t>Senior Software Engineer</t>
        </is>
      </c>
      <c r="F206" s="12" t="inlineStr">
        <is>
          <t>Engineering &amp; Development</t>
        </is>
      </c>
      <c r="G206" s="12" t="inlineStr">
        <is>
          <t>Full-Stack Development</t>
        </is>
      </c>
      <c r="H206" s="12" t="inlineStr">
        <is>
          <t>IC</t>
        </is>
      </c>
      <c r="I206" s="42" t="inlineStr">
        <is>
          <t>L3 – Professional / Associate</t>
        </is>
      </c>
      <c r="J206" s="16" t="inlineStr">
        <is>
          <t>A3</t>
        </is>
      </c>
      <c r="K206" s="17" t="inlineStr">
        <is>
          <t>Senior Associate</t>
        </is>
      </c>
      <c r="L206" s="87" t="inlineStr">
        <is>
          <t>▲ Up</t>
        </is>
      </c>
      <c r="M206" s="12" t="inlineStr">
        <is>
          <t>CARBON · Technology · Band A · Early career</t>
        </is>
      </c>
      <c r="N206" s="42" t="n">
        <v>2</v>
      </c>
      <c r="O206" s="42" t="n">
        <v>2.5</v>
      </c>
      <c r="P206" s="42" t="n">
        <v>3.5</v>
      </c>
      <c r="Q206" s="42" t="n">
        <v>3.5</v>
      </c>
      <c r="R206" s="42" t="n">
        <v>3.5</v>
      </c>
      <c r="S206" s="80" t="n">
        <v>4</v>
      </c>
      <c r="T206" s="81">
        <f>IF(OR($M206="",COUNT(N206,O206,P206,Q206,R206,S206)&lt;6),"",IFERROR(N206*INDEX(WM_C,MATCH($M206,WM_KEY,0))+O206*INDEX(WM_AU,MATCH($M206,WM_KEY,0))+P206*INDEX(WM_AC,MATCH($M206,WM_KEY,0))+Q206*INDEX(WM_L,MATCH($M206,WM_KEY,0))+R206*INDEX(WM_E,MATCH($M206,WM_KEY,0))+S206*INDEX(WM_BI,MATCH($M206,WM_KEY,0)),""))</f>
        <v>2.41</v>
      </c>
      <c r="U206" s="42" t="str">
        <f>IF(T206="","",INDEX({"A1","A2","A3","B1","B2","B3","C1","C2","D1","D2","E1","E2"},MAX(1,MIN(12,ROUND(T206,0)))))</f>
        <v>A2</v>
      </c>
      <c r="V206" s="12" t="inlineStr">
        <is>
          <r>
            <rPr>
              <rFont val="Calibri"/>
              <sz val="10"/>
            </rPr>
            <t xml:space="preserve">New level A3 · Senior Associate. Current level on record: L3 – Professional / Associate. Change: ▲ Up.
Score 2.41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4.2 years' experience is 2 years or more.
</t>
          </r>
          <r>
            <rPr>
              <rFont val="Calibri"/>
              <b val="1"/>
              <sz val="10"/>
            </rPr>
            <t>Final level:</t>
          </r>
          <r>
            <rPr>
              <rFont val="Calibri"/>
              <sz val="10"/>
            </rPr>
            <t xml:space="preserve"> A3.</t>
          </r>
        </is>
      </c>
      <c r="W206" s="12" t="inlineStr">
        <is>
          <r>
            <rPr>
              <rFont val="Calibri"/>
              <b val="1"/>
              <sz val="10"/>
            </rPr>
            <t>Complexity &amp; Expertise:</t>
          </r>
          <r>
            <rPr>
              <rFont val="Calibri"/>
              <sz val="10"/>
            </rPr>
            <t xml:space="preserve"> 2 of 12 — Start: 2.0 · practitioner title; Evidence reads like A2: Feature development and report generation; OOP and database design; no specifics beyond that → matches the start; KRA: “1.Deliver ≥ 95% committed sprint and release tasks within agreed timelines with high-quality execution. 2.Improve solution quality by…”
</t>
          </r>
          <r>
            <rPr>
              <rFont val="Calibri"/>
              <b val="1"/>
              <sz val="10"/>
            </rPr>
            <t>Autonomy &amp; Decision:</t>
          </r>
          <r>
            <rPr>
              <rFont val="Calibri"/>
              <sz val="10"/>
            </rPr>
            <t xml:space="preserve"> 2.5 of 12 · between A2 and A3 — Start: 3.0 · practitioner title; reporting lines show a bigger role: 4 direct reports; Evidence reads like A2: Only 'brainstorming' listed; discusses with team and informs higher authorities on issues → moved down 0.5
</t>
          </r>
          <r>
            <rPr>
              <rFont val="Calibri"/>
              <b val="1"/>
              <sz val="10"/>
            </rPr>
            <t>Accountability &amp; Impact:</t>
          </r>
          <r>
            <rPr>
              <rFont val="Calibri"/>
              <sz val="10"/>
            </rPr>
            <t xml:space="preserve"> 3.5 of 12 · between A3 and B1 — Start: 4.0 · practitioner title; 4 direct reports; Evidence reads like A2: Describes accountability as shared by the team, not personal → moved down 0.5; KRA: “1.Deliver ≥ 95% committed sprint and release tasks within agreed timelines with high-quality execution. 2.Improve solution quality by…”
</t>
          </r>
          <r>
            <rPr>
              <rFont val="Calibri"/>
              <b val="1"/>
              <sz val="10"/>
            </rPr>
            <t>Leadership &amp; Strategy:</t>
          </r>
          <r>
            <rPr>
              <rFont val="Calibri"/>
              <sz val="10"/>
            </rPr>
            <t xml:space="preserve"> 3.5 of 12 · between A3 and B1 — not counted: the weight is 0% at this level — Start: 4.0; Evidence reads like A3: Guides team members and brainstorms with them; 4 reports, no allocation described → moved down 0.5; Team: 4 direct reports · IC
</t>
          </r>
          <r>
            <rPr>
              <rFont val="Calibri"/>
              <b val="1"/>
              <sz val="10"/>
            </rPr>
            <t>Experience &amp; Qualification:</t>
          </r>
          <r>
            <rPr>
              <rFont val="Calibri"/>
              <sz val="10"/>
            </rPr>
            <t xml:space="preserve"> 3.5 of 12 · between A3 and B1 — Experience: 4.2 yrs total · 3.2 before IRIS + 1.0 at IRIS = 3.5 on the experience scale; Qualification: BCA · graduate, relevant to the work → no change
</t>
          </r>
          <r>
            <rPr>
              <rFont val="Calibri"/>
              <b val="1"/>
              <sz val="10"/>
            </rPr>
            <t>Business Impact:</t>
          </r>
          <r>
            <rPr>
              <rFont val="Calibri"/>
              <sz val="10"/>
            </rPr>
            <t xml:space="preserve"> 4 of 12 — a starting estimate. — Start: 3.5, the role's accountability scope — what it answers for.; Moved +0.5: it does work no one else does.; Managers and heads: overwrite this rating on the Weightage sheet with the business impact you see — the score updates at once.; Ladder: B1 = Moves a module's, product area's or client account's results</t>
          </r>
        </is>
      </c>
      <c r="X206"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06" s="12" t="inlineStr">
        <is>
          <r>
            <rPr>
              <rFont val="Calibri"/>
              <sz val="10"/>
            </rPr>
            <t xml:space="preserve">✓ HRIS: 4.2 yrs, BCA, 4 direct reports
✓ Survey: 20 of 20 questions answered
✓ KRAs: submitted, reported deliverables
✓ Manager mapping: rating, 9-box
✗ Job description: not on file
</t>
          </r>
          <r>
            <rPr>
              <rFont val="Calibri"/>
              <b val="1"/>
              <sz val="10"/>
            </rPr>
            <t>Confidence:</t>
          </r>
          <r>
            <rPr>
              <rFont val="Calibri"/>
              <sz val="10"/>
            </rPr>
            <t xml:space="preserve"> Low</t>
          </r>
        </is>
      </c>
      <c r="Z206" s="12" t="inlineStr">
        <is>
          <t>—</t>
        </is>
      </c>
      <c r="AA206" s="83" t="inlineStr">
        <is>
          <t>• Confirm the reporting line — Manager</t>
        </is>
      </c>
      <c r="AB206"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4 direct reports.
From the survey and manager mapping — work only this person does: yes; successor named: no.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AC206" s="84" t="n"/>
      <c r="AD206" s="84" t="n"/>
      <c r="AE206" s="84" t="n"/>
      <c r="AF206" s="12" t="n">
        <v>4</v>
      </c>
    </row>
    <row r="207" ht="400" customHeight="1">
      <c r="A207" s="12" t="inlineStr">
        <is>
          <t>IRIS1920</t>
        </is>
      </c>
      <c r="B207" s="10" t="inlineStr">
        <is>
          <t>Pritesh Wani</t>
        </is>
      </c>
      <c r="C207" s="12" t="inlineStr">
        <is>
          <t>Technology</t>
        </is>
      </c>
      <c r="D207" s="12" t="inlineStr">
        <is>
          <t>Software Engineer</t>
        </is>
      </c>
      <c r="E207" s="85" t="inlineStr">
        <is>
          <t>Senior Software Engineer</t>
        </is>
      </c>
      <c r="F207" s="12" t="inlineStr">
        <is>
          <t>Engineering &amp; Development</t>
        </is>
      </c>
      <c r="G207" s="12" t="inlineStr">
        <is>
          <t>Backend Development</t>
        </is>
      </c>
      <c r="H207" s="12" t="inlineStr">
        <is>
          <t>IC</t>
        </is>
      </c>
      <c r="I207" s="42" t="inlineStr">
        <is>
          <t>L3 – Professional / Associate</t>
        </is>
      </c>
      <c r="J207" s="16" t="inlineStr">
        <is>
          <t>A3</t>
        </is>
      </c>
      <c r="K207" s="17" t="inlineStr">
        <is>
          <t>Senior Associate</t>
        </is>
      </c>
      <c r="L207" s="87" t="inlineStr">
        <is>
          <t>▲ Up</t>
        </is>
      </c>
      <c r="M207" s="12" t="inlineStr">
        <is>
          <t>CARBON · Technology · Band A · Early career</t>
        </is>
      </c>
      <c r="N207" s="42" t="n">
        <v>2.5</v>
      </c>
      <c r="O207" s="42" t="n">
        <v>3</v>
      </c>
      <c r="P207" s="42" t="n">
        <v>2.5</v>
      </c>
      <c r="Q207" s="42" t="n">
        <v>2</v>
      </c>
      <c r="R207" s="42" t="n">
        <v>4.5</v>
      </c>
      <c r="S207" s="80" t="n">
        <v>2.5</v>
      </c>
      <c r="T207" s="81">
        <f>IF(OR($M207="",COUNT(N207,O207,P207,Q207,R207,S207)&lt;6),"",IFERROR(N207*INDEX(WM_C,MATCH($M207,WM_KEY,0))+O207*INDEX(WM_AU,MATCH($M207,WM_KEY,0))+P207*INDEX(WM_AC,MATCH($M207,WM_KEY,0))+Q207*INDEX(WM_L,MATCH($M207,WM_KEY,0))+R207*INDEX(WM_E,MATCH($M207,WM_KEY,0))+S207*INDEX(WM_BI,MATCH($M207,WM_KEY,0)),""))</f>
        <v>2.78</v>
      </c>
      <c r="U207" s="42" t="str">
        <f>IF(T207="","",INDEX({"A1","A2","A3","B1","B2","B3","C1","C2","D1","D2","E1","E2"},MAX(1,MIN(12,ROUND(T207,0)))))</f>
        <v>A3</v>
      </c>
      <c r="V207" s="12" t="inlineStr">
        <is>
          <r>
            <rPr>
              <rFont val="Calibri"/>
              <sz val="10"/>
            </rPr>
            <t xml:space="preserve">New level A3 · Senior Associate. Current level on record: L3 – Professional / Associate. Change: ▲ Up.
Score 2.78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07" s="12" t="inlineStr">
        <is>
          <r>
            <rPr>
              <rFont val="Calibri"/>
              <b val="1"/>
              <sz val="10"/>
            </rPr>
            <t>Complexity &amp; Expertise:</t>
          </r>
          <r>
            <rPr>
              <rFont val="Calibri"/>
              <sz val="10"/>
            </rPr>
            <t xml:space="preserve"> 2.5 of 12 · between A2 and A3 — Start: 2.0 · practitioner title; Evidence reads like A3: Complex tasks, automation, optimisation, ad-hoc and live issues handled by few → moved up 0.5; KRA: “1.Deliver ≥ 95% committed backend and frontend tasks within agreed timelines with high-quality implementation. 2.Improve technical…”
</t>
          </r>
          <r>
            <rPr>
              <rFont val="Calibri"/>
              <b val="1"/>
              <sz val="10"/>
            </rPr>
            <t>Autonomy &amp; Decision:</t>
          </r>
          <r>
            <rPr>
              <rFont val="Calibri"/>
              <sz val="10"/>
            </rPr>
            <t xml:space="preserve"> 3 of 12 — Start: 2.0 · practitioner title; Evidence reads like B1: Plans the team's work and breaks down bigger problems; decides optimisation and R&amp;D → moved up 1
</t>
          </r>
          <r>
            <rPr>
              <rFont val="Calibri"/>
              <b val="1"/>
              <sz val="10"/>
            </rPr>
            <t>Accountability &amp; Impact:</t>
          </r>
          <r>
            <rPr>
              <rFont val="Calibri"/>
              <sz val="10"/>
            </rPr>
            <t xml:space="preserve"> 2.5 of 12 · between A2 and A3 — Start: 2.0 · practitioner title; Evidence reads like A3: Features and automation that cut effort for internal CEM/OCR document preparation → moved up 0.5; KRA: “1.Deliver ≥ 95% committed backend and frontend tasks within agreed timelines with high-quality implementation. 2.Improve technical…”
</t>
          </r>
          <r>
            <rPr>
              <rFont val="Calibri"/>
              <b val="1"/>
              <sz val="10"/>
            </rPr>
            <t>Leadership &amp; Strategy:</t>
          </r>
          <r>
            <rPr>
              <rFont val="Calibri"/>
              <sz val="10"/>
            </rPr>
            <t xml:space="preserve"> 2 of 12 — not counted: the weight is 0% at this level — Start: 1.0 · individual contributor, so influence only; Evidence reads like A3: Says he plans work for and guides his team; team size not stated → moved up 1; Team: 0 direct reports · IC
</t>
          </r>
          <r>
            <rPr>
              <rFont val="Calibri"/>
              <b val="1"/>
              <sz val="10"/>
            </rPr>
            <t>Experience &amp; Qualification:</t>
          </r>
          <r>
            <rPr>
              <rFont val="Calibri"/>
              <sz val="10"/>
            </rPr>
            <t xml:space="preserve"> 4.5 of 12 · between B1 and B2 — Experience: 5.3 yrs total · 5.3 at IRIS; none recorded before IRIS = 3.9 on the experience scale; Qualification: MCA · postgraduate, relevant to the work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07"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07" s="12" t="inlineStr">
        <is>
          <r>
            <rPr>
              <rFont val="Calibri"/>
              <sz val="10"/>
            </rPr>
            <t xml:space="preserve">✓ HRIS: 5.3 yrs, MCA, 0 direct reports
✓ Survey: 20 of 20 questions answered
✓ KRAs: submitted, reported deliverables
✓ Manager mapping: rating, 9-box
✗ Job description: not on file
</t>
          </r>
          <r>
            <rPr>
              <rFont val="Calibri"/>
              <b val="1"/>
              <sz val="10"/>
            </rPr>
            <t>Confidence:</t>
          </r>
          <r>
            <rPr>
              <rFont val="Calibri"/>
              <sz val="10"/>
            </rPr>
            <t xml:space="preserve"> High</t>
          </r>
        </is>
      </c>
      <c r="Z207" s="12" t="inlineStr">
        <is>
          <t>—</t>
        </is>
      </c>
      <c r="AA207" s="83" t="inlineStr">
        <is>
          <t>• Confirm the reporting line — Manager</t>
        </is>
      </c>
      <c r="AB207"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Not placed · manager.</t>
          </r>
        </is>
      </c>
      <c r="AC207" s="84" t="n"/>
      <c r="AD207" s="84" t="n"/>
      <c r="AE207" s="84" t="n"/>
      <c r="AF207" s="12" t="n">
        <v>2.5</v>
      </c>
    </row>
    <row r="208" ht="400" customHeight="1">
      <c r="A208" s="12" t="inlineStr">
        <is>
          <t>IRIS1797</t>
        </is>
      </c>
      <c r="B208" s="10" t="inlineStr">
        <is>
          <t>Rahul Mejari</t>
        </is>
      </c>
      <c r="C208" s="12" t="inlineStr">
        <is>
          <t>Technology</t>
        </is>
      </c>
      <c r="D208" s="12" t="inlineStr">
        <is>
          <t>Senior UI Developer</t>
        </is>
      </c>
      <c r="E208" s="12" t="inlineStr">
        <is>
          <t>Senior UI Developer</t>
        </is>
      </c>
      <c r="F208" s="12" t="inlineStr">
        <is>
          <t>Engineering &amp; Development</t>
        </is>
      </c>
      <c r="G208" s="12" t="inlineStr">
        <is>
          <t>Front-End / UI Development</t>
        </is>
      </c>
      <c r="H208" s="12" t="inlineStr">
        <is>
          <t>IC</t>
        </is>
      </c>
      <c r="I208" s="42" t="inlineStr">
        <is>
          <t>L4 – Senior</t>
        </is>
      </c>
      <c r="J208" s="16" t="inlineStr">
        <is>
          <t>A3</t>
        </is>
      </c>
      <c r="K208" s="17" t="inlineStr">
        <is>
          <t>Senior Associate</t>
        </is>
      </c>
      <c r="L208" s="88" t="inlineStr">
        <is>
          <t>• Same level</t>
        </is>
      </c>
      <c r="M208" s="12" t="inlineStr">
        <is>
          <t>CARBON · Technology · Band A · Early career</t>
        </is>
      </c>
      <c r="N208" s="42" t="n">
        <v>2.5</v>
      </c>
      <c r="O208" s="42" t="n">
        <v>2.5</v>
      </c>
      <c r="P208" s="42" t="n">
        <v>2.5</v>
      </c>
      <c r="Q208" s="42" t="n">
        <v>1.5</v>
      </c>
      <c r="R208" s="42" t="n">
        <v>8</v>
      </c>
      <c r="S208" s="80" t="n">
        <v>2.5</v>
      </c>
      <c r="T208" s="81">
        <f>IF(OR($M208="",COUNT(N208,O208,P208,Q208,R208,S208)&lt;6),"",IFERROR(N208*INDEX(WM_C,MATCH($M208,WM_KEY,0))+O208*INDEX(WM_AU,MATCH($M208,WM_KEY,0))+P208*INDEX(WM_AC,MATCH($M208,WM_KEY,0))+Q208*INDEX(WM_L,MATCH($M208,WM_KEY,0))+R208*INDEX(WM_E,MATCH($M208,WM_KEY,0))+S208*INDEX(WM_BI,MATCH($M208,WM_KEY,0)),""))</f>
        <v>3.05</v>
      </c>
      <c r="U208" s="42" t="str">
        <f>IF(T208="","",INDEX({"A1","A2","A3","B1","B2","B3","C1","C2","D1","D2","E1","E2"},MAX(1,MIN(12,ROUND(T208,0)))))</f>
        <v>A3</v>
      </c>
      <c r="V208" s="12" t="inlineStr">
        <is>
          <r>
            <rPr>
              <rFont val="Calibri"/>
              <sz val="10"/>
            </rPr>
            <t xml:space="preserve">New level A3 · Senior Associate. Current level on record: L4 – Senior. Change: • Same level.
Score 3.05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08" s="12" t="inlineStr">
        <is>
          <r>
            <rPr>
              <rFont val="Calibri"/>
              <b val="1"/>
              <sz val="10"/>
            </rPr>
            <t>Complexity &amp; Expertise:</t>
          </r>
          <r>
            <rPr>
              <rFont val="Calibri"/>
              <sz val="10"/>
            </rPr>
            <t xml:space="preserve"> 2.5 of 12 · between A2 and A3 — Start: 3.0 · senior practitioner title; Evidence reads like A2: React/HTML/CSS front-end coding; 'UI architecture' named without any concrete example → moved down 0.5; KRA: “1. Ensure consistent sprint and release delivery by achieving ≥ 92% committed task completion within agreed timelines while maintaining…”
</t>
          </r>
          <r>
            <rPr>
              <rFont val="Calibri"/>
              <b val="1"/>
              <sz val="10"/>
            </rPr>
            <t>Autonomy &amp; Decision:</t>
          </r>
          <r>
            <rPr>
              <rFont val="Calibri"/>
              <sz val="10"/>
            </rPr>
            <t xml:space="preserve"> 2.5 of 12 · between A2 and A3 — Start: 3.0 · senior practitioner title; Evidence reads like A2: Decides the code approach → moved down 0.5
</t>
          </r>
          <r>
            <rPr>
              <rFont val="Calibri"/>
              <b val="1"/>
              <sz val="10"/>
            </rPr>
            <t>Accountability &amp; Impact:</t>
          </r>
          <r>
            <rPr>
              <rFont val="Calibri"/>
              <sz val="10"/>
            </rPr>
            <t xml:space="preserve"> 2.5 of 12 · between A2 and A3 — Start: 3.0 · senior practitioner title; Evidence reads like A2: own survey / KRA answers · summarised by the rater; not quoted → moved down 0.5; KRA: “1. Ensure consistent sprint and release delivery by achieving ≥ 92% committed task completion within agreed timelines while maintaining…”
</t>
          </r>
          <r>
            <rPr>
              <rFont val="Calibri"/>
              <b val="1"/>
              <sz val="10"/>
            </rPr>
            <t>Leadership &amp; Strategy:</t>
          </r>
          <r>
            <rPr>
              <rFont val="Calibri"/>
              <sz val="10"/>
            </rPr>
            <t xml:space="preserve"> 1.5 of 12 · between A1 and A2 — not counted: the weight is 0% at this level — Start: 2.0 · individual contributor, so influence only; Evidence reads like A1: No guiding or reviewing of others described → moved down 0.5; Team: 0 direct reports · IC
</t>
          </r>
          <r>
            <rPr>
              <rFont val="Calibri"/>
              <b val="1"/>
              <sz val="10"/>
            </rPr>
            <t>Experience &amp; Qualification:</t>
          </r>
          <r>
            <rPr>
              <rFont val="Calibri"/>
              <sz val="10"/>
            </rPr>
            <t xml:space="preserve"> 8 of 12 — Experience: 14.0 yrs total · 6.8 before IRIS + 7.2 at IRIS = 7.8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08"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08" s="12" t="inlineStr">
        <is>
          <r>
            <rPr>
              <rFont val="Calibri"/>
              <sz val="10"/>
            </rPr>
            <t xml:space="preserve">✓ HRIS: 14.0 yrs, B.E,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208" s="12" t="inlineStr">
        <is>
          <t>—</t>
        </is>
      </c>
      <c r="AA208" s="12" t="inlineStr">
        <is>
          <t>Nothing outstanding</t>
        </is>
      </c>
      <c r="AB208"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Underperformer / Exit Risk.</t>
          </r>
        </is>
      </c>
      <c r="AC208" s="84" t="n"/>
      <c r="AD208" s="84" t="n"/>
      <c r="AE208" s="84" t="n"/>
      <c r="AF208" s="12" t="n">
        <v>2.5</v>
      </c>
    </row>
    <row r="209" ht="400" customHeight="1">
      <c r="A209" s="12" t="inlineStr">
        <is>
          <t>IRIS2054</t>
        </is>
      </c>
      <c r="B209" s="10" t="inlineStr">
        <is>
          <t>Raj Chauhan</t>
        </is>
      </c>
      <c r="C209" s="12" t="inlineStr">
        <is>
          <t>Technology</t>
        </is>
      </c>
      <c r="D209" s="12" t="inlineStr">
        <is>
          <t>Software Engineer</t>
        </is>
      </c>
      <c r="E209" s="85" t="inlineStr">
        <is>
          <t>Senior Software Engineer</t>
        </is>
      </c>
      <c r="F209" s="12" t="inlineStr">
        <is>
          <t>Engineering &amp; Development</t>
        </is>
      </c>
      <c r="G209" s="12" t="inlineStr">
        <is>
          <t>Backend Development</t>
        </is>
      </c>
      <c r="H209" s="12" t="inlineStr">
        <is>
          <t>IC</t>
        </is>
      </c>
      <c r="I209" s="42" t="inlineStr">
        <is>
          <t>L3 – Professional / Associate</t>
        </is>
      </c>
      <c r="J209" s="16" t="inlineStr">
        <is>
          <t>A3</t>
        </is>
      </c>
      <c r="K209" s="17" t="inlineStr">
        <is>
          <t>Senior Associate</t>
        </is>
      </c>
      <c r="L209" s="87" t="inlineStr">
        <is>
          <t>▲ Up</t>
        </is>
      </c>
      <c r="M209" s="12" t="inlineStr">
        <is>
          <t>CARBON · Technology · Band A · Early career</t>
        </is>
      </c>
      <c r="N209" s="42" t="n">
        <v>2.5</v>
      </c>
      <c r="O209" s="42" t="n">
        <v>3</v>
      </c>
      <c r="P209" s="42" t="n">
        <v>3.5</v>
      </c>
      <c r="Q209" s="42" t="n">
        <v>3.5</v>
      </c>
      <c r="R209" s="42" t="n">
        <v>4</v>
      </c>
      <c r="S209" s="80" t="n">
        <v>3.5</v>
      </c>
      <c r="T209" s="81">
        <f>IF(OR($M209="",COUNT(N209,O209,P209,Q209,R209,S209)&lt;6),"",IFERROR(N209*INDEX(WM_C,MATCH($M209,WM_KEY,0))+O209*INDEX(WM_AU,MATCH($M209,WM_KEY,0))+P209*INDEX(WM_AC,MATCH($M209,WM_KEY,0))+Q209*INDEX(WM_L,MATCH($M209,WM_KEY,0))+R209*INDEX(WM_E,MATCH($M209,WM_KEY,0))+S209*INDEX(WM_BI,MATCH($M209,WM_KEY,0)),""))</f>
        <v>2.83</v>
      </c>
      <c r="U209" s="42" t="str">
        <f>IF(T209="","",INDEX({"A1","A2","A3","B1","B2","B3","C1","C2","D1","D2","E1","E2"},MAX(1,MIN(12,ROUND(T209,0)))))</f>
        <v>A3</v>
      </c>
      <c r="V209" s="12" t="inlineStr">
        <is>
          <r>
            <rPr>
              <rFont val="Calibri"/>
              <sz val="10"/>
            </rPr>
            <t xml:space="preserve">New level A3 · Senior Associate. Current level on record: L3 – Professional / Associate. Change: ▲ Up.
Score 2.83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09" s="12" t="inlineStr">
        <is>
          <r>
            <rPr>
              <rFont val="Calibri"/>
              <b val="1"/>
              <sz val="10"/>
            </rPr>
            <t>Complexity &amp; Expertise:</t>
          </r>
          <r>
            <rPr>
              <rFont val="Calibri"/>
              <sz val="10"/>
            </rPr>
            <t xml:space="preserve"> 2.5 of 12 · between A2 and A3 — Start: 2.0 · practitioner title; Evidence reads like A3: Office JS features, ad-hoc features, live issues, sprint delivery planning; resolves edge cases upfront → moved up 0.5; KRA: “1.Deliver ≥ 95% committed MS 365 / Office Add-in tasks within agreed timelines with high-quality implementation. 2.Improve platform…”
</t>
          </r>
          <r>
            <rPr>
              <rFont val="Calibri"/>
              <b val="1"/>
              <sz val="10"/>
            </rPr>
            <t>Autonomy &amp; Decision:</t>
          </r>
          <r>
            <rPr>
              <rFont val="Calibri"/>
              <sz val="10"/>
            </rPr>
            <t xml:space="preserve"> 3 of 12 — Start: 3.0 · practitioner title; reporting lines show a bigger role: 2 direct reports; Evidence reads like A3: Decides technical R&amp;D and product optimisation independently → matches the start
</t>
          </r>
          <r>
            <rPr>
              <rFont val="Calibri"/>
              <b val="1"/>
              <sz val="10"/>
            </rPr>
            <t>Accountability &amp; Impact:</t>
          </r>
          <r>
            <rPr>
              <rFont val="Calibri"/>
              <sz val="10"/>
            </rPr>
            <t xml:space="preserve"> 3.5 of 12 · between A3 and B1 — Start: 4.0 · practitioner title; 2 direct reports; Evidence reads like A3: Production-ready features end to end, delivered on time → moved down 0.5; KRA: “1.Deliver ≥ 95% committed MS 365 / Office Add-in tasks within agreed timelines with high-quality implementation. 2.Improve platform…”
</t>
          </r>
          <r>
            <rPr>
              <rFont val="Calibri"/>
              <b val="1"/>
              <sz val="10"/>
            </rPr>
            <t>Leadership &amp; Strategy:</t>
          </r>
          <r>
            <rPr>
              <rFont val="Calibri"/>
              <sz val="10"/>
            </rPr>
            <t xml:space="preserve"> 3.5 of 12 · between A3 and B1 — not counted: the weight is 0% at this level — Start: 4.0; Evidence reads like A3: Lists sprint delivery planning, team management and cross-team work; 2 reports → moved down 0.5; Team: 2 direct reports · IC
</t>
          </r>
          <r>
            <rPr>
              <rFont val="Calibri"/>
              <b val="1"/>
              <sz val="10"/>
            </rPr>
            <t>Experience &amp; Qualification:</t>
          </r>
          <r>
            <rPr>
              <rFont val="Calibri"/>
              <sz val="10"/>
            </rPr>
            <t xml:space="preserve"> 4 of 12 — Experience: 4.6 yrs total · 0.5 before IRIS + 4.1 at IRIS = 3.6 on the experience scale; Qualification: MSc · postgraduate, relevant to the work → +0.5
</t>
          </r>
          <r>
            <rPr>
              <rFont val="Calibri"/>
              <b val="1"/>
              <sz val="10"/>
            </rPr>
            <t>Business Impact:</t>
          </r>
          <r>
            <rPr>
              <rFont val="Calibri"/>
              <sz val="10"/>
            </rPr>
            <t xml:space="preserve"> 3.5 of 12 — a starting estimate. — Start: 3.5, the role's accountability scope — what it answers for.; No survey or manager-mapping signal on criticality: kept at the start point.; Managers and heads: overwrite this rating on the Weightage sheet with the business impact you see — the score updates at once.; Ladder: A3 = A process or client deliverable depends on this work · B1 = Moves a module's, product area's or client account's results</t>
          </r>
        </is>
      </c>
      <c r="X209"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09" s="12" t="inlineStr">
        <is>
          <r>
            <rPr>
              <rFont val="Calibri"/>
              <sz val="10"/>
            </rPr>
            <t xml:space="preserve">✓ HRIS: 4.6 yrs, MSc, 2 direct reports
✓ Survey: 20 of 20 questions answered
✓ KRAs: submitted, reported deliverables
✓ Manager mapping: rating, 9-box
✗ Job description: not on file
</t>
          </r>
          <r>
            <rPr>
              <rFont val="Calibri"/>
              <b val="1"/>
              <sz val="10"/>
            </rPr>
            <t>Confidence:</t>
          </r>
          <r>
            <rPr>
              <rFont val="Calibri"/>
              <sz val="10"/>
            </rPr>
            <t xml:space="preserve"> Low</t>
          </r>
        </is>
      </c>
      <c r="Z209" s="12" t="inlineStr">
        <is>
          <t>—</t>
        </is>
      </c>
      <c r="AA209" s="83" t="inlineStr">
        <is>
          <t>• Confirm the reporting line — Manager</t>
        </is>
      </c>
      <c r="AB209"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3.5 of 12 · B1-level impact.
Leads 2 direct reports.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year · coverage · code · quality · deliver · assigned.
Manager talent mapping — Latest rating: Not rated · manager · 9-Box Grid placement: Not placed · manager.</t>
          </r>
        </is>
      </c>
      <c r="AC209" s="84" t="n"/>
      <c r="AD209" s="84" t="n"/>
      <c r="AE209" s="84" t="n"/>
      <c r="AF209" s="12" t="n">
        <v>3.5</v>
      </c>
    </row>
    <row r="210" ht="400" customHeight="1">
      <c r="A210" s="12" t="inlineStr">
        <is>
          <t>IRIS2281</t>
        </is>
      </c>
      <c r="B210" s="10" t="inlineStr">
        <is>
          <t>Riya Parekh</t>
        </is>
      </c>
      <c r="C210" s="12" t="inlineStr">
        <is>
          <t>Technology</t>
        </is>
      </c>
      <c r="D210" s="12" t="inlineStr">
        <is>
          <t>Software Engineer</t>
        </is>
      </c>
      <c r="E210" s="85" t="inlineStr">
        <is>
          <t>Senior Software Engineer</t>
        </is>
      </c>
      <c r="F210" s="12" t="inlineStr">
        <is>
          <t>Engineering &amp; Development</t>
        </is>
      </c>
      <c r="G210" s="12" t="inlineStr">
        <is>
          <t>Full-Stack Development</t>
        </is>
      </c>
      <c r="H210" s="12" t="inlineStr">
        <is>
          <t>IC</t>
        </is>
      </c>
      <c r="I210" s="42" t="inlineStr">
        <is>
          <t>L3 – Professional / Associate</t>
        </is>
      </c>
      <c r="J210" s="16" t="inlineStr">
        <is>
          <t>A3</t>
        </is>
      </c>
      <c r="K210" s="17" t="inlineStr">
        <is>
          <t>Senior Associate</t>
        </is>
      </c>
      <c r="L210" s="87" t="inlineStr">
        <is>
          <t>▲ Up</t>
        </is>
      </c>
      <c r="M210" s="12" t="inlineStr">
        <is>
          <t>CARBON · Technology · Band A · Early career</t>
        </is>
      </c>
      <c r="N210" s="42" t="n">
        <v>2.5</v>
      </c>
      <c r="O210" s="42" t="n">
        <v>2</v>
      </c>
      <c r="P210" s="42" t="n">
        <v>2.5</v>
      </c>
      <c r="Q210" s="42" t="n">
        <v>1</v>
      </c>
      <c r="R210" s="42" t="n">
        <v>2.5</v>
      </c>
      <c r="S210" s="80" t="n">
        <v>2.5</v>
      </c>
      <c r="T210" s="81">
        <f>IF(OR($M210="",COUNT(N210,O210,P210,Q210,R210,S210)&lt;6),"",IFERROR(N210*INDEX(WM_C,MATCH($M210,WM_KEY,0))+O210*INDEX(WM_AU,MATCH($M210,WM_KEY,0))+P210*INDEX(WM_AC,MATCH($M210,WM_KEY,0))+Q210*INDEX(WM_L,MATCH($M210,WM_KEY,0))+R210*INDEX(WM_E,MATCH($M210,WM_KEY,0))+S210*INDEX(WM_BI,MATCH($M210,WM_KEY,0)),""))</f>
        <v>2.42</v>
      </c>
      <c r="U210" s="42" t="str">
        <f>IF(T210="","",INDEX({"A1","A2","A3","B1","B2","B3","C1","C2","D1","D2","E1","E2"},MAX(1,MIN(12,ROUND(T210,0)))))</f>
        <v>A2</v>
      </c>
      <c r="V210" s="12" t="inlineStr">
        <is>
          <r>
            <rPr>
              <rFont val="Calibri"/>
              <sz val="10"/>
            </rPr>
            <t xml:space="preserve">New level A3 · Senior Associate. Current level on record: L3 – Professional / Associate. Change: ▲ Up.
Score 2.42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2.2 years' experience is 2 years or more.
</t>
          </r>
          <r>
            <rPr>
              <rFont val="Calibri"/>
              <b val="1"/>
              <sz val="10"/>
            </rPr>
            <t>Final level:</t>
          </r>
          <r>
            <rPr>
              <rFont val="Calibri"/>
              <sz val="10"/>
            </rPr>
            <t xml:space="preserve"> A3.</t>
          </r>
        </is>
      </c>
      <c r="W210" s="12" t="inlineStr">
        <is>
          <r>
            <rPr>
              <rFont val="Calibri"/>
              <b val="1"/>
              <sz val="10"/>
            </rPr>
            <t>Complexity &amp; Expertise:</t>
          </r>
          <r>
            <rPr>
              <rFont val="Calibri"/>
              <sz val="10"/>
            </rPr>
            <t xml:space="preserve"> 2.5 of 12 · between A2 and A3 — Start: 2.0 · practitioner title; Evidence reads like A3: Backend APIs, data models and API performance optimisation patterns; one of few doing optimisation → moved up 0.5; KRA: “1.Deliver ≥ 95% committed backend/API tasks within agreed timelines with high-quality implementation. 2.Strengthen backend engineering…”
</t>
          </r>
          <r>
            <rPr>
              <rFont val="Calibri"/>
              <b val="1"/>
              <sz val="10"/>
            </rPr>
            <t>Autonomy &amp; Decision:</t>
          </r>
          <r>
            <rPr>
              <rFont val="Calibri"/>
              <sz val="10"/>
            </rPr>
            <t xml:space="preserve"> 2 of 12 — Start: 2.0 · practitioner title; Evidence reads like A2: Decides API optimisation within own backend work → matches the start
</t>
          </r>
          <r>
            <rPr>
              <rFont val="Calibri"/>
              <b val="1"/>
              <sz val="10"/>
            </rPr>
            <t>Accountability &amp; Impact:</t>
          </r>
          <r>
            <rPr>
              <rFont val="Calibri"/>
              <sz val="10"/>
            </rPr>
            <t xml:space="preserve"> 2.5 of 12 · between A2 and A3 — Start: 2.0 · practitioner title; Evidence reads like A3: API performance under multiple users and backend structure; slowness reaches clients → moved up 0.5; KRA: “1.Deliver ≥ 95% committed backend/API tasks within agreed timelines with high-quality implementation. 2.Strengthen backend engineering…”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2.5 of 12 · between A2 and A3 — Experience: 2.2 yrs total · 2.2 at IRIS; none recorded before IRIS = 2.6 on the experience scale; Qualification: Bachelor of Science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10"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10" s="12" t="inlineStr">
        <is>
          <r>
            <rPr>
              <rFont val="Calibri"/>
              <sz val="10"/>
            </rPr>
            <t xml:space="preserve">✓ HRIS: 2.2 yrs, Bachelor of Science, 0 direct reports
✓ Survey: 20 of 20 questions answered
✓ KRAs: submitted, reported deliverables
✓ Manager mapping: rating, 9-box
✗ Job description: not on file
</t>
          </r>
          <r>
            <rPr>
              <rFont val="Calibri"/>
              <b val="1"/>
              <sz val="10"/>
            </rPr>
            <t>Confidence:</t>
          </r>
          <r>
            <rPr>
              <rFont val="Calibri"/>
              <sz val="10"/>
            </rPr>
            <t xml:space="preserve"> Medium</t>
          </r>
        </is>
      </c>
      <c r="Z210" s="82" t="inlineStr">
        <is>
          <r>
            <rPr>
              <rFont val="Calibri"/>
              <color rgb="009C5700"/>
              <sz val="10"/>
            </rPr>
            <t xml:space="preserve">• </t>
          </r>
          <r>
            <rPr>
              <rFont val="Calibri"/>
              <b val="1"/>
              <color rgb="009C5700"/>
              <sz val="10"/>
            </rPr>
            <t>Near a gate:</t>
          </r>
          <r>
            <rPr>
              <rFont val="Calibri"/>
              <color rgb="009C5700"/>
              <sz val="10"/>
            </rPr>
            <t xml:space="preserve"> Band A experience rule: 2.2 yrs is within three months of the 1- or 2-year threshold</t>
          </r>
        </is>
      </c>
      <c r="AA210" s="12" t="inlineStr">
        <is>
          <t>Nothing outstanding</t>
        </is>
      </c>
      <c r="AB210"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delays · impact · rework.
</t>
          </r>
          <r>
            <rPr>
              <rFont val="Calibri"/>
              <b val="1"/>
              <sz val="10"/>
            </rPr>
            <t>Measured on · manager-set KRA themes:</t>
          </r>
          <r>
            <rPr>
              <rFont val="Calibri"/>
              <sz val="10"/>
            </rPr>
            <t xml:space="preserve"> complete · improve · code quality · assigned · year · deliver.
Manager talent mapping — Latest rating: Not rated · manager · 9-Box Grid placement: Not placed · manager.</t>
          </r>
        </is>
      </c>
      <c r="AC210" s="84" t="n"/>
      <c r="AD210" s="84" t="n"/>
      <c r="AE210" s="84" t="n"/>
      <c r="AF210" s="12" t="n">
        <v>2.5</v>
      </c>
    </row>
    <row r="211" ht="400" customHeight="1">
      <c r="A211" s="12" t="inlineStr">
        <is>
          <t>IRIS2159</t>
        </is>
      </c>
      <c r="B211" s="10" t="inlineStr">
        <is>
          <t>Rushali Patel</t>
        </is>
      </c>
      <c r="C211" s="12" t="inlineStr">
        <is>
          <t>Technology</t>
        </is>
      </c>
      <c r="D211" s="12" t="inlineStr">
        <is>
          <t>Software Engineer</t>
        </is>
      </c>
      <c r="E211" s="85" t="inlineStr">
        <is>
          <t>Senior UI Developer</t>
        </is>
      </c>
      <c r="F211" s="12" t="inlineStr">
        <is>
          <t>Engineering &amp; Development</t>
        </is>
      </c>
      <c r="G211" s="12" t="inlineStr">
        <is>
          <t>Front-End / UI Development</t>
        </is>
      </c>
      <c r="H211" s="12" t="inlineStr">
        <is>
          <t>IC</t>
        </is>
      </c>
      <c r="I211" s="42" t="inlineStr">
        <is>
          <t>L3 – Professional / Associate</t>
        </is>
      </c>
      <c r="J211" s="16" t="inlineStr">
        <is>
          <t>A3</t>
        </is>
      </c>
      <c r="K211" s="17" t="inlineStr">
        <is>
          <t>Senior Associate</t>
        </is>
      </c>
      <c r="L211" s="87" t="inlineStr">
        <is>
          <t>▲ Up</t>
        </is>
      </c>
      <c r="M211" s="12" t="inlineStr">
        <is>
          <t>CARBON · Technology · Band A · Early career</t>
        </is>
      </c>
      <c r="N211" s="42" t="n">
        <v>2</v>
      </c>
      <c r="O211" s="42" t="n">
        <v>2</v>
      </c>
      <c r="P211" s="42" t="n">
        <v>2</v>
      </c>
      <c r="Q211" s="42" t="n">
        <v>1</v>
      </c>
      <c r="R211" s="42" t="n">
        <v>3.5</v>
      </c>
      <c r="S211" s="80" t="n">
        <v>2</v>
      </c>
      <c r="T211" s="81">
        <f>IF(OR($M211="",COUNT(N211,O211,P211,Q211,R211,S211)&lt;6),"",IFERROR(N211*INDEX(WM_C,MATCH($M211,WM_KEY,0))+O211*INDEX(WM_AU,MATCH($M211,WM_KEY,0))+P211*INDEX(WM_AC,MATCH($M211,WM_KEY,0))+Q211*INDEX(WM_L,MATCH($M211,WM_KEY,0))+R211*INDEX(WM_E,MATCH($M211,WM_KEY,0))+S211*INDEX(WM_BI,MATCH($M211,WM_KEY,0)),""))</f>
        <v>2.15</v>
      </c>
      <c r="U211" s="42" t="str">
        <f>IF(T211="","",INDEX({"A1","A2","A3","B1","B2","B3","C1","C2","D1","D2","E1","E2"},MAX(1,MIN(12,ROUND(T211,0)))))</f>
        <v>A2</v>
      </c>
      <c r="V211"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3.2 years' experience is 2 years or more.
</t>
          </r>
          <r>
            <rPr>
              <rFont val="Calibri"/>
              <b val="1"/>
              <sz val="10"/>
            </rPr>
            <t>Final level:</t>
          </r>
          <r>
            <rPr>
              <rFont val="Calibri"/>
              <sz val="10"/>
            </rPr>
            <t xml:space="preserve"> A3.</t>
          </r>
        </is>
      </c>
      <c r="W211" s="12" t="inlineStr">
        <is>
          <r>
            <rPr>
              <rFont val="Calibri"/>
              <b val="1"/>
              <sz val="10"/>
            </rPr>
            <t>Complexity &amp; Expertise:</t>
          </r>
          <r>
            <rPr>
              <rFont val="Calibri"/>
              <sz val="10"/>
            </rPr>
            <t xml:space="preserve"> 2 of 12 — Start: 2.0 · practitioner title; Evidence reads like A2: Develops user stories and bug fixes in React; still learning backend → matches the start; KRA: “1.Deliver ≥ 95% committed frontend/full-stack tasks within agreed timelines with high-quality implementation. 2.Strengthen frontend…”
</t>
          </r>
          <r>
            <rPr>
              <rFont val="Calibri"/>
              <b val="1"/>
              <sz val="10"/>
            </rPr>
            <t>Autonomy &amp; Decision:</t>
          </r>
          <r>
            <rPr>
              <rFont val="Calibri"/>
              <sz val="10"/>
            </rPr>
            <t xml:space="preserve"> 2 of 12 — Start: 2.0 · practitioner title; Evidence reads like A2: Only 'understand the problem' given as independent decision → matches the start
</t>
          </r>
          <r>
            <rPr>
              <rFont val="Calibri"/>
              <b val="1"/>
              <sz val="10"/>
            </rPr>
            <t>Accountability &amp; Impact:</t>
          </r>
          <r>
            <rPr>
              <rFont val="Calibri"/>
              <sz val="10"/>
            </rPr>
            <t xml:space="preserve"> 2 of 12 — Start: 2.0 · practitioner title; Evidence reads like A2: User story development and bug fixes; errors cause delay and rework → matches the start; KRA: “1.Deliver ≥ 95% committed frontend/full-stack tasks within agreed timelines with high-quality implementation. 2.Strengthen frontend…”
</t>
          </r>
          <r>
            <rPr>
              <rFont val="Calibri"/>
              <b val="1"/>
              <sz val="10"/>
            </rPr>
            <t>Leadership &amp; Strategy:</t>
          </r>
          <r>
            <rPr>
              <rFont val="Calibri"/>
              <sz val="10"/>
            </rPr>
            <t xml:space="preserve"> 1 of 12 — not counted: the weight is 0% at this level — Start: 1.0 · individual contributor, so influence only; Evidence reads like A1: No guidance of others described → matches the start; Team: 0 direct reports · IC
</t>
          </r>
          <r>
            <rPr>
              <rFont val="Calibri"/>
              <b val="1"/>
              <sz val="10"/>
            </rPr>
            <t>Experience &amp; Qualification:</t>
          </r>
          <r>
            <rPr>
              <rFont val="Calibri"/>
              <sz val="10"/>
            </rPr>
            <t xml:space="preserve"> 3.5 of 12 · between A3 and B1 — Experience: 3.2 yrs total · 3.2 at IRIS; none recorded before IRIS = 3.1 on the experience scale; Qualification: MSc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11"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11" s="12" t="inlineStr">
        <is>
          <r>
            <rPr>
              <rFont val="Calibri"/>
              <sz val="10"/>
            </rPr>
            <t xml:space="preserve">✓ HRIS: 3.2 yrs, MSc,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211" s="12" t="inlineStr">
        <is>
          <t>—</t>
        </is>
      </c>
      <c r="AA211" s="12" t="inlineStr">
        <is>
          <t>Nothing outstanding</t>
        </is>
      </c>
      <c r="AB211"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Future Leader.</t>
          </r>
        </is>
      </c>
      <c r="AC211" s="84" t="n"/>
      <c r="AD211" s="84" t="n"/>
      <c r="AE211" s="84" t="n"/>
      <c r="AF211" s="12" t="n">
        <v>2</v>
      </c>
    </row>
    <row r="212" ht="400" customHeight="1">
      <c r="A212" s="12" t="inlineStr">
        <is>
          <t>IRIS2406</t>
        </is>
      </c>
      <c r="B212" s="10" t="inlineStr">
        <is>
          <t>Saurabh Kadam</t>
        </is>
      </c>
      <c r="C212" s="12" t="inlineStr">
        <is>
          <t>Technology</t>
        </is>
      </c>
      <c r="D212" s="12" t="inlineStr">
        <is>
          <t>Software Engineer - AI/ML</t>
        </is>
      </c>
      <c r="E212" s="85" t="inlineStr">
        <is>
          <t>Senior AI/ML Engineer</t>
        </is>
      </c>
      <c r="F212" s="12" t="inlineStr">
        <is>
          <t>Engineering &amp; Development</t>
        </is>
      </c>
      <c r="G212" s="12" t="inlineStr">
        <is>
          <t>AI / ML &amp; GenAI Engineering</t>
        </is>
      </c>
      <c r="H212" s="12" t="inlineStr">
        <is>
          <t>IC</t>
        </is>
      </c>
      <c r="I212" s="42" t="inlineStr">
        <is>
          <t>L3 – Professional / Associate</t>
        </is>
      </c>
      <c r="J212" s="16" t="inlineStr">
        <is>
          <t>A3</t>
        </is>
      </c>
      <c r="K212" s="17" t="inlineStr">
        <is>
          <t>Senior Associate</t>
        </is>
      </c>
      <c r="L212" s="87" t="inlineStr">
        <is>
          <t>▲ Up</t>
        </is>
      </c>
      <c r="M212" s="12" t="inlineStr">
        <is>
          <t>CARBON · Technology · Band A · Early career</t>
        </is>
      </c>
      <c r="N212" s="42" t="n">
        <v>2</v>
      </c>
      <c r="O212" s="42" t="n">
        <v>2</v>
      </c>
      <c r="P212" s="42" t="n">
        <v>2</v>
      </c>
      <c r="Q212" s="42" t="n">
        <v>1</v>
      </c>
      <c r="R212" s="42" t="n">
        <v>3.5</v>
      </c>
      <c r="S212" s="80" t="n">
        <v>2</v>
      </c>
      <c r="T212" s="81">
        <f>IF(OR($M212="",COUNT(N212,O212,P212,Q212,R212,S212)&lt;6),"",IFERROR(N212*INDEX(WM_C,MATCH($M212,WM_KEY,0))+O212*INDEX(WM_AU,MATCH($M212,WM_KEY,0))+P212*INDEX(WM_AC,MATCH($M212,WM_KEY,0))+Q212*INDEX(WM_L,MATCH($M212,WM_KEY,0))+R212*INDEX(WM_E,MATCH($M212,WM_KEY,0))+S212*INDEX(WM_BI,MATCH($M212,WM_KEY,0)),""))</f>
        <v>2.15</v>
      </c>
      <c r="U212" s="42" t="str">
        <f>IF(T212="","",INDEX({"A1","A2","A3","B1","B2","B3","C1","C2","D1","D2","E1","E2"},MAX(1,MIN(12,ROUND(T212,0)))))</f>
        <v>A2</v>
      </c>
      <c r="V212" s="12" t="inlineStr">
        <is>
          <r>
            <rPr>
              <rFont val="Calibri"/>
              <sz val="10"/>
            </rPr>
            <t xml:space="preserve">New level A3 · Senior Associate. Current level on record: L3 – Professional / Associate. Change: ▲ Up.
Score 2.15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3.2 years' experience is 2 years or more.
</t>
          </r>
          <r>
            <rPr>
              <rFont val="Calibri"/>
              <b val="1"/>
              <sz val="10"/>
            </rPr>
            <t>Final level:</t>
          </r>
          <r>
            <rPr>
              <rFont val="Calibri"/>
              <sz val="10"/>
            </rPr>
            <t xml:space="preserve"> A3.</t>
          </r>
        </is>
      </c>
      <c r="W212" s="12" t="inlineStr">
        <is>
          <r>
            <rPr>
              <rFont val="Calibri"/>
              <b val="1"/>
              <sz val="10"/>
            </rPr>
            <t>Complexity &amp; Expertise:</t>
          </r>
          <r>
            <rPr>
              <rFont val="Calibri"/>
              <sz val="10"/>
            </rPr>
            <t xml:space="preserve"> 2 of 12 — Start: 2.0 · practitioner title; Evidence: no survey answers or KRAs on file → rating stays at the start; KRA: “1.Improve AI/ML fundamentals by successfully completing training in machine learning, deep learning, model evaluation, and fine-tuning…”
</t>
          </r>
          <r>
            <rPr>
              <rFont val="Calibri"/>
              <b val="1"/>
              <sz val="10"/>
            </rPr>
            <t>Autonomy &amp; Decision:</t>
          </r>
          <r>
            <rPr>
              <rFont val="Calibri"/>
              <sz val="10"/>
            </rPr>
            <t xml:space="preserve"> 2 of 12 — Start: 2.0 · practitioner title; Evidence: no survey answers or KRAs on file → rating stays at the start
</t>
          </r>
          <r>
            <rPr>
              <rFont val="Calibri"/>
              <b val="1"/>
              <sz val="10"/>
            </rPr>
            <t>Accountability &amp; Impact:</t>
          </r>
          <r>
            <rPr>
              <rFont val="Calibri"/>
              <sz val="10"/>
            </rPr>
            <t xml:space="preserve"> 2 of 12 — Start: 2.0 · practitioner title; Evidence: no survey answers or KRAs on file → rating stays at the start; KRA: “1.Improve AI/ML fundamentals by successfully completing training in machine learning, deep learning, model evaluation, and fine-tuning…”
</t>
          </r>
          <r>
            <rPr>
              <rFont val="Calibri"/>
              <b val="1"/>
              <sz val="10"/>
            </rPr>
            <t>Leadership &amp; Strategy:</t>
          </r>
          <r>
            <rPr>
              <rFont val="Calibri"/>
              <sz val="10"/>
            </rPr>
            <t xml:space="preserve"> 1 of 12 — not counted: the weight is 0% at this level — Start: 1.0 · individual contributor, so influence only; Evidence: no survey answers or KRAs on file → rating stays at the start; Team: 0 direct reports · IC
</t>
          </r>
          <r>
            <rPr>
              <rFont val="Calibri"/>
              <b val="1"/>
              <sz val="10"/>
            </rPr>
            <t>Experience &amp; Qualification:</t>
          </r>
          <r>
            <rPr>
              <rFont val="Calibri"/>
              <sz val="10"/>
            </rPr>
            <t xml:space="preserve"> 3.5 of 12 · between A3 and B1 — Experience: 3.2 yrs total · 2.0 before IRIS + 1.2 at IRIS = 3.1 on the experience scale; Qualification: M.Sc · postgraduate, relevant to the work → +0.5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12"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12" s="12" t="inlineStr">
        <is>
          <r>
            <rPr>
              <rFont val="Calibri"/>
              <sz val="10"/>
            </rPr>
            <t xml:space="preserve">✓ HRIS: 3.2 yrs, M.Sc, 0 direct reports
✗ Survey: no response
✓ KRAs: submitted
✓ Manager mapping: rating, potential, 9-box
✗ Job description: not on file
</t>
          </r>
          <r>
            <rPr>
              <rFont val="Calibri"/>
              <b val="1"/>
              <sz val="10"/>
            </rPr>
            <t>Confidence:</t>
          </r>
          <r>
            <rPr>
              <rFont val="Calibri"/>
              <sz val="10"/>
            </rPr>
            <t xml:space="preserve"> Low</t>
          </r>
        </is>
      </c>
      <c r="Z212" s="12" t="inlineStr">
        <is>
          <t>—</t>
        </is>
      </c>
      <c r="AA212" s="12" t="inlineStr">
        <is>
          <t>Nothing outstanding</t>
        </is>
      </c>
      <c r="AB212"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cause.
Manager talent mapping — Latest rating: 4 · Potential: High · 9-Box Grid placement: Trusted Professional.</t>
          </r>
        </is>
      </c>
      <c r="AC212" s="84" t="n"/>
      <c r="AD212" s="84" t="n"/>
      <c r="AE212" s="84" t="n"/>
      <c r="AF212" s="12" t="n">
        <v>2</v>
      </c>
    </row>
    <row r="213" ht="400" customHeight="1">
      <c r="A213" s="12" t="inlineStr">
        <is>
          <t>IRIS2375</t>
        </is>
      </c>
      <c r="B213" s="10" t="inlineStr">
        <is>
          <t>Shubham Baban Jagtap</t>
        </is>
      </c>
      <c r="C213" s="12" t="inlineStr">
        <is>
          <t>Technology</t>
        </is>
      </c>
      <c r="D213" s="12" t="inlineStr">
        <is>
          <t>Software Engineer</t>
        </is>
      </c>
      <c r="E213" s="85" t="inlineStr">
        <is>
          <t>Senior UI Developer</t>
        </is>
      </c>
      <c r="F213" s="12" t="inlineStr">
        <is>
          <t>Engineering &amp; Development</t>
        </is>
      </c>
      <c r="G213" s="12" t="inlineStr">
        <is>
          <t>Front-End / UI Development</t>
        </is>
      </c>
      <c r="H213" s="12" t="inlineStr">
        <is>
          <t>IC</t>
        </is>
      </c>
      <c r="I213" s="42" t="inlineStr">
        <is>
          <t>L3 – Professional / Associate</t>
        </is>
      </c>
      <c r="J213" s="16" t="inlineStr">
        <is>
          <t>A3</t>
        </is>
      </c>
      <c r="K213" s="17" t="inlineStr">
        <is>
          <t>Senior Associate</t>
        </is>
      </c>
      <c r="L213" s="87" t="inlineStr">
        <is>
          <t>▲ Up</t>
        </is>
      </c>
      <c r="M213" s="12" t="inlineStr">
        <is>
          <t>CARBON · Technology · Band A · Early career</t>
        </is>
      </c>
      <c r="N213" s="42" t="n">
        <v>2.5</v>
      </c>
      <c r="O213" s="42" t="n">
        <v>2</v>
      </c>
      <c r="P213" s="42" t="n">
        <v>2.5</v>
      </c>
      <c r="Q213" s="42" t="n">
        <v>1</v>
      </c>
      <c r="R213" s="42" t="n">
        <v>4</v>
      </c>
      <c r="S213" s="80" t="n">
        <v>2.5</v>
      </c>
      <c r="T213" s="81">
        <f>IF(OR($M213="",COUNT(N213,O213,P213,Q213,R213,S213)&lt;6),"",IFERROR(N213*INDEX(WM_C,MATCH($M213,WM_KEY,0))+O213*INDEX(WM_AU,MATCH($M213,WM_KEY,0))+P213*INDEX(WM_AC,MATCH($M213,WM_KEY,0))+Q213*INDEX(WM_L,MATCH($M213,WM_KEY,0))+R213*INDEX(WM_E,MATCH($M213,WM_KEY,0))+S213*INDEX(WM_BI,MATCH($M213,WM_KEY,0)),""))</f>
        <v>2.57</v>
      </c>
      <c r="U213" s="42" t="str">
        <f>IF(T213="","",INDEX({"A1","A2","A3","B1","B2","B3","C1","C2","D1","D2","E1","E2"},MAX(1,MIN(12,ROUND(T213,0)))))</f>
        <v>A3</v>
      </c>
      <c r="V213" s="12" t="inlineStr">
        <is>
          <r>
            <rPr>
              <rFont val="Calibri"/>
              <sz val="10"/>
            </rPr>
            <t xml:space="preserve">New level A3 · Senior Associate. Current level on record: L3 – Professional / Associate. Change: ▲ Up.
Score 2.57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3" s="12" t="inlineStr">
        <is>
          <r>
            <rPr>
              <rFont val="Calibri"/>
              <b val="1"/>
              <sz val="10"/>
            </rPr>
            <t>Complexity &amp; Expertise:</t>
          </r>
          <r>
            <rPr>
              <rFont val="Calibri"/>
              <sz val="10"/>
            </rPr>
            <t xml:space="preserve"> 2.5 of 12 · between A2 and A3 — Start: 2.0 · practitioner title; Evidence: rated like 36 colleagues in the same role and department · own answers too general to rate → moved +0.5; KRA: “1. Deliver ≥ 90% committed sprint tasks within agreed timelines with high-quality execution and minimal dependency. 2. Build strong…”
</t>
          </r>
          <r>
            <rPr>
              <rFont val="Calibri"/>
              <b val="1"/>
              <sz val="10"/>
            </rPr>
            <t>Autonomy &amp; Decision:</t>
          </r>
          <r>
            <rPr>
              <rFont val="Calibri"/>
              <sz val="10"/>
            </rPr>
            <t xml:space="preserve"> 2 of 12 — Start: 2.0 · practitioner title; Evidence: rated like 36 colleagues in the same role and department · own answers too general to rate → no change
</t>
          </r>
          <r>
            <rPr>
              <rFont val="Calibri"/>
              <b val="1"/>
              <sz val="10"/>
            </rPr>
            <t>Accountability &amp; Impact:</t>
          </r>
          <r>
            <rPr>
              <rFont val="Calibri"/>
              <sz val="10"/>
            </rPr>
            <t xml:space="preserve"> 2.5 of 12 · between A2 and A3 — Start: 2.0 · practitioner title; Evidence: rated like 36 colleagues in the same role and department · own answers too general to rate → moved +0.5; KRA: “1. Deliver ≥ 90% committed sprint tasks within agreed timelines with high-quality execution and minimal dependency. 2. Build strong…”
</t>
          </r>
          <r>
            <rPr>
              <rFont val="Calibri"/>
              <b val="1"/>
              <sz val="10"/>
            </rPr>
            <t>Leadership &amp; Strategy:</t>
          </r>
          <r>
            <rPr>
              <rFont val="Calibri"/>
              <sz val="10"/>
            </rPr>
            <t xml:space="preserve"> 1 of 12 — not counted: the weight is 0% at this level — Start: 1.0 · individual contributor, so influence only; Evidence: rated like 36 colleagues in the same role and department · own answers too general to rate → no change; Team: 0 direct reports · IC
</t>
          </r>
          <r>
            <rPr>
              <rFont val="Calibri"/>
              <b val="1"/>
              <sz val="10"/>
            </rPr>
            <t>Experience &amp; Qualification:</t>
          </r>
          <r>
            <rPr>
              <rFont val="Calibri"/>
              <sz val="10"/>
            </rPr>
            <t xml:space="preserve"> 4 of 12 — Experience: 5.1 yrs total · 3.7 before IRIS + 1.4 at IRIS = 3.8 on the experience scale; Qualification: B.E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13"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13" s="12" t="inlineStr">
        <is>
          <r>
            <rPr>
              <rFont val="Calibri"/>
              <sz val="10"/>
            </rPr>
            <t xml:space="preserve">✓ HRIS: 5.1 yrs, B.E, 0 direct reports
✓ Survey: 19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Low</t>
          </r>
        </is>
      </c>
      <c r="Z213" s="12" t="inlineStr">
        <is>
          <t>—</t>
        </is>
      </c>
      <c r="AA213" s="12" t="inlineStr">
        <is>
          <t>Nothing outstanding</t>
        </is>
      </c>
      <c r="AB213"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impact · delivery · performance · overall.
</t>
          </r>
          <r>
            <rPr>
              <rFont val="Calibri"/>
              <b val="1"/>
              <sz val="10"/>
            </rPr>
            <t>Measured on · manager-set KRA themes:</t>
          </r>
          <r>
            <rPr>
              <rFont val="Calibri"/>
              <sz val="10"/>
            </rPr>
            <t xml:space="preserve"> components · sprint · code · coverage · quality · maintain.
Manager talent mapping — Latest rating: Not rated · manager · 9-Box Grid placement: Future Leader.</t>
          </r>
        </is>
      </c>
      <c r="AC213" s="84" t="n"/>
      <c r="AD213" s="84" t="n"/>
      <c r="AE213" s="84" t="n"/>
      <c r="AF213" s="12" t="n">
        <v>2.5</v>
      </c>
    </row>
    <row r="214" ht="400" customHeight="1">
      <c r="A214" s="12" t="inlineStr">
        <is>
          <t>IRIS2500</t>
        </is>
      </c>
      <c r="B214" s="10" t="inlineStr">
        <is>
          <t>Vishal Nanaware</t>
        </is>
      </c>
      <c r="C214" s="12" t="inlineStr">
        <is>
          <t>Technology</t>
        </is>
      </c>
      <c r="D214" s="12" t="inlineStr">
        <is>
          <t>Senior Software Engineer - AI/ML</t>
        </is>
      </c>
      <c r="E214" s="85" t="inlineStr">
        <is>
          <t>Senior AI/ML Engineer</t>
        </is>
      </c>
      <c r="F214" s="12" t="inlineStr">
        <is>
          <t>Engineering &amp; Development</t>
        </is>
      </c>
      <c r="G214" s="12" t="inlineStr">
        <is>
          <t>AI / ML &amp; GenAI Engineering</t>
        </is>
      </c>
      <c r="H214" s="12" t="inlineStr">
        <is>
          <t>IC</t>
        </is>
      </c>
      <c r="I214" s="42" t="inlineStr">
        <is>
          <t>L4 – Senior</t>
        </is>
      </c>
      <c r="J214" s="16" t="inlineStr">
        <is>
          <t>A3</t>
        </is>
      </c>
      <c r="K214" s="17" t="inlineStr">
        <is>
          <t>Senior Associate</t>
        </is>
      </c>
      <c r="L214" s="88" t="inlineStr">
        <is>
          <t>• Same level</t>
        </is>
      </c>
      <c r="M214" s="12" t="inlineStr">
        <is>
          <t>CARBON · Technology · Band A · Early career</t>
        </is>
      </c>
      <c r="N214" s="42" t="n">
        <v>3</v>
      </c>
      <c r="O214" s="42" t="n">
        <v>2.5</v>
      </c>
      <c r="P214" s="42" t="n">
        <v>2.5</v>
      </c>
      <c r="Q214" s="42" t="n">
        <v>1.5</v>
      </c>
      <c r="R214" s="42" t="n">
        <v>4</v>
      </c>
      <c r="S214" s="80" t="n">
        <v>2.5</v>
      </c>
      <c r="T214" s="81">
        <f>IF(OR($M214="",COUNT(N214,O214,P214,Q214,R214,S214)&lt;6),"",IFERROR(N214*INDEX(WM_C,MATCH($M214,WM_KEY,0))+O214*INDEX(WM_AU,MATCH($M214,WM_KEY,0))+P214*INDEX(WM_AC,MATCH($M214,WM_KEY,0))+Q214*INDEX(WM_L,MATCH($M214,WM_KEY,0))+R214*INDEX(WM_E,MATCH($M214,WM_KEY,0))+S214*INDEX(WM_BI,MATCH($M214,WM_KEY,0)),""))</f>
        <v>2.97</v>
      </c>
      <c r="U214" s="42" t="str">
        <f>IF(T214="","",INDEX({"A1","A2","A3","B1","B2","B3","C1","C2","D1","D2","E1","E2"},MAX(1,MIN(12,ROUND(T214,0)))))</f>
        <v>A3</v>
      </c>
      <c r="V214" s="12" t="inlineStr">
        <is>
          <r>
            <rPr>
              <rFont val="Calibri"/>
              <sz val="10"/>
            </rPr>
            <t xml:space="preserve">New level A3 · Senior Associate. Current level on record: L4 – Senior. Change: • Same level.
Score 2.97 on the ladder scale → indicated level A3.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4" s="12" t="inlineStr">
        <is>
          <r>
            <rPr>
              <rFont val="Calibri"/>
              <b val="1"/>
              <sz val="10"/>
            </rPr>
            <t>Complexity &amp; Expertise:</t>
          </r>
          <r>
            <rPr>
              <rFont val="Calibri"/>
              <sz val="10"/>
            </rPr>
            <t xml:space="preserve"> 3 of 12 — Start: 3.0 · senior practitioner title; Evidence reads like A3: Enhances and adds AI features, evaluates LLMs, works to replace commercial LLMs with trained open models → matches the start; KRA: “1.Benchmark and evaluate minimum 5 open-source LLMs / SLMs against commercial models for IRIS AI use cases. 2.Reduce dependency on…”
</t>
          </r>
          <r>
            <rPr>
              <rFont val="Calibri"/>
              <b val="1"/>
              <sz val="10"/>
            </rPr>
            <t>Autonomy &amp; Decision:</t>
          </r>
          <r>
            <rPr>
              <rFont val="Calibri"/>
              <sz val="10"/>
            </rPr>
            <t xml:space="preserve"> 2.5 of 12 · between A2 and A3 — Start: 3.0 · senior practitioner title; Evidence reads like A2: Decides own approach and tests own development → moved down 0.5
</t>
          </r>
          <r>
            <rPr>
              <rFont val="Calibri"/>
              <b val="1"/>
              <sz val="10"/>
            </rPr>
            <t>Accountability &amp; Impact:</t>
          </r>
          <r>
            <rPr>
              <rFont val="Calibri"/>
              <sz val="10"/>
            </rPr>
            <t xml:space="preserve"> 2.5 of 12 · between A2 and A3 — Start: 3.0 · senior practitioner title; Evidence reads like A2: Own AI feature enhancements and new use cases → moved down 0.5; KRA: “1.Benchmark and evaluate minimum 5 open-source LLMs / SLMs against commercial models for IRIS AI use cases. 2.Reduce dependency on…”
</t>
          </r>
          <r>
            <rPr>
              <rFont val="Calibri"/>
              <b val="1"/>
              <sz val="10"/>
            </rPr>
            <t>Leadership &amp; Strategy:</t>
          </r>
          <r>
            <rPr>
              <rFont val="Calibri"/>
              <sz val="10"/>
            </rPr>
            <t xml:space="preserve"> 1.5 of 12 · between A1 and A2 — not counted: the weight is 0% at this level — Start: 2.0 · individual contributor, so influence only; Evidence reads like A1: 'Technical leadership' listed with no team, object or example → moved down 0.5; Team: 0 direct reports · IC
</t>
          </r>
          <r>
            <rPr>
              <rFont val="Calibri"/>
              <b val="1"/>
              <sz val="10"/>
            </rPr>
            <t>Experience &amp; Qualification:</t>
          </r>
          <r>
            <rPr>
              <rFont val="Calibri"/>
              <sz val="10"/>
            </rPr>
            <t xml:space="preserve"> 4 of 12 — Experience: 4.5 yrs total · 4.0 before IRIS + 0.5 at IRIS = 3.6 on the experience scale; Qualification: M.Tech · postgraduate, relevant to the work → +0.5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14" s="12" t="inlineStr">
        <is>
          <r>
            <rPr>
              <rFont val="Calibri"/>
              <b val="1"/>
              <sz val="10"/>
            </rPr>
            <t>Market level:</t>
          </r>
          <r>
            <rPr>
              <rFont val="Calibri"/>
              <sz val="10"/>
            </rPr>
            <t xml:space="preserve"> P2 · SFIA 3 Apply
</t>
          </r>
          <r>
            <rPr>
              <rFont val="Calibri"/>
              <b val="1"/>
              <sz val="10"/>
            </rPr>
            <t>Typical title:</t>
          </r>
          <r>
            <rPr>
              <rFont val="Calibri"/>
              <sz val="10"/>
            </rPr>
            <t xml:space="preserve"> Software Engineer
</t>
          </r>
          <r>
            <rPr>
              <rFont val="Calibri"/>
              <b val="1"/>
              <sz val="10"/>
            </rPr>
            <t>At peers:</t>
          </r>
          <r>
            <rPr>
              <rFont val="Calibri"/>
              <sz val="10"/>
            </rPr>
            <t xml:space="preserve"> Workiva – SE · Broadridge India – SE · Nasdaq / AxiomSL – SE
</t>
          </r>
          <r>
            <rPr>
              <rFont val="Calibri"/>
              <b val="1"/>
              <sz val="10"/>
            </rPr>
            <t>Typical experience:</t>
          </r>
          <r>
            <rPr>
              <rFont val="Calibri"/>
              <sz val="10"/>
            </rPr>
            <t xml:space="preserve"> 2–5 yrs · IRIS guide 2–4
</t>
          </r>
          <r>
            <rPr>
              <rFont val="Calibri"/>
              <b val="1"/>
              <sz val="10"/>
            </rPr>
            <t>Standard:</t>
          </r>
          <r>
            <rPr>
              <rFont val="Calibri"/>
              <sz val="10"/>
            </rPr>
            <t xml:space="preserve"> SFIA 9; OWASP secure coding</t>
          </r>
        </is>
      </c>
      <c r="Y214" s="12" t="inlineStr">
        <is>
          <r>
            <rPr>
              <rFont val="Calibri"/>
              <sz val="10"/>
            </rPr>
            <t xml:space="preserve">✓ HRIS: 4.5 yrs, M.Tech,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214" s="12" t="inlineStr">
        <is>
          <t>—</t>
        </is>
      </c>
      <c r="AA214" s="12" t="inlineStr">
        <is>
          <t>Nothing outstanding</t>
        </is>
      </c>
      <c r="AB214" s="12" t="inlineStr">
        <is>
          <r>
            <rPr>
              <rFont val="Calibri"/>
              <b val="1"/>
              <sz val="10"/>
            </rPr>
            <t>What the role answers for:</t>
          </r>
          <r>
            <rPr>
              <rFont val="Calibri"/>
              <sz val="10"/>
            </rPr>
            <t xml:space="preserve"> A module / process, or work with client or regulatory consequences.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cause.
Manager talent mapping — Latest rating: Not rated · manager · 9-Box Grid placement: Future Leader.</t>
          </r>
        </is>
      </c>
      <c r="AC214" s="84" t="n"/>
      <c r="AD214" s="84" t="n"/>
      <c r="AE214" s="84" t="n"/>
      <c r="AF214" s="12" t="n">
        <v>2.5</v>
      </c>
    </row>
    <row r="215" ht="400" customHeight="1">
      <c r="A215" s="12" t="inlineStr">
        <is>
          <t>IRIS2284</t>
        </is>
      </c>
      <c r="B215" s="10" t="inlineStr">
        <is>
          <t>Saniya Baxi</t>
        </is>
      </c>
      <c r="C215" s="12" t="inlineStr">
        <is>
          <t>Technology</t>
        </is>
      </c>
      <c r="D215" s="12" t="inlineStr">
        <is>
          <t>Trainee Business Analyst</t>
        </is>
      </c>
      <c r="E215" s="85" t="inlineStr">
        <is>
          <t>Business Analyst</t>
        </is>
      </c>
      <c r="F215" s="12" t="inlineStr">
        <is>
          <t>Business Analysis</t>
        </is>
      </c>
      <c r="G215" s="12" t="inlineStr">
        <is>
          <t>Business Analysis</t>
        </is>
      </c>
      <c r="H215" s="12" t="inlineStr">
        <is>
          <t>IC</t>
        </is>
      </c>
      <c r="I215" s="42" t="inlineStr">
        <is>
          <t>L2 – Trainee</t>
        </is>
      </c>
      <c r="J215" s="16" t="inlineStr">
        <is>
          <t>A2</t>
        </is>
      </c>
      <c r="K215" s="17" t="inlineStr">
        <is>
          <t>Associate</t>
        </is>
      </c>
      <c r="L215" s="87" t="inlineStr">
        <is>
          <t>▲ Up</t>
        </is>
      </c>
      <c r="M215" s="12" t="inlineStr">
        <is>
          <t>CARBON · Technology · Band A · Early career</t>
        </is>
      </c>
      <c r="N215" s="42" t="n">
        <v>2</v>
      </c>
      <c r="O215" s="42" t="n">
        <v>1.5</v>
      </c>
      <c r="P215" s="42" t="n">
        <v>1.5</v>
      </c>
      <c r="Q215" s="42" t="n">
        <v>1</v>
      </c>
      <c r="R215" s="42" t="n">
        <v>2.5</v>
      </c>
      <c r="S215" s="80" t="n">
        <v>1.5</v>
      </c>
      <c r="T215" s="81">
        <f>IF(OR($M215="",COUNT(N215,O215,P215,Q215,R215,S215)&lt;6),"",IFERROR(N215*INDEX(WM_C,MATCH($M215,WM_KEY,0))+O215*INDEX(WM_AU,MATCH($M215,WM_KEY,0))+P215*INDEX(WM_AC,MATCH($M215,WM_KEY,0))+Q215*INDEX(WM_L,MATCH($M215,WM_KEY,0))+R215*INDEX(WM_E,MATCH($M215,WM_KEY,0))+S215*INDEX(WM_BI,MATCH($M215,WM_KEY,0)),""))</f>
        <v>1.92</v>
      </c>
      <c r="U215" s="42" t="str">
        <f>IF(T215="","",INDEX({"A1","A2","A3","B1","B2","B3","C1","C2","D1","D2","E1","E2"},MAX(1,MIN(12,ROUND(T215,0)))))</f>
        <v>A2</v>
      </c>
      <c r="V215" s="12" t="inlineStr">
        <is>
          <r>
            <rPr>
              <rFont val="Calibri"/>
              <sz val="10"/>
            </rPr>
            <t xml:space="preserve">New level A2 · Associate. Current level on record: L2 – Trainee. Change: ▲ Up.
Score 1.92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 </t>
          </r>
          <r>
            <rPr>
              <rFont val="Calibri"/>
              <b val="1"/>
              <sz val="10"/>
            </rPr>
            <t>Raised to A3:</t>
          </r>
          <r>
            <rPr>
              <rFont val="Calibri"/>
              <sz val="10"/>
            </rPr>
            <t xml:space="preserve"> 2.2 years' experience is 2 years or more.
• </t>
          </r>
          <r>
            <rPr>
              <rFont val="Calibri"/>
              <b val="1"/>
              <sz val="10"/>
            </rPr>
            <t>Lowered from A3 to A2:</t>
          </r>
          <r>
            <rPr>
              <rFont val="Calibri"/>
              <sz val="10"/>
            </rPr>
            <t xml:space="preserve"> the work itself · complexity 2, accountability 1.5, average 1.75 supports at most A2.
</t>
          </r>
          <r>
            <rPr>
              <rFont val="Calibri"/>
              <b val="1"/>
              <sz val="10"/>
            </rPr>
            <t>Final level:</t>
          </r>
          <r>
            <rPr>
              <rFont val="Calibri"/>
              <sz val="10"/>
            </rPr>
            <t xml:space="preserve"> A2.</t>
          </r>
        </is>
      </c>
      <c r="W215" s="12" t="inlineStr">
        <is>
          <r>
            <rPr>
              <rFont val="Calibri"/>
              <b val="1"/>
              <sz val="10"/>
            </rPr>
            <t>Complexity &amp; Expertise:</t>
          </r>
          <r>
            <rPr>
              <rFont val="Calibri"/>
              <sz val="10"/>
            </rPr>
            <t xml:space="preserve"> 2 of 12 — Start: 1.0 · trainee / intern title; Evidence reads like A3: BRDs, user stories, Figma prototypes and UAT through delivery; handles escalations raised to them → moved up 1; KRA: “1.Ensure ≥ 95% user stories for ESG module are documented with complete business rules, acceptance criteria, dependencies, and edge cases…”
</t>
          </r>
          <r>
            <rPr>
              <rFont val="Calibri"/>
              <b val="1"/>
              <sz val="10"/>
            </rPr>
            <t>Autonomy &amp; Decision:</t>
          </r>
          <r>
            <rPr>
              <rFont val="Calibri"/>
              <sz val="10"/>
            </rPr>
            <t xml:space="preserve"> 1.5 of 12 · between A1 and A2 — Start: 1.0 · trainee / intern title; Evidence reads like A2: Only 'brainstorming user flows' named as an independent decision → moved up 0.5
</t>
          </r>
          <r>
            <rPr>
              <rFont val="Calibri"/>
              <b val="1"/>
              <sz val="10"/>
            </rPr>
            <t>Accountability &amp; Impact:</t>
          </r>
          <r>
            <rPr>
              <rFont val="Calibri"/>
              <sz val="10"/>
            </rPr>
            <t xml:space="preserve"> 1.5 of 12 · between A1 and A2 — Start: 1.0 · trainee / intern title; Evidence reads like A2: That business needs are correctly captured in the product requirements → moved up 0.5; KRA: “1.Ensure ≥ 95% user stories for ESG module are documented with complete business rules, acceptance criteria, dependencies, and edge cases…”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2.5 of 12 · between A2 and A3 — Experience: 2.2 yrs total · 2.2 at IRIS; none recorded before IRIS = 2.6 on the experience scale; Qualification: Bachelor of Science · graduate, relevant to the work → no change
</t>
          </r>
          <r>
            <rPr>
              <rFont val="Calibri"/>
              <b val="1"/>
              <sz val="10"/>
            </rPr>
            <t>Business Impact:</t>
          </r>
          <r>
            <rPr>
              <rFont val="Calibri"/>
              <sz val="10"/>
            </rPr>
            <t xml:space="preserve"> 1.5 of 12 — a starting estimate. —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r>
        </is>
      </c>
      <c r="X215"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Business Analyst / Business Analyst
</t>
          </r>
          <r>
            <rPr>
              <rFont val="Calibri"/>
              <b val="1"/>
              <sz val="10"/>
            </rPr>
            <t>At peers:</t>
          </r>
          <r>
            <rPr>
              <rFont val="Calibri"/>
              <sz val="10"/>
            </rPr>
            <t xml:space="preserve"> Big Four consulting – Analyst · IRIS Vs Market Benchmark — IIBA certification pathway: ECBA · Infosys / Accenture – JL3B · L11 Analyst
</t>
          </r>
          <r>
            <rPr>
              <rFont val="Calibri"/>
              <b val="1"/>
              <sz val="10"/>
            </rPr>
            <t>Typical experience:</t>
          </r>
          <r>
            <rPr>
              <rFont val="Calibri"/>
              <sz val="10"/>
            </rPr>
            <t xml:space="preserve"> 0–3 yrs · IRIS guide 0–2
</t>
          </r>
          <r>
            <rPr>
              <rFont val="Calibri"/>
              <b val="1"/>
              <sz val="10"/>
            </rPr>
            <t>Standard:</t>
          </r>
          <r>
            <rPr>
              <rFont val="Calibri"/>
              <sz val="10"/>
            </rPr>
            <t xml:space="preserve"> IIBA BABOK v3; certifications ECBA → CCBA → CBAP</t>
          </r>
        </is>
      </c>
      <c r="Y215" s="12" t="inlineStr">
        <is>
          <r>
            <rPr>
              <rFont val="Calibri"/>
              <sz val="10"/>
            </rPr>
            <t xml:space="preserve">✓ HRIS: 2.2 yrs, Bachelor of Science,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High</t>
          </r>
        </is>
      </c>
      <c r="Z215" s="82" t="inlineStr">
        <is>
          <r>
            <rPr>
              <rFont val="Calibri"/>
              <color rgb="009C5700"/>
              <sz val="10"/>
            </rPr>
            <t xml:space="preserve">• </t>
          </r>
          <r>
            <rPr>
              <rFont val="Calibri"/>
              <b val="1"/>
              <color rgb="009C5700"/>
              <sz val="10"/>
            </rPr>
            <t>Near a gate:</t>
          </r>
          <r>
            <rPr>
              <rFont val="Calibri"/>
              <color rgb="009C5700"/>
              <sz val="10"/>
            </rPr>
            <t xml:space="preserve"> role substance: complexity–accountability average 1.75 is 0.25 short of 2, which would lift the limit by one level; Band A experience rule: 2.2 yrs is within three months of the 1- or 2-year threshold</t>
          </r>
        </is>
      </c>
      <c r="AA215" s="12" t="inlineStr">
        <is>
          <t>Nothing outstanding</t>
        </is>
      </c>
      <c r="AB215"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client · rework · delays.
Manager talent mapping — Latest rating: Not rated · manager · 9-Box Grid placement: Future Leader.</t>
          </r>
        </is>
      </c>
      <c r="AC215" s="84" t="n"/>
      <c r="AD215" s="84" t="n"/>
      <c r="AE215" s="84" t="n"/>
      <c r="AF215" s="12" t="n">
        <v>1.5</v>
      </c>
    </row>
    <row r="216" ht="400" customHeight="1">
      <c r="A216" s="12" t="inlineStr">
        <is>
          <t>IRIS2407</t>
        </is>
      </c>
      <c r="B216" s="10" t="inlineStr">
        <is>
          <t>Ayush Dattatraya Tikone</t>
        </is>
      </c>
      <c r="C216" s="12" t="inlineStr">
        <is>
          <t>Technology</t>
        </is>
      </c>
      <c r="D216" s="12" t="inlineStr">
        <is>
          <t>Software Engineer - AI/ML</t>
        </is>
      </c>
      <c r="E216" s="85" t="inlineStr">
        <is>
          <t>AI/ML Engineer</t>
        </is>
      </c>
      <c r="F216" s="12" t="inlineStr">
        <is>
          <t>Engineering &amp; Development</t>
        </is>
      </c>
      <c r="G216" s="12" t="inlineStr">
        <is>
          <t>AI / ML &amp; GenAI Engineering</t>
        </is>
      </c>
      <c r="H216" s="12" t="inlineStr">
        <is>
          <t>IC</t>
        </is>
      </c>
      <c r="I216" s="42" t="inlineStr">
        <is>
          <t>L3 – Professional / Associate</t>
        </is>
      </c>
      <c r="J216" s="16" t="inlineStr">
        <is>
          <t>A2</t>
        </is>
      </c>
      <c r="K216" s="17" t="inlineStr">
        <is>
          <t>Associate</t>
        </is>
      </c>
      <c r="L216" s="88" t="inlineStr">
        <is>
          <t>• Same level</t>
        </is>
      </c>
      <c r="M216" s="12" t="inlineStr">
        <is>
          <t>CARBON · Technology · Band A · Early career</t>
        </is>
      </c>
      <c r="N216" s="42" t="n">
        <v>2.5</v>
      </c>
      <c r="O216" s="42" t="n">
        <v>2</v>
      </c>
      <c r="P216" s="42" t="n">
        <v>2.5</v>
      </c>
      <c r="Q216" s="42" t="n">
        <v>1</v>
      </c>
      <c r="R216" s="42" t="n">
        <v>2</v>
      </c>
      <c r="S216" s="80" t="n">
        <v>2.5</v>
      </c>
      <c r="T216" s="81">
        <f>IF(OR($M216="",COUNT(N216,O216,P216,Q216,R216,S216)&lt;6),"",IFERROR(N216*INDEX(WM_C,MATCH($M216,WM_KEY,0))+O216*INDEX(WM_AU,MATCH($M216,WM_KEY,0))+P216*INDEX(WM_AC,MATCH($M216,WM_KEY,0))+Q216*INDEX(WM_L,MATCH($M216,WM_KEY,0))+R216*INDEX(WM_E,MATCH($M216,WM_KEY,0))+S216*INDEX(WM_BI,MATCH($M216,WM_KEY,0)),""))</f>
        <v>2.37</v>
      </c>
      <c r="U216" s="42" t="str">
        <f>IF(T216="","",INDEX({"A1","A2","A3","B1","B2","B3","C1","C2","D1","D2","E1","E2"},MAX(1,MIN(12,ROUND(T216,0)))))</f>
        <v>A2</v>
      </c>
      <c r="V216" s="12" t="inlineStr">
        <is>
          <r>
            <rPr>
              <rFont val="Calibri"/>
              <sz val="10"/>
            </rPr>
            <t xml:space="preserve">New level A2 · Associate. Current level on record: L3 – Professional / Associate. Change: • Same level.
Score 2.37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6" s="12" t="inlineStr">
        <is>
          <r>
            <rPr>
              <rFont val="Calibri"/>
              <b val="1"/>
              <sz val="10"/>
            </rPr>
            <t>Complexity &amp; Expertise:</t>
          </r>
          <r>
            <rPr>
              <rFont val="Calibri"/>
              <sz val="10"/>
            </rPr>
            <t xml:space="preserve"> 2.5 of 12 · between A2 and A3 — Start: 2.0 · practitioner title; Evidence reads like A3: Designs and builds AI applications end to end: LLM/RAG solutions, pipelines, model testing and evaluation → moved up 0.5; KRA: “1.Build strong AI/ML fundamentals by completing training in machine learning, deep learning, LLM basics, embeddings, RAG, and model…”
</t>
          </r>
          <r>
            <rPr>
              <rFont val="Calibri"/>
              <b val="1"/>
              <sz val="10"/>
            </rPr>
            <t>Autonomy &amp; Decision:</t>
          </r>
          <r>
            <rPr>
              <rFont val="Calibri"/>
              <sz val="10"/>
            </rPr>
            <t xml:space="preserve"> 2 of 12 — Start: 2.0 · practitioner title; Evidence reads like A2: Only cites prioritising own tasks → matches the start
</t>
          </r>
          <r>
            <rPr>
              <rFont val="Calibri"/>
              <b val="1"/>
              <sz val="10"/>
            </rPr>
            <t>Accountability &amp; Impact:</t>
          </r>
          <r>
            <rPr>
              <rFont val="Calibri"/>
              <sz val="10"/>
            </rPr>
            <t xml:space="preserve"> 2.5 of 12 · between A2 and A3 — Start: 2.0 · practitioner title; Evidence reads like A3: Accountable for AI/ML solutions built and maintained, including model reliability, pipelines and evaluation → moved up 0.5; KRA: “1.Build strong AI/ML fundamentals by completing training in machine learning, deep learning, LLM basics, embeddings, RAG, and model…”
</t>
          </r>
          <r>
            <rPr>
              <rFont val="Calibri"/>
              <b val="1"/>
              <sz val="10"/>
            </rPr>
            <t>Leadership &amp; Strategy:</t>
          </r>
          <r>
            <rPr>
              <rFont val="Calibri"/>
              <sz val="10"/>
            </rPr>
            <t xml:space="preserve"> 1 of 12 — not counted: the weight is 0% at this level — Start: 1.0 · individual contributor, so influence only; Evidence reads like A1: No guiding or leading described → matches the start; Team: 0 direct reports · IC
</t>
          </r>
          <r>
            <rPr>
              <rFont val="Calibri"/>
              <b val="1"/>
              <sz val="10"/>
            </rPr>
            <t>Experience &amp; Qualification:</t>
          </r>
          <r>
            <rPr>
              <rFont val="Calibri"/>
              <sz val="10"/>
            </rPr>
            <t xml:space="preserve"> 2 of 12 — Experience: 1.2 yrs total · 1.2 at IRIS; none recorded before IRIS = 2.1 on the experience scale; Qualification: B.Tech · graduate, relevant to the work → no change
</t>
          </r>
          <r>
            <rPr>
              <rFont val="Calibri"/>
              <b val="1"/>
              <sz val="10"/>
            </rPr>
            <t>Business Impact:</t>
          </r>
          <r>
            <rPr>
              <rFont val="Calibri"/>
              <sz val="10"/>
            </rPr>
            <t xml:space="preserve"> 2.5 of 12 — a starting estimate. — Start: 2.5,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 · A3 = A process or client deliverable depends on this work</t>
          </r>
        </is>
      </c>
      <c r="X216"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216" s="12" t="inlineStr">
        <is>
          <r>
            <rPr>
              <rFont val="Calibri"/>
              <sz val="10"/>
            </rPr>
            <t xml:space="preserve">✓ HRIS: 1.2 yrs, B.Tech, 0 direct reports
✓ Survey: 20 of 20 questions answered
✓ KRAs: submitted
✓ Manager mapping: rating, 9-box — filled from talent-mapping files: 9-box · CARBON grid
✗ Job description: not on file
</t>
          </r>
          <r>
            <rPr>
              <rFont val="Calibri"/>
              <b val="1"/>
              <sz val="10"/>
            </rPr>
            <t>Confidence:</t>
          </r>
          <r>
            <rPr>
              <rFont val="Calibri"/>
              <sz val="10"/>
            </rPr>
            <t xml:space="preserve"> High</t>
          </r>
        </is>
      </c>
      <c r="Z216" s="12" t="inlineStr">
        <is>
          <t>—</t>
        </is>
      </c>
      <c r="AA216" s="12" t="inlineStr">
        <is>
          <t>Nothing outstanding</t>
        </is>
      </c>
      <c r="AB216"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2.5 of 12 · A2-level impact.
</t>
          </r>
          <r>
            <rPr>
              <rFont val="Calibri"/>
              <b val="1"/>
              <sz val="10"/>
            </rPr>
            <t>If the work is missed · role-holders' themes:</t>
          </r>
          <r>
            <rPr>
              <rFont val="Calibri"/>
              <sz val="10"/>
            </rPr>
            <t xml:space="preserve"> incorrect · lead · delays · rework.
Manager talent mapping — Latest rating: Not rated · manager · 9-Box Grid placement: Underperformer / Exit Risk.</t>
          </r>
        </is>
      </c>
      <c r="AC216" s="84" t="n"/>
      <c r="AD216" s="84" t="n"/>
      <c r="AE216" s="84" t="n"/>
      <c r="AF216" s="12" t="n">
        <v>2.5</v>
      </c>
    </row>
    <row r="217" ht="400" customHeight="1">
      <c r="A217" s="12" t="inlineStr">
        <is>
          <t>IRIS2395</t>
        </is>
      </c>
      <c r="B217" s="10" t="inlineStr">
        <is>
          <t>Ayushi Prajapati</t>
        </is>
      </c>
      <c r="C217" s="12" t="inlineStr">
        <is>
          <t>Technology</t>
        </is>
      </c>
      <c r="D217" s="12" t="inlineStr">
        <is>
          <t>Trainee Software Engineer</t>
        </is>
      </c>
      <c r="E217" s="85" t="inlineStr">
        <is>
          <t>UI Developer</t>
        </is>
      </c>
      <c r="F217" s="12" t="inlineStr">
        <is>
          <t>Engineering &amp; Development</t>
        </is>
      </c>
      <c r="G217" s="12" t="inlineStr">
        <is>
          <t>Front-End / UI Development</t>
        </is>
      </c>
      <c r="H217" s="12" t="inlineStr">
        <is>
          <t>IC</t>
        </is>
      </c>
      <c r="I217" s="42" t="inlineStr">
        <is>
          <t>L2 – Trainee</t>
        </is>
      </c>
      <c r="J217" s="16" t="inlineStr">
        <is>
          <t>A2</t>
        </is>
      </c>
      <c r="K217" s="17" t="inlineStr">
        <is>
          <t>Associate</t>
        </is>
      </c>
      <c r="L217" s="87" t="inlineStr">
        <is>
          <t>▲ Up</t>
        </is>
      </c>
      <c r="M217" s="12" t="inlineStr">
        <is>
          <t>CARBON · Technology · Band A · Early career</t>
        </is>
      </c>
      <c r="N217" s="42" t="n">
        <v>2</v>
      </c>
      <c r="O217" s="42" t="n">
        <v>1.5</v>
      </c>
      <c r="P217" s="42" t="n">
        <v>2</v>
      </c>
      <c r="Q217" s="42" t="n">
        <v>1</v>
      </c>
      <c r="R217" s="42" t="n">
        <v>2</v>
      </c>
      <c r="S217" s="80" t="n">
        <v>2</v>
      </c>
      <c r="T217" s="81">
        <f>IF(OR($M217="",COUNT(N217,O217,P217,Q217,R217,S217)&lt;6),"",IFERROR(N217*INDEX(WM_C,MATCH($M217,WM_KEY,0))+O217*INDEX(WM_AU,MATCH($M217,WM_KEY,0))+P217*INDEX(WM_AC,MATCH($M217,WM_KEY,0))+Q217*INDEX(WM_L,MATCH($M217,WM_KEY,0))+R217*INDEX(WM_E,MATCH($M217,WM_KEY,0))+S217*INDEX(WM_BI,MATCH($M217,WM_KEY,0)),""))</f>
        <v>1.92</v>
      </c>
      <c r="U217" s="42" t="str">
        <f>IF(T217="","",INDEX({"A1","A2","A3","B1","B2","B3","C1","C2","D1","D2","E1","E2"},MAX(1,MIN(12,ROUND(T217,0)))))</f>
        <v>A2</v>
      </c>
      <c r="V217" s="12" t="inlineStr">
        <is>
          <r>
            <rPr>
              <rFont val="Calibri"/>
              <sz val="10"/>
            </rPr>
            <t xml:space="preserve">New level A2 · Associate. Current level on record: L2 – Trainee. Change: ▲ Up.
Score 1.92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7" s="12" t="inlineStr">
        <is>
          <r>
            <rPr>
              <rFont val="Calibri"/>
              <b val="1"/>
              <sz val="10"/>
            </rPr>
            <t>Complexity &amp; Expertise:</t>
          </r>
          <r>
            <rPr>
              <rFont val="Calibri"/>
              <sz val="10"/>
            </rPr>
            <t xml:space="preserve"> 2 of 12 — Start: 1.0 · trainee / intern title; Evidence reads like A3: Owns common components and shared UI across applications; Module Federation and frontend architecture → moved up 1; KRA: “1.Improve task execution speed and reduce average task completion turnaround time by ≥ 40% YoY. 2.Increase independent task execution…”
</t>
          </r>
          <r>
            <rPr>
              <rFont val="Calibri"/>
              <b val="1"/>
              <sz val="10"/>
            </rPr>
            <t>Autonomy &amp; Decision:</t>
          </r>
          <r>
            <rPr>
              <rFont val="Calibri"/>
              <sz val="10"/>
            </rPr>
            <t xml:space="preserve"> 1.5 of 12 · between A1 and A2 — Start: 1.0 · trainee / intern title; Evidence reads like A2: Only 'solution decisions' stated, with no detail → moved up 0.5
</t>
          </r>
          <r>
            <rPr>
              <rFont val="Calibri"/>
              <b val="1"/>
              <sz val="10"/>
            </rPr>
            <t>Accountability &amp; Impact:</t>
          </r>
          <r>
            <rPr>
              <rFont val="Calibri"/>
              <sz val="10"/>
            </rPr>
            <t xml:space="preserve"> 2 of 12 — Start: 1.0 · trainee / intern title; Evidence reads like A3: Stability of owned features and shared components used across applications → moved up 1; KRA: “1.Improve task execution speed and reduce average task completion turnaround time by ≥ 40% YoY. 2.Increase independent task execution…”
</t>
          </r>
          <r>
            <rPr>
              <rFont val="Calibri"/>
              <b val="1"/>
              <sz val="10"/>
            </rPr>
            <t>Leadership &amp; Strategy:</t>
          </r>
          <r>
            <rPr>
              <rFont val="Calibri"/>
              <sz val="10"/>
            </rPr>
            <t xml:space="preserve"> 1 of 12 — not counted: the weight is 0% at this level — Start: 1.0 · individual contributor, so influence only; Evidence reads like A1: None described beyond team collaboration → matches the start; Team: 0 direct reports · IC
</t>
          </r>
          <r>
            <rPr>
              <rFont val="Calibri"/>
              <b val="1"/>
              <sz val="10"/>
            </rPr>
            <t>Experience &amp; Qualification:</t>
          </r>
          <r>
            <rPr>
              <rFont val="Calibri"/>
              <sz val="10"/>
            </rPr>
            <t xml:space="preserve"> 2 of 12 — Experience: 1.2 yrs total · 1.2 at IRIS; none recorded before IRIS = 2.1 on the experience scale; Qualification: B.Sc · graduate, relevant to the work → no change
</t>
          </r>
          <r>
            <rPr>
              <rFont val="Calibri"/>
              <b val="1"/>
              <sz val="10"/>
            </rPr>
            <t>Business Impact:</t>
          </r>
          <r>
            <rPr>
              <rFont val="Calibri"/>
              <sz val="10"/>
            </rPr>
            <t xml:space="preserve"> 2 of 12 — a starting estimate. — Start: 2, the role's accountability scope — what it answers for.; No survey or manager-mapping signal on criticality: kept at the start point.; Managers and heads: overwrite this rating on the Weightage sheet with the business impact you see — the score updates at once.; Ladder: A2 = Own deliverables feed a team's output and turnaround</t>
          </r>
        </is>
      </c>
      <c r="X217"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217" s="12" t="inlineStr">
        <is>
          <r>
            <rPr>
              <rFont val="Calibri"/>
              <sz val="10"/>
            </rPr>
            <t xml:space="preserve">✓ HRIS: 1.2 yrs, B.Sc,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High</t>
          </r>
        </is>
      </c>
      <c r="Z217" s="12" t="inlineStr">
        <is>
          <t>—</t>
        </is>
      </c>
      <c r="AA217" s="12" t="inlineStr">
        <is>
          <t>Nothing outstanding</t>
        </is>
      </c>
      <c r="AB217"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2 of 12 · A2-level impact.
</t>
          </r>
          <r>
            <rPr>
              <rFont val="Calibri"/>
              <b val="1"/>
              <sz val="10"/>
            </rPr>
            <t>If the work is missed · role-holders' themes:</t>
          </r>
          <r>
            <rPr>
              <rFont val="Calibri"/>
              <sz val="10"/>
            </rPr>
            <t xml:space="preserve"> delays · quality · impact · rework.
</t>
          </r>
          <r>
            <rPr>
              <rFont val="Calibri"/>
              <b val="1"/>
              <sz val="10"/>
            </rPr>
            <t>Measured on · manager-set KRA themes:</t>
          </r>
          <r>
            <rPr>
              <rFont val="Calibri"/>
              <sz val="10"/>
            </rPr>
            <t xml:space="preserve"> complete · improve · assigned · resolve · code · leakage qa/uat.
Manager talent mapping — Latest rating: Not rated · manager · 9-Box Grid placement: Reliable Specialist.</t>
          </r>
        </is>
      </c>
      <c r="AC217" s="84" t="n"/>
      <c r="AD217" s="84" t="n"/>
      <c r="AE217" s="84" t="n"/>
      <c r="AF217" s="12" t="n">
        <v>2</v>
      </c>
    </row>
    <row r="218" ht="400" customHeight="1">
      <c r="A218" s="12" t="inlineStr">
        <is>
          <t>IRIS2444</t>
        </is>
      </c>
      <c r="B218" s="10" t="inlineStr">
        <is>
          <t>Dev Hinged</t>
        </is>
      </c>
      <c r="C218" s="12" t="inlineStr">
        <is>
          <t>Technology</t>
        </is>
      </c>
      <c r="D218" s="12" t="inlineStr">
        <is>
          <t>Trainee AI Engineer</t>
        </is>
      </c>
      <c r="E218" s="85" t="inlineStr">
        <is>
          <t>AI/ML Engineer</t>
        </is>
      </c>
      <c r="F218" s="12" t="inlineStr">
        <is>
          <t>Engineering &amp; Development</t>
        </is>
      </c>
      <c r="G218" s="12" t="inlineStr">
        <is>
          <t>AI / ML &amp; GenAI Engineering</t>
        </is>
      </c>
      <c r="H218" s="12" t="inlineStr">
        <is>
          <t>IC</t>
        </is>
      </c>
      <c r="I218" s="42" t="inlineStr">
        <is>
          <t>L2 – Trainee</t>
        </is>
      </c>
      <c r="J218" s="16" t="inlineStr">
        <is>
          <t>A2</t>
        </is>
      </c>
      <c r="K218" s="17" t="inlineStr">
        <is>
          <t>Associate</t>
        </is>
      </c>
      <c r="L218" s="87" t="inlineStr">
        <is>
          <t>▲ Up</t>
        </is>
      </c>
      <c r="M218" s="12" t="inlineStr">
        <is>
          <t>CARBON · Technology · Band A · Early career</t>
        </is>
      </c>
      <c r="N218" s="42" t="n">
        <v>2</v>
      </c>
      <c r="O218" s="42" t="n">
        <v>1.5</v>
      </c>
      <c r="P218" s="42" t="n">
        <v>1.5</v>
      </c>
      <c r="Q218" s="42" t="n">
        <v>1</v>
      </c>
      <c r="R218" s="42" t="n">
        <v>2</v>
      </c>
      <c r="S218" s="80" t="n">
        <v>1.5</v>
      </c>
      <c r="T218" s="81">
        <f>IF(OR($M218="",COUNT(N218,O218,P218,Q218,R218,S218)&lt;6),"",IFERROR(N218*INDEX(WM_C,MATCH($M218,WM_KEY,0))+O218*INDEX(WM_AU,MATCH($M218,WM_KEY,0))+P218*INDEX(WM_AC,MATCH($M218,WM_KEY,0))+Q218*INDEX(WM_L,MATCH($M218,WM_KEY,0))+R218*INDEX(WM_E,MATCH($M218,WM_KEY,0))+S218*INDEX(WM_BI,MATCH($M218,WM_KEY,0)),""))</f>
        <v>1.87</v>
      </c>
      <c r="U218" s="42" t="str">
        <f>IF(T218="","",INDEX({"A1","A2","A3","B1","B2","B3","C1","C2","D1","D2","E1","E2"},MAX(1,MIN(12,ROUND(T218,0)))))</f>
        <v>A2</v>
      </c>
      <c r="V218" s="12" t="inlineStr">
        <is>
          <r>
            <rPr>
              <rFont val="Calibri"/>
              <sz val="10"/>
            </rPr>
            <t xml:space="preserve">New level A2 · Associate. Current level on record: L2 – Trainee. Change: ▲ Up.
Score 1.87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8" s="12" t="inlineStr">
        <is>
          <r>
            <rPr>
              <rFont val="Calibri"/>
              <b val="1"/>
              <sz val="10"/>
            </rPr>
            <t>Complexity &amp; Expertise:</t>
          </r>
          <r>
            <rPr>
              <rFont val="Calibri"/>
              <sz val="10"/>
            </rPr>
            <t xml:space="preserve"> 2 of 12 — Start: 1.0 · trainee / intern title; Evidence reads like A3: Builds LLM solutions for automated tagging, table classification, anomaly detection using Azure Document Intelligence and FAISS → moved up 1; KRA: “1.Build strong expertise in Agentic AI, LLM workflows, and document intelligence pipelines through structured learning and practical…”
</t>
          </r>
          <r>
            <rPr>
              <rFont val="Calibri"/>
              <b val="1"/>
              <sz val="10"/>
            </rPr>
            <t>Autonomy &amp; Decision:</t>
          </r>
          <r>
            <rPr>
              <rFont val="Calibri"/>
              <sz val="10"/>
            </rPr>
            <t xml:space="preserve"> 1.5 of 12 · between A1 and A2 — Start: 1.0 · trainee / intern title; Evidence reads like A2: Identifies best approach and researches new technologies; nothing beyond own approach → moved up 0.5
</t>
          </r>
          <r>
            <rPr>
              <rFont val="Calibri"/>
              <b val="1"/>
              <sz val="10"/>
            </rPr>
            <t>Accountability &amp; Impact:</t>
          </r>
          <r>
            <rPr>
              <rFont val="Calibri"/>
              <sz val="10"/>
            </rPr>
            <t xml:space="preserve"> 1.5 of 12 · between A1 and A2 — Start: 1.0 · trainee / intern title; Evidence reads like A2: Accuracy and reliability of the LLM solutions and prompts personally developed → moved up 0.5; KRA: “1.Build strong expertise in Agentic AI, LLM workflows, and document intelligence pipelines through structured learning and practical…”
</t>
          </r>
          <r>
            <rPr>
              <rFont val="Calibri"/>
              <b val="1"/>
              <sz val="10"/>
            </rPr>
            <t>Leadership &amp; Strategy:</t>
          </r>
          <r>
            <rPr>
              <rFont val="Calibri"/>
              <sz val="10"/>
            </rPr>
            <t xml:space="preserve"> 1 of 12 — not counted: the weight is 0% at this level — Start: 1.0 · individual contributor, so influence only; Evidence reads like A1: None described → matches the start; Team: 0 direct reports · IC
</t>
          </r>
          <r>
            <rPr>
              <rFont val="Calibri"/>
              <b val="1"/>
              <sz val="10"/>
            </rPr>
            <t>Experience &amp; Qualification:</t>
          </r>
          <r>
            <rPr>
              <rFont val="Calibri"/>
              <sz val="10"/>
            </rPr>
            <t xml:space="preserve"> 2 of 12 — Experience: 1.5 yrs total · 0.6 before IRIS + 0.9 at IRIS = 2.2 on the experience scale; Qualification: B.Tech · graduate, relevant to the work → no change
</t>
          </r>
          <r>
            <rPr>
              <rFont val="Calibri"/>
              <b val="1"/>
              <sz val="10"/>
            </rPr>
            <t>Business Impact:</t>
          </r>
          <r>
            <rPr>
              <rFont val="Calibri"/>
              <sz val="10"/>
            </rPr>
            <t xml:space="preserve"> 1.5 of 12 — a starting estimate. —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r>
        </is>
      </c>
      <c r="X218"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218" s="12" t="inlineStr">
        <is>
          <r>
            <rPr>
              <rFont val="Calibri"/>
              <sz val="10"/>
            </rPr>
            <t xml:space="preserve">✓ HRIS: 1.5 yrs, B.Tech,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High</t>
          </r>
        </is>
      </c>
      <c r="Z218" s="12" t="inlineStr">
        <is>
          <t>—</t>
        </is>
      </c>
      <c r="AA218" s="12" t="inlineStr">
        <is>
          <t>Nothing outstanding</t>
        </is>
      </c>
      <c r="AB218"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incorrect · lead · delays · rework.
Manager talent mapping — Latest rating: Not rated · manager · 9-Box Grid placement: Future Leader.</t>
          </r>
        </is>
      </c>
      <c r="AC218" s="84" t="n"/>
      <c r="AD218" s="84" t="n"/>
      <c r="AE218" s="84" t="n"/>
      <c r="AF218" s="12" t="n">
        <v>1.5</v>
      </c>
    </row>
    <row r="219" ht="400" customHeight="1">
      <c r="A219" s="12" t="inlineStr">
        <is>
          <t>IRIS2394</t>
        </is>
      </c>
      <c r="B219" s="10" t="inlineStr">
        <is>
          <t>Meet Patel</t>
        </is>
      </c>
      <c r="C219" s="12" t="inlineStr">
        <is>
          <t>Technology</t>
        </is>
      </c>
      <c r="D219" s="12" t="inlineStr">
        <is>
          <t>Trainee Software Engineer</t>
        </is>
      </c>
      <c r="E219" s="85" t="inlineStr">
        <is>
          <t>Software Engineer</t>
        </is>
      </c>
      <c r="F219" s="12" t="inlineStr">
        <is>
          <t>Engineering &amp; Development</t>
        </is>
      </c>
      <c r="G219" s="12" t="inlineStr">
        <is>
          <t>Backend Development</t>
        </is>
      </c>
      <c r="H219" s="12" t="inlineStr">
        <is>
          <t>IC</t>
        </is>
      </c>
      <c r="I219" s="42" t="inlineStr">
        <is>
          <t>L2 – Trainee</t>
        </is>
      </c>
      <c r="J219" s="16" t="inlineStr">
        <is>
          <t>A2</t>
        </is>
      </c>
      <c r="K219" s="17" t="inlineStr">
        <is>
          <t>Associate</t>
        </is>
      </c>
      <c r="L219" s="87" t="inlineStr">
        <is>
          <t>▲ Up</t>
        </is>
      </c>
      <c r="M219" s="12" t="inlineStr">
        <is>
          <t>CARBON · Technology · Band A · Early career</t>
        </is>
      </c>
      <c r="N219" s="42" t="n">
        <v>1.5</v>
      </c>
      <c r="O219" s="42" t="n">
        <v>1.5</v>
      </c>
      <c r="P219" s="42" t="n">
        <v>1.5</v>
      </c>
      <c r="Q219" s="42" t="n">
        <v>1.5</v>
      </c>
      <c r="R219" s="42" t="n">
        <v>2</v>
      </c>
      <c r="S219" s="80" t="n">
        <v>1.5</v>
      </c>
      <c r="T219" s="81">
        <f>IF(OR($M219="",COUNT(N219,O219,P219,Q219,R219,S219)&lt;6),"",IFERROR(N219*INDEX(WM_C,MATCH($M219,WM_KEY,0))+O219*INDEX(WM_AU,MATCH($M219,WM_KEY,0))+P219*INDEX(WM_AC,MATCH($M219,WM_KEY,0))+Q219*INDEX(WM_L,MATCH($M219,WM_KEY,0))+R219*INDEX(WM_E,MATCH($M219,WM_KEY,0))+S219*INDEX(WM_BI,MATCH($M219,WM_KEY,0)),""))</f>
        <v>1.55</v>
      </c>
      <c r="U219" s="42" t="str">
        <f>IF(T219="","",INDEX({"A1","A2","A3","B1","B2","B3","C1","C2","D1","D2","E1","E2"},MAX(1,MIN(12,ROUND(T219,0)))))</f>
        <v>A2</v>
      </c>
      <c r="V219" s="12" t="inlineStr">
        <is>
          <r>
            <rPr>
              <rFont val="Calibri"/>
              <sz val="10"/>
            </rPr>
            <t xml:space="preserve">New level A2 · Associate. Current level on record: L2 – Trainee. Change: ▲ Up.
Score 1.55 on the ladder scale → indicated level A2.
</t>
          </r>
          <r>
            <rPr>
              <rFont val="Calibri"/>
              <b val="1"/>
              <sz val="10"/>
            </rPr>
            <t>Weights:</t>
          </r>
          <r>
            <rPr>
              <rFont val="Calibri"/>
              <sz val="10"/>
            </rPr>
            <t xml:space="preserve"> Complexity 64% · Autonomy 16% · Experience 10% · Business impact 6% · Accountability 4% · Leadership 0%
</t>
          </r>
          <r>
            <rPr>
              <rFont val="Calibri"/>
              <b val="1"/>
              <sz val="10"/>
            </rPr>
            <t>Why:</t>
          </r>
          <r>
            <rPr>
              <rFont val="Calibri"/>
              <sz val="10"/>
            </rPr>
            <t xml:space="preserve"> entry and practitioner work is judged mainly on the knowledge and problem solving the work needs; leading others is not expected yet, so Leadership counts 0%.
</t>
          </r>
          <r>
            <rPr>
              <rFont val="Calibri"/>
              <b val="1"/>
              <sz val="10"/>
            </rPr>
            <t>Type of work in the department:</t>
          </r>
          <r>
            <rPr>
              <rFont val="Calibri"/>
              <sz val="10"/>
            </rPr>
            <t xml:space="preserve"> technology work is valued for technical depth, so Complexity +5 and Accountability −5.
</t>
          </r>
          <r>
            <rPr>
              <rFont val="Calibri"/>
              <b val="1"/>
              <sz val="10"/>
            </rPr>
            <t>Live:</t>
          </r>
          <r>
            <rPr>
              <rFont val="Calibri"/>
              <sz val="10"/>
            </rPr>
            <t xml:space="preserve"> change the department's row on the Weightage Matrix and these weights, the points and the score update.
</t>
          </r>
          <r>
            <rPr>
              <rFont val="Calibri"/>
              <b val="1"/>
              <sz val="10"/>
            </rPr>
            <t>What decided the final level:</t>
          </r>
          <r>
            <rPr>
              <rFont val="Calibri"/>
              <sz val="10"/>
            </rPr>
            <t xml:space="preserve"> the score itself — no rule changed it.</t>
          </r>
        </is>
      </c>
      <c r="W219" s="12" t="inlineStr">
        <is>
          <r>
            <rPr>
              <rFont val="Calibri"/>
              <b val="1"/>
              <sz val="10"/>
            </rPr>
            <t>Complexity &amp; Expertise:</t>
          </r>
          <r>
            <rPr>
              <rFont val="Calibri"/>
              <sz val="10"/>
            </rPr>
            <t xml:space="preserve"> 1.5 of 12 · between A1 and A2 — Start: 1.0 · trainee / intern title; Evidence reads like A2: own survey / KRA answers · summarised by the rater; not quoted → moved up 0.5; KRA: “1.Deliver ≥ 90% committed development tasks within agreed timelines with high-quality implementation. 2.Strengthen technical capability in…”
</t>
          </r>
          <r>
            <rPr>
              <rFont val="Calibri"/>
              <b val="1"/>
              <sz val="10"/>
            </rPr>
            <t>Autonomy &amp; Decision:</t>
          </r>
          <r>
            <rPr>
              <rFont val="Calibri"/>
              <sz val="10"/>
            </rPr>
            <t xml:space="preserve"> 1.5 of 12 · between A1 and A2 — Start: 1.0 · trainee / intern title; Evidence reads like A2: Decides how to implement technical solutions for own tasks → moved up 0.5
</t>
          </r>
          <r>
            <rPr>
              <rFont val="Calibri"/>
              <b val="1"/>
              <sz val="10"/>
            </rPr>
            <t>Accountability &amp; Impact:</t>
          </r>
          <r>
            <rPr>
              <rFont val="Calibri"/>
              <sz val="10"/>
            </rPr>
            <t xml:space="preserve"> 1.5 of 12 · between A1 and A2 — Start: 1.0 · trainee / intern title; Evidence reads like A2: own survey / KRA answers · summarised by the rater; not quoted → moved up 0.5; KRA: “1.Deliver ≥ 90% committed development tasks within agreed timelines with high-quality implementation. 2.Strengthen technical capability in…”
</t>
          </r>
          <r>
            <rPr>
              <rFont val="Calibri"/>
              <b val="1"/>
              <sz val="10"/>
            </rPr>
            <t>Leadership &amp; Strategy:</t>
          </r>
          <r>
            <rPr>
              <rFont val="Calibri"/>
              <sz val="10"/>
            </rPr>
            <t xml:space="preserve"> 1.5 of 12 · between A1 and A2 — not counted: the weight is 0% at this level — Start: 1.0 · individual contributor, so influence only; Evidence reads like A2: Says helps others who need help → moved up 0.5; Team: 0 direct reports · IC
</t>
          </r>
          <r>
            <rPr>
              <rFont val="Calibri"/>
              <b val="1"/>
              <sz val="10"/>
            </rPr>
            <t>Experience &amp; Qualification:</t>
          </r>
          <r>
            <rPr>
              <rFont val="Calibri"/>
              <sz val="10"/>
            </rPr>
            <t xml:space="preserve"> 2 of 12 — Experience: 1.2 yrs total · 1.2 at IRIS; none recorded before IRIS = 2.1 on the experience scale; Qualification: B.Sc · graduate, relevant to the work → no change
</t>
          </r>
          <r>
            <rPr>
              <rFont val="Calibri"/>
              <b val="1"/>
              <sz val="10"/>
            </rPr>
            <t>Business Impact:</t>
          </r>
          <r>
            <rPr>
              <rFont val="Calibri"/>
              <sz val="10"/>
            </rPr>
            <t xml:space="preserve"> 1.5 of 12 — a starting estimate. — Start: 1.5, the role's accountability scope — what it answers for.; No survey or manager-mapping signal on criticality: kept at the start point.; Managers and heads: overwrite this rating on the Weightage sheet with the business impact you see — the score updates at once.; Ladder: A1 = Learning; little direct effect on business results yet · A2 = Own deliverables feed a team's output and turnaround</t>
          </r>
        </is>
      </c>
      <c r="X219" s="12" t="inlineStr">
        <is>
          <r>
            <rPr>
              <rFont val="Calibri"/>
              <b val="1"/>
              <sz val="10"/>
            </rPr>
            <t>Market level:</t>
          </r>
          <r>
            <rPr>
              <rFont val="Calibri"/>
              <sz val="10"/>
            </rPr>
            <t xml:space="preserve"> P1–P2 · SFIA 2 Assist
</t>
          </r>
          <r>
            <rPr>
              <rFont val="Calibri"/>
              <b val="1"/>
              <sz val="10"/>
            </rPr>
            <t>Typical title:</t>
          </r>
          <r>
            <rPr>
              <rFont val="Calibri"/>
              <sz val="10"/>
            </rPr>
            <t xml:space="preserve"> Associate Software Engineer / Software Engineer
</t>
          </r>
          <r>
            <rPr>
              <rFont val="Calibri"/>
              <b val="1"/>
              <sz val="10"/>
            </rPr>
            <t>At peers:</t>
          </r>
          <r>
            <rPr>
              <rFont val="Calibri"/>
              <sz val="10"/>
            </rPr>
            <t xml:space="preserve"> Workiva – Associate SE · Broadridge India – SE · Nasdaq / AxiomSL – SE
</t>
          </r>
          <r>
            <rPr>
              <rFont val="Calibri"/>
              <b val="1"/>
              <sz val="10"/>
            </rPr>
            <t>Typical experience:</t>
          </r>
          <r>
            <rPr>
              <rFont val="Calibri"/>
              <sz val="10"/>
            </rPr>
            <t xml:space="preserve"> 0–3 yrs · IRIS guide 0–2
</t>
          </r>
          <r>
            <rPr>
              <rFont val="Calibri"/>
              <b val="1"/>
              <sz val="10"/>
            </rPr>
            <t>Standard:</t>
          </r>
          <r>
            <rPr>
              <rFont val="Calibri"/>
              <sz val="10"/>
            </rPr>
            <t xml:space="preserve"> SFIA 9; OWASP secure coding</t>
          </r>
        </is>
      </c>
      <c r="Y219" s="12" t="inlineStr">
        <is>
          <r>
            <rPr>
              <rFont val="Calibri"/>
              <sz val="10"/>
            </rPr>
            <t xml:space="preserve">✓ HRIS: 1.2 yrs, B.Sc,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219" s="12" t="inlineStr">
        <is>
          <t>—</t>
        </is>
      </c>
      <c r="AA219" s="12" t="inlineStr">
        <is>
          <t>Nothing outstanding</t>
        </is>
      </c>
      <c r="AB219" s="12" t="inlineStr">
        <is>
          <r>
            <rPr>
              <rFont val="Calibri"/>
              <b val="1"/>
              <sz val="10"/>
            </rPr>
            <t>What the role answers for:</t>
          </r>
          <r>
            <rPr>
              <rFont val="Calibri"/>
              <sz val="10"/>
            </rPr>
            <t xml:space="preserve"> Own deliverables · accuracy, TAT.
</t>
          </r>
          <r>
            <rPr>
              <rFont val="Calibri"/>
              <b val="1"/>
              <sz val="10"/>
            </rPr>
            <t>Accountability &amp; Impact rating:</t>
          </r>
          <r>
            <rPr>
              <rFont val="Calibri"/>
              <sz val="10"/>
            </rPr>
            <t xml:space="preserve"> 1.5 of 12 · A2-level impact.
</t>
          </r>
          <r>
            <rPr>
              <rFont val="Calibri"/>
              <b val="1"/>
              <sz val="10"/>
            </rPr>
            <t>If the work is missed · role-holders' themes:</t>
          </r>
          <r>
            <rPr>
              <rFont val="Calibri"/>
              <sz val="10"/>
            </rPr>
            <t xml:space="preserve"> rework · incorrectly · issues · delays.
</t>
          </r>
          <r>
            <rPr>
              <rFont val="Calibri"/>
              <b val="1"/>
              <sz val="10"/>
            </rPr>
            <t>Measured on · manager-set KRA themes:</t>
          </r>
          <r>
            <rPr>
              <rFont val="Calibri"/>
              <sz val="10"/>
            </rPr>
            <t xml:space="preserve"> improve · deliver · modules · committed · coverage · automated.
Manager talent mapping — Latest rating: Not rated · manager · 9-Box Grid placement: Future Leader.</t>
          </r>
        </is>
      </c>
      <c r="AC219" s="84" t="n"/>
      <c r="AD219" s="84" t="n"/>
      <c r="AE219" s="84" t="n"/>
      <c r="AF219" s="12" t="n">
        <v>1.5</v>
      </c>
    </row>
    <row r="220" ht="119" customHeight="1">
      <c r="A220" s="12" t="inlineStr">
        <is>
          <t>IRIS2454</t>
        </is>
      </c>
      <c r="B220" s="10" t="inlineStr">
        <is>
          <t>Ayush Sharma</t>
        </is>
      </c>
      <c r="C220" s="12" t="inlineStr">
        <is>
          <t>Technology</t>
        </is>
      </c>
      <c r="D220" s="12" t="inlineStr">
        <is>
          <t>Trainee Software Engineer</t>
        </is>
      </c>
      <c r="E220" s="12" t="inlineStr">
        <is>
          <t>Trainee Software Engineer</t>
        </is>
      </c>
      <c r="F220" s="12" t="inlineStr">
        <is>
          <t>Engineering &amp; Development</t>
        </is>
      </c>
      <c r="G220" s="12" t="inlineStr">
        <is>
          <t>Backend Development</t>
        </is>
      </c>
      <c r="H220" s="12" t="inlineStr">
        <is>
          <t>IC</t>
        </is>
      </c>
      <c r="I220" s="42" t="inlineStr">
        <is>
          <t>L2 – Trainee</t>
        </is>
      </c>
      <c r="J220" s="16" t="inlineStr">
        <is>
          <t>A1</t>
        </is>
      </c>
      <c r="K220" s="17" t="inlineStr">
        <is>
          <t>Intern / Trainee</t>
        </is>
      </c>
      <c r="L220" s="88" t="inlineStr">
        <is>
          <t>• Same level</t>
        </is>
      </c>
      <c r="M220" s="12" t="inlineStr">
        <is>
          <t>—</t>
        </is>
      </c>
      <c r="N220" s="42" t="inlineStr">
        <is>
          <t>—</t>
        </is>
      </c>
      <c r="O220" s="42" t="inlineStr">
        <is>
          <t>—</t>
        </is>
      </c>
      <c r="P220" s="42" t="inlineStr">
        <is>
          <t>—</t>
        </is>
      </c>
      <c r="Q220" s="42" t="inlineStr">
        <is>
          <t>—</t>
        </is>
      </c>
      <c r="R220" s="42" t="inlineStr">
        <is>
          <t>—</t>
        </is>
      </c>
      <c r="S220" s="80" t="inlineStr">
        <is>
          <t>—</t>
        </is>
      </c>
      <c r="T220" s="81" t="inlineStr">
        <is>
          <t>—</t>
        </is>
      </c>
      <c r="U220" s="42" t="inlineStr">
        <is>
          <t>Not scored</t>
        </is>
      </c>
      <c r="V220" s="12" t="inlineStr">
        <is>
          <t>New level A1 · Intern / Trainee. Current level on record: L2 – Trainee. Change: • Same level.
Interns and first-year trainees start at A1.</t>
        </is>
      </c>
      <c r="W220" s="12" t="inlineStr">
        <is>
          <r>
            <rPr>
              <rFont val="Calibri"/>
              <b val="1"/>
              <sz val="10"/>
            </rPr>
            <t>Not scored:</t>
          </r>
          <r>
            <rPr>
              <rFont val="Calibri"/>
              <sz val="10"/>
            </rPr>
            <t xml:space="preserve"> interns and first-year trainees start at A1.</t>
          </r>
        </is>
      </c>
      <c r="X220"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Y220" s="12" t="inlineStr">
        <is>
          <r>
            <rPr>
              <rFont val="Calibri"/>
              <sz val="10"/>
            </rPr>
            <t xml:space="preserve">✓ HRIS: 0.8 yrs, B.Tech,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Low</t>
          </r>
        </is>
      </c>
      <c r="Z220" s="12" t="inlineStr">
        <is>
          <t>—</t>
        </is>
      </c>
      <c r="AA220" s="12" t="inlineStr">
        <is>
          <t>Nothing outstanding</t>
        </is>
      </c>
      <c r="AB220"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lead · delays · rework.
</t>
          </r>
          <r>
            <rPr>
              <rFont val="Calibri"/>
              <b val="1"/>
              <sz val="10"/>
            </rPr>
            <t>Measured on · manager-set KRA themes:</t>
          </r>
          <r>
            <rPr>
              <rFont val="Calibri"/>
              <sz val="10"/>
            </rPr>
            <t xml:space="preserve"> code · technical · agreed · deliver · application · maintain.
Manager talent mapping — Latest rating: Not rated · manager · 9-Box Grid placement: Trusted Professional.</t>
          </r>
        </is>
      </c>
      <c r="AC220" s="84" t="n"/>
      <c r="AD220" s="84" t="n"/>
      <c r="AE220" s="84" t="n"/>
      <c r="AF220" s="12" t="inlineStr">
        <is>
          <t>—</t>
        </is>
      </c>
    </row>
    <row r="221" ht="106" customHeight="1">
      <c r="A221" s="12" t="inlineStr">
        <is>
          <t>IRIS2455</t>
        </is>
      </c>
      <c r="B221" s="10" t="inlineStr">
        <is>
          <t>Soniya Paliwal</t>
        </is>
      </c>
      <c r="C221" s="12" t="inlineStr">
        <is>
          <t>Technology</t>
        </is>
      </c>
      <c r="D221" s="12" t="inlineStr">
        <is>
          <t>Trainee Software Engineer</t>
        </is>
      </c>
      <c r="E221" s="12" t="inlineStr">
        <is>
          <t>Trainee Software Engineer</t>
        </is>
      </c>
      <c r="F221" s="12" t="inlineStr">
        <is>
          <t>Engineering &amp; Development</t>
        </is>
      </c>
      <c r="G221" s="12" t="inlineStr">
        <is>
          <t>Full-Stack Development</t>
        </is>
      </c>
      <c r="H221" s="12" t="inlineStr">
        <is>
          <t>IC</t>
        </is>
      </c>
      <c r="I221" s="42" t="inlineStr">
        <is>
          <t>L2 – Trainee</t>
        </is>
      </c>
      <c r="J221" s="16" t="inlineStr">
        <is>
          <t>A1</t>
        </is>
      </c>
      <c r="K221" s="17" t="inlineStr">
        <is>
          <t>Intern / Trainee</t>
        </is>
      </c>
      <c r="L221" s="88" t="inlineStr">
        <is>
          <t>• Same level</t>
        </is>
      </c>
      <c r="M221" s="12" t="inlineStr">
        <is>
          <t>—</t>
        </is>
      </c>
      <c r="N221" s="42" t="inlineStr">
        <is>
          <t>—</t>
        </is>
      </c>
      <c r="O221" s="42" t="inlineStr">
        <is>
          <t>—</t>
        </is>
      </c>
      <c r="P221" s="42" t="inlineStr">
        <is>
          <t>—</t>
        </is>
      </c>
      <c r="Q221" s="42" t="inlineStr">
        <is>
          <t>—</t>
        </is>
      </c>
      <c r="R221" s="42" t="inlineStr">
        <is>
          <t>—</t>
        </is>
      </c>
      <c r="S221" s="80" t="inlineStr">
        <is>
          <t>—</t>
        </is>
      </c>
      <c r="T221" s="81" t="inlineStr">
        <is>
          <t>—</t>
        </is>
      </c>
      <c r="U221" s="42" t="inlineStr">
        <is>
          <t>Not scored</t>
        </is>
      </c>
      <c r="V221" s="12" t="inlineStr">
        <is>
          <t>New level A1 · Intern / Trainee. Current level on record: L2 – Trainee. Change: • Same level.
Interns and first-year trainees start at A1.</t>
        </is>
      </c>
      <c r="W221" s="12" t="inlineStr">
        <is>
          <r>
            <rPr>
              <rFont val="Calibri"/>
              <b val="1"/>
              <sz val="10"/>
            </rPr>
            <t>Not scored:</t>
          </r>
          <r>
            <rPr>
              <rFont val="Calibri"/>
              <sz val="10"/>
            </rPr>
            <t xml:space="preserve"> interns and first-year trainees start at A1.</t>
          </r>
        </is>
      </c>
      <c r="X221" s="12" t="inlineStr">
        <is>
          <r>
            <rPr>
              <rFont val="Calibri"/>
              <b val="1"/>
              <sz val="10"/>
            </rPr>
            <t>Market level:</t>
          </r>
          <r>
            <rPr>
              <rFont val="Calibri"/>
              <sz val="10"/>
            </rPr>
            <t xml:space="preserve"> Entry / P1 · intern · SFIA 1 Follow
</t>
          </r>
          <r>
            <rPr>
              <rFont val="Calibri"/>
              <b val="1"/>
              <sz val="10"/>
            </rPr>
            <t>Typical title:</t>
          </r>
          <r>
            <rPr>
              <rFont val="Calibri"/>
              <sz val="10"/>
            </rPr>
            <t xml:space="preserve"> Associate Software Engineer
</t>
          </r>
          <r>
            <rPr>
              <rFont val="Calibri"/>
              <b val="1"/>
              <sz val="10"/>
            </rPr>
            <t>Standard:</t>
          </r>
          <r>
            <rPr>
              <rFont val="Calibri"/>
              <sz val="10"/>
            </rPr>
            <t xml:space="preserve"> SFIA 9; OWASP secure coding</t>
          </r>
        </is>
      </c>
      <c r="Y221" s="12" t="inlineStr">
        <is>
          <r>
            <rPr>
              <rFont val="Calibri"/>
              <sz val="10"/>
            </rPr>
            <t xml:space="preserve">✓ HRIS: 0.8 yrs, B.Com, 0 direct reports
✓ Survey: 20 of 20 questions answered
✓ KRAs: submitted, reported deliverables
✓ Manager mapping: rating, 9-box — filled from talent-mapping files: 9-box · CARBON grid
✗ Job description: not on file
</t>
          </r>
          <r>
            <rPr>
              <rFont val="Calibri"/>
              <b val="1"/>
              <sz val="10"/>
            </rPr>
            <t>Confidence:</t>
          </r>
          <r>
            <rPr>
              <rFont val="Calibri"/>
              <sz val="10"/>
            </rPr>
            <t xml:space="preserve"> Medium</t>
          </r>
        </is>
      </c>
      <c r="Z221" s="12" t="inlineStr">
        <is>
          <t>—</t>
        </is>
      </c>
      <c r="AA221" s="12" t="inlineStr">
        <is>
          <t>Nothing outstanding</t>
        </is>
      </c>
      <c r="AB221" s="12" t="inlineStr">
        <is>
          <r>
            <rPr>
              <rFont val="Calibri"/>
              <b val="1"/>
              <sz val="10"/>
            </rPr>
            <t>What the role answers for:</t>
          </r>
          <r>
            <rPr>
              <rFont val="Calibri"/>
              <sz val="10"/>
            </rPr>
            <t xml:space="preserve"> Learning tasks.
</t>
          </r>
          <r>
            <rPr>
              <rFont val="Calibri"/>
              <b val="1"/>
              <sz val="10"/>
            </rPr>
            <t>If the work is missed · role-holders' themes:</t>
          </r>
          <r>
            <rPr>
              <rFont val="Calibri"/>
              <sz val="10"/>
            </rPr>
            <t xml:space="preserve"> rework · lead · delays.
</t>
          </r>
          <r>
            <rPr>
              <rFont val="Calibri"/>
              <b val="1"/>
              <sz val="10"/>
            </rPr>
            <t>Measured on · manager-set KRA themes:</t>
          </r>
          <r>
            <rPr>
              <rFont val="Calibri"/>
              <sz val="10"/>
            </rPr>
            <t xml:space="preserve"> complete · assigned · improve · code · technical · quality.
Manager talent mapping — Latest rating: Not rated · manager · 9-Box Grid placement: Future Leader.</t>
          </r>
        </is>
      </c>
      <c r="AC221" s="84" t="n"/>
      <c r="AD221" s="84" t="n"/>
      <c r="AE221" s="84" t="n"/>
      <c r="AF221" s="12" t="inlineStr">
        <is>
          <t>—</t>
        </is>
      </c>
    </row>
  </sheetData>
  <mergeCells count="14">
    <mergeCell ref="AC5:AF5"/>
    <mergeCell ref="J4:K4"/>
    <mergeCell ref="L4:M4"/>
    <mergeCell ref="A5:C5"/>
    <mergeCell ref="D5:L5"/>
    <mergeCell ref="V5:X5"/>
    <mergeCell ref="A1:AF1"/>
    <mergeCell ref="A4:D4"/>
    <mergeCell ref="M5:U5"/>
    <mergeCell ref="A3:AF3"/>
    <mergeCell ref="H4:I4"/>
    <mergeCell ref="N4:P4"/>
    <mergeCell ref="Y5:AB5"/>
    <mergeCell ref="A2:AF2"/>
  </mergeCells>
  <dataValidations count="2">
    <dataValidation sqref="AC7:AC221" showDropDown="0" showInputMessage="0" showErrorMessage="0" allowBlank="1" type="list">
      <formula1>"Agree,Change,Discuss"</formula1>
    </dataValidation>
    <dataValidation sqref="S7:S221" showDropDown="0" showInputMessage="0" showErrorMessage="1" allowBlank="1" errorTitle="Business Impact rating" error="Enter a rating from 1 to 12; half points are allowed." type="decimal" operator="between">
      <formula1>1</formula1>
      <formula2>12</formula2>
    </dataValidation>
  </dataValidations>
  <hyperlinks>
    <hyperlink xmlns:r="http://schemas.openxmlformats.org/officeDocument/2006/relationships" ref="A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4.xml><?xml version="1.0" encoding="utf-8"?>
<worksheet xmlns="http://schemas.openxmlformats.org/spreadsheetml/2006/main">
  <sheetPr>
    <tabColor rgb="00C55A11"/>
    <outlinePr summaryBelow="1" summaryRight="1"/>
    <pageSetUpPr fitToPage="1"/>
  </sheetPr>
  <dimension ref="A1:W104"/>
  <sheetViews>
    <sheetView showGridLines="0" zoomScale="85" workbookViewId="0">
      <pane xSplit="3" ySplit="6" topLeftCell="D7" activePane="bottomRight" state="frozen"/>
      <selection pane="topRight" activeCell="A1" sqref="A1"/>
      <selection pane="bottomLeft" activeCell="A1" sqref="A1"/>
      <selection pane="bottomRight" activeCell="A1" sqref="A1"/>
    </sheetView>
  </sheetViews>
  <sheetFormatPr baseColWidth="8" defaultRowHeight="15"/>
  <cols>
    <col width="9" customWidth="1" min="1" max="1"/>
    <col width="16" customWidth="1" min="2" max="2"/>
    <col width="20" customWidth="1" min="3" max="3"/>
    <col width="6" customWidth="1" min="4" max="4"/>
    <col width="14" customWidth="1" min="5" max="5"/>
    <col width="8" customWidth="1" min="6" max="6"/>
    <col width="24" customWidth="1" min="7" max="7"/>
    <col width="24" customWidth="1" min="8" max="8"/>
    <col width="16" customWidth="1" min="9" max="9"/>
    <col width="42" customWidth="1" min="10" max="10"/>
    <col width="42" customWidth="1" min="11" max="11"/>
    <col width="28" customWidth="1" min="12" max="12"/>
    <col width="32" customWidth="1" min="13" max="13"/>
    <col width="30" customWidth="1" min="14" max="14"/>
    <col width="46" customWidth="1" min="15" max="15"/>
    <col width="24" customWidth="1" min="16" max="16"/>
    <col width="34" customWidth="1" min="17" max="17"/>
    <col width="30" customWidth="1" min="18" max="18"/>
    <col width="40" customWidth="1" min="19" max="19"/>
    <col width="32" customWidth="1" min="20" max="20"/>
    <col width="26" customWidth="1" min="21" max="21"/>
    <col width="22" customWidth="1" min="22" max="22"/>
    <col width="13" customWidth="1" min="23" max="23"/>
  </cols>
  <sheetData>
    <row r="1" ht="34" customHeight="1">
      <c r="A1" s="1" t="inlineStr">
        <is>
          <t>Roles — every role held here, as defined once for all of IRIS</t>
        </is>
      </c>
      <c r="W1" s="104" t="inlineStr">
        <is>
          <t>◂ Start Here</t>
        </is>
      </c>
    </row>
    <row r="2" ht="30" customHeight="1">
      <c r="A2" s="3" t="inlineStr">
        <is>
          <t>Sheet 3 · One row per role · job family × sub-family × level × track. Purpose and responsibilities are written in catalogue language · the sub-family definition and the level standard, followed by the common themes in the role-holders' own answers where 3+ answered · the role, else its sub-family — 'Evidence basis' says which. The level requirements are the framework's, the same for every role at that level.</t>
        </is>
      </c>
    </row>
    <row r="3">
      <c r="A3" s="4" t="inlineStr">
        <is>
          <t>IRIS · Job Architecture &amp; Job Design · Final v1.12 · October 2026 · Internal — Confidential</t>
        </is>
      </c>
    </row>
    <row r="4"/>
    <row r="5" ht="30" customHeight="1">
      <c r="A5" s="68" t="inlineStr">
        <is>
          <t>ROLE</t>
        </is>
      </c>
      <c r="J5" s="69" t="inlineStr">
        <is>
          <t>WHAT THE ROLE IS FOR AND DOES</t>
        </is>
      </c>
      <c r="O5" s="70" t="inlineStr">
        <is>
          <t>WHAT THE LEVEL REQUIRES</t>
        </is>
      </c>
      <c r="R5" s="71" t="inlineStr">
        <is>
          <t>DISCIPLINE DETAIL · Career Architecture V2</t>
        </is>
      </c>
      <c r="T5" s="72" t="inlineStr">
        <is>
          <t>MARKET &amp; CAREER</t>
        </is>
      </c>
      <c r="V5" s="73" t="inlineStr">
        <is>
          <t>EVIDENCE</t>
        </is>
      </c>
    </row>
    <row r="6" ht="44" customHeight="1">
      <c r="A6" s="74" t="inlineStr">
        <is>
          <t>Catalogue ID</t>
        </is>
      </c>
      <c r="B6" s="74" t="inlineStr">
        <is>
          <t>Job family</t>
        </is>
      </c>
      <c r="C6" s="74" t="inlineStr">
        <is>
          <t>Sub-family</t>
        </is>
      </c>
      <c r="D6" s="74" t="inlineStr">
        <is>
          <t>Level</t>
        </is>
      </c>
      <c r="E6" s="74" t="inlineStr">
        <is>
          <t>Level title</t>
        </is>
      </c>
      <c r="F6" s="74" t="inlineStr">
        <is>
          <t>Track</t>
        </is>
      </c>
      <c r="G6" s="74" t="inlineStr">
        <is>
          <t>Designations used</t>
        </is>
      </c>
      <c r="H6" s="74" t="inlineStr">
        <is>
          <t>Held here by</t>
        </is>
      </c>
      <c r="I6" s="74" t="inlineStr">
        <is>
          <t>Department · s</t>
        </is>
      </c>
      <c r="J6" s="8" t="inlineStr">
        <is>
          <t>Purpose</t>
        </is>
      </c>
      <c r="K6" s="8" t="inlineStr">
        <is>
          <t>Key responsibilities</t>
        </is>
      </c>
      <c r="L6" s="8" t="inlineStr">
        <is>
          <t>Decision rights</t>
        </is>
      </c>
      <c r="M6" s="8" t="inlineStr">
        <is>
          <t>Manager-set KRAs · common themes</t>
        </is>
      </c>
      <c r="N6" s="8" t="inlineStr">
        <is>
          <t>Skills &amp; tools · counts</t>
        </is>
      </c>
      <c r="O6" s="75" t="inlineStr">
        <is>
          <t>Expectations at this level</t>
        </is>
      </c>
      <c r="P6" s="75" t="inlineStr">
        <is>
          <t>Experience &amp; education</t>
        </is>
      </c>
      <c r="Q6" s="75" t="inlineStr">
        <is>
          <t>Must-have competencies &amp; proficiency</t>
        </is>
      </c>
      <c r="R6" s="76" t="inlineStr">
        <is>
          <t>Family boundary</t>
        </is>
      </c>
      <c r="S6" s="76" t="inlineStr">
        <is>
          <t>Discipline expectation, readiness and work sample</t>
        </is>
      </c>
      <c r="T6" s="77" t="inlineStr">
        <is>
          <t>Market equivalent</t>
        </is>
      </c>
      <c r="U6" s="77" t="inlineStr">
        <is>
          <t>Next step</t>
        </is>
      </c>
      <c r="V6" s="78" t="inlineStr">
        <is>
          <t>Evidence basis</t>
        </is>
      </c>
    </row>
    <row r="7">
      <c r="A7" s="89" t="inlineStr">
        <is>
          <t>Business Analysis</t>
        </is>
      </c>
    </row>
    <row r="8" ht="119" customHeight="1">
      <c r="A8" s="90" t="inlineStr">
        <is>
          <t>RC-008</t>
        </is>
      </c>
      <c r="B8" s="12" t="inlineStr">
        <is>
          <t>Business Analysis</t>
        </is>
      </c>
      <c r="C8" s="12" t="inlineStr">
        <is>
          <t>Business Analysis</t>
        </is>
      </c>
      <c r="D8" s="16" t="inlineStr">
        <is>
          <t>A2</t>
        </is>
      </c>
      <c r="E8" s="17" t="inlineStr">
        <is>
          <t>Associate</t>
        </is>
      </c>
      <c r="F8" s="12" t="inlineStr">
        <is>
          <t>IC</t>
        </is>
      </c>
      <c r="G8" s="12" t="inlineStr">
        <is>
          <t>Business Analyst</t>
        </is>
      </c>
      <c r="H8" s="12" t="inlineStr">
        <is>
          <t>Saniya Baxi</t>
        </is>
      </c>
      <c r="I8" s="12" t="inlineStr">
        <is>
          <t>Technology</t>
        </is>
      </c>
      <c r="J8" s="12" t="inlineStr">
        <is>
          <r>
            <rPr>
              <rFont val="Calibri"/>
              <sz val="10"/>
            </rPr>
            <t xml:space="preserve">Gathers and documents requirements · BRD/FRD/SRS/user stories, configures solutions and supports UAT and releases. At A2: standard work delivered independently.
</t>
          </r>
          <r>
            <rPr>
              <rFont val="Calibri"/>
              <b val="1"/>
              <sz val="10"/>
            </rPr>
            <t>Common themes in sub-family holders, all levels' answers:</t>
          </r>
          <r>
            <rPr>
              <rFont val="Calibri"/>
              <sz val="10"/>
            </rPr>
            <t xml:space="preserve"> business · requirements · bridge · analyst · between · technical</t>
          </r>
        </is>
      </c>
      <c r="K8" s="12" t="inlineStr">
        <is>
          <r>
            <rPr>
              <rFont val="Calibri"/>
              <sz val="10"/>
            </rPr>
            <t xml:space="preserve">Gathers and documents requirements · BRD/FRD/SRS/user stories, configures solutions and supports UAT and releases; Standard work of the discipline; Own deliverables · accuracy, TAT
</t>
          </r>
          <r>
            <rPr>
              <rFont val="Calibri"/>
              <b val="1"/>
              <sz val="10"/>
            </rPr>
            <t>Common themes in sub-family holders, all levels' answers:</t>
          </r>
          <r>
            <rPr>
              <rFont val="Calibri"/>
              <sz val="10"/>
            </rPr>
            <t xml:space="preserve"> requirement · documentation · stakeholder · client · gathering · analysis</t>
          </r>
        </is>
      </c>
      <c r="L8" s="12" t="inlineStr">
        <is>
          <r>
            <rPr>
              <rFont val="Calibri"/>
              <sz val="10"/>
            </rPr>
            <t xml:space="preserve">Chooses own approach within standards
</t>
          </r>
          <r>
            <rPr>
              <rFont val="Calibri"/>
              <b val="1"/>
              <sz val="10"/>
            </rPr>
            <t>Common themes in sub-family holders, all levels' answers:</t>
          </r>
          <r>
            <rPr>
              <rFont val="Calibri"/>
              <sz val="10"/>
            </rPr>
            <t xml:space="preserve"> requirements · user · documentation · process · stories · assign</t>
          </r>
        </is>
      </c>
      <c r="M8" s="12" t="inlineStr">
        <is>
          <t>—</t>
        </is>
      </c>
      <c r="N8" s="12" t="inlineStr">
        <is>
          <r>
            <rPr>
              <rFont val="Calibri"/>
              <b val="1"/>
              <sz val="10"/>
            </rPr>
            <t>Skills: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t>
          </r>
        </is>
      </c>
      <c r="O8"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8" s="12" t="inlineStr">
        <is>
          <t>0–2 yrs
Graduate · or diploma with experience</t>
        </is>
      </c>
      <c r="Q8" s="12" t="inlineStr">
        <is>
          <t>Core 2 · Future-ready 2 · Functional 2 · Leadership —
★ Business Analysis &amp; Requirements Engineering · Regulatory &amp; BFSI Domain</t>
        </is>
      </c>
      <c r="R8" s="12" t="inlineStr">
        <is>
          <t>Define business needs and evaluate solutions. Includes: Elicitation, process analysis, traceability and solution evaluation. Excludes: Product investment authority; technical architecture.</t>
        </is>
      </c>
      <c r="S8" s="12" t="inlineStr">
        <is>
          <r>
            <rPr>
              <rFont val="Calibri"/>
              <b val="1"/>
              <sz val="10"/>
            </rPr>
            <t>Comparable stage:</t>
          </r>
          <r>
            <rPr>
              <rFont val="Calibri"/>
              <sz val="10"/>
            </rPr>
            <t xml:space="preserve"> BA01-1 · Junior Business Analyst
</t>
          </r>
          <r>
            <rPr>
              <rFont val="Calibri"/>
              <b val="1"/>
              <sz val="10"/>
            </rPr>
            <t>Complete defined parts under review:</t>
          </r>
          <r>
            <rPr>
              <rFont val="Calibri"/>
              <sz val="10"/>
            </rPr>
            <t xml:space="preserve"> elicit requirements, model processes and trace acceptance criteria.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requirements set traced to business needs, acceptance tests and realized outcomes</t>
          </r>
        </is>
      </c>
      <c r="T8" s="12" t="inlineStr">
        <is>
          <r>
            <rPr>
              <rFont val="Calibri"/>
              <sz val="10"/>
            </rPr>
            <t xml:space="preserve">Radford / Mercer P1–P2 · SFIA 2 Assist
</t>
          </r>
          <r>
            <rPr>
              <rFont val="Calibri"/>
              <b val="1"/>
              <sz val="10"/>
            </rPr>
            <t>Big Four consulting:</t>
          </r>
          <r>
            <rPr>
              <rFont val="Calibri"/>
              <sz val="10"/>
            </rPr>
            <t xml:space="preserve"> Analyst · IRIS Vs Market Benchmark — IIBA certification pathway: ECBA · Infosys / Accenture: JL3B · L11 Analyst</t>
          </r>
        </is>
      </c>
      <c r="U8" s="12" t="inlineStr">
        <is>
          <t>A3 · Senior Associate</t>
        </is>
      </c>
      <c r="V8" s="12" t="inlineStr">
        <is>
          <t>Framework + sub-family themes · 3+ answered</t>
        </is>
      </c>
    </row>
    <row r="9" ht="106" customHeight="1">
      <c r="A9" s="90" t="inlineStr">
        <is>
          <t>RC-010</t>
        </is>
      </c>
      <c r="B9" s="12" t="inlineStr">
        <is>
          <t>Business Analysis</t>
        </is>
      </c>
      <c r="C9" s="12" t="inlineStr">
        <is>
          <t>Business Analysis</t>
        </is>
      </c>
      <c r="D9" s="20" t="inlineStr">
        <is>
          <t>B1</t>
        </is>
      </c>
      <c r="E9" s="21" t="inlineStr">
        <is>
          <t>Specialist</t>
        </is>
      </c>
      <c r="F9" s="12" t="inlineStr">
        <is>
          <t>IC</t>
        </is>
      </c>
      <c r="G9" s="12" t="inlineStr">
        <is>
          <t>Business Analysis Specialist · Business Analysis Specialist – POD Lead · Senior Business Analysis Specialist</t>
        </is>
      </c>
      <c r="H9" s="12" t="inlineStr">
        <is>
          <t>Dhaval Lotwala</t>
        </is>
      </c>
      <c r="I9" s="12" t="inlineStr">
        <is>
          <t>Technology</t>
        </is>
      </c>
      <c r="J9" s="12" t="inlineStr">
        <is>
          <r>
            <rPr>
              <rFont val="Calibri"/>
              <sz val="10"/>
            </rPr>
            <t xml:space="preserve">Gathers and documents requirements · BRD/FRD/SRS/user stories, configures solutions and supports UAT and releases. At B1: a domain / module, or a small team.
</t>
          </r>
          <r>
            <rPr>
              <rFont val="Calibri"/>
              <b val="1"/>
              <sz val="10"/>
            </rPr>
            <t>Common themes in role-holders' answers:</t>
          </r>
          <r>
            <rPr>
              <rFont val="Calibri"/>
              <sz val="10"/>
            </rPr>
            <t xml:space="preserve"> business · smooth · between · client · am · requirements</t>
          </r>
        </is>
      </c>
      <c r="K9" s="12" t="inlineStr">
        <is>
          <r>
            <rPr>
              <rFont val="Calibri"/>
              <sz val="10"/>
            </rPr>
            <t xml:space="preserve">Gathers and documents requirements · BRD/FRD/SRS/user stories, configures solutions and supports UAT and releases; Domain specialist work; A domain or a small team
</t>
          </r>
          <r>
            <rPr>
              <rFont val="Calibri"/>
              <b val="1"/>
              <sz val="10"/>
            </rPr>
            <t>Common themes in role-holders' answers:</t>
          </r>
          <r>
            <rPr>
              <rFont val="Calibri"/>
              <sz val="10"/>
            </rPr>
            <t xml:space="preserve"> requirement · stakeholder · gathering · client · project · portfolio</t>
          </r>
        </is>
      </c>
      <c r="L9" s="12" t="inlineStr">
        <is>
          <r>
            <rPr>
              <rFont val="Calibri"/>
              <sz val="10"/>
            </rPr>
            <t xml:space="preserve">Technical / QC / client calls for the domain
</t>
          </r>
          <r>
            <rPr>
              <rFont val="Calibri"/>
              <b val="1"/>
              <sz val="10"/>
            </rPr>
            <t>Common themes in role-holders' answers:</t>
          </r>
          <r>
            <rPr>
              <rFont val="Calibri"/>
              <sz val="10"/>
            </rPr>
            <t xml:space="preserve"> documentation</t>
          </r>
        </is>
      </c>
      <c r="M9" s="12" t="inlineStr">
        <is>
          <r>
            <rPr>
              <rFont val="Calibri"/>
              <b val="1"/>
              <sz val="10"/>
            </rPr>
            <t>Common themes in manager-set KRAs:</t>
          </r>
          <r>
            <rPr>
              <rFont val="Calibri"/>
              <sz val="10"/>
            </rPr>
            <t xml:space="preserve"> releases · satisfaction · delivery · assigned · uat · requirement</t>
          </r>
        </is>
      </c>
      <c r="N9" s="12" t="inlineStr">
        <is>
          <r>
            <rPr>
              <rFont val="Calibri"/>
              <b val="1"/>
              <sz val="10"/>
            </rPr>
            <t>Skills:</t>
          </r>
          <r>
            <rPr>
              <rFont val="Calibri"/>
              <sz val="10"/>
            </rPr>
            <t xml:space="preserve"> Business Analysis</t>
          </r>
        </is>
      </c>
      <c r="O9"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9" s="12" t="inlineStr">
        <is>
          <t>4–7 yrs
Graduate + relevant qualification or certification preferred</t>
        </is>
      </c>
      <c r="Q9" s="12" t="inlineStr">
        <is>
          <t>Core 3 · Future-ready 3 · Functional 3 · Leadership 1
★ Business Analysis &amp; Requirements Engineering · Regulatory &amp; BFSI Domain</t>
        </is>
      </c>
      <c r="R9" s="12" t="inlineStr">
        <is>
          <t>Define business needs and evaluate solutions. Includes: Elicitation, process analysis, traceability and solution evaluation. Excludes: Product investment authority; technical architecture.</t>
        </is>
      </c>
      <c r="S9" s="12" t="inlineStr">
        <is>
          <r>
            <rPr>
              <rFont val="Calibri"/>
              <b val="1"/>
              <sz val="10"/>
            </rPr>
            <t>Comparable stage:</t>
          </r>
          <r>
            <rPr>
              <rFont val="Calibri"/>
              <sz val="10"/>
            </rPr>
            <t xml:space="preserve"> BA01-3 · Senior Business Analyst
Resolve conflicting needs and evaluate complex solution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requirements set traced to business needs, acceptance tests and realized outcomes</t>
          </r>
        </is>
      </c>
      <c r="T9" s="12" t="inlineStr">
        <is>
          <t>Radford / Mercer P3 / M2 · SFIA 4 Enable
Regnology — regulatory reporting: BA · Reg Reporting · Big Four consulting: Senior Consultant · IRIS Vs Market Benchmark — IIBA certification pathway: CCBA · Infosys / Accenture: JL4 · L9 Consultant</t>
        </is>
      </c>
      <c r="U9" s="12" t="inlineStr">
        <is>
          <t>B2 · Senior Specialist</t>
        </is>
      </c>
      <c r="V9" s="12" t="inlineStr">
        <is>
          <t>Framework + role-holders' themes · 3+ answered</t>
        </is>
      </c>
    </row>
    <row r="10" ht="106" customHeight="1">
      <c r="A10" s="90" t="inlineStr">
        <is>
          <t>RC-012</t>
        </is>
      </c>
      <c r="B10" s="12" t="inlineStr">
        <is>
          <t>Business Analysis</t>
        </is>
      </c>
      <c r="C10" s="12" t="inlineStr">
        <is>
          <t>Business Analysis</t>
        </is>
      </c>
      <c r="D10" s="20" t="inlineStr">
        <is>
          <t>B2</t>
        </is>
      </c>
      <c r="E10" s="21" t="inlineStr">
        <is>
          <t>Senior Specialist</t>
        </is>
      </c>
      <c r="F10" s="12" t="inlineStr">
        <is>
          <t>IC</t>
        </is>
      </c>
      <c r="G10" s="12" t="inlineStr">
        <is>
          <t>Senior Business Analysis Specialist – POD Lead</t>
        </is>
      </c>
      <c r="H10" s="12" t="inlineStr">
        <is>
          <t>Prasad Shirke</t>
        </is>
      </c>
      <c r="I10" s="12" t="inlineStr">
        <is>
          <t>Technology</t>
        </is>
      </c>
      <c r="J10" s="12" t="inlineStr">
        <is>
          <r>
            <rPr>
              <rFont val="Calibri"/>
              <sz val="10"/>
            </rPr>
            <t xml:space="preserve">Gathers and documents requirements · BRD/FRD/SRS/user stories, configures solutions and supports UAT and releases. At B2: deep domain expertise, or one team.
</t>
          </r>
          <r>
            <rPr>
              <rFont val="Calibri"/>
              <b val="1"/>
              <sz val="10"/>
            </rPr>
            <t>Common themes in sub-family holders, all levels' answers:</t>
          </r>
          <r>
            <rPr>
              <rFont val="Calibri"/>
              <sz val="10"/>
            </rPr>
            <t xml:space="preserve"> business · requirements · bridge · analyst · between · technical</t>
          </r>
        </is>
      </c>
      <c r="K10" s="12" t="inlineStr">
        <is>
          <r>
            <rPr>
              <rFont val="Calibri"/>
              <sz val="10"/>
            </rPr>
            <t xml:space="preserve">Gathers and documents requirements · BRD/FRD/SRS/user stories, configures solutions and supports UAT and releases; Hardest problems in the domain; One team or a client portfolio
</t>
          </r>
          <r>
            <rPr>
              <rFont val="Calibri"/>
              <b val="1"/>
              <sz val="10"/>
            </rPr>
            <t>Common themes in sub-family holders, all levels' answers:</t>
          </r>
          <r>
            <rPr>
              <rFont val="Calibri"/>
              <sz val="10"/>
            </rPr>
            <t xml:space="preserve"> requirement · documentation · stakeholder · client · gathering · analysis</t>
          </r>
        </is>
      </c>
      <c r="L10" s="12" t="inlineStr">
        <is>
          <r>
            <rPr>
              <rFont val="Calibri"/>
              <sz val="10"/>
            </rPr>
            <t xml:space="preserve">Allocates people and sets team priorities
</t>
          </r>
          <r>
            <rPr>
              <rFont val="Calibri"/>
              <b val="1"/>
              <sz val="10"/>
            </rPr>
            <t>Common themes in sub-family holders, all levels' answers:</t>
          </r>
          <r>
            <rPr>
              <rFont val="Calibri"/>
              <sz val="10"/>
            </rPr>
            <t xml:space="preserve"> requirements · user · documentation · process · stories · assign</t>
          </r>
        </is>
      </c>
      <c r="M10" s="12" t="inlineStr">
        <is>
          <t>—</t>
        </is>
      </c>
      <c r="N10" s="12" t="inlineStr">
        <is>
          <r>
            <rPr>
              <rFont val="Calibri"/>
              <b val="1"/>
              <sz val="10"/>
            </rPr>
            <t>Skills:</t>
          </r>
          <r>
            <rPr>
              <rFont val="Calibri"/>
              <sz val="10"/>
            </rPr>
            <t xml:space="preserve"> Business Analysis · Documentation · Requirement analysis · Stakeholder Management · communication · XBRL · Requirement Elicitation · generative AI
</t>
          </r>
          <r>
            <rPr>
              <rFont val="Calibri"/>
              <b val="1"/>
              <sz val="10"/>
            </rPr>
            <t>Tools:</t>
          </r>
          <r>
            <rPr>
              <rFont val="Calibri"/>
              <sz val="10"/>
            </rPr>
            <t xml:space="preserve"> Excel · Figma · Quickscrum · Word · Jira · Claude · XBRL · Copilot</t>
          </r>
        </is>
      </c>
      <c r="O10"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10" s="12" t="inlineStr">
        <is>
          <t>6–9 yrs
Graduate or postgraduate; professional qualification preferred</t>
        </is>
      </c>
      <c r="Q10" s="12" t="inlineStr">
        <is>
          <t>Core 3 · Future-ready 3 · Functional 4 · Leadership 2
★ Business Analysis &amp; Requirements Engineering · Regulatory &amp; BFSI Domain</t>
        </is>
      </c>
      <c r="R10" s="12" t="inlineStr">
        <is>
          <t>Define business needs and evaluate solutions. Includes: Elicitation, process analysis, traceability and solution evaluation. Excludes: Product investment authority; technical architecture.</t>
        </is>
      </c>
      <c r="S10" s="12" t="inlineStr">
        <is>
          <r>
            <rPr>
              <rFont val="Calibri"/>
              <b val="1"/>
              <sz val="10"/>
            </rPr>
            <t>Comparable stage:</t>
          </r>
          <r>
            <rPr>
              <rFont val="Calibri"/>
              <sz val="10"/>
            </rPr>
            <t xml:space="preserve"> BA01-3 · Senior Business Analyst
Resolve conflicting needs and evaluate complex solution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requirements set traced to business needs, acceptance tests and realized outcomes</t>
          </r>
        </is>
      </c>
      <c r="T10" s="12" t="inlineStr">
        <is>
          <t>Radford / Mercer P4 / M3 · SFIA 4–5
Regnology — regulatory reporting: Senior BA · Reg Reporting · Big Four consulting: Manager · IRIS Vs Market Benchmark — IIBA certification pathway: CBAP · Infosys / Accenture: JL5 · L8 Associate Manager</t>
        </is>
      </c>
      <c r="U10" s="12" t="inlineStr">
        <is>
          <t>B3 · Lead Specialist</t>
        </is>
      </c>
      <c r="V10" s="12" t="inlineStr">
        <is>
          <t>Framework + sub-family themes · 3+ answered</t>
        </is>
      </c>
    </row>
    <row r="11">
      <c r="A11" s="89" t="inlineStr">
        <is>
          <t>Consulting &amp; Professional Services</t>
        </is>
      </c>
    </row>
    <row r="12" ht="93" customHeight="1">
      <c r="A12" s="90" t="inlineStr">
        <is>
          <t>RC-013</t>
        </is>
      </c>
      <c r="B12" s="12" t="inlineStr">
        <is>
          <t>Consulting &amp; Professional Services</t>
        </is>
      </c>
      <c r="C12" s="12" t="inlineStr">
        <is>
          <t>Professional Services Leadership</t>
        </is>
      </c>
      <c r="D12" s="24" t="inlineStr">
        <is>
          <t>C1</t>
        </is>
      </c>
      <c r="E12" s="25" t="inlineStr">
        <is>
          <t>Associate Head</t>
        </is>
      </c>
      <c r="F12" s="12" t="inlineStr">
        <is>
          <t>Manager</t>
        </is>
      </c>
      <c r="G12" s="12" t="inlineStr">
        <is>
          <t>Associate Head – XBRL Assisted Services · Associate Head – Assisted Services</t>
        </is>
      </c>
      <c r="H12" s="12" t="inlineStr">
        <is>
          <t>K Ashok Kumar, Shashikant Mudaliar</t>
        </is>
      </c>
      <c r="I12" s="12" t="inlineStr">
        <is>
          <t>Services</t>
        </is>
      </c>
      <c r="J12" s="12" t="inlineStr">
        <is>
          <t>Leads an assisted-services / consulting practice. At C1: a sub-function, or principal authority across products.</t>
        </is>
      </c>
      <c r="K12" s="12" t="inlineStr">
        <is>
          <t>Leads an assisted-services / consulting practice; Ambiguous, cross-product problems; Sub-function results or domain quality across products</t>
        </is>
      </c>
      <c r="L12" s="12" t="inlineStr">
        <is>
          <t>Sets direction for a sub-function or domain</t>
        </is>
      </c>
      <c r="M12" s="12" t="inlineStr">
        <is>
          <t>—</t>
        </is>
      </c>
      <c r="N12" s="12" t="inlineStr">
        <is>
          <r>
            <rPr>
              <rFont val="Calibri"/>
              <b val="1"/>
              <sz val="10"/>
            </rPr>
            <t>Skills:</t>
          </r>
          <r>
            <rPr>
              <rFont val="Calibri"/>
              <sz val="10"/>
            </rPr>
            <t xml:space="preserve"> XBRL Domain</t>
          </r>
        </is>
      </c>
      <c r="O12" s="12" t="inlineStr">
        <is>
          <r>
            <rPr>
              <rFont val="Calibri"/>
              <b val="1"/>
              <sz val="10"/>
            </rPr>
            <t>Owns:</t>
          </r>
          <r>
            <rPr>
              <rFont val="Calibri"/>
              <sz val="10"/>
            </rPr>
            <t xml:space="preserve"> A sub-function, or principal authority across products
</t>
          </r>
          <r>
            <rPr>
              <rFont val="Calibri"/>
              <b val="1"/>
              <sz val="10"/>
            </rPr>
            <t>Complexity:</t>
          </r>
          <r>
            <rPr>
              <rFont val="Calibri"/>
              <sz val="10"/>
            </rPr>
            <t xml:space="preserve"> Ambiguous, cross-product problems
</t>
          </r>
          <r>
            <rPr>
              <rFont val="Calibri"/>
              <b val="1"/>
              <sz val="10"/>
            </rPr>
            <t>Decisions:</t>
          </r>
          <r>
            <rPr>
              <rFont val="Calibri"/>
              <sz val="10"/>
            </rPr>
            <t xml:space="preserve"> Sets direction for a sub-function or domain
</t>
          </r>
          <r>
            <rPr>
              <rFont val="Calibri"/>
              <b val="1"/>
              <sz val="10"/>
            </rPr>
            <t>Answers for:</t>
          </r>
          <r>
            <rPr>
              <rFont val="Calibri"/>
              <sz val="10"/>
            </rPr>
            <t xml:space="preserve"> Sub-function results or domain quality across products
</t>
          </r>
          <r>
            <rPr>
              <rFont val="Calibri"/>
              <b val="1"/>
              <sz val="10"/>
            </rPr>
            <t>Leadership:</t>
          </r>
          <r>
            <rPr>
              <rFont val="Calibri"/>
              <sz val="10"/>
            </rPr>
            <t xml:space="preserve"> Leads managers or a community of practice</t>
          </r>
        </is>
      </c>
      <c r="P12" s="12" t="inlineStr">
        <is>
          <t>10–14 yrs
Postgraduate / professional qualification preferred</t>
        </is>
      </c>
      <c r="Q12" s="12" t="inlineStr">
        <is>
          <t>Core 4 · Future-ready 4 · Functional 4 · Leadership 4
★ XBRL, iXBRL &amp; Taxonomy · Accounting &amp; Reporting Standards · IFRS/US GAAP</t>
        </is>
      </c>
      <c r="R12" s="12" t="inlineStr">
        <is>
          <t>Deliver expert reporting and client-domain services. Includes: XBRL execution, taxonomy advice, service delivery and technical documentation. Excludes: Internal corporate accounting; product roadmap ownership.</t>
        </is>
      </c>
      <c r="S12" s="12" t="inlineStr">
        <is>
          <r>
            <rPr>
              <rFont val="Calibri"/>
              <b val="1"/>
              <sz val="10"/>
            </rPr>
            <t>Comparable stage:</t>
          </r>
          <r>
            <rPr>
              <rFont val="Calibri"/>
              <sz val="10"/>
            </rPr>
            <t xml:space="preserve"> LD03-2 · Head of Professional Services
Own integrated function strategy, capacity, controls and cross-team trade-offs
</t>
          </r>
          <r>
            <rPr>
              <rFont val="Calibri"/>
              <b val="1"/>
              <sz val="10"/>
            </rPr>
            <t>Ready when:</t>
          </r>
          <r>
            <rPr>
              <rFont val="Calibri"/>
              <sz val="10"/>
            </rPr>
            <t xml:space="preserve"> Do not manufacture three reporting layers. Choose roles the organisation needs. A specialist may remain on an equally valued expert path.</t>
          </r>
        </is>
      </c>
      <c r="T12" s="12" t="inlineStr">
        <is>
          <r>
            <rPr>
              <rFont val="Calibri"/>
              <sz val="10"/>
            </rPr>
            <t xml:space="preserve">Radford / Mercer P6 / M5 · SFIA 5–6
</t>
          </r>
          <r>
            <rPr>
              <rFont val="Calibri"/>
              <b val="1"/>
              <sz val="10"/>
            </rPr>
            <t>Big Four:</t>
          </r>
          <r>
            <rPr>
              <rFont val="Calibri"/>
              <sz val="10"/>
            </rPr>
            <t xml:space="preserve"> Associate Director</t>
          </r>
        </is>
      </c>
      <c r="U12" s="12" t="inlineStr">
        <is>
          <t>C2 · Senior Principal / Architect</t>
        </is>
      </c>
      <c r="V12" s="12" t="inlineStr">
        <is>
          <t>Framework only · fewer than 3 answered</t>
        </is>
      </c>
    </row>
    <row r="13" ht="106" customHeight="1">
      <c r="A13" s="90" t="inlineStr">
        <is>
          <t>RC-015</t>
        </is>
      </c>
      <c r="B13" s="12" t="inlineStr">
        <is>
          <t>Consulting &amp; Professional Services</t>
        </is>
      </c>
      <c r="C13" s="12" t="inlineStr">
        <is>
          <t>Service Delivery Operations</t>
        </is>
      </c>
      <c r="D13" s="16" t="inlineStr">
        <is>
          <t>A3</t>
        </is>
      </c>
      <c r="E13" s="17" t="inlineStr">
        <is>
          <t>Senior Associate</t>
        </is>
      </c>
      <c r="F13" s="12" t="inlineStr">
        <is>
          <t>IC</t>
        </is>
      </c>
      <c r="G13" s="12" t="inlineStr">
        <is>
          <t>Senior Service Delivery Analyst</t>
        </is>
      </c>
      <c r="H13" s="12" t="inlineStr">
        <is>
          <t>Jayavant Bhabal</t>
        </is>
      </c>
      <c r="I13" s="12" t="inlineStr">
        <is>
          <t>Services</t>
        </is>
      </c>
      <c r="J13" s="12" t="inlineStr">
        <is>
          <r>
            <rPr>
              <rFont val="Calibri"/>
              <sz val="10"/>
            </rPr>
            <t xml:space="preserve">Allocates work and shifts, tracks deliveries, prepares billing inputs and services MIS. At A3: varied work; reviews juniors; go-to for a process.
</t>
          </r>
          <r>
            <rPr>
              <rFont val="Calibri"/>
              <b val="1"/>
              <sz val="10"/>
            </rPr>
            <t>Common themes in sub-family holders, all levels' answers:</t>
          </r>
          <r>
            <rPr>
              <rFont val="Calibri"/>
              <sz val="10"/>
            </rPr>
            <t xml:space="preserve"> timely</t>
          </r>
        </is>
      </c>
      <c r="K13" s="12" t="inlineStr">
        <is>
          <r>
            <rPr>
              <rFont val="Calibri"/>
              <sz val="10"/>
            </rPr>
            <t xml:space="preserve">Allocates work and shifts, tracks deliveries, prepares billing inputs and services MIS; Varied and non-standard work; handles exceptions; A module / process, or work with client or regulatory consequences
</t>
          </r>
          <r>
            <rPr>
              <rFont val="Calibri"/>
              <b val="1"/>
              <sz val="10"/>
            </rPr>
            <t>Common themes in sub-family holders, all levels' answers:</t>
          </r>
          <r>
            <rPr>
              <rFont val="Calibri"/>
              <sz val="10"/>
            </rPr>
            <t xml:space="preserve"> monitoring · management · project · handling</t>
          </r>
        </is>
      </c>
      <c r="L13" s="12" t="inlineStr">
        <is>
          <r>
            <rPr>
              <rFont val="Calibri"/>
              <sz val="10"/>
            </rPr>
            <t xml:space="preserve">Technical / QC / client calls on own work
</t>
          </r>
          <r>
            <rPr>
              <rFont val="Calibri"/>
              <b val="1"/>
              <sz val="10"/>
            </rPr>
            <t>Common themes in sub-family holders, all levels' answers:</t>
          </r>
          <r>
            <rPr>
              <rFont val="Calibri"/>
              <sz val="10"/>
            </rPr>
            <t xml:space="preserve"> project</t>
          </r>
        </is>
      </c>
      <c r="M13" s="12" t="inlineStr">
        <is>
          <t>—</t>
        </is>
      </c>
      <c r="N13" s="12" t="inlineStr">
        <is>
          <r>
            <rPr>
              <rFont val="Calibri"/>
              <b val="1"/>
              <sz val="10"/>
            </rPr>
            <t>Skills:</t>
          </r>
          <r>
            <rPr>
              <rFont val="Calibri"/>
              <sz val="10"/>
            </rPr>
            <t xml:space="preserve"> XBRL Domain</t>
          </r>
        </is>
      </c>
      <c r="O13"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3" s="12" t="inlineStr">
        <is>
          <t>2–4 yrs
Graduate; relevant certification preferred</t>
        </is>
      </c>
      <c r="Q13" s="12" t="inlineStr">
        <is>
          <t>Core 2 · Future-ready 2 · Functional 3 · Leadership —
★ XBRL, iXBRL &amp; Taxonomy · Accounting &amp; Reporting Standards · IFRS/US GAAP</t>
        </is>
      </c>
      <c r="R13" s="12" t="inlineStr">
        <is>
          <t>Deliver expert reporting and client-domain services. Includes: XBRL execution, taxonomy advice, service delivery and technical documentation. Excludes: Internal corporate accounting; product roadmap ownership.</t>
        </is>
      </c>
      <c r="S13" s="12" t="inlineStr">
        <is>
          <r>
            <rPr>
              <rFont val="Calibri"/>
              <b val="1"/>
              <sz val="10"/>
            </rPr>
            <t>Comparable stage:</t>
          </r>
          <r>
            <rPr>
              <rFont val="Calibri"/>
              <sz val="10"/>
            </rPr>
            <t xml:space="preserve"> CON03-2 · Service Delivery Analyst
Coordinate service schedules, controls and customer handoffs.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delivery plan with quality checks, escalation paths and completion evidence</t>
          </r>
        </is>
      </c>
      <c r="T13" s="12" t="inlineStr">
        <is>
          <r>
            <rPr>
              <rFont val="Calibri"/>
              <sz val="10"/>
            </rPr>
            <t xml:space="preserve">Radford / Mercer P2 · SFIA 3 Apply
</t>
          </r>
          <r>
            <rPr>
              <rFont val="Calibri"/>
              <b val="1"/>
              <sz val="10"/>
            </rPr>
            <t>DataTracks:</t>
          </r>
          <r>
            <rPr>
              <rFont val="Calibri"/>
              <sz val="10"/>
            </rPr>
            <t xml:space="preserve"> Senior Associate · 2–5 yrs · Big Four: Consultant · IRIS Vs Market Benchmark — XBRL US credential pathway: XBRL US GAAP Certificate</t>
          </r>
        </is>
      </c>
      <c r="U13" s="12" t="inlineStr">
        <is>
          <t>B1 · Specialist</t>
        </is>
      </c>
      <c r="V13" s="12" t="inlineStr">
        <is>
          <t>Framework + sub-family themes · 3+ answered</t>
        </is>
      </c>
    </row>
    <row r="14" ht="106" customHeight="1">
      <c r="A14" s="90" t="inlineStr">
        <is>
          <t>RC-016</t>
        </is>
      </c>
      <c r="B14" s="12" t="inlineStr">
        <is>
          <t>Consulting &amp; Professional Services</t>
        </is>
      </c>
      <c r="C14" s="12" t="inlineStr">
        <is>
          <t>Service Delivery Operations</t>
        </is>
      </c>
      <c r="D14" s="20" t="inlineStr">
        <is>
          <t>B1</t>
        </is>
      </c>
      <c r="E14" s="21" t="inlineStr">
        <is>
          <t>Specialist</t>
        </is>
      </c>
      <c r="F14" s="12" t="inlineStr">
        <is>
          <t>IC</t>
        </is>
      </c>
      <c r="G14" s="12" t="inlineStr">
        <is>
          <t>Service Delivery Specialist</t>
        </is>
      </c>
      <c r="H14" s="12" t="inlineStr">
        <is>
          <t>Rupesh Gaikwad</t>
        </is>
      </c>
      <c r="I14" s="12" t="inlineStr">
        <is>
          <t>Services</t>
        </is>
      </c>
      <c r="J14" s="12" t="inlineStr">
        <is>
          <r>
            <rPr>
              <rFont val="Calibri"/>
              <sz val="10"/>
            </rPr>
            <t xml:space="preserve">Allocates work and shifts, tracks deliveries, prepares billing inputs and services MIS. At B1: a domain / module, or a small team.
</t>
          </r>
          <r>
            <rPr>
              <rFont val="Calibri"/>
              <b val="1"/>
              <sz val="10"/>
            </rPr>
            <t>Common themes in sub-family holders, all levels' answers:</t>
          </r>
          <r>
            <rPr>
              <rFont val="Calibri"/>
              <sz val="10"/>
            </rPr>
            <t xml:space="preserve"> timely</t>
          </r>
        </is>
      </c>
      <c r="K14" s="12" t="inlineStr">
        <is>
          <r>
            <rPr>
              <rFont val="Calibri"/>
              <sz val="10"/>
            </rPr>
            <t xml:space="preserve">Allocates work and shifts, tracks deliveries, prepares billing inputs and services MIS; Domain specialist work; A domain or a small team
</t>
          </r>
          <r>
            <rPr>
              <rFont val="Calibri"/>
              <b val="1"/>
              <sz val="10"/>
            </rPr>
            <t>Common themes in sub-family holders, all levels' answers:</t>
          </r>
          <r>
            <rPr>
              <rFont val="Calibri"/>
              <sz val="10"/>
            </rPr>
            <t xml:space="preserve"> monitoring · management · project · handling</t>
          </r>
        </is>
      </c>
      <c r="L14" s="12" t="inlineStr">
        <is>
          <r>
            <rPr>
              <rFont val="Calibri"/>
              <sz val="10"/>
            </rPr>
            <t xml:space="preserve">Technical / QC / client calls for the domain
</t>
          </r>
          <r>
            <rPr>
              <rFont val="Calibri"/>
              <b val="1"/>
              <sz val="10"/>
            </rPr>
            <t>Common themes in sub-family holders, all levels' answers:</t>
          </r>
          <r>
            <rPr>
              <rFont val="Calibri"/>
              <sz val="10"/>
            </rPr>
            <t xml:space="preserve"> project</t>
          </r>
        </is>
      </c>
      <c r="M14" s="12" t="inlineStr">
        <is>
          <t>—</t>
        </is>
      </c>
      <c r="N14" s="12" t="inlineStr">
        <is>
          <r>
            <rPr>
              <rFont val="Calibri"/>
              <b val="1"/>
              <sz val="10"/>
            </rPr>
            <t>Skills:</t>
          </r>
          <r>
            <rPr>
              <rFont val="Calibri"/>
              <sz val="10"/>
            </rPr>
            <t xml:space="preserve"> XBRL Domain</t>
          </r>
        </is>
      </c>
      <c r="O14"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14" s="12" t="inlineStr">
        <is>
          <t>4–7 yrs
Graduate + relevant qualification or certification preferred</t>
        </is>
      </c>
      <c r="Q14" s="12" t="inlineStr">
        <is>
          <t>Core 3 · Future-ready 3 · Functional 3 · Leadership 1
★ XBRL, iXBRL &amp; Taxonomy · Accounting &amp; Reporting Standards · IFRS/US GAAP</t>
        </is>
      </c>
      <c r="R14" s="12" t="inlineStr">
        <is>
          <t>Deliver expert reporting and client-domain services. Includes: XBRL execution, taxonomy advice, service delivery and technical documentation. Excludes: Internal corporate accounting; product roadmap ownership.</t>
        </is>
      </c>
      <c r="S14" s="12" t="inlineStr">
        <is>
          <r>
            <rPr>
              <rFont val="Calibri"/>
              <b val="1"/>
              <sz val="10"/>
            </rPr>
            <t>Comparable stage:</t>
          </r>
          <r>
            <rPr>
              <rFont val="Calibri"/>
              <sz val="10"/>
            </rPr>
            <t xml:space="preserve"> CON03-3 · Senior Service Delivery Analyst
Resolve capacity conflicts, repeated defects and service exceptions.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delivery plan with quality checks, escalation paths and completion evidence</t>
          </r>
        </is>
      </c>
      <c r="T14" s="12" t="inlineStr">
        <is>
          <r>
            <rPr>
              <rFont val="Calibri"/>
              <sz val="10"/>
            </rPr>
            <t xml:space="preserve">Radford / Mercer P3 / M2 · SFIA 4 Enable
</t>
          </r>
          <r>
            <rPr>
              <rFont val="Calibri"/>
              <b val="1"/>
              <sz val="10"/>
            </rPr>
            <t>Big Four:</t>
          </r>
          <r>
            <rPr>
              <rFont val="Calibri"/>
              <sz val="10"/>
            </rPr>
            <t xml:space="preserve"> Senior Consultant · IRIS Vs Market Benchmark — XBRL US credential pathway: Certificate + specialist taxonomy</t>
          </r>
        </is>
      </c>
      <c r="U14" s="12" t="inlineStr">
        <is>
          <t>B2 · Senior Specialist</t>
        </is>
      </c>
      <c r="V14" s="12" t="inlineStr">
        <is>
          <t>Framework + sub-family themes · 3+ answered</t>
        </is>
      </c>
    </row>
    <row r="15" ht="93" customHeight="1">
      <c r="A15" s="90" t="inlineStr">
        <is>
          <t>RC-017</t>
        </is>
      </c>
      <c r="B15" s="12" t="inlineStr">
        <is>
          <t>Consulting &amp; Professional Services</t>
        </is>
      </c>
      <c r="C15" s="12" t="inlineStr">
        <is>
          <t>Service Delivery Operations</t>
        </is>
      </c>
      <c r="D15" s="20" t="inlineStr">
        <is>
          <t>B2</t>
        </is>
      </c>
      <c r="E15" s="21" t="inlineStr">
        <is>
          <t>Manager</t>
        </is>
      </c>
      <c r="F15" s="12" t="inlineStr">
        <is>
          <t>Manager</t>
        </is>
      </c>
      <c r="G15" s="12" t="inlineStr">
        <is>
          <t>Senior Manager – Service Delivery</t>
        </is>
      </c>
      <c r="H15" s="12" t="inlineStr">
        <is>
          <t>Shailesh Kumar Sharma</t>
        </is>
      </c>
      <c r="I15" s="12" t="inlineStr">
        <is>
          <t>Services</t>
        </is>
      </c>
      <c r="J15" s="12" t="inlineStr">
        <is>
          <r>
            <rPr>
              <rFont val="Calibri"/>
              <sz val="10"/>
            </rPr>
            <t xml:space="preserve">Allocates work and shifts, tracks deliveries, prepares billing inputs and services MIS. At B2: deep domain expertise, or one team.
</t>
          </r>
          <r>
            <rPr>
              <rFont val="Calibri"/>
              <b val="1"/>
              <sz val="10"/>
            </rPr>
            <t>Common themes in sub-family holders, all levels' answers:</t>
          </r>
          <r>
            <rPr>
              <rFont val="Calibri"/>
              <sz val="10"/>
            </rPr>
            <t xml:space="preserve"> timely</t>
          </r>
        </is>
      </c>
      <c r="K15" s="12" t="inlineStr">
        <is>
          <r>
            <rPr>
              <rFont val="Calibri"/>
              <sz val="10"/>
            </rPr>
            <t xml:space="preserve">Allocates work and shifts, tracks deliveries, prepares billing inputs and services MIS; Hardest problems in the domain; One team or a client portfolio
</t>
          </r>
          <r>
            <rPr>
              <rFont val="Calibri"/>
              <b val="1"/>
              <sz val="10"/>
            </rPr>
            <t>Common themes in sub-family holders, all levels' answers:</t>
          </r>
          <r>
            <rPr>
              <rFont val="Calibri"/>
              <sz val="10"/>
            </rPr>
            <t xml:space="preserve"> monitoring · management · project · handling</t>
          </r>
        </is>
      </c>
      <c r="L15" s="12" t="inlineStr">
        <is>
          <r>
            <rPr>
              <rFont val="Calibri"/>
              <sz val="10"/>
            </rPr>
            <t xml:space="preserve">Allocates people and sets team priorities
</t>
          </r>
          <r>
            <rPr>
              <rFont val="Calibri"/>
              <b val="1"/>
              <sz val="10"/>
            </rPr>
            <t>Common themes in sub-family holders, all levels' answers:</t>
          </r>
          <r>
            <rPr>
              <rFont val="Calibri"/>
              <sz val="10"/>
            </rPr>
            <t xml:space="preserve"> project</t>
          </r>
        </is>
      </c>
      <c r="M15" s="12" t="inlineStr">
        <is>
          <t>—</t>
        </is>
      </c>
      <c r="N15" s="12" t="inlineStr">
        <is>
          <r>
            <rPr>
              <rFont val="Calibri"/>
              <b val="1"/>
              <sz val="10"/>
            </rPr>
            <t>Skills:</t>
          </r>
          <r>
            <rPr>
              <rFont val="Calibri"/>
              <sz val="10"/>
            </rPr>
            <t xml:space="preserve"> XBRL Domain</t>
          </r>
        </is>
      </c>
      <c r="O15"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15" s="12" t="inlineStr">
        <is>
          <t>6–9 yrs
Graduate or postgraduate; professional qualification preferred</t>
        </is>
      </c>
      <c r="Q15" s="12" t="inlineStr">
        <is>
          <t>Core 3 · Future-ready 3 · Functional 4 · Leadership 3
★ XBRL, iXBRL &amp; Taxonomy · Accounting &amp; Reporting Standards · IFRS/US GAAP</t>
        </is>
      </c>
      <c r="R15" s="12" t="inlineStr">
        <is>
          <t>Deliver expert reporting and client-domain services. Includes: XBRL execution, taxonomy advice, service delivery and technical documentation. Excludes: Internal corporate accounting; product roadmap ownership.</t>
        </is>
      </c>
      <c r="S15" s="12" t="inlineStr">
        <is>
          <r>
            <rPr>
              <rFont val="Calibri"/>
              <b val="1"/>
              <sz val="10"/>
            </rPr>
            <t>Comparable stage:</t>
          </r>
          <r>
            <rPr>
              <rFont val="Calibri"/>
              <sz val="10"/>
            </rPr>
            <t xml:space="preserve"> LD03-1 · Service Delivery / Consulting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15" s="12" t="inlineStr">
        <is>
          <r>
            <rPr>
              <rFont val="Calibri"/>
              <sz val="10"/>
            </rPr>
            <t xml:space="preserve">Radford / Mercer P4 / M3 · SFIA 4–5
</t>
          </r>
          <r>
            <rPr>
              <rFont val="Calibri"/>
              <b val="1"/>
              <sz val="10"/>
            </rPr>
            <t>Big Four:</t>
          </r>
          <r>
            <rPr>
              <rFont val="Calibri"/>
              <sz val="10"/>
            </rPr>
            <t xml:space="preserve"> Manager · IRIS Vs Market Benchmark — XBRL US credential pathway: Certificate + review authority</t>
          </r>
        </is>
      </c>
      <c r="U15" s="12" t="inlineStr">
        <is>
          <t>B3 · Lead Specialist</t>
        </is>
      </c>
      <c r="V15" s="12" t="inlineStr">
        <is>
          <t>Framework + sub-family themes · 3+ answered</t>
        </is>
      </c>
    </row>
    <row r="16" ht="119" customHeight="1">
      <c r="A16" s="90" t="inlineStr">
        <is>
          <t>RC-024</t>
        </is>
      </c>
      <c r="B16" s="12" t="inlineStr">
        <is>
          <t>Consulting &amp; Professional Services</t>
        </is>
      </c>
      <c r="C16" s="12" t="inlineStr">
        <is>
          <t>XBRL Tagging, Conversion &amp; Filing</t>
        </is>
      </c>
      <c r="D16" s="16" t="inlineStr">
        <is>
          <t>A2</t>
        </is>
      </c>
      <c r="E16" s="17" t="inlineStr">
        <is>
          <t>Associate</t>
        </is>
      </c>
      <c r="F16" s="12" t="inlineStr">
        <is>
          <t>IC</t>
        </is>
      </c>
      <c r="G16" s="12" t="inlineStr">
        <is>
          <t>Financial Analyst</t>
        </is>
      </c>
      <c r="H16" s="12" t="inlineStr">
        <is>
          <t>Anjali Singh</t>
        </is>
      </c>
      <c r="I16" s="12" t="inlineStr">
        <is>
          <t>Services</t>
        </is>
      </c>
      <c r="J16" s="12" t="inlineStr">
        <is>
          <r>
            <rPr>
              <rFont val="Calibri"/>
              <sz val="10"/>
            </rPr>
            <t xml:space="preserve">Tags and converts financial statements and regulatory returns into XBRL/iXBRL, performs QC, clears validation errors and delivers filing-ready outputs. At A2: standard work delivered independently.
</t>
          </r>
          <r>
            <rPr>
              <rFont val="Calibri"/>
              <b val="1"/>
              <sz val="10"/>
            </rPr>
            <t>Common themes in role-holders' answers:</t>
          </r>
          <r>
            <rPr>
              <rFont val="Calibri"/>
              <sz val="10"/>
            </rPr>
            <t xml:space="preserve"> xbrl · format · data · financial · convert · accurately</t>
          </r>
        </is>
      </c>
      <c r="K16" s="12" t="inlineStr">
        <is>
          <r>
            <rPr>
              <rFont val="Calibri"/>
              <sz val="10"/>
            </rPr>
            <t xml:space="preserve">Tags and converts financial statements and regulatory returns into XBRL/iXBRL, performs QC, clears validation errors and delivers filing-ready outputs; Standard work of the discipline; Own deliverables · accuracy, TAT
</t>
          </r>
          <r>
            <rPr>
              <rFont val="Calibri"/>
              <b val="1"/>
              <sz val="10"/>
            </rPr>
            <t>Common themes in role-holders' answers:</t>
          </r>
          <r>
            <rPr>
              <rFont val="Calibri"/>
              <sz val="10"/>
            </rPr>
            <t xml:space="preserve"> tagging · data validation · mapping · xbrl · financial</t>
          </r>
        </is>
      </c>
      <c r="L16" s="12" t="inlineStr">
        <is>
          <r>
            <rPr>
              <rFont val="Calibri"/>
              <sz val="10"/>
            </rPr>
            <t xml:space="preserve">Chooses own approach within standards
</t>
          </r>
          <r>
            <rPr>
              <rFont val="Calibri"/>
              <b val="1"/>
              <sz val="10"/>
            </rPr>
            <t>Common themes in role-holders' answers:</t>
          </r>
          <r>
            <rPr>
              <rFont val="Calibri"/>
              <sz val="10"/>
            </rPr>
            <t xml:space="preserve"> errors · tagging</t>
          </r>
        </is>
      </c>
      <c r="M16" s="12" t="inlineStr">
        <is>
          <r>
            <rPr>
              <rFont val="Calibri"/>
              <b val="1"/>
              <sz val="10"/>
            </rPr>
            <t>Common themes in manager-set KRAs:</t>
          </r>
          <r>
            <rPr>
              <rFont val="Calibri"/>
              <sz val="10"/>
            </rPr>
            <t xml:space="preserve"> complete iris · resolve · cycle full · accuracy targets · maintained · logs document</t>
          </r>
        </is>
      </c>
      <c r="N16" s="12" t="inlineStr">
        <is>
          <r>
            <rPr>
              <rFont val="Calibri"/>
              <b val="1"/>
              <sz val="10"/>
            </rPr>
            <t>Skills:</t>
          </r>
          <r>
            <rPr>
              <rFont val="Calibri"/>
              <sz val="10"/>
            </rPr>
            <t xml:space="preserve"> XBRL Domain
</t>
          </r>
          <r>
            <rPr>
              <rFont val="Calibri"/>
              <b val="1"/>
              <sz val="10"/>
            </rPr>
            <t>Tools:</t>
          </r>
          <r>
            <rPr>
              <rFont val="Calibri"/>
              <sz val="10"/>
            </rPr>
            <t xml:space="preserve"> Ms excel</t>
          </r>
        </is>
      </c>
      <c r="O16"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16" s="12" t="inlineStr">
        <is>
          <t>0–2 yrs
Graduate · or diploma with experience</t>
        </is>
      </c>
      <c r="Q16" s="12" t="inlineStr">
        <is>
          <t>Core 2 · Future-ready 2 · Functional 2 · Leadership —
★ XBRL, iXBRL &amp; Taxonomy · Accounting &amp; Reporting Standards · IFRS/US GAAP</t>
        </is>
      </c>
      <c r="R16" s="12" t="inlineStr">
        <is>
          <t>Deliver expert reporting and client-domain services. Includes: XBRL execution, taxonomy advice, service delivery and technical documentation. Excludes: Internal corporate accounting; product roadmap ownership.</t>
        </is>
      </c>
      <c r="S16" s="12" t="inlineStr">
        <is>
          <r>
            <rPr>
              <rFont val="Calibri"/>
              <b val="1"/>
              <sz val="10"/>
            </rPr>
            <t>Comparable stage:</t>
          </r>
          <r>
            <rPr>
              <rFont val="Calibri"/>
              <sz val="10"/>
            </rPr>
            <t xml:space="preserve"> CON01-1 · XBRL Reporting Associate
</t>
          </r>
          <r>
            <rPr>
              <rFont val="Calibri"/>
              <b val="1"/>
              <sz val="10"/>
            </rPr>
            <t>Complete defined parts under review:</t>
          </r>
          <r>
            <rPr>
              <rFont val="Calibri"/>
              <sz val="10"/>
            </rPr>
            <t xml:space="preserve"> prepare tagging with source reconciliation and validation results.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reconciled filing with defensible tag selection, exception log and reviewer sign-off</t>
          </r>
        </is>
      </c>
      <c r="T16" s="12" t="inlineStr">
        <is>
          <r>
            <rPr>
              <rFont val="Calibri"/>
              <sz val="10"/>
            </rPr>
            <t xml:space="preserve">Radford / Mercer P1–P2 · SFIA 2 Assist
</t>
          </r>
          <r>
            <rPr>
              <rFont val="Calibri"/>
              <b val="1"/>
              <sz val="10"/>
            </rPr>
            <t>Toppan Merrill:</t>
          </r>
          <r>
            <rPr>
              <rFont val="Calibri"/>
              <sz val="10"/>
            </rPr>
            <t xml:space="preserve"> XBRL Financial Analyst, Associate · DataTracks: Associate · Big Four: Analyst</t>
          </r>
        </is>
      </c>
      <c r="U16" s="12" t="inlineStr">
        <is>
          <t>A3 · Senior Associate</t>
        </is>
      </c>
      <c r="V16" s="12" t="inlineStr">
        <is>
          <t>Framework + role-holders' themes · 3+ answered</t>
        </is>
      </c>
    </row>
    <row r="17" ht="249" customHeight="1">
      <c r="A17" s="90" t="inlineStr">
        <is>
          <t>RC-025</t>
        </is>
      </c>
      <c r="B17" s="12" t="inlineStr">
        <is>
          <t>Consulting &amp; Professional Services</t>
        </is>
      </c>
      <c r="C17" s="12" t="inlineStr">
        <is>
          <t>XBRL Tagging, Conversion &amp; Filing</t>
        </is>
      </c>
      <c r="D17" s="16" t="inlineStr">
        <is>
          <t>A3</t>
        </is>
      </c>
      <c r="E17" s="17" t="inlineStr">
        <is>
          <t>Senior Associate</t>
        </is>
      </c>
      <c r="F17" s="12" t="inlineStr">
        <is>
          <t>IC</t>
        </is>
      </c>
      <c r="G17" s="12" t="inlineStr">
        <is>
          <t>Senior Financial Analyst · XBRL Specialist</t>
        </is>
      </c>
      <c r="H17" s="12" t="inlineStr">
        <is>
          <t>Abhijit Bhagwan Patil, Ajinkya Dhumal, Amol Keskar, Anjum Shaikh, Ashok Yadav, Atul Paradkar, Bhavik Raparka, Chaitali Chatterjee, Dhananjay Bavkar, Dipak Warkhade, Haresh Misal, Kamlesh Bomble, Kiran Mane, Mandar Vatare, Monica Patel, Namrata Juvekar, Nirmala Kalyadappu, Palak Verma, Payal Gala, Prerna Savaratkar, Raj Ratnakar Kumbhar, Rajendra Gupta, Rohit Sawant, Roshni Surve, Ruhee Chita, Sagar Barbade, Sakina Dholkawala, Sudarshan Vichare, Sunil Bist, Sunita Ram Singh, Sunny Kirtane, Supriya Thakur, Sushma Shinde, Vikram Bangera, Vishakha Vitmal</t>
        </is>
      </c>
      <c r="I17" s="12" t="inlineStr">
        <is>
          <t>Services</t>
        </is>
      </c>
      <c r="J17" s="12" t="inlineStr">
        <is>
          <r>
            <rPr>
              <rFont val="Calibri"/>
              <sz val="10"/>
            </rPr>
            <t xml:space="preserve">Tags and converts financial statements and regulatory returns into XBRL/iXBRL, performs QC, clears validation errors and delivers filing-ready outputs. At A3: varied work; reviews juniors; go-to for a process.
</t>
          </r>
          <r>
            <rPr>
              <rFont val="Calibri"/>
              <b val="1"/>
              <sz val="10"/>
            </rPr>
            <t>Common themes in role-holders' answers:</t>
          </r>
          <r>
            <rPr>
              <rFont val="Calibri"/>
              <sz val="10"/>
            </rPr>
            <t xml:space="preserve"> financial · accurately · tagging · reporting · us · core</t>
          </r>
        </is>
      </c>
      <c r="K17" s="12" t="inlineStr">
        <is>
          <r>
            <rPr>
              <rFont val="Calibri"/>
              <sz val="10"/>
            </rPr>
            <t xml:space="preserve">Tags and converts financial statements and regulatory returns into XBRL/iXBRL, performs QC, clears validation errors and delivers filing-ready outputs; Varied and non-standard work; handles exceptions; A module / process, or work with client or regulatory consequences
</t>
          </r>
          <r>
            <rPr>
              <rFont val="Calibri"/>
              <b val="1"/>
              <sz val="10"/>
            </rPr>
            <t>Common themes in role-holders' answers:</t>
          </r>
          <r>
            <rPr>
              <rFont val="Calibri"/>
              <sz val="10"/>
            </rPr>
            <t xml:space="preserve"> tagging · quality · validation · filing · resolution · financial</t>
          </r>
        </is>
      </c>
      <c r="L17" s="12" t="inlineStr">
        <is>
          <r>
            <rPr>
              <rFont val="Calibri"/>
              <sz val="10"/>
            </rPr>
            <t xml:space="preserve">Technical / QC / client calls on own work
</t>
          </r>
          <r>
            <rPr>
              <rFont val="Calibri"/>
              <b val="1"/>
              <sz val="10"/>
            </rPr>
            <t>Common themes in role-holders' answers:</t>
          </r>
          <r>
            <rPr>
              <rFont val="Calibri"/>
              <sz val="10"/>
            </rPr>
            <t xml:space="preserve"> tagging · validation · independently · issues · appropriate · assigned</t>
          </r>
        </is>
      </c>
      <c r="M17" s="12" t="inlineStr">
        <is>
          <r>
            <rPr>
              <rFont val="Calibri"/>
              <b val="1"/>
              <sz val="10"/>
            </rPr>
            <t>Common themes in manager-set KRAs:</t>
          </r>
          <r>
            <rPr>
              <rFont val="Calibri"/>
              <sz val="10"/>
            </rPr>
            <t xml:space="preserve"> resolve · full · coverage · cycles · defect · xbrl</t>
          </r>
        </is>
      </c>
      <c r="N17" s="12" t="inlineStr">
        <is>
          <r>
            <rPr>
              <rFont val="Calibri"/>
              <b val="1"/>
              <sz val="10"/>
            </rPr>
            <t>Skills:</t>
          </r>
          <r>
            <rPr>
              <rFont val="Calibri"/>
              <sz val="10"/>
            </rPr>
            <t xml:space="preserve"> XBRL Domain · Taxonomy knowledge · attention to detail · validation · Problem-solving · filing procedures · XBRL concepts · QC
</t>
          </r>
          <r>
            <rPr>
              <rFont val="Calibri"/>
              <b val="1"/>
              <sz val="10"/>
            </rPr>
            <t>Tools:</t>
          </r>
          <r>
            <rPr>
              <rFont val="Calibri"/>
              <sz val="10"/>
            </rPr>
            <t xml:space="preserve"> Carbon · Microsoft Excel · Excel · Outlook · validation · Microsoft Teams · QC · Disclosure Management</t>
          </r>
        </is>
      </c>
      <c r="O17"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7" s="12" t="inlineStr">
        <is>
          <t>2–4 yrs
Graduate; relevant certification preferred</t>
        </is>
      </c>
      <c r="Q17" s="12" t="inlineStr">
        <is>
          <t>Core 2 · Future-ready 2 · Functional 3 · Leadership —
★ XBRL, iXBRL &amp; Taxonomy · Accounting &amp; Reporting Standards · IFRS/US GAAP</t>
        </is>
      </c>
      <c r="R17" s="12" t="inlineStr">
        <is>
          <t>Deliver expert reporting and client-domain services. Includes: XBRL execution, taxonomy advice, service delivery and technical documentation. Excludes: Internal corporate accounting; product roadmap ownership.</t>
        </is>
      </c>
      <c r="S17" s="12" t="inlineStr">
        <is>
          <r>
            <rPr>
              <rFont val="Calibri"/>
              <b val="1"/>
              <sz val="10"/>
            </rPr>
            <t>Comparable stage:</t>
          </r>
          <r>
            <rPr>
              <rFont val="Calibri"/>
              <sz val="10"/>
            </rPr>
            <t xml:space="preserve"> CON01-2 · XBRL Reporting Analyst
Prepare tagging with source reconciliation and validation results.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reconciled filing with defensible tag selection, exception log and reviewer sign-off</t>
          </r>
        </is>
      </c>
      <c r="T17" s="12" t="inlineStr">
        <is>
          <r>
            <rPr>
              <rFont val="Calibri"/>
              <sz val="10"/>
            </rPr>
            <t xml:space="preserve">Radford / Mercer P2 · SFIA 3 Apply
</t>
          </r>
          <r>
            <rPr>
              <rFont val="Calibri"/>
              <b val="1"/>
              <sz val="10"/>
            </rPr>
            <t>DataTracks:</t>
          </r>
          <r>
            <rPr>
              <rFont val="Calibri"/>
              <sz val="10"/>
            </rPr>
            <t xml:space="preserve"> Senior Associate · 2–5 yrs · Big Four: Consultant · IRIS Vs Market Benchmark — XBRL US credential pathway: XBRL US GAAP Certificate</t>
          </r>
        </is>
      </c>
      <c r="U17" s="12" t="inlineStr">
        <is>
          <t>B1 · Specialist</t>
        </is>
      </c>
      <c r="V17" s="12" t="inlineStr">
        <is>
          <t>Framework + role-holders' themes · 3+ answered</t>
        </is>
      </c>
    </row>
    <row r="18" ht="158" customHeight="1">
      <c r="A18" s="90" t="inlineStr">
        <is>
          <t>RC-026</t>
        </is>
      </c>
      <c r="B18" s="12" t="inlineStr">
        <is>
          <t>Consulting &amp; Professional Services</t>
        </is>
      </c>
      <c r="C18" s="12" t="inlineStr">
        <is>
          <t>XBRL Tagging, Conversion &amp; Filing</t>
        </is>
      </c>
      <c r="D18" s="20" t="inlineStr">
        <is>
          <t>B1</t>
        </is>
      </c>
      <c r="E18" s="21" t="inlineStr">
        <is>
          <t>Specialist</t>
        </is>
      </c>
      <c r="F18" s="12" t="inlineStr">
        <is>
          <t>IC</t>
        </is>
      </c>
      <c r="G18" s="12" t="inlineStr">
        <is>
          <t>XBRL Specialist · XBRL Specialist – POD Lead</t>
        </is>
      </c>
      <c r="H18" s="12" t="inlineStr">
        <is>
          <t>Amruta Mirashi, Chetan Newase, Jayaprakash Arumugam, Jivika Wadhwani, Lucy Fernandes, Manish Lipcha, Pradul Meshram, Purva Shrivastava, Sandeep Dhere, Vivek Patil</t>
        </is>
      </c>
      <c r="I18" s="12" t="inlineStr">
        <is>
          <t>Services</t>
        </is>
      </c>
      <c r="J18" s="12" t="inlineStr">
        <is>
          <r>
            <rPr>
              <rFont val="Calibri"/>
              <sz val="10"/>
            </rPr>
            <t xml:space="preserve">Tags and converts financial statements and regulatory returns into XBRL/iXBRL, performs QC, clears validation errors and delivers filing-ready outputs. At B1: a domain / module, or a small team.
</t>
          </r>
          <r>
            <rPr>
              <rFont val="Calibri"/>
              <b val="1"/>
              <sz val="10"/>
            </rPr>
            <t>Common themes in role-holders' answers:</t>
          </r>
          <r>
            <rPr>
              <rFont val="Calibri"/>
              <sz val="10"/>
            </rPr>
            <t xml:space="preserve"> reporting · financial · mandate · timely · while · us</t>
          </r>
        </is>
      </c>
      <c r="K18" s="12" t="inlineStr">
        <is>
          <r>
            <rPr>
              <rFont val="Calibri"/>
              <sz val="10"/>
            </rPr>
            <t xml:space="preserve">Tags and converts financial statements and regulatory returns into XBRL/iXBRL, performs QC, clears validation errors and delivers filing-ready outputs; Domain specialist work; A domain or a small team
</t>
          </r>
          <r>
            <rPr>
              <rFont val="Calibri"/>
              <b val="1"/>
              <sz val="10"/>
            </rPr>
            <t>Common themes in role-holders' answers:</t>
          </r>
          <r>
            <rPr>
              <rFont val="Calibri"/>
              <sz val="10"/>
            </rPr>
            <t xml:space="preserve"> tagging · validation · quality · mapping · management · filing</t>
          </r>
        </is>
      </c>
      <c r="L18" s="12" t="inlineStr">
        <is>
          <r>
            <rPr>
              <rFont val="Calibri"/>
              <sz val="10"/>
            </rPr>
            <t xml:space="preserve">Technical / QC / client calls for the domain
</t>
          </r>
          <r>
            <rPr>
              <rFont val="Calibri"/>
              <b val="1"/>
              <sz val="10"/>
            </rPr>
            <t>Common themes in role-holders' answers:</t>
          </r>
          <r>
            <rPr>
              <rFont val="Calibri"/>
              <sz val="10"/>
            </rPr>
            <t xml:space="preserve"> resolving · independently · issues · routine · file · analysis</t>
          </r>
        </is>
      </c>
      <c r="M18" s="12" t="inlineStr">
        <is>
          <t>—</t>
        </is>
      </c>
      <c r="N18" s="12" t="inlineStr">
        <is>
          <r>
            <rPr>
              <rFont val="Calibri"/>
              <b val="1"/>
              <sz val="10"/>
            </rPr>
            <t>Skills:</t>
          </r>
          <r>
            <rPr>
              <rFont val="Calibri"/>
              <sz val="10"/>
            </rPr>
            <t xml:space="preserve"> XBRL Domain · Attention to detail · Advanced XBRL Mapping knowledge · Different region Taxonomy Knowledge · Financial Reporting Standards (US-GAAP · IFRS · Validations · US mandate/process knowledge
</t>
          </r>
          <r>
            <rPr>
              <rFont val="Calibri"/>
              <b val="1"/>
              <sz val="10"/>
            </rPr>
            <t>Tools:</t>
          </r>
          <r>
            <rPr>
              <rFont val="Calibri"/>
              <sz val="10"/>
            </rPr>
            <t xml:space="preserve"> Carbon · Microsoft Teams · Outlook · Disclosure Management · Microsoft Excel · other MS suite · Excel · validation</t>
          </r>
        </is>
      </c>
      <c r="O18"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18" s="12" t="inlineStr">
        <is>
          <t>4–7 yrs
Graduate + relevant qualification or certification preferred</t>
        </is>
      </c>
      <c r="Q18" s="12" t="inlineStr">
        <is>
          <t>Core 3 · Future-ready 3 · Functional 3 · Leadership 1
★ XBRL, iXBRL &amp; Taxonomy · Accounting &amp; Reporting Standards · IFRS/US GAAP</t>
        </is>
      </c>
      <c r="R18" s="12" t="inlineStr">
        <is>
          <t>Deliver expert reporting and client-domain services. Includes: XBRL execution, taxonomy advice, service delivery and technical documentation. Excludes: Internal corporate accounting; product roadmap ownership.</t>
        </is>
      </c>
      <c r="S18" s="12" t="inlineStr">
        <is>
          <r>
            <rPr>
              <rFont val="Calibri"/>
              <b val="1"/>
              <sz val="10"/>
            </rPr>
            <t>Comparable stage:</t>
          </r>
          <r>
            <rPr>
              <rFont val="Calibri"/>
              <sz val="10"/>
            </rPr>
            <t xml:space="preserve"> CON01-3 · Senior XBRL Reporting Analyst
Resolve ambiguous tagging choices and review complex filings.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reconciled filing with defensible tag selection, exception log and reviewer sign-off</t>
          </r>
        </is>
      </c>
      <c r="T18" s="12" t="inlineStr">
        <is>
          <r>
            <rPr>
              <rFont val="Calibri"/>
              <sz val="10"/>
            </rPr>
            <t xml:space="preserve">Radford / Mercer P3 / M2 · SFIA 4 Enable
</t>
          </r>
          <r>
            <rPr>
              <rFont val="Calibri"/>
              <b val="1"/>
              <sz val="10"/>
            </rPr>
            <t>Big Four:</t>
          </r>
          <r>
            <rPr>
              <rFont val="Calibri"/>
              <sz val="10"/>
            </rPr>
            <t xml:space="preserve"> Senior Consultant · IRIS Vs Market Benchmark — XBRL US credential pathway: Certificate + specialist taxonomy</t>
          </r>
        </is>
      </c>
      <c r="U18" s="12" t="inlineStr">
        <is>
          <t>B2 · Senior Specialist</t>
        </is>
      </c>
      <c r="V18" s="12" t="inlineStr">
        <is>
          <t>Framework + role-holders' themes · 3+ answered</t>
        </is>
      </c>
    </row>
    <row r="19" ht="119" customHeight="1">
      <c r="A19" s="90" t="inlineStr">
        <is>
          <t>RC-027</t>
        </is>
      </c>
      <c r="B19" s="12" t="inlineStr">
        <is>
          <t>Consulting &amp; Professional Services</t>
        </is>
      </c>
      <c r="C19" s="12" t="inlineStr">
        <is>
          <t>XBRL Tagging, Conversion &amp; Filing</t>
        </is>
      </c>
      <c r="D19" s="20" t="inlineStr">
        <is>
          <t>B1</t>
        </is>
      </c>
      <c r="E19" s="21" t="inlineStr">
        <is>
          <t>Team Lead</t>
        </is>
      </c>
      <c r="F19" s="12" t="inlineStr">
        <is>
          <t>Manager</t>
        </is>
      </c>
      <c r="G19" s="12" t="inlineStr">
        <is>
          <t>Team Lead – Assisted Services</t>
        </is>
      </c>
      <c r="H19" s="12" t="inlineStr">
        <is>
          <t>Lalita Waghmare, Vipul Kurhade</t>
        </is>
      </c>
      <c r="I19" s="12" t="inlineStr">
        <is>
          <t>Services</t>
        </is>
      </c>
      <c r="J19" s="12" t="inlineStr">
        <is>
          <r>
            <rPr>
              <rFont val="Calibri"/>
              <sz val="10"/>
            </rPr>
            <t xml:space="preserve">Tags and converts financial statements and regulatory returns into XBRL/iXBRL, performs QC, clears validation errors and delivers filing-ready outputs. At B1: a domain / module, or a small team.
</t>
          </r>
          <r>
            <rPr>
              <rFont val="Calibri"/>
              <b val="1"/>
              <sz val="10"/>
            </rPr>
            <t>Common themes in sub-family holders, all levels' answers:</t>
          </r>
          <r>
            <rPr>
              <rFont val="Calibri"/>
              <sz val="10"/>
            </rPr>
            <t xml:space="preserve"> financial · reporting · xbrl · us · accurate · quality</t>
          </r>
        </is>
      </c>
      <c r="K19" s="12" t="inlineStr">
        <is>
          <r>
            <rPr>
              <rFont val="Calibri"/>
              <sz val="10"/>
            </rPr>
            <t xml:space="preserve">Tags and converts financial statements and regulatory returns into XBRL/iXBRL, performs QC, clears validation errors and delivers filing-ready outputs; Domain specialist work; A domain or a small team
</t>
          </r>
          <r>
            <rPr>
              <rFont val="Calibri"/>
              <b val="1"/>
              <sz val="10"/>
            </rPr>
            <t>Common themes in sub-family holders, all levels' answers:</t>
          </r>
          <r>
            <rPr>
              <rFont val="Calibri"/>
              <sz val="10"/>
            </rPr>
            <t xml:space="preserve"> tagging · quality · validation · filing · resolution · financial</t>
          </r>
        </is>
      </c>
      <c r="L19" s="12" t="inlineStr">
        <is>
          <r>
            <rPr>
              <rFont val="Calibri"/>
              <sz val="10"/>
            </rPr>
            <t xml:space="preserve">Technical / QC / client calls for the domain
</t>
          </r>
          <r>
            <rPr>
              <rFont val="Calibri"/>
              <b val="1"/>
              <sz val="10"/>
            </rPr>
            <t>Common themes in sub-family holders, all levels' answers:</t>
          </r>
          <r>
            <rPr>
              <rFont val="Calibri"/>
              <sz val="10"/>
            </rPr>
            <t xml:space="preserve"> issues · tagging · independently · quality · routine · resolve</t>
          </r>
        </is>
      </c>
      <c r="M19" s="12" t="inlineStr">
        <is>
          <t>—</t>
        </is>
      </c>
      <c r="N19" s="12" t="inlineStr">
        <is>
          <r>
            <rPr>
              <rFont val="Calibri"/>
              <b val="1"/>
              <sz val="10"/>
            </rPr>
            <t>Skills:</t>
          </r>
          <r>
            <rPr>
              <rFont val="Calibri"/>
              <sz val="10"/>
            </rPr>
            <t xml:space="preserve"> XBRL Domain · Attention to detail · validation · Taxonomy knowledge · Problem-solving · US mandate/process knowledge · QC · filing procedures
</t>
          </r>
          <r>
            <rPr>
              <rFont val="Calibri"/>
              <b val="1"/>
              <sz val="10"/>
            </rPr>
            <t>Tools:</t>
          </r>
          <r>
            <rPr>
              <rFont val="Calibri"/>
              <sz val="10"/>
            </rPr>
            <t xml:space="preserve"> Carbon · Microsoft Excel · Microsoft Teams · Outlook · Excel · Disclosure Management · validation · QC</t>
          </r>
        </is>
      </c>
      <c r="O19"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19" s="12" t="inlineStr">
        <is>
          <t>4–7 yrs
Graduate + relevant qualification or certification preferred</t>
        </is>
      </c>
      <c r="Q19" s="12" t="inlineStr">
        <is>
          <t>Core 3 · Future-ready 3 · Functional 3 · Leadership 2
★ XBRL, iXBRL &amp; Taxonomy · Accounting &amp; Reporting Standards · IFRS/US GAAP</t>
        </is>
      </c>
      <c r="R19" s="12" t="inlineStr">
        <is>
          <t>Deliver expert reporting and client-domain services. Includes: XBRL execution, taxonomy advice, service delivery and technical documentation. Excludes: Internal corporate accounting; product roadmap ownership.</t>
        </is>
      </c>
      <c r="S19" s="12" t="inlineStr">
        <is>
          <r>
            <rPr>
              <rFont val="Calibri"/>
              <b val="1"/>
              <sz val="10"/>
            </rPr>
            <t>Comparable stage:</t>
          </r>
          <r>
            <rPr>
              <rFont val="Calibri"/>
              <sz val="10"/>
            </rPr>
            <t xml:space="preserve"> LD03-1 · Service Delivery / Consulting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19" s="12" t="inlineStr">
        <is>
          <r>
            <rPr>
              <rFont val="Calibri"/>
              <sz val="10"/>
            </rPr>
            <t xml:space="preserve">Radford / Mercer P3 / M2 · SFIA 4 Enable
</t>
          </r>
          <r>
            <rPr>
              <rFont val="Calibri"/>
              <b val="1"/>
              <sz val="10"/>
            </rPr>
            <t>Big Four:</t>
          </r>
          <r>
            <rPr>
              <rFont val="Calibri"/>
              <sz val="10"/>
            </rPr>
            <t xml:space="preserve"> Senior Consultant · IRIS Vs Market Benchmark — XBRL US credential pathway: Certificate + specialist taxonomy</t>
          </r>
        </is>
      </c>
      <c r="U19" s="12" t="inlineStr">
        <is>
          <t>B2 · Senior Specialist</t>
        </is>
      </c>
      <c r="V19" s="12" t="inlineStr">
        <is>
          <t>Framework + sub-family themes · 3+ answered</t>
        </is>
      </c>
    </row>
    <row r="20" ht="106" customHeight="1">
      <c r="A20" s="90" t="inlineStr">
        <is>
          <t>RC-028</t>
        </is>
      </c>
      <c r="B20" s="12" t="inlineStr">
        <is>
          <t>Consulting &amp; Professional Services</t>
        </is>
      </c>
      <c r="C20" s="12" t="inlineStr">
        <is>
          <t>XBRL Tagging, Conversion &amp; Filing</t>
        </is>
      </c>
      <c r="D20" s="20" t="inlineStr">
        <is>
          <t>B2</t>
        </is>
      </c>
      <c r="E20" s="21" t="inlineStr">
        <is>
          <t>Manager</t>
        </is>
      </c>
      <c r="F20" s="12" t="inlineStr">
        <is>
          <t>Manager</t>
        </is>
      </c>
      <c r="G20" s="12" t="inlineStr">
        <is>
          <t>Manager – Assisted Services · Senior Manager – Assisted Services</t>
        </is>
      </c>
      <c r="H20" s="12" t="inlineStr">
        <is>
          <t>Jinesh Kumar S, Mayur Zope, Mohammed Dholkawala, Priyanka Jadhav</t>
        </is>
      </c>
      <c r="I20" s="12" t="inlineStr">
        <is>
          <t>Services</t>
        </is>
      </c>
      <c r="J20" s="12" t="inlineStr">
        <is>
          <r>
            <rPr>
              <rFont val="Calibri"/>
              <sz val="10"/>
            </rPr>
            <t xml:space="preserve">Tags and converts financial statements and regulatory returns into XBRL/iXBRL, performs QC, clears validation errors and delivers filing-ready outputs. At B2: deep domain expertise, or one team.
</t>
          </r>
          <r>
            <rPr>
              <rFont val="Calibri"/>
              <b val="1"/>
              <sz val="10"/>
            </rPr>
            <t>Common themes in role-holders' answers:</t>
          </r>
          <r>
            <rPr>
              <rFont val="Calibri"/>
              <sz val="10"/>
            </rPr>
            <t xml:space="preserve"> manage · carbon · quality · deadlines · maintaining · smooth</t>
          </r>
        </is>
      </c>
      <c r="K20" s="12" t="inlineStr">
        <is>
          <r>
            <rPr>
              <rFont val="Calibri"/>
              <sz val="10"/>
            </rPr>
            <t xml:space="preserve">Tags and converts financial statements and regulatory returns into XBRL/iXBRL, performs QC, clears validation errors and delivers filing-ready outputs; Hardest problems in the domain; One team or a client portfolio
</t>
          </r>
          <r>
            <rPr>
              <rFont val="Calibri"/>
              <b val="1"/>
              <sz val="10"/>
            </rPr>
            <t>Common themes in role-holders' answers:</t>
          </r>
          <r>
            <rPr>
              <rFont val="Calibri"/>
              <sz val="10"/>
            </rPr>
            <t xml:space="preserve"> delivery · allocation · testing · quality · management · product</t>
          </r>
        </is>
      </c>
      <c r="L20" s="12" t="inlineStr">
        <is>
          <r>
            <rPr>
              <rFont val="Calibri"/>
              <sz val="10"/>
            </rPr>
            <t xml:space="preserve">Allocates people and sets team priorities
</t>
          </r>
          <r>
            <rPr>
              <rFont val="Calibri"/>
              <b val="1"/>
              <sz val="10"/>
            </rPr>
            <t>Common themes in role-holders' answers:</t>
          </r>
          <r>
            <rPr>
              <rFont val="Calibri"/>
              <sz val="10"/>
            </rPr>
            <t xml:space="preserve"> corrective · take · day-to-day · issues · allocate · quality</t>
          </r>
        </is>
      </c>
      <c r="M20" s="12" t="inlineStr">
        <is>
          <t>—</t>
        </is>
      </c>
      <c r="N20" s="12" t="inlineStr">
        <is>
          <r>
            <rPr>
              <rFont val="Calibri"/>
              <b val="1"/>
              <sz val="10"/>
            </rPr>
            <t>Skills:</t>
          </r>
          <r>
            <rPr>
              <rFont val="Calibri"/>
              <sz val="10"/>
            </rPr>
            <t xml:space="preserve"> XBRL Domain · XBRL domain knowledge · Team management · Problem-solving · UAT Testing · process improvement
</t>
          </r>
          <r>
            <rPr>
              <rFont val="Calibri"/>
              <b val="1"/>
              <sz val="10"/>
            </rPr>
            <t>Tools:</t>
          </r>
          <r>
            <rPr>
              <rFont val="Calibri"/>
              <sz val="10"/>
            </rPr>
            <t xml:space="preserve"> Carbon · Microsoft Teams · Arelle</t>
          </r>
        </is>
      </c>
      <c r="O20"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20" s="12" t="inlineStr">
        <is>
          <t>6–9 yrs
Graduate or postgraduate; professional qualification preferred</t>
        </is>
      </c>
      <c r="Q20" s="12" t="inlineStr">
        <is>
          <t>Core 3 · Future-ready 3 · Functional 4 · Leadership 3
★ XBRL, iXBRL &amp; Taxonomy · Accounting &amp; Reporting Standards · IFRS/US GAAP</t>
        </is>
      </c>
      <c r="R20" s="12" t="inlineStr">
        <is>
          <t>Deliver expert reporting and client-domain services. Includes: XBRL execution, taxonomy advice, service delivery and technical documentation. Excludes: Internal corporate accounting; product roadmap ownership.</t>
        </is>
      </c>
      <c r="S20" s="12" t="inlineStr">
        <is>
          <r>
            <rPr>
              <rFont val="Calibri"/>
              <b val="1"/>
              <sz val="10"/>
            </rPr>
            <t>Comparable stage:</t>
          </r>
          <r>
            <rPr>
              <rFont val="Calibri"/>
              <sz val="10"/>
            </rPr>
            <t xml:space="preserve"> LD03-1 · Service Delivery / Consulting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20" s="12" t="inlineStr">
        <is>
          <r>
            <rPr>
              <rFont val="Calibri"/>
              <sz val="10"/>
            </rPr>
            <t xml:space="preserve">Radford / Mercer P4 / M3 · SFIA 4–5
</t>
          </r>
          <r>
            <rPr>
              <rFont val="Calibri"/>
              <b val="1"/>
              <sz val="10"/>
            </rPr>
            <t>Big Four:</t>
          </r>
          <r>
            <rPr>
              <rFont val="Calibri"/>
              <sz val="10"/>
            </rPr>
            <t xml:space="preserve"> Manager · IRIS Vs Market Benchmark — XBRL US credential pathway: Certificate + review authority</t>
          </r>
        </is>
      </c>
      <c r="U20" s="12" t="inlineStr">
        <is>
          <t>B3 · Lead Specialist</t>
        </is>
      </c>
      <c r="V20" s="12" t="inlineStr">
        <is>
          <t>Framework + role-holders' themes · 3+ answered</t>
        </is>
      </c>
    </row>
    <row r="21">
      <c r="A21" s="89" t="inlineStr">
        <is>
          <t>Customer Success &amp; Support</t>
        </is>
      </c>
    </row>
    <row r="22" ht="106" customHeight="1">
      <c r="A22" s="90" t="inlineStr">
        <is>
          <t>RC-031</t>
        </is>
      </c>
      <c r="B22" s="12" t="inlineStr">
        <is>
          <t>Customer Success &amp; Support</t>
        </is>
      </c>
      <c r="C22" s="12" t="inlineStr">
        <is>
          <t>Application &amp; Product Support</t>
        </is>
      </c>
      <c r="D22" s="16" t="inlineStr">
        <is>
          <t>A3</t>
        </is>
      </c>
      <c r="E22" s="17" t="inlineStr">
        <is>
          <t>Senior Associate</t>
        </is>
      </c>
      <c r="F22" s="12" t="inlineStr">
        <is>
          <t>IC</t>
        </is>
      </c>
      <c r="G22" s="12" t="inlineStr">
        <is>
          <t>Senior Support Executive · Support Specialist</t>
        </is>
      </c>
      <c r="H22" s="12" t="inlineStr">
        <is>
          <t>Chandra Sekhar Sahu, Kiran Pawar, Nelson Paul Koonan, Pritam Kadam, Ravindra Kanojiya, Shruti Samant, Sweety Mukherjee</t>
        </is>
      </c>
      <c r="I22" s="12" t="inlineStr">
        <is>
          <t>Support</t>
        </is>
      </c>
      <c r="J22" s="12" t="inlineStr">
        <is>
          <r>
            <rPr>
              <rFont val="Calibri"/>
              <sz val="10"/>
            </rPr>
            <t xml:space="preserve">Resolves client product and filing issues, troubleshoots, handles UAT/change requests and escalates to engineering. At A3: varied work; reviews juniors; go-to for a process.
</t>
          </r>
          <r>
            <rPr>
              <rFont val="Calibri"/>
              <b val="1"/>
              <sz val="10"/>
            </rPr>
            <t>Common themes in role-holders' answers:</t>
          </r>
          <r>
            <rPr>
              <rFont val="Calibri"/>
              <sz val="10"/>
            </rPr>
            <t xml:space="preserve"> support · clients · provide · queries · issues · experience</t>
          </r>
        </is>
      </c>
      <c r="K22" s="12" t="inlineStr">
        <is>
          <r>
            <rPr>
              <rFont val="Calibri"/>
              <sz val="10"/>
            </rPr>
            <t xml:space="preserve">Resolves client product and filing issues, troubleshoots, handles UAT/change requests and escalates to engineering; Varied and non-standard work; handles exceptions; A module / process, or work with client or regulatory consequences
</t>
          </r>
          <r>
            <rPr>
              <rFont val="Calibri"/>
              <b val="1"/>
              <sz val="10"/>
            </rPr>
            <t>Common themes in role-holders' answers:</t>
          </r>
          <r>
            <rPr>
              <rFont val="Calibri"/>
              <sz val="10"/>
            </rPr>
            <t xml:space="preserve"> support · issue · customer · testing · coordination · client</t>
          </r>
        </is>
      </c>
      <c r="L22" s="12" t="inlineStr">
        <is>
          <r>
            <rPr>
              <rFont val="Calibri"/>
              <sz val="10"/>
            </rPr>
            <t xml:space="preserve">Technical / QC / client calls on own work
</t>
          </r>
          <r>
            <rPr>
              <rFont val="Calibri"/>
              <b val="1"/>
              <sz val="10"/>
            </rPr>
            <t>Common themes in role-holders' answers:</t>
          </r>
          <r>
            <rPr>
              <rFont val="Calibri"/>
              <sz val="10"/>
            </rPr>
            <t xml:space="preserve"> issues · resolving · tickets · handle · erro · validation</t>
          </r>
        </is>
      </c>
      <c r="M22" s="12" t="inlineStr">
        <is>
          <r>
            <rPr>
              <rFont val="Calibri"/>
              <b val="1"/>
              <sz val="10"/>
            </rPr>
            <t>Common themes in manager-set KRAs:</t>
          </r>
          <r>
            <rPr>
              <rFont val="Calibri"/>
              <sz val="10"/>
            </rPr>
            <t xml:space="preserve"> resolve · accounts · maintain accurate · accurate up-to-date · escalations owned · tickets/queries sla</t>
          </r>
        </is>
      </c>
      <c r="N22" s="12" t="inlineStr">
        <is>
          <r>
            <rPr>
              <rFont val="Calibri"/>
              <b val="1"/>
              <sz val="10"/>
            </rPr>
            <t>Skills:</t>
          </r>
          <r>
            <rPr>
              <rFont val="Calibri"/>
              <sz val="10"/>
            </rPr>
            <t xml:space="preserve"> Tech Support · Domain Support · Domain Knowledge · Platform knowledge · Business Analysis
</t>
          </r>
          <r>
            <rPr>
              <rFont val="Calibri"/>
              <b val="1"/>
              <sz val="10"/>
            </rPr>
            <t>Tools:</t>
          </r>
          <r>
            <rPr>
              <rFont val="Calibri"/>
              <sz val="10"/>
            </rPr>
            <t xml:space="preserve"> MS office · Arelle · Copilot · Excel · RBI cims portal</t>
          </r>
        </is>
      </c>
      <c r="O2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22" s="12" t="inlineStr">
        <is>
          <t>2–4 yrs
Graduate; relevant certification preferred</t>
        </is>
      </c>
      <c r="Q22" s="12" t="inlineStr">
        <is>
          <t>Core 2 · Future-ready 2 · Functional 3 · Leadership —
★ Product, Platform &amp; Domain Knowledge · Stakeholder &amp; Client Management</t>
        </is>
      </c>
      <c r="R22" s="12" t="inlineStr">
        <is>
          <t>Enable sustained customer value and issue resolution. Includes: Adoption, product support and customer education. Excludes: Employee IT support; initial client implementation.</t>
        </is>
      </c>
      <c r="S22" s="12" t="inlineStr">
        <is>
          <r>
            <rPr>
              <rFont val="Calibri"/>
              <b val="1"/>
              <sz val="10"/>
            </rPr>
            <t>Comparable stage:</t>
          </r>
          <r>
            <rPr>
              <rFont val="Calibri"/>
              <sz val="10"/>
            </rPr>
            <t xml:space="preserve"> CS01-2 · Product Support Engineer
Diagnose cases and publish verified knowledge articles.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resolved complex case with diagnosis, customer explanation and reusable knowledge</t>
          </r>
        </is>
      </c>
      <c r="T22" s="12" t="inlineStr">
        <is>
          <t>Radford / Mercer P2 · SFIA 3 Apply
IRIS Vs Competitor Benchmark — SaaS customer-success ladder: Associate CSM · Regnology: Product Support Specialist · Reg Reporting · IRIS Vs Competitor Benchmark — support tiers: L2 Application Support</t>
        </is>
      </c>
      <c r="U22" s="12" t="inlineStr">
        <is>
          <t>B1 · Specialist</t>
        </is>
      </c>
      <c r="V22" s="12" t="inlineStr">
        <is>
          <t>Framework + role-holders' themes · 3+ answered</t>
        </is>
      </c>
    </row>
    <row r="23" ht="106" customHeight="1">
      <c r="A23" s="90" t="inlineStr">
        <is>
          <t>RC-032</t>
        </is>
      </c>
      <c r="B23" s="12" t="inlineStr">
        <is>
          <t>Customer Success &amp; Support</t>
        </is>
      </c>
      <c r="C23" s="12" t="inlineStr">
        <is>
          <t>Application &amp; Product Support</t>
        </is>
      </c>
      <c r="D23" s="20" t="inlineStr">
        <is>
          <t>B1</t>
        </is>
      </c>
      <c r="E23" s="21" t="inlineStr">
        <is>
          <t>Specialist</t>
        </is>
      </c>
      <c r="F23" s="12" t="inlineStr">
        <is>
          <t>IC</t>
        </is>
      </c>
      <c r="G23" s="12" t="inlineStr">
        <is>
          <t>Support Specialist · Functional Specialist</t>
        </is>
      </c>
      <c r="H23" s="12" t="inlineStr">
        <is>
          <t>Karthik Menon</t>
        </is>
      </c>
      <c r="I23" s="12" t="inlineStr">
        <is>
          <t>Functional</t>
        </is>
      </c>
      <c r="J23" s="12" t="inlineStr">
        <is>
          <t>Resolves client product and filing issues, troubleshoots, handles UAT/change requests and escalates to engineering. At B1: a domain / module, or a small team.</t>
        </is>
      </c>
      <c r="K23" s="12" t="inlineStr">
        <is>
          <r>
            <rPr>
              <rFont val="Calibri"/>
              <sz val="10"/>
            </rPr>
            <t xml:space="preserve">Resolves client product and filing issues, troubleshoots, handles UAT/change requests and escalates to engineering; Domain specialist work; A domain or a small team
</t>
          </r>
          <r>
            <rPr>
              <rFont val="Calibri"/>
              <b val="1"/>
              <sz val="10"/>
            </rPr>
            <t>Common themes in role-holders' answers:</t>
          </r>
          <r>
            <rPr>
              <rFont val="Calibri"/>
              <sz val="10"/>
            </rPr>
            <t xml:space="preserve"> management</t>
          </r>
        </is>
      </c>
      <c r="L23" s="12" t="inlineStr">
        <is>
          <t>Technical / QC / client calls for the domain</t>
        </is>
      </c>
      <c r="M23" s="12" t="inlineStr">
        <is>
          <r>
            <rPr>
              <rFont val="Calibri"/>
              <b val="1"/>
              <sz val="10"/>
            </rPr>
            <t>Common themes in manager-set KRAs:</t>
          </r>
          <r>
            <rPr>
              <rFont val="Calibri"/>
              <sz val="10"/>
            </rPr>
            <t xml:space="preserve"> accounts · csat · documentation · reduce · drive · keep</t>
          </r>
        </is>
      </c>
      <c r="N23" s="12" t="inlineStr">
        <is>
          <r>
            <rPr>
              <rFont val="Calibri"/>
              <b val="1"/>
              <sz val="10"/>
            </rPr>
            <t>Skills:</t>
          </r>
          <r>
            <rPr>
              <rFont val="Calibri"/>
              <sz val="10"/>
            </rPr>
            <t xml:space="preserve"> Tech Support</t>
          </r>
        </is>
      </c>
      <c r="O23"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23" s="12" t="inlineStr">
        <is>
          <t>4–7 yrs
Graduate + relevant qualification or certification preferred</t>
        </is>
      </c>
      <c r="Q23" s="12" t="inlineStr">
        <is>
          <t>Core 3 · Future-ready 3 · Functional 3 · Leadership 1
★ Product, Platform &amp; Domain Knowledge · Stakeholder &amp; Client Management</t>
        </is>
      </c>
      <c r="R23" s="12" t="inlineStr">
        <is>
          <t>Enable sustained customer value and issue resolution. Includes: Adoption, product support and customer education. Excludes: Employee IT support; initial client implementation.</t>
        </is>
      </c>
      <c r="S23" s="12" t="inlineStr">
        <is>
          <r>
            <rPr>
              <rFont val="Calibri"/>
              <b val="1"/>
              <sz val="10"/>
            </rPr>
            <t>Comparable stage:</t>
          </r>
          <r>
            <rPr>
              <rFont val="Calibri"/>
              <sz val="10"/>
            </rPr>
            <t xml:space="preserve"> CS01-3 · Senior Product Support Engineer
Own complex escalations and recurring-defect analysis.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resolved complex case with diagnosis, customer explanation and reusable knowledge</t>
          </r>
        </is>
      </c>
      <c r="T23" s="12" t="inlineStr">
        <is>
          <r>
            <rPr>
              <rFont val="Calibri"/>
              <sz val="10"/>
            </rPr>
            <t xml:space="preserve">Radford / Mercer P3 / M2 · SFIA 4 Enable
</t>
          </r>
          <r>
            <rPr>
              <rFont val="Calibri"/>
              <b val="1"/>
              <sz val="10"/>
            </rPr>
            <t>Workiva:</t>
          </r>
          <r>
            <rPr>
              <rFont val="Calibri"/>
              <sz val="10"/>
            </rPr>
            <t xml:space="preserve"> Customer Success Manager · IRIS Vs Competitor Benchmark — SaaS customer-success ladder: CSM · IRIS Vs Competitor Benchmark — support tiers: L3 / Problem Analyst</t>
          </r>
        </is>
      </c>
      <c r="U23" s="12" t="inlineStr">
        <is>
          <t>B2 · Senior Specialist</t>
        </is>
      </c>
      <c r="V23" s="12" t="inlineStr">
        <is>
          <t>Framework + role-holders' themes · 3+ answered</t>
        </is>
      </c>
    </row>
    <row r="24" ht="106" customHeight="1">
      <c r="A24" s="90" t="inlineStr">
        <is>
          <t>RC-033</t>
        </is>
      </c>
      <c r="B24" s="12" t="inlineStr">
        <is>
          <t>Customer Success &amp; Support</t>
        </is>
      </c>
      <c r="C24" s="12" t="inlineStr">
        <is>
          <t>Application &amp; Product Support</t>
        </is>
      </c>
      <c r="D24" s="20" t="inlineStr">
        <is>
          <t>B2</t>
        </is>
      </c>
      <c r="E24" s="21" t="inlineStr">
        <is>
          <t>Manager</t>
        </is>
      </c>
      <c r="F24" s="12" t="inlineStr">
        <is>
          <t>Manager</t>
        </is>
      </c>
      <c r="G24" s="12" t="inlineStr">
        <is>
          <t>Support Manager</t>
        </is>
      </c>
      <c r="H24" s="12" t="inlineStr">
        <is>
          <t>Harshal Shah</t>
        </is>
      </c>
      <c r="I24" s="12" t="inlineStr">
        <is>
          <t>Support</t>
        </is>
      </c>
      <c r="J24" s="12" t="inlineStr">
        <is>
          <r>
            <rPr>
              <rFont val="Calibri"/>
              <sz val="10"/>
            </rPr>
            <t xml:space="preserve">Resolves client product and filing issues, troubleshoots, handles UAT/change requests and escalates to engineering. At B2: deep domain expertise, or one team.
</t>
          </r>
          <r>
            <rPr>
              <rFont val="Calibri"/>
              <b val="1"/>
              <sz val="10"/>
            </rPr>
            <t>Common themes in sub-family holders, all levels' answers:</t>
          </r>
          <r>
            <rPr>
              <rFont val="Calibri"/>
              <sz val="10"/>
            </rPr>
            <t xml:space="preserve"> support · clients · queries · provide · issues · resolving</t>
          </r>
        </is>
      </c>
      <c r="K24" s="12" t="inlineStr">
        <is>
          <r>
            <rPr>
              <rFont val="Calibri"/>
              <sz val="10"/>
            </rPr>
            <t xml:space="preserve">Resolves client product and filing issues, troubleshoots, handles UAT/change requests and escalates to engineering; Hardest problems in the domain; One team or a client portfolio
</t>
          </r>
          <r>
            <rPr>
              <rFont val="Calibri"/>
              <b val="1"/>
              <sz val="10"/>
            </rPr>
            <t>Common themes in sub-family holders, all levels' answers:</t>
          </r>
          <r>
            <rPr>
              <rFont val="Calibri"/>
              <sz val="10"/>
            </rPr>
            <t xml:space="preserve"> support · issue · testing · communication · customer · ticket</t>
          </r>
        </is>
      </c>
      <c r="L24" s="12" t="inlineStr">
        <is>
          <r>
            <rPr>
              <rFont val="Calibri"/>
              <sz val="10"/>
            </rPr>
            <t xml:space="preserve">Allocates people and sets team priorities
</t>
          </r>
          <r>
            <rPr>
              <rFont val="Calibri"/>
              <b val="1"/>
              <sz val="10"/>
            </rPr>
            <t>Common themes in sub-family holders, all levels' answers:</t>
          </r>
          <r>
            <rPr>
              <rFont val="Calibri"/>
              <sz val="10"/>
            </rPr>
            <t xml:space="preserve"> issues · resolving · tickets · handle · erro · validation</t>
          </r>
        </is>
      </c>
      <c r="M24" s="12" t="inlineStr">
        <is>
          <t>—</t>
        </is>
      </c>
      <c r="N24" s="12" t="inlineStr">
        <is>
          <r>
            <rPr>
              <rFont val="Calibri"/>
              <b val="1"/>
              <sz val="10"/>
            </rPr>
            <t>Skills:</t>
          </r>
          <r>
            <rPr>
              <rFont val="Calibri"/>
              <sz val="10"/>
            </rPr>
            <t xml:space="preserve"> Tech Support · Domain Support · Communication · Domain Knowledge · Business Analysis · Platform knowledge · Sales
</t>
          </r>
          <r>
            <rPr>
              <rFont val="Calibri"/>
              <b val="1"/>
              <sz val="10"/>
            </rPr>
            <t>Tools:</t>
          </r>
          <r>
            <rPr>
              <rFont val="Calibri"/>
              <sz val="10"/>
            </rPr>
            <t xml:space="preserve"> MS Office · Faveo · Arelle · Excel · Claude · Copilot · Microsoft Excel · RBI cims portal</t>
          </r>
        </is>
      </c>
      <c r="O24"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24" s="12" t="inlineStr">
        <is>
          <t>6–9 yrs
Graduate or postgraduate; professional qualification preferred</t>
        </is>
      </c>
      <c r="Q24" s="12" t="inlineStr">
        <is>
          <t>Core 3 · Future-ready 3 · Functional 4 · Leadership 3
★ Product, Platform &amp; Domain Knowledge · Stakeholder &amp; Client Management</t>
        </is>
      </c>
      <c r="R24" s="12" t="inlineStr">
        <is>
          <t>Enable sustained customer value and issue resolution. Includes: Adoption, product support and customer education. Excludes: Employee IT support; initial client implementation.</t>
        </is>
      </c>
      <c r="S24" s="12" t="inlineStr">
        <is>
          <r>
            <rPr>
              <rFont val="Calibri"/>
              <b val="1"/>
              <sz val="10"/>
            </rPr>
            <t>Comparable stage:</t>
          </r>
          <r>
            <rPr>
              <rFont val="Calibri"/>
              <sz val="10"/>
            </rPr>
            <t xml:space="preserve"> LD07-1 · Support / Customer Success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24" s="12" t="inlineStr">
        <is>
          <r>
            <rPr>
              <rFont val="Calibri"/>
              <sz val="10"/>
            </rPr>
            <t xml:space="preserve">Radford / Mercer P4 / M3 · SFIA 4–5
</t>
          </r>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U24" s="12" t="inlineStr">
        <is>
          <t>B3 · Lead Specialist</t>
        </is>
      </c>
      <c r="V24" s="12" t="inlineStr">
        <is>
          <t>Framework + sub-family themes · 3+ answered</t>
        </is>
      </c>
    </row>
    <row r="25" ht="119" customHeight="1">
      <c r="A25" s="90" t="inlineStr">
        <is>
          <t>RC-034</t>
        </is>
      </c>
      <c r="B25" s="12" t="inlineStr">
        <is>
          <t>Customer Success &amp; Support</t>
        </is>
      </c>
      <c r="C25" s="12" t="inlineStr">
        <is>
          <t>Customer Success &amp; Account Management</t>
        </is>
      </c>
      <c r="D25" s="16" t="inlineStr">
        <is>
          <t>A3</t>
        </is>
      </c>
      <c r="E25" s="17" t="inlineStr">
        <is>
          <t>Senior Associate</t>
        </is>
      </c>
      <c r="F25" s="12" t="inlineStr">
        <is>
          <t>IC</t>
        </is>
      </c>
      <c r="G25" s="12" t="inlineStr">
        <is>
          <t>Senior Customer Success Executive</t>
        </is>
      </c>
      <c r="H25" s="12" t="inlineStr">
        <is>
          <t>Samiksha Kadam, Tanya Dhere</t>
        </is>
      </c>
      <c r="I25" s="12" t="inlineStr">
        <is>
          <t>Support</t>
        </is>
      </c>
      <c r="J25" s="12" t="inlineStr">
        <is>
          <r>
            <rPr>
              <rFont val="Calibri"/>
              <sz val="10"/>
            </rPr>
            <t xml:space="preserve">Owns client relationships after sale — hypercare, renewals, upsell, CSAT/NPS, delivery follow-through. At A3: varied work; reviews juniors; go-to for a process.
</t>
          </r>
          <r>
            <rPr>
              <rFont val="Calibri"/>
              <b val="1"/>
              <sz val="10"/>
            </rPr>
            <t>Common themes in sub-family holders, all levels' answers:</t>
          </r>
          <r>
            <rPr>
              <rFont val="Calibri"/>
              <sz val="10"/>
            </rPr>
            <t xml:space="preserve"> cross improve · upsell cross · nps follow · tech · improve nps · us market</t>
          </r>
        </is>
      </c>
      <c r="K25" s="12" t="inlineStr">
        <is>
          <r>
            <rPr>
              <rFont val="Calibri"/>
              <sz val="10"/>
            </rPr>
            <t xml:space="preserve">Owns client relationships after sale — hypercare, renewals, upsell, CSAT/NPS, delivery follow-through; Varied and non-standard work; handles exceptions; A module / process, or work with client or regulatory consequences
</t>
          </r>
          <r>
            <rPr>
              <rFont val="Calibri"/>
              <b val="1"/>
              <sz val="10"/>
            </rPr>
            <t>Common themes in sub-family holders, all levels' answers:</t>
          </r>
          <r>
            <rPr>
              <rFont val="Calibri"/>
              <sz val="10"/>
            </rPr>
            <t xml:space="preserve"> product · renewals · testing · upsell · cross sell · training</t>
          </r>
        </is>
      </c>
      <c r="L25" s="12" t="inlineStr">
        <is>
          <r>
            <rPr>
              <rFont val="Calibri"/>
              <sz val="10"/>
            </rPr>
            <t xml:space="preserve">Technical / QC / client calls on own work
</t>
          </r>
          <r>
            <rPr>
              <rFont val="Calibri"/>
              <b val="1"/>
              <sz val="10"/>
            </rPr>
            <t>Common themes in sub-family holders, all levels' answers:</t>
          </r>
          <r>
            <rPr>
              <rFont val="Calibri"/>
              <sz val="10"/>
            </rPr>
            <t xml:space="preserve"> trainings</t>
          </r>
        </is>
      </c>
      <c r="M25" s="12" t="inlineStr">
        <is>
          <t>—</t>
        </is>
      </c>
      <c r="N25" s="12" t="inlineStr">
        <is>
          <r>
            <rPr>
              <rFont val="Calibri"/>
              <b val="1"/>
              <sz val="10"/>
            </rPr>
            <t>Skills:</t>
          </r>
          <r>
            <rPr>
              <rFont val="Calibri"/>
              <sz val="10"/>
            </rPr>
            <t xml:space="preserve"> XBRL Domain · Communication
</t>
          </r>
          <r>
            <rPr>
              <rFont val="Calibri"/>
              <b val="1"/>
              <sz val="10"/>
            </rPr>
            <t>Tools:</t>
          </r>
          <r>
            <rPr>
              <rFont val="Calibri"/>
              <sz val="10"/>
            </rPr>
            <t xml:space="preserve"> Hubspot · excel · Office 365</t>
          </r>
        </is>
      </c>
      <c r="O25"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25" s="12" t="inlineStr">
        <is>
          <t>2–4 yrs
Graduate; relevant certification preferred</t>
        </is>
      </c>
      <c r="Q25" s="12" t="inlineStr">
        <is>
          <t>Core 2 · Future-ready 2 · Functional 3 · Leadership —
★ Product, Platform &amp; Domain Knowledge · Stakeholder &amp; Client Management</t>
        </is>
      </c>
      <c r="R25" s="12" t="inlineStr">
        <is>
          <t>Enable sustained customer value and issue resolution. Includes: Adoption, product support and customer education. Excludes: Employee IT support; initial client implementation.</t>
        </is>
      </c>
      <c r="S25" s="12" t="inlineStr">
        <is>
          <r>
            <rPr>
              <rFont val="Calibri"/>
              <b val="1"/>
              <sz val="10"/>
            </rPr>
            <t>Comparable stage:</t>
          </r>
          <r>
            <rPr>
              <rFont val="Calibri"/>
              <sz val="10"/>
            </rPr>
            <t xml:space="preserve"> CS02-2 · Customer Success Manager
Run success plans, adoption reviews and renewal-risk follow-up.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An account success plan with agreed outcomes, adoption evidence and managed renewal risks</t>
          </r>
        </is>
      </c>
      <c r="T25" s="12" t="inlineStr">
        <is>
          <t>Radford / Mercer P2 · SFIA 3 Apply
IRIS Vs Competitor Benchmark — SaaS customer-success ladder: Associate CSM · Regnology: Product Support Specialist · Reg Reporting · IRIS Vs Competitor Benchmark — support tiers: L2 Application Support</t>
        </is>
      </c>
      <c r="U25" s="12" t="inlineStr">
        <is>
          <t>B1 · Specialist</t>
        </is>
      </c>
      <c r="V25" s="12" t="inlineStr">
        <is>
          <t>Framework + sub-family themes · 3+ answered</t>
        </is>
      </c>
    </row>
    <row r="26" ht="119" customHeight="1">
      <c r="A26" s="90" t="inlineStr">
        <is>
          <t>RC-035</t>
        </is>
      </c>
      <c r="B26" s="12" t="inlineStr">
        <is>
          <t>Customer Success &amp; Support</t>
        </is>
      </c>
      <c r="C26" s="12" t="inlineStr">
        <is>
          <t>Customer Success &amp; Account Management</t>
        </is>
      </c>
      <c r="D26" s="20" t="inlineStr">
        <is>
          <t>B1</t>
        </is>
      </c>
      <c r="E26" s="21" t="inlineStr">
        <is>
          <t>Specialist</t>
        </is>
      </c>
      <c r="F26" s="12" t="inlineStr">
        <is>
          <t>IC</t>
        </is>
      </c>
      <c r="G26" s="12" t="inlineStr">
        <is>
          <t>Senior Customer Success Specialist – POD Lead · Senior Customer Success Specialist</t>
        </is>
      </c>
      <c r="H26" s="12" t="inlineStr">
        <is>
          <t>Aakanksha Swaminathan, Nupur Samantaray</t>
        </is>
      </c>
      <c r="I26" s="12" t="inlineStr">
        <is>
          <t>Functional · Support</t>
        </is>
      </c>
      <c r="J26" s="12" t="inlineStr">
        <is>
          <r>
            <rPr>
              <rFont val="Calibri"/>
              <sz val="10"/>
            </rPr>
            <t xml:space="preserve">Owns client relationships after sale — hypercare, renewals, upsell, CSAT/NPS, delivery follow-through. At B1: a domain / module, or a small team.
</t>
          </r>
          <r>
            <rPr>
              <rFont val="Calibri"/>
              <b val="1"/>
              <sz val="10"/>
            </rPr>
            <t>Common themes in sub-family holders, all levels' answers:</t>
          </r>
          <r>
            <rPr>
              <rFont val="Calibri"/>
              <sz val="10"/>
            </rPr>
            <t xml:space="preserve"> cross improve · upsell cross · nps follow · tech · improve nps · us market</t>
          </r>
        </is>
      </c>
      <c r="K26" s="12" t="inlineStr">
        <is>
          <r>
            <rPr>
              <rFont val="Calibri"/>
              <sz val="10"/>
            </rPr>
            <t xml:space="preserve">Owns client relationships after sale — hypercare, renewals, upsell, CSAT/NPS, delivery follow-through; Domain specialist work; A domain or a small team
</t>
          </r>
          <r>
            <rPr>
              <rFont val="Calibri"/>
              <b val="1"/>
              <sz val="10"/>
            </rPr>
            <t>Common themes in sub-family holders, all levels' answers:</t>
          </r>
          <r>
            <rPr>
              <rFont val="Calibri"/>
              <sz val="10"/>
            </rPr>
            <t xml:space="preserve"> product · renewals · testing · upsell · cross sell · training</t>
          </r>
        </is>
      </c>
      <c r="L26" s="12" t="inlineStr">
        <is>
          <r>
            <rPr>
              <rFont val="Calibri"/>
              <sz val="10"/>
            </rPr>
            <t xml:space="preserve">Technical / QC / client calls for the domain
</t>
          </r>
          <r>
            <rPr>
              <rFont val="Calibri"/>
              <b val="1"/>
              <sz val="10"/>
            </rPr>
            <t>Common themes in sub-family holders, all levels' answers:</t>
          </r>
          <r>
            <rPr>
              <rFont val="Calibri"/>
              <sz val="10"/>
            </rPr>
            <t xml:space="preserve"> trainings</t>
          </r>
        </is>
      </c>
      <c r="M26" s="12" t="inlineStr">
        <is>
          <t>—</t>
        </is>
      </c>
      <c r="N26" s="12" t="inlineStr">
        <is>
          <r>
            <rPr>
              <rFont val="Calibri"/>
              <b val="1"/>
              <sz val="10"/>
            </rPr>
            <t>Skills:</t>
          </r>
          <r>
            <rPr>
              <rFont val="Calibri"/>
              <sz val="10"/>
            </rPr>
            <t xml:space="preserve"> XBRL Domain · Communication
</t>
          </r>
          <r>
            <rPr>
              <rFont val="Calibri"/>
              <b val="1"/>
              <sz val="10"/>
            </rPr>
            <t>Tools:</t>
          </r>
          <r>
            <rPr>
              <rFont val="Calibri"/>
              <sz val="10"/>
            </rPr>
            <t xml:space="preserve"> Hubspot · excel · Office 365</t>
          </r>
        </is>
      </c>
      <c r="O26"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26" s="12" t="inlineStr">
        <is>
          <t>4–7 yrs
Graduate + relevant qualification or certification preferred</t>
        </is>
      </c>
      <c r="Q26" s="12" t="inlineStr">
        <is>
          <t>Core 3 · Future-ready 3 · Functional 3 · Leadership 1
★ Product, Platform &amp; Domain Knowledge · Stakeholder &amp; Client Management</t>
        </is>
      </c>
      <c r="R26" s="12" t="inlineStr">
        <is>
          <t>Enable sustained customer value and issue resolution. Includes: Adoption, product support and customer education. Excludes: Employee IT support; initial client implementation.</t>
        </is>
      </c>
      <c r="S26" s="12" t="inlineStr">
        <is>
          <r>
            <rPr>
              <rFont val="Calibri"/>
              <b val="1"/>
              <sz val="10"/>
            </rPr>
            <t>Comparable stage:</t>
          </r>
          <r>
            <rPr>
              <rFont val="Calibri"/>
              <sz val="10"/>
            </rPr>
            <t xml:space="preserve"> CS02-3 · Senior Customer Success Manager
Own complex account outcomes and executive escalations.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An account success plan with agreed outcomes, adoption evidence and managed renewal risks</t>
          </r>
        </is>
      </c>
      <c r="T26" s="12" t="inlineStr">
        <is>
          <r>
            <rPr>
              <rFont val="Calibri"/>
              <sz val="10"/>
            </rPr>
            <t xml:space="preserve">Radford / Mercer P3 / M2 · SFIA 4 Enable
</t>
          </r>
          <r>
            <rPr>
              <rFont val="Calibri"/>
              <b val="1"/>
              <sz val="10"/>
            </rPr>
            <t>Workiva:</t>
          </r>
          <r>
            <rPr>
              <rFont val="Calibri"/>
              <sz val="10"/>
            </rPr>
            <t xml:space="preserve"> Customer Success Manager · IRIS Vs Competitor Benchmark — SaaS customer-success ladder: CSM · IRIS Vs Competitor Benchmark — support tiers: L3 / Problem Analyst</t>
          </r>
        </is>
      </c>
      <c r="U26" s="12" t="inlineStr">
        <is>
          <t>B2 · Senior Specialist</t>
        </is>
      </c>
      <c r="V26" s="12" t="inlineStr">
        <is>
          <t>Framework + sub-family themes · 3+ answered</t>
        </is>
      </c>
    </row>
    <row r="27" ht="119" customHeight="1">
      <c r="A27" s="90" t="inlineStr">
        <is>
          <t>RC-036</t>
        </is>
      </c>
      <c r="B27" s="12" t="inlineStr">
        <is>
          <t>Customer Success &amp; Support</t>
        </is>
      </c>
      <c r="C27" s="12" t="inlineStr">
        <is>
          <t>Customer Success &amp; Account Management</t>
        </is>
      </c>
      <c r="D27" s="20" t="inlineStr">
        <is>
          <t>B2</t>
        </is>
      </c>
      <c r="E27" s="21" t="inlineStr">
        <is>
          <t>Senior Specialist</t>
        </is>
      </c>
      <c r="F27" s="12" t="inlineStr">
        <is>
          <t>IC</t>
        </is>
      </c>
      <c r="G27" s="12" t="inlineStr">
        <is>
          <t>Senior Customer Success Specialist · Senior Customer Success Specialist – POD Lead · Customer Success Specialist</t>
        </is>
      </c>
      <c r="H27" s="12" t="inlineStr">
        <is>
          <t>Chinmayi Patil, Neha Gajbhiye, Praveen Kumar Rajpurohit, Pritam Agarwal, Varun Bubna</t>
        </is>
      </c>
      <c r="I27" s="12" t="inlineStr">
        <is>
          <t>Support</t>
        </is>
      </c>
      <c r="J27" s="12" t="inlineStr">
        <is>
          <r>
            <rPr>
              <rFont val="Calibri"/>
              <sz val="10"/>
            </rPr>
            <t xml:space="preserve">Owns client relationships after sale — hypercare, renewals, upsell, CSAT/NPS, delivery follow-through. At B2: deep domain expertise, or one team.
</t>
          </r>
          <r>
            <rPr>
              <rFont val="Calibri"/>
              <b val="1"/>
              <sz val="10"/>
            </rPr>
            <t>Common themes in role-holders' answers:</t>
          </r>
          <r>
            <rPr>
              <rFont val="Calibri"/>
              <sz val="10"/>
            </rPr>
            <t xml:space="preserve"> cross improve · upsell cross · nps follow · tech · improve nps · us market</t>
          </r>
        </is>
      </c>
      <c r="K27" s="12" t="inlineStr">
        <is>
          <r>
            <rPr>
              <rFont val="Calibri"/>
              <sz val="10"/>
            </rPr>
            <t xml:space="preserve">Owns client relationships after sale — hypercare, renewals, upsell, CSAT/NPS, delivery follow-through; Hardest problems in the domain; One team or a client portfolio
</t>
          </r>
          <r>
            <rPr>
              <rFont val="Calibri"/>
              <b val="1"/>
              <sz val="10"/>
            </rPr>
            <t>Common themes in role-holders' answers:</t>
          </r>
          <r>
            <rPr>
              <rFont val="Calibri"/>
              <sz val="10"/>
            </rPr>
            <t xml:space="preserve"> product · renewals · upsell · cross sell · update · testing</t>
          </r>
        </is>
      </c>
      <c r="L27" s="12" t="inlineStr">
        <is>
          <t>Allocates people and sets team priorities</t>
        </is>
      </c>
      <c r="M27" s="12" t="inlineStr">
        <is>
          <t>—</t>
        </is>
      </c>
      <c r="N27" s="12" t="inlineStr">
        <is>
          <r>
            <rPr>
              <rFont val="Calibri"/>
              <b val="1"/>
              <sz val="10"/>
            </rPr>
            <t>Skills:</t>
          </r>
          <r>
            <rPr>
              <rFont val="Calibri"/>
              <sz val="10"/>
            </rPr>
            <t xml:space="preserve"> XBRL Domain
</t>
          </r>
          <r>
            <rPr>
              <rFont val="Calibri"/>
              <b val="1"/>
              <sz val="10"/>
            </rPr>
            <t>Tools:</t>
          </r>
          <r>
            <rPr>
              <rFont val="Calibri"/>
              <sz val="10"/>
            </rPr>
            <t xml:space="preserve"> Hubspot · excel</t>
          </r>
        </is>
      </c>
      <c r="O27"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27" s="12" t="inlineStr">
        <is>
          <t>6–9 yrs
Graduate or postgraduate; professional qualification preferred</t>
        </is>
      </c>
      <c r="Q27" s="12" t="inlineStr">
        <is>
          <t>Core 3 · Future-ready 3 · Functional 4 · Leadership 2
★ Product, Platform &amp; Domain Knowledge · Stakeholder &amp; Client Management</t>
        </is>
      </c>
      <c r="R27" s="12" t="inlineStr">
        <is>
          <t>Enable sustained customer value and issue resolution. Includes: Adoption, product support and customer education. Excludes: Employee IT support; initial client implementation.</t>
        </is>
      </c>
      <c r="S27" s="12" t="inlineStr">
        <is>
          <r>
            <rPr>
              <rFont val="Calibri"/>
              <b val="1"/>
              <sz val="10"/>
            </rPr>
            <t>Comparable stage:</t>
          </r>
          <r>
            <rPr>
              <rFont val="Calibri"/>
              <sz val="10"/>
            </rPr>
            <t xml:space="preserve"> CS02-3 · Senior Customer Success Manager
Own complex account outcomes and executive escalations.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An account success plan with agreed outcomes, adoption evidence and managed renewal risks</t>
          </r>
        </is>
      </c>
      <c r="T27" s="12" t="inlineStr">
        <is>
          <r>
            <rPr>
              <rFont val="Calibri"/>
              <sz val="10"/>
            </rPr>
            <t xml:space="preserve">Radford / Mercer P4 / M3 · SFIA 4–5
</t>
          </r>
          <r>
            <rPr>
              <rFont val="Calibri"/>
              <b val="1"/>
              <sz val="10"/>
            </rPr>
            <t>Workiva:</t>
          </r>
          <r>
            <rPr>
              <rFont val="Calibri"/>
              <sz val="10"/>
            </rPr>
            <t xml:space="preserve"> Product Success Manager · IRIS Vs Competitor Benchmark — SaaS customer-success ladder: Senior CSM · IRIS Vs Competitor Benchmark — support tiers: Support Team Manager</t>
          </r>
        </is>
      </c>
      <c r="U27" s="12" t="inlineStr">
        <is>
          <t>B3 · Lead Specialist</t>
        </is>
      </c>
      <c r="V27" s="12" t="inlineStr">
        <is>
          <t>Framework + role-holders' themes · 3+ answered</t>
        </is>
      </c>
    </row>
    <row r="28" ht="93" customHeight="1">
      <c r="A28" s="90" t="inlineStr">
        <is>
          <t>RC-037</t>
        </is>
      </c>
      <c r="B28" s="12" t="inlineStr">
        <is>
          <t>Customer Success &amp; Support</t>
        </is>
      </c>
      <c r="C28" s="12" t="inlineStr">
        <is>
          <t>Customer Success &amp; Account Management</t>
        </is>
      </c>
      <c r="D28" s="36" t="inlineStr">
        <is>
          <t>X1</t>
        </is>
      </c>
      <c r="E28" s="37" t="inlineStr">
        <is>
          <t>Associate Consultant</t>
        </is>
      </c>
      <c r="F28" s="12" t="inlineStr">
        <is>
          <t>IC</t>
        </is>
      </c>
      <c r="G28" s="12" t="inlineStr">
        <is>
          <t>Associate Consultant – Customer Success &amp; Account Management</t>
        </is>
      </c>
      <c r="H28" s="12" t="inlineStr">
        <is>
          <t>Kanika Jain</t>
        </is>
      </c>
      <c r="I28" s="12" t="inlineStr">
        <is>
          <t>Support</t>
        </is>
      </c>
      <c r="J28" s="12" t="inlineStr">
        <is>
          <r>
            <rPr>
              <rFont val="Calibri"/>
              <sz val="10"/>
            </rPr>
            <t xml:space="preserve">Owns client relationships after sale — hypercare, renewals, upsell, CSAT/NPS, delivery follow-through. At X1: defined deliverables under a statement of work · ≈ A2–A3.
</t>
          </r>
          <r>
            <rPr>
              <rFont val="Calibri"/>
              <b val="1"/>
              <sz val="10"/>
            </rPr>
            <t>Common themes in sub-family holders, all levels' answers:</t>
          </r>
          <r>
            <rPr>
              <rFont val="Calibri"/>
              <sz val="10"/>
            </rPr>
            <t xml:space="preserve"> cross improve · upsell cross · nps follow · tech · improve nps · us market</t>
          </r>
        </is>
      </c>
      <c r="K28" s="12" t="inlineStr">
        <is>
          <r>
            <rPr>
              <rFont val="Calibri"/>
              <sz val="10"/>
            </rPr>
            <t xml:space="preserve">Owns client relationships after sale — hypercare, renewals, upsell, CSAT/NPS, delivery follow-through
</t>
          </r>
          <r>
            <rPr>
              <rFont val="Calibri"/>
              <b val="1"/>
              <sz val="10"/>
            </rPr>
            <t>Common themes in sub-family holders, all levels' answers:</t>
          </r>
          <r>
            <rPr>
              <rFont val="Calibri"/>
              <sz val="10"/>
            </rPr>
            <t xml:space="preserve"> product · renewals · testing · upsell · cross sell · training</t>
          </r>
        </is>
      </c>
      <c r="L28" s="12" t="inlineStr">
        <is>
          <r>
            <rPr>
              <rFont val="Calibri"/>
              <sz val="10"/>
            </rPr>
            <t xml:space="preserve">Within the statement of work
</t>
          </r>
          <r>
            <rPr>
              <rFont val="Calibri"/>
              <b val="1"/>
              <sz val="10"/>
            </rPr>
            <t>Common themes in sub-family holders, all levels' answers:</t>
          </r>
          <r>
            <rPr>
              <rFont val="Calibri"/>
              <sz val="10"/>
            </rPr>
            <t xml:space="preserve"> trainings</t>
          </r>
        </is>
      </c>
      <c r="M28" s="12" t="inlineStr">
        <is>
          <t>—</t>
        </is>
      </c>
      <c r="N28" s="12" t="inlineStr">
        <is>
          <r>
            <rPr>
              <rFont val="Calibri"/>
              <b val="1"/>
              <sz val="10"/>
            </rPr>
            <t>Skills:</t>
          </r>
          <r>
            <rPr>
              <rFont val="Calibri"/>
              <sz val="10"/>
            </rPr>
            <t xml:space="preserve"> XBRL Domain · Communication
</t>
          </r>
          <r>
            <rPr>
              <rFont val="Calibri"/>
              <b val="1"/>
              <sz val="10"/>
            </rPr>
            <t>Tools:</t>
          </r>
          <r>
            <rPr>
              <rFont val="Calibri"/>
              <sz val="10"/>
            </rPr>
            <t xml:space="preserve"> Hubspot · excel · Office 365</t>
          </r>
        </is>
      </c>
      <c r="O28" s="12" t="inlineStr">
        <is>
          <r>
            <rPr>
              <rFont val="Calibri"/>
              <b val="1"/>
              <sz val="10"/>
            </rPr>
            <t>Owns:</t>
          </r>
          <r>
            <rPr>
              <rFont val="Calibri"/>
              <sz val="10"/>
            </rPr>
            <t xml:space="preserve"> Defined deliverables under a statement of work · ≈ A2–A3</t>
          </r>
        </is>
      </c>
      <c r="P28" s="12" t="inlineStr">
        <is>
          <t>0–5 yrs
As for equivalent role</t>
        </is>
      </c>
      <c r="Q28" s="12" t="inlineStr">
        <is>
          <t>Per statement of work
★ Product, Platform &amp; Domain Knowledge · Stakeholder &amp; Client Management</t>
        </is>
      </c>
      <c r="R28" s="12" t="inlineStr">
        <is>
          <t>Enable sustained customer value and issue resolution. Includes: Adoption, product support and customer education. Excludes: Employee IT support; initial client implementation.</t>
        </is>
      </c>
      <c r="S28" s="12" t="inlineStr">
        <is>
          <t>—</t>
        </is>
      </c>
      <c r="T28" s="12" t="inlineStr">
        <is>
          <t>Radford / Mercer Contractor · SFIA —
—</t>
        </is>
      </c>
      <c r="U28" s="12" t="inlineStr">
        <is>
          <t>—</t>
        </is>
      </c>
      <c r="V28" s="12" t="inlineStr">
        <is>
          <t>Framework + sub-family themes · 3+ answered</t>
        </is>
      </c>
    </row>
    <row r="29" ht="93" customHeight="1">
      <c r="A29" s="90" t="inlineStr">
        <is>
          <t>RC-038</t>
        </is>
      </c>
      <c r="B29" s="12" t="inlineStr">
        <is>
          <t>Customer Success &amp; Support</t>
        </is>
      </c>
      <c r="C29" s="12" t="inlineStr">
        <is>
          <t>Customer Success Leadership</t>
        </is>
      </c>
      <c r="D29" s="24" t="inlineStr">
        <is>
          <t>C1</t>
        </is>
      </c>
      <c r="E29" s="25" t="inlineStr">
        <is>
          <t>Associate Head</t>
        </is>
      </c>
      <c r="F29" s="12" t="inlineStr">
        <is>
          <t>Manager</t>
        </is>
      </c>
      <c r="G29" s="12" t="inlineStr">
        <is>
          <t>Associate Head – Customer Success</t>
        </is>
      </c>
      <c r="H29" s="12" t="inlineStr">
        <is>
          <t>Anushree Aparajit</t>
        </is>
      </c>
      <c r="I29" s="12" t="inlineStr">
        <is>
          <t>Support</t>
        </is>
      </c>
      <c r="J29" s="12" t="inlineStr">
        <is>
          <t>Leads the customer success &amp; support function. At C1: a sub-function, or principal authority across products.</t>
        </is>
      </c>
      <c r="K29" s="12" t="inlineStr">
        <is>
          <t>Leads the customer success &amp; support function; Ambiguous, cross-product problems; Sub-function results or domain quality across products</t>
        </is>
      </c>
      <c r="L29" s="12" t="inlineStr">
        <is>
          <t>Sets direction for a sub-function or domain</t>
        </is>
      </c>
      <c r="M29" s="12" t="inlineStr">
        <is>
          <t>—</t>
        </is>
      </c>
      <c r="N29" s="12" t="inlineStr">
        <is>
          <t>—</t>
        </is>
      </c>
      <c r="O29" s="12" t="inlineStr">
        <is>
          <r>
            <rPr>
              <rFont val="Calibri"/>
              <b val="1"/>
              <sz val="10"/>
            </rPr>
            <t>Owns:</t>
          </r>
          <r>
            <rPr>
              <rFont val="Calibri"/>
              <sz val="10"/>
            </rPr>
            <t xml:space="preserve"> A sub-function, or principal authority across products
</t>
          </r>
          <r>
            <rPr>
              <rFont val="Calibri"/>
              <b val="1"/>
              <sz val="10"/>
            </rPr>
            <t>Complexity:</t>
          </r>
          <r>
            <rPr>
              <rFont val="Calibri"/>
              <sz val="10"/>
            </rPr>
            <t xml:space="preserve"> Ambiguous, cross-product problems
</t>
          </r>
          <r>
            <rPr>
              <rFont val="Calibri"/>
              <b val="1"/>
              <sz val="10"/>
            </rPr>
            <t>Decisions:</t>
          </r>
          <r>
            <rPr>
              <rFont val="Calibri"/>
              <sz val="10"/>
            </rPr>
            <t xml:space="preserve"> Sets direction for a sub-function or domain
</t>
          </r>
          <r>
            <rPr>
              <rFont val="Calibri"/>
              <b val="1"/>
              <sz val="10"/>
            </rPr>
            <t>Answers for:</t>
          </r>
          <r>
            <rPr>
              <rFont val="Calibri"/>
              <sz val="10"/>
            </rPr>
            <t xml:space="preserve"> Sub-function results or domain quality across products
</t>
          </r>
          <r>
            <rPr>
              <rFont val="Calibri"/>
              <b val="1"/>
              <sz val="10"/>
            </rPr>
            <t>Leadership:</t>
          </r>
          <r>
            <rPr>
              <rFont val="Calibri"/>
              <sz val="10"/>
            </rPr>
            <t xml:space="preserve"> Leads managers or a community of practice</t>
          </r>
        </is>
      </c>
      <c r="P29" s="12" t="inlineStr">
        <is>
          <t>10–14 yrs
Postgraduate / professional qualification preferred</t>
        </is>
      </c>
      <c r="Q29" s="12" t="inlineStr">
        <is>
          <t>Core 4 · Future-ready 4 · Functional 4 · Leadership 4
★ Product, Platform &amp; Domain Knowledge · Stakeholder &amp; Client Management</t>
        </is>
      </c>
      <c r="R29" s="12" t="inlineStr">
        <is>
          <t>Enable sustained customer value and issue resolution. Includes: Adoption, product support and customer education. Excludes: Employee IT support; initial client implementation.</t>
        </is>
      </c>
      <c r="S29" s="12" t="inlineStr">
        <is>
          <r>
            <rPr>
              <rFont val="Calibri"/>
              <b val="1"/>
              <sz val="10"/>
            </rPr>
            <t>Comparable stage:</t>
          </r>
          <r>
            <rPr>
              <rFont val="Calibri"/>
              <sz val="10"/>
            </rPr>
            <t xml:space="preserve"> LD07-2 · Head / VP of Customer Experience
Own integrated function strategy, capacity, controls and cross-team trade-offs
</t>
          </r>
          <r>
            <rPr>
              <rFont val="Calibri"/>
              <b val="1"/>
              <sz val="10"/>
            </rPr>
            <t>Ready when:</t>
          </r>
          <r>
            <rPr>
              <rFont val="Calibri"/>
              <sz val="10"/>
            </rPr>
            <t xml:space="preserve"> Do not manufacture three reporting layers. Choose roles the organisation needs. A specialist may remain on an equally valued expert path.</t>
          </r>
        </is>
      </c>
      <c r="T29" s="12" t="inlineStr">
        <is>
          <t>Radford / Mercer P6 / M5 · SFIA 5–6
IRIS Vs Competitor Benchmark — SaaS customer-success ladder: Senior Manager CS</t>
        </is>
      </c>
      <c r="U29" s="12" t="inlineStr">
        <is>
          <t>C2 · Senior Principal / Architect</t>
        </is>
      </c>
      <c r="V29" s="12" t="inlineStr">
        <is>
          <t>Framework only · fewer than 3 answered</t>
        </is>
      </c>
    </row>
    <row r="30" ht="106" customHeight="1">
      <c r="A30" s="90" t="inlineStr">
        <is>
          <t>RC-039</t>
        </is>
      </c>
      <c r="B30" s="12" t="inlineStr">
        <is>
          <t>Customer Success &amp; Support</t>
        </is>
      </c>
      <c r="C30" s="12" t="inlineStr">
        <is>
          <t>Customer Training &amp; Enablement</t>
        </is>
      </c>
      <c r="D30" s="20" t="inlineStr">
        <is>
          <t>B1</t>
        </is>
      </c>
      <c r="E30" s="21" t="inlineStr">
        <is>
          <t>Specialist</t>
        </is>
      </c>
      <c r="F30" s="12" t="inlineStr">
        <is>
          <t>IC</t>
        </is>
      </c>
      <c r="G30" s="12" t="inlineStr">
        <is>
          <t>Customer Enablement Specialist – POD Lead</t>
        </is>
      </c>
      <c r="H30" s="12" t="inlineStr">
        <is>
          <t>Datta Hatagale</t>
        </is>
      </c>
      <c r="I30" s="12" t="inlineStr">
        <is>
          <t>Digitizing</t>
        </is>
      </c>
      <c r="J30" s="12" t="inlineStr">
        <is>
          <t>Trains clients and drives product adoption. At B1: a domain / module, or a small team.</t>
        </is>
      </c>
      <c r="K30" s="12" t="inlineStr">
        <is>
          <t>Trains clients and drives product adoption; Domain specialist work; A domain or a small team</t>
        </is>
      </c>
      <c r="L30" s="12" t="inlineStr">
        <is>
          <t>Technical / QC / client calls for the domain</t>
        </is>
      </c>
      <c r="M30" s="12" t="inlineStr">
        <is>
          <t>—</t>
        </is>
      </c>
      <c r="N30" s="12" t="inlineStr">
        <is>
          <t>—</t>
        </is>
      </c>
      <c r="O30"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30" s="12" t="inlineStr">
        <is>
          <t>4–7 yrs
Graduate + relevant qualification or certification preferred</t>
        </is>
      </c>
      <c r="Q30" s="12" t="inlineStr">
        <is>
          <t>Core 3 · Future-ready 3 · Functional 3 · Leadership 1
★ Product, Platform &amp; Domain Knowledge · Stakeholder &amp; Client Management</t>
        </is>
      </c>
      <c r="R30" s="12" t="inlineStr">
        <is>
          <t>Enable sustained customer value and issue resolution. Includes: Adoption, product support and customer education. Excludes: Employee IT support; initial client implementation.</t>
        </is>
      </c>
      <c r="S30" s="12" t="inlineStr">
        <is>
          <r>
            <rPr>
              <rFont val="Calibri"/>
              <b val="1"/>
              <sz val="10"/>
            </rPr>
            <t>Comparable stage:</t>
          </r>
          <r>
            <rPr>
              <rFont val="Calibri"/>
              <sz val="10"/>
            </rPr>
            <t xml:space="preserve"> CS03-3 · Senior Customer Education Specialist
Own a curriculum and evaluate customer application and readiness.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customer learning intervention with application evidence and measured readiness</t>
          </r>
        </is>
      </c>
      <c r="T30" s="12" t="inlineStr">
        <is>
          <r>
            <rPr>
              <rFont val="Calibri"/>
              <sz val="10"/>
            </rPr>
            <t xml:space="preserve">Radford / Mercer P3 / M2 · SFIA 4 Enable
</t>
          </r>
          <r>
            <rPr>
              <rFont val="Calibri"/>
              <b val="1"/>
              <sz val="10"/>
            </rPr>
            <t>Workiva:</t>
          </r>
          <r>
            <rPr>
              <rFont val="Calibri"/>
              <sz val="10"/>
            </rPr>
            <t xml:space="preserve"> Customer Success Manager · IRIS Vs Competitor Benchmark — SaaS customer-success ladder: CSM · IRIS Vs Competitor Benchmark — support tiers: L3 / Problem Analyst</t>
          </r>
        </is>
      </c>
      <c r="U30" s="12" t="inlineStr">
        <is>
          <t>B2 · Senior Specialist</t>
        </is>
      </c>
      <c r="V30" s="12" t="inlineStr">
        <is>
          <t>Framework only · fewer than 3 answered</t>
        </is>
      </c>
    </row>
    <row r="31">
      <c r="A31" s="89" t="inlineStr">
        <is>
          <t>Data &amp; Analytics</t>
        </is>
      </c>
    </row>
    <row r="32" ht="106" customHeight="1">
      <c r="A32" s="90" t="inlineStr">
        <is>
          <t>RC-044</t>
        </is>
      </c>
      <c r="B32" s="12" t="inlineStr">
        <is>
          <t>Data &amp; Analytics</t>
        </is>
      </c>
      <c r="C32" s="12" t="inlineStr">
        <is>
          <t>MIS &amp; Business Reporting</t>
        </is>
      </c>
      <c r="D32" s="16" t="inlineStr">
        <is>
          <t>A3</t>
        </is>
      </c>
      <c r="E32" s="17" t="inlineStr">
        <is>
          <t>Senior Associate</t>
        </is>
      </c>
      <c r="F32" s="12" t="inlineStr">
        <is>
          <t>IC</t>
        </is>
      </c>
      <c r="G32" s="12" t="inlineStr">
        <is>
          <t>MIS Specialist</t>
        </is>
      </c>
      <c r="H32" s="12" t="inlineStr">
        <is>
          <t>Mayur Narvekar</t>
        </is>
      </c>
      <c r="I32" s="12" t="inlineStr">
        <is>
          <t>Support</t>
        </is>
      </c>
      <c r="J32" s="12" t="inlineStr">
        <is>
          <t>Builds MIS, dashboards and revenue/ARR forecasts. At A3: varied work; reviews juniors; go-to for a process.</t>
        </is>
      </c>
      <c r="K32" s="12" t="inlineStr">
        <is>
          <t>Builds MIS, dashboards and revenue/ARR forecasts; Varied and non-standard work; handles exceptions; A module / process, or work with client or regulatory consequences</t>
        </is>
      </c>
      <c r="L32" s="12" t="inlineStr">
        <is>
          <t>Technical / QC / client calls on own work</t>
        </is>
      </c>
      <c r="M32" s="12" t="inlineStr">
        <is>
          <t>—</t>
        </is>
      </c>
      <c r="N32" s="12" t="inlineStr">
        <is>
          <t>—</t>
        </is>
      </c>
      <c r="O3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2" s="12" t="inlineStr">
        <is>
          <t>2–4 yrs
Graduate; relevant certification preferred</t>
        </is>
      </c>
      <c r="Q32" s="12" t="inlineStr">
        <is>
          <t>Core 2 · Future-ready 2 · Functional 3 · Leadership —
★ Data Analytics, BI &amp; Visualisation · Database, SQL &amp; Data Engineering</t>
        </is>
      </c>
      <c r="R32" s="12" t="inlineStr">
        <is>
          <t>Turn data into defensible decisions and models. Includes: BI, decision analysis and data science. Excludes: Financial-data production; software engineering of pipelines.</t>
        </is>
      </c>
      <c r="S32" s="12" t="inlineStr">
        <is>
          <r>
            <rPr>
              <rFont val="Calibri"/>
              <b val="1"/>
              <sz val="10"/>
            </rPr>
            <t>Comparable stage:</t>
          </r>
          <r>
            <rPr>
              <rFont val="Calibri"/>
              <sz val="10"/>
            </rPr>
            <t xml:space="preserve"> DAT01-2 · BI / Data Analyst
Build reconciled metrics and explain their limitations.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reconciled dashboard with explicit metric definitions and documented decisions</t>
          </r>
        </is>
      </c>
      <c r="T32" s="12" t="inlineStr">
        <is>
          <r>
            <rPr>
              <rFont val="Calibri"/>
              <sz val="10"/>
            </rPr>
            <t xml:space="preserve">Radford / Mercer P2 · SFIA 3 Apply
</t>
          </r>
          <r>
            <rPr>
              <rFont val="Calibri"/>
              <b val="1"/>
              <sz val="10"/>
            </rPr>
            <t>Atlassian company-wide P-levels:</t>
          </r>
          <r>
            <rPr>
              <rFont val="Calibri"/>
              <sz val="10"/>
            </rPr>
            <t xml:space="preserve"> P40 Analyst · IRIS Vs Competitor Benchmark — data analyst ladder: Data Analyst II</t>
          </r>
        </is>
      </c>
      <c r="U32" s="12" t="inlineStr">
        <is>
          <t>B1 · Specialist</t>
        </is>
      </c>
      <c r="V32" s="12" t="inlineStr">
        <is>
          <t>Framework only · fewer than 3 answered</t>
        </is>
      </c>
    </row>
    <row r="33">
      <c r="A33" s="89" t="inlineStr">
        <is>
          <t>Data Operations &amp; Digitization</t>
        </is>
      </c>
    </row>
    <row r="34" ht="93" customHeight="1">
      <c r="A34" s="90" t="inlineStr">
        <is>
          <t>RC-045</t>
        </is>
      </c>
      <c r="B34" s="12" t="inlineStr">
        <is>
          <t>Data Operations &amp; Digitization</t>
        </is>
      </c>
      <c r="C34" s="12" t="inlineStr">
        <is>
          <t>Digitization Leadership</t>
        </is>
      </c>
      <c r="D34" s="24" t="inlineStr">
        <is>
          <t>C1</t>
        </is>
      </c>
      <c r="E34" s="25" t="inlineStr">
        <is>
          <t>Associate Head</t>
        </is>
      </c>
      <c r="F34" s="12" t="inlineStr">
        <is>
          <t>Manager</t>
        </is>
      </c>
      <c r="G34" s="12" t="inlineStr">
        <is>
          <t>Associate Head – Digitization</t>
        </is>
      </c>
      <c r="H34" s="12" t="inlineStr">
        <is>
          <t>Vijay Parulekar</t>
        </is>
      </c>
      <c r="I34" s="12" t="inlineStr">
        <is>
          <t>Digitizing</t>
        </is>
      </c>
      <c r="J34" s="12" t="inlineStr">
        <is>
          <t>Leads the data operations &amp; digitization function. At C1: a sub-function, or principal authority across products.</t>
        </is>
      </c>
      <c r="K34" s="12" t="inlineStr">
        <is>
          <t>Leads the data operations &amp; digitization function; Ambiguous, cross-product problems; Sub-function results or domain quality across products</t>
        </is>
      </c>
      <c r="L34" s="12" t="inlineStr">
        <is>
          <t>Sets direction for a sub-function or domain</t>
        </is>
      </c>
      <c r="M34" s="12" t="inlineStr">
        <is>
          <t>—</t>
        </is>
      </c>
      <c r="N34" s="12" t="inlineStr">
        <is>
          <t>—</t>
        </is>
      </c>
      <c r="O34" s="12" t="inlineStr">
        <is>
          <r>
            <rPr>
              <rFont val="Calibri"/>
              <b val="1"/>
              <sz val="10"/>
            </rPr>
            <t>Owns:</t>
          </r>
          <r>
            <rPr>
              <rFont val="Calibri"/>
              <sz val="10"/>
            </rPr>
            <t xml:space="preserve"> A sub-function, or principal authority across products
</t>
          </r>
          <r>
            <rPr>
              <rFont val="Calibri"/>
              <b val="1"/>
              <sz val="10"/>
            </rPr>
            <t>Complexity:</t>
          </r>
          <r>
            <rPr>
              <rFont val="Calibri"/>
              <sz val="10"/>
            </rPr>
            <t xml:space="preserve"> Ambiguous, cross-product problems
</t>
          </r>
          <r>
            <rPr>
              <rFont val="Calibri"/>
              <b val="1"/>
              <sz val="10"/>
            </rPr>
            <t>Decisions:</t>
          </r>
          <r>
            <rPr>
              <rFont val="Calibri"/>
              <sz val="10"/>
            </rPr>
            <t xml:space="preserve"> Sets direction for a sub-function or domain
</t>
          </r>
          <r>
            <rPr>
              <rFont val="Calibri"/>
              <b val="1"/>
              <sz val="10"/>
            </rPr>
            <t>Answers for:</t>
          </r>
          <r>
            <rPr>
              <rFont val="Calibri"/>
              <sz val="10"/>
            </rPr>
            <t xml:space="preserve"> Sub-function results or domain quality across products
</t>
          </r>
          <r>
            <rPr>
              <rFont val="Calibri"/>
              <b val="1"/>
              <sz val="10"/>
            </rPr>
            <t>Leadership:</t>
          </r>
          <r>
            <rPr>
              <rFont val="Calibri"/>
              <sz val="10"/>
            </rPr>
            <t xml:space="preserve"> Leads managers or a community of practice</t>
          </r>
        </is>
      </c>
      <c r="P34" s="12" t="inlineStr">
        <is>
          <t>10–14 yrs
Postgraduate / professional qualification preferred</t>
        </is>
      </c>
      <c r="Q34" s="12" t="inlineStr">
        <is>
          <t>Core 4 · Future-ready 4 · Functional 4 · Leadership 4
★ Advanced Excel &amp; Productivity Tools · Process Improvement &amp; Quality Mindset</t>
        </is>
      </c>
      <c r="R34" s="12" t="inlineStr">
        <is>
          <t>Produce trustworthy structured content and data. Includes: Document production, financial-data sourcing, validation and stewardship. Excludes: Corporate reporting; BI insight; software data-pipeline engineering.</t>
        </is>
      </c>
      <c r="S34" s="12" t="inlineStr">
        <is>
          <r>
            <rPr>
              <rFont val="Calibri"/>
              <b val="1"/>
              <sz val="10"/>
            </rPr>
            <t>Comparable stage:</t>
          </r>
          <r>
            <rPr>
              <rFont val="Calibri"/>
              <sz val="10"/>
            </rPr>
            <t xml:space="preserve"> LD08-2 · Head of Data Operations
Own integrated function strategy, capacity, controls and cross-team trade-offs
</t>
          </r>
          <r>
            <rPr>
              <rFont val="Calibri"/>
              <b val="1"/>
              <sz val="10"/>
            </rPr>
            <t>Ready when:</t>
          </r>
          <r>
            <rPr>
              <rFont val="Calibri"/>
              <sz val="10"/>
            </rPr>
            <t xml:space="preserve"> Do not manufacture three reporting layers. Choose roles the organisation needs. A specialist may remain on an equally valued expert path.</t>
          </r>
        </is>
      </c>
      <c r="T34" s="12" t="inlineStr">
        <is>
          <r>
            <rPr>
              <rFont val="Calibri"/>
              <sz val="10"/>
            </rPr>
            <t xml:space="preserve">Radford / Mercer P6 / M5 · SFIA 5–6
</t>
          </r>
          <r>
            <rPr>
              <rFont val="Calibri"/>
              <b val="1"/>
              <sz val="10"/>
            </rPr>
            <t>Accenture Operations:</t>
          </r>
          <r>
            <rPr>
              <rFont val="Calibri"/>
              <sz val="10"/>
            </rPr>
            <t xml:space="preserve"> L6 Senior Manager · IRIS Vs Competitor Benchmark — operations roles: Head of Delivery</t>
          </r>
        </is>
      </c>
      <c r="U34" s="12" t="inlineStr">
        <is>
          <t>C2 · Senior Principal / Architect</t>
        </is>
      </c>
      <c r="V34" s="12" t="inlineStr">
        <is>
          <t>Framework only · fewer than 3 answered</t>
        </is>
      </c>
    </row>
    <row r="35" ht="119" customHeight="1">
      <c r="A35" s="90" t="inlineStr">
        <is>
          <t>RC-046</t>
        </is>
      </c>
      <c r="B35" s="12" t="inlineStr">
        <is>
          <t>Data Operations &amp; Digitization</t>
        </is>
      </c>
      <c r="C35" s="12" t="inlineStr">
        <is>
          <t>Document Conversion, Formatting &amp; Web Publishing</t>
        </is>
      </c>
      <c r="D35" s="16" t="inlineStr">
        <is>
          <t>A2</t>
        </is>
      </c>
      <c r="E35" s="17" t="inlineStr">
        <is>
          <t>Associate</t>
        </is>
      </c>
      <c r="F35" s="12" t="inlineStr">
        <is>
          <t>IC</t>
        </is>
      </c>
      <c r="G35" s="12" t="inlineStr">
        <is>
          <t>Digitization Associate</t>
        </is>
      </c>
      <c r="H35" s="12" t="inlineStr">
        <is>
          <t>Aditya Kumar Diwakar, Kajal Srivastava, Satyajeet Patil</t>
        </is>
      </c>
      <c r="I35" s="12" t="inlineStr">
        <is>
          <t>Digitizing</t>
        </is>
      </c>
      <c r="J35" s="12" t="inlineStr">
        <is>
          <r>
            <rPr>
              <rFont val="Calibri"/>
              <sz val="10"/>
            </rPr>
            <t xml:space="preserve">Converts and formats documents into HTML/PDF/Word to filing or web standards, and publishes content · incl. RBI website. At A2: standard work delivered independently.
</t>
          </r>
          <r>
            <rPr>
              <rFont val="Calibri"/>
              <b val="1"/>
              <sz val="10"/>
            </rPr>
            <t>Common themes in role-holders' answers:</t>
          </r>
          <r>
            <rPr>
              <rFont val="Calibri"/>
              <sz val="10"/>
            </rPr>
            <t xml:space="preserve"> documents · data · purpose · requirements</t>
          </r>
        </is>
      </c>
      <c r="K35" s="12" t="inlineStr">
        <is>
          <r>
            <rPr>
              <rFont val="Calibri"/>
              <sz val="10"/>
            </rPr>
            <t xml:space="preserve">Converts and formats documents into HTML/PDF/Word to filing or web standards, and publishes content · incl. RBI website; Standard work of the discipline; Own deliverables · accuracy, TAT
</t>
          </r>
          <r>
            <rPr>
              <rFont val="Calibri"/>
              <b val="1"/>
              <sz val="10"/>
            </rPr>
            <t>Common themes in role-holders' answers:</t>
          </r>
          <r>
            <rPr>
              <rFont val="Calibri"/>
              <sz val="10"/>
            </rPr>
            <t xml:space="preserve"> formatting · quality · review · data · checking · document</t>
          </r>
        </is>
      </c>
      <c r="L35" s="12" t="inlineStr">
        <is>
          <t>Chooses own approach within standards</t>
        </is>
      </c>
      <c r="M35" s="12" t="inlineStr">
        <is>
          <t>—</t>
        </is>
      </c>
      <c r="N35" s="12" t="inlineStr">
        <is>
          <r>
            <rPr>
              <rFont val="Calibri"/>
              <b val="1"/>
              <sz val="10"/>
            </rPr>
            <t>Skills:</t>
          </r>
          <r>
            <rPr>
              <rFont val="Calibri"/>
              <sz val="10"/>
            </rPr>
            <t xml:space="preserve"> OCR/Image procesing
</t>
          </r>
          <r>
            <rPr>
              <rFont val="Calibri"/>
              <b val="1"/>
              <sz val="10"/>
            </rPr>
            <t>Tools:</t>
          </r>
          <r>
            <rPr>
              <rFont val="Calibri"/>
              <sz val="10"/>
            </rPr>
            <t xml:space="preserve"> Office 365 word · Excel</t>
          </r>
        </is>
      </c>
      <c r="O35"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35" s="12" t="inlineStr">
        <is>
          <t>0–2 yrs
Graduate · or diploma with experience</t>
        </is>
      </c>
      <c r="Q35" s="12" t="inlineStr">
        <is>
          <t>Core 2 · Future-ready 2 · Functional 2 · Leadership —
★ Advanced Excel &amp; Productivity Tools · Process Improvement &amp; Quality Mindset</t>
        </is>
      </c>
      <c r="R35" s="12" t="inlineStr">
        <is>
          <t>Produce trustworthy structured content and data. Includes: Document production, financial-data sourcing, validation and stewardship. Excludes: Corporate reporting; BI insight; software data-pipeline engineering.</t>
        </is>
      </c>
      <c r="S35" s="12" t="inlineStr">
        <is>
          <r>
            <rPr>
              <rFont val="Calibri"/>
              <b val="1"/>
              <sz val="10"/>
            </rPr>
            <t>Comparable stage:</t>
          </r>
          <r>
            <rPr>
              <rFont val="Calibri"/>
              <sz val="10"/>
            </rPr>
            <t xml:space="preserve"> OPS01-1 · Associate Document Specialist
</t>
          </r>
          <r>
            <rPr>
              <rFont val="Calibri"/>
              <b val="1"/>
              <sz val="10"/>
            </rPr>
            <t>Complete defined parts under review:</t>
          </r>
          <r>
            <rPr>
              <rFont val="Calibri"/>
              <sz val="10"/>
            </rPr>
            <t xml:space="preserve"> convert and publish documents with layout and source checks.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controlled conversion with source reconciliation, rendering checks and publishing approval</t>
          </r>
        </is>
      </c>
      <c r="T35" s="12" t="inlineStr">
        <is>
          <r>
            <rPr>
              <rFont val="Calibri"/>
              <sz val="10"/>
            </rPr>
            <t xml:space="preserve">Radford / Mercer P1–P2 · SFIA 2 Assist
</t>
          </r>
          <r>
            <rPr>
              <rFont val="Calibri"/>
              <b val="1"/>
              <sz val="10"/>
            </rPr>
            <t>DataTracks:</t>
          </r>
          <r>
            <rPr>
              <rFont val="Calibri"/>
              <sz val="10"/>
            </rPr>
            <t xml:space="preserve"> Associate · Accenture Operations: L11 Analyst · IRIS Vs Competitor Benchmark — operations roles: Processor / Agent</t>
          </r>
        </is>
      </c>
      <c r="U35" s="12" t="inlineStr">
        <is>
          <t>A3 · Senior Associate</t>
        </is>
      </c>
      <c r="V35" s="12" t="inlineStr">
        <is>
          <t>Framework + role-holders' themes · 3+ answered</t>
        </is>
      </c>
    </row>
    <row r="36" ht="119" customHeight="1">
      <c r="A36" s="90" t="inlineStr">
        <is>
          <t>RC-047</t>
        </is>
      </c>
      <c r="B36" s="12" t="inlineStr">
        <is>
          <t>Data Operations &amp; Digitization</t>
        </is>
      </c>
      <c r="C36" s="12" t="inlineStr">
        <is>
          <t>Document Conversion, Formatting &amp; Web Publishing</t>
        </is>
      </c>
      <c r="D36" s="16" t="inlineStr">
        <is>
          <t>A3</t>
        </is>
      </c>
      <c r="E36" s="17" t="inlineStr">
        <is>
          <t>Senior Associate</t>
        </is>
      </c>
      <c r="F36" s="12" t="inlineStr">
        <is>
          <t>IC</t>
        </is>
      </c>
      <c r="G36" s="12" t="inlineStr">
        <is>
          <t>Senior Digitization Associate</t>
        </is>
      </c>
      <c r="H36" s="12" t="inlineStr">
        <is>
          <t>Aishwarya Chaulkar, Bhavesh Gusain, Deepak Nirmal, Dhanraj Patil, Farina Pathan, Gaurav Yashwant Chaulkar, Justeen Koola, Samiksha Ramdas Bhabal, Saurav Nirmal, Shravan Ghadi, Siddhesh Manjrekar, Snehal Kardekar, Tabassum Ali, Vanita Gaikwad</t>
        </is>
      </c>
      <c r="I36" s="12" t="inlineStr">
        <is>
          <t>Digitizing</t>
        </is>
      </c>
      <c r="J36" s="12" t="inlineStr">
        <is>
          <r>
            <rPr>
              <rFont val="Calibri"/>
              <sz val="10"/>
            </rPr>
            <t xml:space="preserve">Converts and formats documents into HTML/PDF/Word to filing or web standards, and publishes content · incl. RBI website. At A3: varied work; reviews juniors; go-to for a process.
</t>
          </r>
          <r>
            <rPr>
              <rFont val="Calibri"/>
              <b val="1"/>
              <sz val="10"/>
            </rPr>
            <t>Common themes in role-holders' answers:</t>
          </r>
          <r>
            <rPr>
              <rFont val="Calibri"/>
              <sz val="10"/>
            </rPr>
            <t xml:space="preserve"> purpose · core · quality · formatting · accuracy · information</t>
          </r>
        </is>
      </c>
      <c r="K36" s="12" t="inlineStr">
        <is>
          <r>
            <rPr>
              <rFont val="Calibri"/>
              <sz val="10"/>
            </rPr>
            <t xml:space="preserve">Converts and formats documents into HTML/PDF/Word to filing or web standards, and publishes content · incl. RBI website; Varied and non-standard work; handles exceptions; A module / process, or work with client or regulatory consequences
</t>
          </r>
          <r>
            <rPr>
              <rFont val="Calibri"/>
              <b val="1"/>
              <sz val="10"/>
            </rPr>
            <t>Common themes in role-holders' answers:</t>
          </r>
          <r>
            <rPr>
              <rFont val="Calibri"/>
              <sz val="10"/>
            </rPr>
            <t xml:space="preserve"> document · quality · formatting · accuracy · checks · conversion</t>
          </r>
        </is>
      </c>
      <c r="L36" s="12" t="inlineStr">
        <is>
          <r>
            <rPr>
              <rFont val="Calibri"/>
              <sz val="10"/>
            </rPr>
            <t xml:space="preserve">Technical / QC / client calls on own work
</t>
          </r>
          <r>
            <rPr>
              <rFont val="Calibri"/>
              <b val="1"/>
              <sz val="10"/>
            </rPr>
            <t>Common themes in role-holders' answers:</t>
          </r>
          <r>
            <rPr>
              <rFont val="Calibri"/>
              <sz val="10"/>
            </rPr>
            <t xml:space="preserve"> formatting · validate · check · handle · independently · html</t>
          </r>
        </is>
      </c>
      <c r="M36" s="12" t="inlineStr">
        <is>
          <t>—</t>
        </is>
      </c>
      <c r="N36" s="12" t="inlineStr">
        <is>
          <r>
            <rPr>
              <rFont val="Calibri"/>
              <b val="1"/>
              <sz val="10"/>
            </rPr>
            <t>Skills:</t>
          </r>
          <r>
            <rPr>
              <rFont val="Calibri"/>
              <sz val="10"/>
            </rPr>
            <t xml:space="preserve"> OCR/Image procesing · attention to detail · Excel · quality checking · HTML · timely delivery · OCR · Word
</t>
          </r>
          <r>
            <rPr>
              <rFont val="Calibri"/>
              <b val="1"/>
              <sz val="10"/>
            </rPr>
            <t>Tools:</t>
          </r>
          <r>
            <rPr>
              <rFont val="Calibri"/>
              <sz val="10"/>
            </rPr>
            <t xml:space="preserve"> Excel · Office 365 word · Abby FineReader · Carbon applications · DM · Web Expression HTML editor · Web Expression · HTML Editor</t>
          </r>
        </is>
      </c>
      <c r="O36"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36" s="12" t="inlineStr">
        <is>
          <t>2–4 yrs
Graduate; relevant certification preferred</t>
        </is>
      </c>
      <c r="Q36" s="12" t="inlineStr">
        <is>
          <t>Core 2 · Future-ready 2 · Functional 3 · Leadership —
★ Advanced Excel &amp; Productivity Tools · Process Improvement &amp; Quality Mindset</t>
        </is>
      </c>
      <c r="R36" s="12" t="inlineStr">
        <is>
          <t>Produce trustworthy structured content and data. Includes: Document production, financial-data sourcing, validation and stewardship. Excludes: Corporate reporting; BI insight; software data-pipeline engineering.</t>
        </is>
      </c>
      <c r="S36" s="12" t="inlineStr">
        <is>
          <r>
            <rPr>
              <rFont val="Calibri"/>
              <b val="1"/>
              <sz val="10"/>
            </rPr>
            <t>Comparable stage:</t>
          </r>
          <r>
            <rPr>
              <rFont val="Calibri"/>
              <sz val="10"/>
            </rPr>
            <t xml:space="preserve"> OPS01-2 · Document Specialist
Convert and publish documents with layout and source checks.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controlled conversion with source reconciliation, rendering checks and publishing approval</t>
          </r>
        </is>
      </c>
      <c r="T36" s="12" t="inlineStr">
        <is>
          <r>
            <rPr>
              <rFont val="Calibri"/>
              <sz val="10"/>
            </rPr>
            <t xml:space="preserve">Radford / Mercer P2 · SFIA 3 Apply
</t>
          </r>
          <r>
            <rPr>
              <rFont val="Calibri"/>
              <b val="1"/>
              <sz val="10"/>
            </rPr>
            <t>DataTracks:</t>
          </r>
          <r>
            <rPr>
              <rFont val="Calibri"/>
              <sz val="10"/>
            </rPr>
            <t xml:space="preserve"> Senior Associate · 2–5 yrs · Accenture Operations: L10 Senior Analyst · IRIS Vs Competitor Benchmark — operations roles: Senior Processor / QC</t>
          </r>
        </is>
      </c>
      <c r="U36" s="12" t="inlineStr">
        <is>
          <t>B1 · Specialist</t>
        </is>
      </c>
      <c r="V36" s="12" t="inlineStr">
        <is>
          <t>Framework + role-holders' themes · 3+ answered</t>
        </is>
      </c>
    </row>
    <row r="37" ht="119" customHeight="1">
      <c r="A37" s="90" t="inlineStr">
        <is>
          <t>RC-048</t>
        </is>
      </c>
      <c r="B37" s="12" t="inlineStr">
        <is>
          <t>Data Operations &amp; Digitization</t>
        </is>
      </c>
      <c r="C37" s="12" t="inlineStr">
        <is>
          <t>Document Conversion, Formatting &amp; Web Publishing</t>
        </is>
      </c>
      <c r="D37" s="20" t="inlineStr">
        <is>
          <t>B1</t>
        </is>
      </c>
      <c r="E37" s="21" t="inlineStr">
        <is>
          <t>Specialist</t>
        </is>
      </c>
      <c r="F37" s="12" t="inlineStr">
        <is>
          <t>IC</t>
        </is>
      </c>
      <c r="G37" s="12" t="inlineStr">
        <is>
          <t>Digitization Specialist – POD Lead · Digitization Specialist</t>
        </is>
      </c>
      <c r="H37" s="12" t="inlineStr">
        <is>
          <t>Prajakta Mokal, Ritesh Yeram, Tejas Kat</t>
        </is>
      </c>
      <c r="I37" s="12" t="inlineStr">
        <is>
          <t>Digitizing</t>
        </is>
      </c>
      <c r="J37" s="12" t="inlineStr">
        <is>
          <r>
            <rPr>
              <rFont val="Calibri"/>
              <sz val="10"/>
            </rPr>
            <t xml:space="preserve">Converts and formats documents into HTML/PDF/Word to filing or web standards, and publishes content · incl. RBI website. At B1: a domain / module, or a small team.
</t>
          </r>
          <r>
            <rPr>
              <rFont val="Calibri"/>
              <b val="1"/>
              <sz val="10"/>
            </rPr>
            <t>Common themes in role-holders' answers:</t>
          </r>
          <r>
            <rPr>
              <rFont val="Calibri"/>
              <sz val="10"/>
            </rPr>
            <t xml:space="preserve"> am · formatting · processing · specialist · checker · image</t>
          </r>
        </is>
      </c>
      <c r="K37" s="12" t="inlineStr">
        <is>
          <r>
            <rPr>
              <rFont val="Calibri"/>
              <sz val="10"/>
            </rPr>
            <t xml:space="preserve">Converts and formats documents into HTML/PDF/Word to filing or web standards, and publishes content · incl. RBI website; Domain specialist work; A domain or a small team
</t>
          </r>
          <r>
            <rPr>
              <rFont val="Calibri"/>
              <b val="1"/>
              <sz val="10"/>
            </rPr>
            <t>Common themes in role-holders' answers:</t>
          </r>
          <r>
            <rPr>
              <rFont val="Calibri"/>
              <sz val="10"/>
            </rPr>
            <t xml:space="preserve"> files · quality · html · received · correctly · checking</t>
          </r>
        </is>
      </c>
      <c r="L37" s="12" t="inlineStr">
        <is>
          <t>Technical / QC / client calls for the domain</t>
        </is>
      </c>
      <c r="M37" s="12" t="inlineStr">
        <is>
          <t>—</t>
        </is>
      </c>
      <c r="N37" s="12" t="inlineStr">
        <is>
          <r>
            <rPr>
              <rFont val="Calibri"/>
              <b val="1"/>
              <sz val="10"/>
            </rPr>
            <t>Skills:</t>
          </r>
          <r>
            <rPr>
              <rFont val="Calibri"/>
              <sz val="10"/>
            </rPr>
            <t xml:space="preserve"> OCR/Image procesing
</t>
          </r>
          <r>
            <rPr>
              <rFont val="Calibri"/>
              <b val="1"/>
              <sz val="10"/>
            </rPr>
            <t>Tools:</t>
          </r>
          <r>
            <rPr>
              <rFont val="Calibri"/>
              <sz val="10"/>
            </rPr>
            <t xml:space="preserve"> Carbon applications · Office 365 word · Excel · Abby FineReader · Web Expression HTML Editor</t>
          </r>
        </is>
      </c>
      <c r="O37"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37" s="12" t="inlineStr">
        <is>
          <t>4–7 yrs
Graduate + relevant qualification or certification preferred</t>
        </is>
      </c>
      <c r="Q37" s="12" t="inlineStr">
        <is>
          <t>Core 3 · Future-ready 3 · Functional 3 · Leadership 1
★ Advanced Excel &amp; Productivity Tools · Process Improvement &amp; Quality Mindset</t>
        </is>
      </c>
      <c r="R37" s="12" t="inlineStr">
        <is>
          <t>Produce trustworthy structured content and data. Includes: Document production, financial-data sourcing, validation and stewardship. Excludes: Corporate reporting; BI insight; software data-pipeline engineering.</t>
        </is>
      </c>
      <c r="S37" s="12" t="inlineStr">
        <is>
          <r>
            <rPr>
              <rFont val="Calibri"/>
              <b val="1"/>
              <sz val="10"/>
            </rPr>
            <t>Comparable stage:</t>
          </r>
          <r>
            <rPr>
              <rFont val="Calibri"/>
              <sz val="10"/>
            </rPr>
            <t xml:space="preserve"> OPS01-3 · Senior Associate Document Specialist
Resolve complex production defects and review critical releases.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controlled conversion with source reconciliation, rendering checks and publishing approval</t>
          </r>
        </is>
      </c>
      <c r="T37" s="12" t="inlineStr">
        <is>
          <r>
            <rPr>
              <rFont val="Calibri"/>
              <sz val="10"/>
            </rPr>
            <t xml:space="preserve">Radford / Mercer P3 / M2 · SFIA 4 Enable
</t>
          </r>
          <r>
            <rPr>
              <rFont val="Calibri"/>
              <b val="1"/>
              <sz val="10"/>
            </rPr>
            <t>Accenture Operations:</t>
          </r>
          <r>
            <rPr>
              <rFont val="Calibri"/>
              <sz val="10"/>
            </rPr>
            <t xml:space="preserve"> L9 Team Lead · IRIS Vs Competitor Benchmark — operations roles: Team Lead / Quality Lead</t>
          </r>
        </is>
      </c>
      <c r="U37" s="12" t="inlineStr">
        <is>
          <t>B2 · Senior Specialist</t>
        </is>
      </c>
      <c r="V37" s="12" t="inlineStr">
        <is>
          <t>Framework + role-holders' themes · 3+ answered</t>
        </is>
      </c>
    </row>
    <row r="38" ht="132" customHeight="1">
      <c r="A38" s="90" t="inlineStr">
        <is>
          <t>RC-049</t>
        </is>
      </c>
      <c r="B38" s="12" t="inlineStr">
        <is>
          <t>Data Operations &amp; Digitization</t>
        </is>
      </c>
      <c r="C38" s="12" t="inlineStr">
        <is>
          <t>Document Conversion, Formatting &amp; Web Publishing</t>
        </is>
      </c>
      <c r="D38" s="20" t="inlineStr">
        <is>
          <t>B1</t>
        </is>
      </c>
      <c r="E38" s="21" t="inlineStr">
        <is>
          <t>Team Lead</t>
        </is>
      </c>
      <c r="F38" s="12" t="inlineStr">
        <is>
          <t>Manager</t>
        </is>
      </c>
      <c r="G38" s="12" t="inlineStr">
        <is>
          <t>Team Lead – Digitization</t>
        </is>
      </c>
      <c r="H38" s="12" t="inlineStr">
        <is>
          <t>Dinesh Sharma</t>
        </is>
      </c>
      <c r="I38" s="12" t="inlineStr">
        <is>
          <t>Digitizing</t>
        </is>
      </c>
      <c r="J38" s="12" t="inlineStr">
        <is>
          <r>
            <rPr>
              <rFont val="Calibri"/>
              <sz val="10"/>
            </rPr>
            <t xml:space="preserve">Converts and formats documents into HTML/PDF/Word to filing or web standards, and publishes content · incl. RBI website. At B1: a domain / module, or a small team.
</t>
          </r>
          <r>
            <rPr>
              <rFont val="Calibri"/>
              <b val="1"/>
              <sz val="10"/>
            </rPr>
            <t>Common themes in sub-family holders, all levels' answers:</t>
          </r>
          <r>
            <rPr>
              <rFont val="Calibri"/>
              <sz val="10"/>
            </rPr>
            <t xml:space="preserve"> purpose · core · formatting · quality · rbi · website</t>
          </r>
        </is>
      </c>
      <c r="K38" s="12" t="inlineStr">
        <is>
          <r>
            <rPr>
              <rFont val="Calibri"/>
              <sz val="10"/>
            </rPr>
            <t xml:space="preserve">Converts and formats documents into HTML/PDF/Word to filing or web standards, and publishes content · incl. RBI website; Domain specialist work; A domain or a small team
</t>
          </r>
          <r>
            <rPr>
              <rFont val="Calibri"/>
              <b val="1"/>
              <sz val="10"/>
            </rPr>
            <t>Common themes in sub-family holders, all levels' answers:</t>
          </r>
          <r>
            <rPr>
              <rFont val="Calibri"/>
              <sz val="10"/>
            </rPr>
            <t xml:space="preserve"> quality · document · formatting · html · accuracy · conversion</t>
          </r>
        </is>
      </c>
      <c r="L38" s="12" t="inlineStr">
        <is>
          <r>
            <rPr>
              <rFont val="Calibri"/>
              <sz val="10"/>
            </rPr>
            <t xml:space="preserve">Technical / QC / client calls for the domain
</t>
          </r>
          <r>
            <rPr>
              <rFont val="Calibri"/>
              <b val="1"/>
              <sz val="10"/>
            </rPr>
            <t>Common themes in sub-family holders, all levels' answers:</t>
          </r>
          <r>
            <rPr>
              <rFont val="Calibri"/>
              <sz val="10"/>
            </rPr>
            <t xml:space="preserve"> formatting · independently · html · validate · allocate · cipc</t>
          </r>
        </is>
      </c>
      <c r="M38" s="12" t="inlineStr">
        <is>
          <t>—</t>
        </is>
      </c>
      <c r="N38" s="12" t="inlineStr">
        <is>
          <r>
            <rPr>
              <rFont val="Calibri"/>
              <b val="1"/>
              <sz val="10"/>
            </rPr>
            <t>Skills:</t>
          </r>
          <r>
            <rPr>
              <rFont val="Calibri"/>
              <sz val="10"/>
            </rPr>
            <t xml:space="preserve"> OCR/Image procesing · attention to detail · quality checking · Excel · timely delivery · HTML · Word · ABYYY Fine Reader
</t>
          </r>
          <r>
            <rPr>
              <rFont val="Calibri"/>
              <b val="1"/>
              <sz val="10"/>
            </rPr>
            <t>Tools:</t>
          </r>
          <r>
            <rPr>
              <rFont val="Calibri"/>
              <sz val="10"/>
            </rPr>
            <t xml:space="preserve"> Excel · Office 365 word · Carbon applications · Abby FineReader · Web Expression HTML editor · DM · HTML Editor · US DM - Carbon</t>
          </r>
        </is>
      </c>
      <c r="O38"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38" s="12" t="inlineStr">
        <is>
          <t>4–7 yrs
Graduate + relevant qualification or certification preferred</t>
        </is>
      </c>
      <c r="Q38" s="12" t="inlineStr">
        <is>
          <t>Core 3 · Future-ready 3 · Functional 3 · Leadership 2
★ Advanced Excel &amp; Productivity Tools · Process Improvement &amp; Quality Mindset</t>
        </is>
      </c>
      <c r="R38" s="12" t="inlineStr">
        <is>
          <t>Produce trustworthy structured content and data. Includes: Document production, financial-data sourcing, validation and stewardship. Excludes: Corporate reporting; BI insight; software data-pipeline engineering.</t>
        </is>
      </c>
      <c r="S38" s="12" t="inlineStr">
        <is>
          <r>
            <rPr>
              <rFont val="Calibri"/>
              <b val="1"/>
              <sz val="10"/>
            </rPr>
            <t>Comparable stage:</t>
          </r>
          <r>
            <rPr>
              <rFont val="Calibri"/>
              <sz val="10"/>
            </rPr>
            <t xml:space="preserve"> LD08-1 · Data Operations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38" s="12" t="inlineStr">
        <is>
          <r>
            <rPr>
              <rFont val="Calibri"/>
              <sz val="10"/>
            </rPr>
            <t xml:space="preserve">Radford / Mercer P3 / M2 · SFIA 4 Enable
</t>
          </r>
          <r>
            <rPr>
              <rFont val="Calibri"/>
              <b val="1"/>
              <sz val="10"/>
            </rPr>
            <t>Accenture Operations:</t>
          </r>
          <r>
            <rPr>
              <rFont val="Calibri"/>
              <sz val="10"/>
            </rPr>
            <t xml:space="preserve"> L9 Team Lead · IRIS Vs Competitor Benchmark — operations roles: Team Lead / Quality Lead</t>
          </r>
        </is>
      </c>
      <c r="U38" s="12" t="inlineStr">
        <is>
          <t>B2 · Senior Specialist</t>
        </is>
      </c>
      <c r="V38" s="12" t="inlineStr">
        <is>
          <t>Framework + sub-family themes · 3+ answered</t>
        </is>
      </c>
    </row>
    <row r="39" ht="132" customHeight="1">
      <c r="A39" s="90" t="inlineStr">
        <is>
          <t>RC-050</t>
        </is>
      </c>
      <c r="B39" s="12" t="inlineStr">
        <is>
          <t>Data Operations &amp; Digitization</t>
        </is>
      </c>
      <c r="C39" s="12" t="inlineStr">
        <is>
          <t>Document Conversion, Formatting &amp; Web Publishing</t>
        </is>
      </c>
      <c r="D39" s="20" t="inlineStr">
        <is>
          <t>B2</t>
        </is>
      </c>
      <c r="E39" s="21" t="inlineStr">
        <is>
          <t>Manager</t>
        </is>
      </c>
      <c r="F39" s="12" t="inlineStr">
        <is>
          <t>Manager</t>
        </is>
      </c>
      <c r="G39" s="12" t="inlineStr">
        <is>
          <t>Digitization Manager</t>
        </is>
      </c>
      <c r="H39" s="12" t="inlineStr">
        <is>
          <t>Janardan Bale</t>
        </is>
      </c>
      <c r="I39" s="12" t="inlineStr">
        <is>
          <t>Digitizing</t>
        </is>
      </c>
      <c r="J39" s="12" t="inlineStr">
        <is>
          <r>
            <rPr>
              <rFont val="Calibri"/>
              <sz val="10"/>
            </rPr>
            <t xml:space="preserve">Converts and formats documents into HTML/PDF/Word to filing or web standards, and publishes content · incl. RBI website. At B2: deep domain expertise, or one team.
</t>
          </r>
          <r>
            <rPr>
              <rFont val="Calibri"/>
              <b val="1"/>
              <sz val="10"/>
            </rPr>
            <t>Common themes in sub-family holders, all levels' answers:</t>
          </r>
          <r>
            <rPr>
              <rFont val="Calibri"/>
              <sz val="10"/>
            </rPr>
            <t xml:space="preserve"> purpose · core · formatting · quality · rbi · website</t>
          </r>
        </is>
      </c>
      <c r="K39" s="12" t="inlineStr">
        <is>
          <r>
            <rPr>
              <rFont val="Calibri"/>
              <sz val="10"/>
            </rPr>
            <t xml:space="preserve">Converts and formats documents into HTML/PDF/Word to filing or web standards, and publishes content · incl. RBI website; Hardest problems in the domain; One team or a client portfolio
</t>
          </r>
          <r>
            <rPr>
              <rFont val="Calibri"/>
              <b val="1"/>
              <sz val="10"/>
            </rPr>
            <t>Common themes in sub-family holders, all levels' answers:</t>
          </r>
          <r>
            <rPr>
              <rFont val="Calibri"/>
              <sz val="10"/>
            </rPr>
            <t xml:space="preserve"> quality · document · formatting · html · accuracy · conversion</t>
          </r>
        </is>
      </c>
      <c r="L39" s="12" t="inlineStr">
        <is>
          <r>
            <rPr>
              <rFont val="Calibri"/>
              <sz val="10"/>
            </rPr>
            <t xml:space="preserve">Allocates people and sets team priorities
</t>
          </r>
          <r>
            <rPr>
              <rFont val="Calibri"/>
              <b val="1"/>
              <sz val="10"/>
            </rPr>
            <t>Common themes in sub-family holders, all levels' answers:</t>
          </r>
          <r>
            <rPr>
              <rFont val="Calibri"/>
              <sz val="10"/>
            </rPr>
            <t xml:space="preserve"> formatting · independently · html · validate · allocate · cipc</t>
          </r>
        </is>
      </c>
      <c r="M39" s="12" t="inlineStr">
        <is>
          <t>—</t>
        </is>
      </c>
      <c r="N39" s="12" t="inlineStr">
        <is>
          <r>
            <rPr>
              <rFont val="Calibri"/>
              <b val="1"/>
              <sz val="10"/>
            </rPr>
            <t>Skills:</t>
          </r>
          <r>
            <rPr>
              <rFont val="Calibri"/>
              <sz val="10"/>
            </rPr>
            <t xml:space="preserve"> OCR/Image procesing · attention to detail · quality checking · Excel · timely delivery · HTML · Word · ABYYY Fine Reader
</t>
          </r>
          <r>
            <rPr>
              <rFont val="Calibri"/>
              <b val="1"/>
              <sz val="10"/>
            </rPr>
            <t>Tools:</t>
          </r>
          <r>
            <rPr>
              <rFont val="Calibri"/>
              <sz val="10"/>
            </rPr>
            <t xml:space="preserve"> Excel · Office 365 word · Carbon applications · Abby FineReader · Web Expression HTML editor · DM · HTML Editor · US DM - Carbon</t>
          </r>
        </is>
      </c>
      <c r="O39"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39" s="12" t="inlineStr">
        <is>
          <t>6–9 yrs
Graduate or postgraduate; professional qualification preferred</t>
        </is>
      </c>
      <c r="Q39" s="12" t="inlineStr">
        <is>
          <t>Core 3 · Future-ready 3 · Functional 4 · Leadership 3
★ Advanced Excel &amp; Productivity Tools · Process Improvement &amp; Quality Mindset</t>
        </is>
      </c>
      <c r="R39" s="12" t="inlineStr">
        <is>
          <t>Produce trustworthy structured content and data. Includes: Document production, financial-data sourcing, validation and stewardship. Excludes: Corporate reporting; BI insight; software data-pipeline engineering.</t>
        </is>
      </c>
      <c r="S39" s="12" t="inlineStr">
        <is>
          <r>
            <rPr>
              <rFont val="Calibri"/>
              <b val="1"/>
              <sz val="10"/>
            </rPr>
            <t>Comparable stage:</t>
          </r>
          <r>
            <rPr>
              <rFont val="Calibri"/>
              <sz val="10"/>
            </rPr>
            <t xml:space="preserve"> LD08-1 · Data Operations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39" s="12" t="inlineStr">
        <is>
          <r>
            <rPr>
              <rFont val="Calibri"/>
              <sz val="10"/>
            </rPr>
            <t xml:space="preserve">Radford / Mercer P4 / M3 · SFIA 4–5
</t>
          </r>
          <r>
            <rPr>
              <rFont val="Calibri"/>
              <b val="1"/>
              <sz val="10"/>
            </rPr>
            <t>Accenture Operations:</t>
          </r>
          <r>
            <rPr>
              <rFont val="Calibri"/>
              <sz val="10"/>
            </rPr>
            <t xml:space="preserve"> L8 Associate Manager · IRIS Vs Competitor Benchmark — operations roles: Operations Manager</t>
          </r>
        </is>
      </c>
      <c r="U39" s="12" t="inlineStr">
        <is>
          <t>B3 · Lead Specialist</t>
        </is>
      </c>
      <c r="V39" s="12" t="inlineStr">
        <is>
          <t>Framework + sub-family themes · 3+ answered</t>
        </is>
      </c>
    </row>
    <row r="40">
      <c r="A40" s="89" t="inlineStr">
        <is>
          <t>Design &amp; Creative</t>
        </is>
      </c>
    </row>
    <row r="41" ht="119" customHeight="1">
      <c r="A41" s="90" t="inlineStr">
        <is>
          <t>RC-052</t>
        </is>
      </c>
      <c r="B41" s="12" t="inlineStr">
        <is>
          <t>Design &amp; Creative</t>
        </is>
      </c>
      <c r="C41" s="12" t="inlineStr">
        <is>
          <t>Brand, Graphic &amp; Video Design</t>
        </is>
      </c>
      <c r="D41" s="16" t="inlineStr">
        <is>
          <t>A3</t>
        </is>
      </c>
      <c r="E41" s="17" t="inlineStr">
        <is>
          <t>Senior Associate</t>
        </is>
      </c>
      <c r="F41" s="12" t="inlineStr">
        <is>
          <t>IC</t>
        </is>
      </c>
      <c r="G41" s="12" t="inlineStr">
        <is>
          <t>Senior Designer</t>
        </is>
      </c>
      <c r="H41" s="12" t="inlineStr">
        <is>
          <t>Avidi Jeevitesh</t>
        </is>
      </c>
      <c r="I41" s="12" t="inlineStr">
        <is>
          <t>Marketing</t>
        </is>
      </c>
      <c r="J41" s="12" t="inlineStr">
        <is>
          <r>
            <rPr>
              <rFont val="Calibri"/>
              <sz val="10"/>
            </rPr>
            <t xml:space="preserve">Creates brand assets, creatives, decks, motion graphics and video. At A3: varied work; reviews juniors; go-to for a process.
</t>
          </r>
          <r>
            <rPr>
              <rFont val="Calibri"/>
              <b val="1"/>
              <sz val="10"/>
            </rPr>
            <t>Common themes in sub-family holders, all levels' answers:</t>
          </r>
          <r>
            <rPr>
              <rFont val="Calibri"/>
              <sz val="10"/>
            </rPr>
            <t xml:space="preserve"> media · social · collaterals · designing · shobhan · reports</t>
          </r>
        </is>
      </c>
      <c r="K41" s="12" t="inlineStr">
        <is>
          <r>
            <rPr>
              <rFont val="Calibri"/>
              <sz val="10"/>
            </rPr>
            <t xml:space="preserve">Creates brand assets, creatives, decks, motion graphics and video; Varied and non-standard work; handles exceptions; A module / process, or work with client or regulatory consequences
</t>
          </r>
          <r>
            <rPr>
              <rFont val="Calibri"/>
              <b val="1"/>
              <sz val="10"/>
            </rPr>
            <t>Common themes in sub-family holders, all levels' answers:</t>
          </r>
          <r>
            <rPr>
              <rFont val="Calibri"/>
              <sz val="10"/>
            </rPr>
            <t xml:space="preserve"> sales · event · collaterals</t>
          </r>
        </is>
      </c>
      <c r="L41" s="12" t="inlineStr">
        <is>
          <r>
            <rPr>
              <rFont val="Calibri"/>
              <sz val="10"/>
            </rPr>
            <t xml:space="preserve">Technical / QC / client calls on own work
</t>
          </r>
          <r>
            <rPr>
              <rFont val="Calibri"/>
              <b val="1"/>
              <sz val="10"/>
            </rPr>
            <t>Common themes in sub-family holders, all levels' answers:</t>
          </r>
          <r>
            <rPr>
              <rFont val="Calibri"/>
              <sz val="10"/>
            </rPr>
            <t xml:space="preserve"> design</t>
          </r>
        </is>
      </c>
      <c r="M41" s="12" t="inlineStr">
        <is>
          <t>—</t>
        </is>
      </c>
      <c r="N41" s="12" t="inlineStr">
        <is>
          <r>
            <rPr>
              <rFont val="Calibri"/>
              <b val="1"/>
              <sz val="10"/>
            </rPr>
            <t>Skills:</t>
          </r>
          <r>
            <rPr>
              <rFont val="Calibri"/>
              <sz val="10"/>
            </rPr>
            <t xml:space="preserve"> Graphic design
</t>
          </r>
          <r>
            <rPr>
              <rFont val="Calibri"/>
              <b val="1"/>
              <sz val="10"/>
            </rPr>
            <t>Tools:</t>
          </r>
          <r>
            <rPr>
              <rFont val="Calibri"/>
              <sz val="10"/>
            </rPr>
            <t xml:space="preserve"> Canva</t>
          </r>
        </is>
      </c>
      <c r="O41"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41" s="12" t="inlineStr">
        <is>
          <t>2–4 yrs
Graduate; relevant certification preferred</t>
        </is>
      </c>
      <c r="Q41" s="12" t="inlineStr">
        <is>
          <t>Core 2 · Future-ready 2 · Functional 3 · Leadership —
★ Product, Platform &amp; Domain Knowledge · Communication &amp; Presentation</t>
        </is>
      </c>
      <c r="R41" s="12" t="inlineStr">
        <is>
          <t>Shape usable experiences and visual communication. Includes: Brand creative, product design and user research. Excludes: Marketing campaign ownership; frontend implementation.</t>
        </is>
      </c>
      <c r="S41" s="12" t="inlineStr">
        <is>
          <r>
            <rPr>
              <rFont val="Calibri"/>
              <b val="1"/>
              <sz val="10"/>
            </rPr>
            <t>Comparable stage:</t>
          </r>
          <r>
            <rPr>
              <rFont val="Calibri"/>
              <sz val="10"/>
            </rPr>
            <t xml:space="preserve"> DES01-2 · Graphic / Brand Designer
Produce usable brand assets with correct production specifications.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brand or creative portfolio with audience fit, design rationale and production quality</t>
          </r>
        </is>
      </c>
      <c r="T41" s="12" t="inlineStr">
        <is>
          <t>Radford / Mercer P2 · SFIA 3 Apply
IRIS Vs Competitor Benchmark — UX / design ladder: Designer</t>
        </is>
      </c>
      <c r="U41" s="12" t="inlineStr">
        <is>
          <t>B1 · Specialist</t>
        </is>
      </c>
      <c r="V41" s="12" t="inlineStr">
        <is>
          <t>Framework + sub-family themes · 3+ answered</t>
        </is>
      </c>
    </row>
    <row r="42" ht="119" customHeight="1">
      <c r="A42" s="90" t="inlineStr">
        <is>
          <t>RC-053</t>
        </is>
      </c>
      <c r="B42" s="12" t="inlineStr">
        <is>
          <t>Design &amp; Creative</t>
        </is>
      </c>
      <c r="C42" s="12" t="inlineStr">
        <is>
          <t>Brand, Graphic &amp; Video Design</t>
        </is>
      </c>
      <c r="D42" s="20" t="inlineStr">
        <is>
          <t>B1</t>
        </is>
      </c>
      <c r="E42" s="21" t="inlineStr">
        <is>
          <t>Specialist</t>
        </is>
      </c>
      <c r="F42" s="12" t="inlineStr">
        <is>
          <t>IC</t>
        </is>
      </c>
      <c r="G42" s="12" t="inlineStr">
        <is>
          <t>Design Specialist – POD Lead</t>
        </is>
      </c>
      <c r="H42" s="12" t="inlineStr">
        <is>
          <t>Bharani Kumar</t>
        </is>
      </c>
      <c r="I42" s="12" t="inlineStr">
        <is>
          <t>Marketing</t>
        </is>
      </c>
      <c r="J42" s="12" t="inlineStr">
        <is>
          <r>
            <rPr>
              <rFont val="Calibri"/>
              <sz val="10"/>
            </rPr>
            <t xml:space="preserve">Creates brand assets, creatives, decks, motion graphics and video. At B1: a domain / module, or a small team.
</t>
          </r>
          <r>
            <rPr>
              <rFont val="Calibri"/>
              <b val="1"/>
              <sz val="10"/>
            </rPr>
            <t>Common themes in sub-family holders, all levels' answers:</t>
          </r>
          <r>
            <rPr>
              <rFont val="Calibri"/>
              <sz val="10"/>
            </rPr>
            <t xml:space="preserve"> media · social · collaterals · designing · shobhan · reports</t>
          </r>
        </is>
      </c>
      <c r="K42" s="12" t="inlineStr">
        <is>
          <r>
            <rPr>
              <rFont val="Calibri"/>
              <sz val="10"/>
            </rPr>
            <t xml:space="preserve">Creates brand assets, creatives, decks, motion graphics and video; Domain specialist work; A domain or a small team
</t>
          </r>
          <r>
            <rPr>
              <rFont val="Calibri"/>
              <b val="1"/>
              <sz val="10"/>
            </rPr>
            <t>Common themes in sub-family holders, all levels' answers:</t>
          </r>
          <r>
            <rPr>
              <rFont val="Calibri"/>
              <sz val="10"/>
            </rPr>
            <t xml:space="preserve"> sales · event · collaterals</t>
          </r>
        </is>
      </c>
      <c r="L42" s="12" t="inlineStr">
        <is>
          <r>
            <rPr>
              <rFont val="Calibri"/>
              <sz val="10"/>
            </rPr>
            <t xml:space="preserve">Technical / QC / client calls for the domain
</t>
          </r>
          <r>
            <rPr>
              <rFont val="Calibri"/>
              <b val="1"/>
              <sz val="10"/>
            </rPr>
            <t>Common themes in sub-family holders, all levels' answers:</t>
          </r>
          <r>
            <rPr>
              <rFont val="Calibri"/>
              <sz val="10"/>
            </rPr>
            <t xml:space="preserve"> design</t>
          </r>
        </is>
      </c>
      <c r="M42" s="12" t="inlineStr">
        <is>
          <t>—</t>
        </is>
      </c>
      <c r="N42" s="12" t="inlineStr">
        <is>
          <r>
            <rPr>
              <rFont val="Calibri"/>
              <b val="1"/>
              <sz val="10"/>
            </rPr>
            <t>Skills:</t>
          </r>
          <r>
            <rPr>
              <rFont val="Calibri"/>
              <sz val="10"/>
            </rPr>
            <t xml:space="preserve"> Graphic design
</t>
          </r>
          <r>
            <rPr>
              <rFont val="Calibri"/>
              <b val="1"/>
              <sz val="10"/>
            </rPr>
            <t>Tools:</t>
          </r>
          <r>
            <rPr>
              <rFont val="Calibri"/>
              <sz val="10"/>
            </rPr>
            <t xml:space="preserve"> Canva</t>
          </r>
        </is>
      </c>
      <c r="O42"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42" s="12" t="inlineStr">
        <is>
          <t>4–7 yrs
Graduate + relevant qualification or certification preferred</t>
        </is>
      </c>
      <c r="Q42" s="12" t="inlineStr">
        <is>
          <t>Core 3 · Future-ready 3 · Functional 3 · Leadership 1
★ Product, Platform &amp; Domain Knowledge · Communication &amp; Presentation</t>
        </is>
      </c>
      <c r="R42" s="12" t="inlineStr">
        <is>
          <t>Shape usable experiences and visual communication. Includes: Brand creative, product design and user research. Excludes: Marketing campaign ownership; frontend implementation.</t>
        </is>
      </c>
      <c r="S42" s="12" t="inlineStr">
        <is>
          <r>
            <rPr>
              <rFont val="Calibri"/>
              <b val="1"/>
              <sz val="10"/>
            </rPr>
            <t>Comparable stage:</t>
          </r>
          <r>
            <rPr>
              <rFont val="Calibri"/>
              <sz val="10"/>
            </rPr>
            <t xml:space="preserve"> DES01-3 · Senior Brand Designer
Own a visual campaign/system and direct coherent creative execution.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brand or creative portfolio with audience fit, design rationale and production quality</t>
          </r>
        </is>
      </c>
      <c r="T42" s="12" t="inlineStr">
        <is>
          <t>Radford / Mercer P3 / M2 · SFIA 4 Enable
IRIS Vs Competitor Benchmark — UX / design ladder: UX Designer</t>
        </is>
      </c>
      <c r="U42" s="12" t="inlineStr">
        <is>
          <t>B2 · Senior Specialist</t>
        </is>
      </c>
      <c r="V42" s="12" t="inlineStr">
        <is>
          <t>Framework + sub-family themes · 3+ answered</t>
        </is>
      </c>
    </row>
    <row r="43" ht="106" customHeight="1">
      <c r="A43" s="90" t="inlineStr">
        <is>
          <t>RC-054</t>
        </is>
      </c>
      <c r="B43" s="12" t="inlineStr">
        <is>
          <t>Design &amp; Creative</t>
        </is>
      </c>
      <c r="C43" s="12" t="inlineStr">
        <is>
          <t>UX / UI Design</t>
        </is>
      </c>
      <c r="D43" s="16" t="inlineStr">
        <is>
          <t>A3</t>
        </is>
      </c>
      <c r="E43" s="17" t="inlineStr">
        <is>
          <t>Senior Associate</t>
        </is>
      </c>
      <c r="F43" s="12" t="inlineStr">
        <is>
          <t>IC</t>
        </is>
      </c>
      <c r="G43" s="12" t="inlineStr">
        <is>
          <t>Senior Product Designer</t>
        </is>
      </c>
      <c r="H43" s="12" t="inlineStr">
        <is>
          <t>Ritik Wadje</t>
        </is>
      </c>
      <c r="I43" s="12" t="inlineStr">
        <is>
          <t>Technology</t>
        </is>
      </c>
      <c r="J43" s="12" t="inlineStr">
        <is>
          <t>Designs product screens, flows and prototypes. At A3: varied work; reviews juniors; go-to for a process.</t>
        </is>
      </c>
      <c r="K43" s="12" t="inlineStr">
        <is>
          <t>Designs product screens, flows and prototypes; Varied and non-standard work; handles exceptions; A module / process, or work with client or regulatory consequences</t>
        </is>
      </c>
      <c r="L43" s="12" t="inlineStr">
        <is>
          <t>Technical / QC / client calls on own work</t>
        </is>
      </c>
      <c r="M43" s="12" t="inlineStr">
        <is>
          <t>—</t>
        </is>
      </c>
      <c r="N43" s="12" t="inlineStr">
        <is>
          <t>—</t>
        </is>
      </c>
      <c r="O43"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43" s="12" t="inlineStr">
        <is>
          <t>2–4 yrs
Graduate; relevant certification preferred</t>
        </is>
      </c>
      <c r="Q43" s="12" t="inlineStr">
        <is>
          <t>Core 2 · Future-ready 2 · Functional 3 · Leadership —
★ Product, Platform &amp; Domain Knowledge · Communication &amp; Presentation</t>
        </is>
      </c>
      <c r="R43" s="12" t="inlineStr">
        <is>
          <t>Shape usable experiences and visual communication. Includes: Brand creative, product design and user research. Excludes: Marketing campaign ownership; frontend implementation.</t>
        </is>
      </c>
      <c r="S43" s="12" t="inlineStr">
        <is>
          <r>
            <rPr>
              <rFont val="Calibri"/>
              <b val="1"/>
              <sz val="10"/>
            </rPr>
            <t>Comparable stage:</t>
          </r>
          <r>
            <rPr>
              <rFont val="Calibri"/>
              <sz val="10"/>
            </rPr>
            <t xml:space="preserve"> DES02-2 · Product Designer
Design and test a usable product workflow.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validated customer workflow with research evidence, usability measures and implementation review</t>
          </r>
        </is>
      </c>
      <c r="T43" s="12" t="inlineStr">
        <is>
          <t>Radford / Mercer P2 · SFIA 3 Apply
IRIS Vs Competitor Benchmark — UX / design ladder: Designer</t>
        </is>
      </c>
      <c r="U43" s="12" t="inlineStr">
        <is>
          <t>B1 · Specialist</t>
        </is>
      </c>
      <c r="V43" s="12" t="inlineStr">
        <is>
          <t>Framework only · fewer than 3 answered</t>
        </is>
      </c>
    </row>
    <row r="44">
      <c r="A44" s="89" t="inlineStr">
        <is>
          <t>Engineering &amp; Development</t>
        </is>
      </c>
    </row>
    <row r="45" ht="119" customHeight="1">
      <c r="A45" s="90" t="inlineStr">
        <is>
          <t>RC-059</t>
        </is>
      </c>
      <c r="B45" s="12" t="inlineStr">
        <is>
          <t>Engineering &amp; Development</t>
        </is>
      </c>
      <c r="C45" s="12" t="inlineStr">
        <is>
          <t>AI / ML &amp; GenAI Engineering</t>
        </is>
      </c>
      <c r="D45" s="16" t="inlineStr">
        <is>
          <t>A2</t>
        </is>
      </c>
      <c r="E45" s="17" t="inlineStr">
        <is>
          <t>Associate</t>
        </is>
      </c>
      <c r="F45" s="12" t="inlineStr">
        <is>
          <t>IC</t>
        </is>
      </c>
      <c r="G45" s="12" t="inlineStr">
        <is>
          <t>AI/ML Engineer</t>
        </is>
      </c>
      <c r="H45" s="12" t="inlineStr">
        <is>
          <t>Ayush Dattatraya Tikone, Dev Hinged</t>
        </is>
      </c>
      <c r="I45" s="12" t="inlineStr">
        <is>
          <t>Technology</t>
        </is>
      </c>
      <c r="J45" s="12" t="inlineStr">
        <is>
          <r>
            <rPr>
              <rFont val="Calibri"/>
              <sz val="10"/>
            </rPr>
            <t xml:space="preserve">Builds AI/ML and LLM features — auto-tagging, classification, agentic workflows, anomaly detection. At A2: standard work delivered independently.
</t>
          </r>
          <r>
            <rPr>
              <rFont val="Calibri"/>
              <b val="1"/>
              <sz val="10"/>
            </rPr>
            <t>Common themes in role-holders' answers:</t>
          </r>
          <r>
            <rPr>
              <rFont val="Calibri"/>
              <sz val="10"/>
            </rPr>
            <t xml:space="preserve"> building · solve · business · solutions</t>
          </r>
        </is>
      </c>
      <c r="K45" s="12" t="inlineStr">
        <is>
          <r>
            <rPr>
              <rFont val="Calibri"/>
              <sz val="10"/>
            </rPr>
            <t xml:space="preserve">Builds AI/ML and LLM features — auto-tagging, classification, agentic workflows, anomaly detection; Standard work of the discipline; Own deliverables · accuracy, TAT
</t>
          </r>
          <r>
            <rPr>
              <rFont val="Calibri"/>
              <b val="1"/>
              <sz val="10"/>
            </rPr>
            <t>Common themes in role-holders' answers:</t>
          </r>
          <r>
            <rPr>
              <rFont val="Calibri"/>
              <sz val="10"/>
            </rPr>
            <t xml:space="preserve"> ai · solution · testing · technical</t>
          </r>
        </is>
      </c>
      <c r="L45" s="12" t="inlineStr">
        <is>
          <t>Chooses own approach within standards</t>
        </is>
      </c>
      <c r="M45" s="12" t="inlineStr">
        <is>
          <t>—</t>
        </is>
      </c>
      <c r="N45" s="12" t="inlineStr">
        <is>
          <r>
            <rPr>
              <rFont val="Calibri"/>
              <b val="1"/>
              <sz val="10"/>
            </rPr>
            <t>Skills:</t>
          </r>
          <r>
            <rPr>
              <rFont val="Calibri"/>
              <sz val="10"/>
            </rPr>
            <t xml:space="preserve"> AI/ML
</t>
          </r>
          <r>
            <rPr>
              <rFont val="Calibri"/>
              <b val="1"/>
              <sz val="10"/>
            </rPr>
            <t>Tools:</t>
          </r>
          <r>
            <rPr>
              <rFont val="Calibri"/>
              <sz val="10"/>
            </rPr>
            <t xml:space="preserve"> FastAPI</t>
          </r>
        </is>
      </c>
      <c r="O45"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45" s="12" t="inlineStr">
        <is>
          <t>0–2 yrs
Graduate · or diploma with experience</t>
        </is>
      </c>
      <c r="Q45" s="12" t="inlineStr">
        <is>
          <t>Core 2 · Future-ready 2 · Functional 2 · Leadership —
★ Programming &amp; Tech-Stack Depth · System Design &amp; Architecture</t>
        </is>
      </c>
      <c r="R45" s="12" t="inlineStr">
        <is>
          <t>Build and operate software capabilities. Includes: Application code, data/ML engineering and product reliability. Excludes: Product investment decisions; internal IT service desk.</t>
        </is>
      </c>
      <c r="S45" s="12" t="inlineStr">
        <is>
          <r>
            <rPr>
              <rFont val="Calibri"/>
              <b val="1"/>
              <sz val="10"/>
            </rPr>
            <t>Comparable stage:</t>
          </r>
          <r>
            <rPr>
              <rFont val="Calibri"/>
              <sz val="10"/>
            </rPr>
            <t xml:space="preserve"> ENG04-1 · Associate ML Engineer
</t>
          </r>
          <r>
            <rPr>
              <rFont val="Calibri"/>
              <b val="1"/>
              <sz val="10"/>
            </rPr>
            <t>Complete defined parts under review:</t>
          </r>
          <r>
            <rPr>
              <rFont val="Calibri"/>
              <sz val="10"/>
            </rPr>
            <t xml:space="preserve"> build reproducible model pipelines and evaluation sets.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baseline comparison, evaluation set, error analysis and monitored deployment with human escalation</t>
          </r>
        </is>
      </c>
      <c r="T45" s="12" t="inlineStr">
        <is>
          <r>
            <rPr>
              <rFont val="Calibri"/>
              <sz val="10"/>
            </rPr>
            <t xml:space="preserve">Radford / Mercer P1–P2 · SFIA 2 Assist
</t>
          </r>
          <r>
            <rPr>
              <rFont val="Calibri"/>
              <b val="1"/>
              <sz val="10"/>
            </rPr>
            <t>Workiva:</t>
          </r>
          <r>
            <rPr>
              <rFont val="Calibri"/>
              <sz val="10"/>
            </rPr>
            <t xml:space="preserve"> Associate SE · Broadridge India: SE · Nasdaq / AxiomSL: SE · Salesforce: AMTS</t>
          </r>
        </is>
      </c>
      <c r="U45" s="12" t="inlineStr">
        <is>
          <t>A3 · Senior Associate</t>
        </is>
      </c>
      <c r="V45" s="12" t="inlineStr">
        <is>
          <t>Framework + role-holders' themes · 3+ answered</t>
        </is>
      </c>
    </row>
    <row r="46" ht="119" customHeight="1">
      <c r="A46" s="90" t="inlineStr">
        <is>
          <t>RC-060</t>
        </is>
      </c>
      <c r="B46" s="12" t="inlineStr">
        <is>
          <t>Engineering &amp; Development</t>
        </is>
      </c>
      <c r="C46" s="12" t="inlineStr">
        <is>
          <t>AI / ML &amp; GenAI Engineering</t>
        </is>
      </c>
      <c r="D46" s="16" t="inlineStr">
        <is>
          <t>A3</t>
        </is>
      </c>
      <c r="E46" s="17" t="inlineStr">
        <is>
          <t>Senior Associate</t>
        </is>
      </c>
      <c r="F46" s="12" t="inlineStr">
        <is>
          <t>IC</t>
        </is>
      </c>
      <c r="G46" s="12" t="inlineStr">
        <is>
          <t>Senior AI/ML Engineer</t>
        </is>
      </c>
      <c r="H46" s="12" t="inlineStr">
        <is>
          <t>Mandar Ukrulkar, Mohammad Irfan, Saurabh Kadam, Vishal Nanaware</t>
        </is>
      </c>
      <c r="I46" s="12" t="inlineStr">
        <is>
          <t>Technology</t>
        </is>
      </c>
      <c r="J46" s="12" t="inlineStr">
        <is>
          <r>
            <rPr>
              <rFont val="Calibri"/>
              <sz val="10"/>
            </rPr>
            <t xml:space="preserve">Builds AI/ML and LLM features — auto-tagging, classification, agentic workflows, anomaly detection. At A3: varied work; reviews juniors; go-to for a process.
</t>
          </r>
          <r>
            <rPr>
              <rFont val="Calibri"/>
              <b val="1"/>
              <sz val="10"/>
            </rPr>
            <t>Common themes in role-holders' answers:</t>
          </r>
          <r>
            <rPr>
              <rFont val="Calibri"/>
              <sz val="10"/>
            </rPr>
            <t xml:space="preserve"> ai · product · solutions · business</t>
          </r>
        </is>
      </c>
      <c r="K46" s="12" t="inlineStr">
        <is>
          <r>
            <rPr>
              <rFont val="Calibri"/>
              <sz val="10"/>
            </rPr>
            <t xml:space="preserve">Builds AI/ML and LLM features — auto-tagging, classification, agentic workflows, anomaly detection; Varied and non-standard work; handles exceptions; A module / process, or work with client or regulatory consequences
</t>
          </r>
          <r>
            <rPr>
              <rFont val="Calibri"/>
              <b val="1"/>
              <sz val="10"/>
            </rPr>
            <t>Common themes in role-holders' answers:</t>
          </r>
          <r>
            <rPr>
              <rFont val="Calibri"/>
              <sz val="10"/>
            </rPr>
            <t xml:space="preserve"> technical</t>
          </r>
        </is>
      </c>
      <c r="L46" s="12" t="inlineStr">
        <is>
          <r>
            <rPr>
              <rFont val="Calibri"/>
              <sz val="10"/>
            </rPr>
            <t xml:space="preserve">Technical / QC / client calls on own work
</t>
          </r>
          <r>
            <rPr>
              <rFont val="Calibri"/>
              <b val="1"/>
              <sz val="10"/>
            </rPr>
            <t>Common themes in role-holders' answers:</t>
          </r>
          <r>
            <rPr>
              <rFont val="Calibri"/>
              <sz val="10"/>
            </rPr>
            <t xml:space="preserve"> approach</t>
          </r>
        </is>
      </c>
      <c r="M46" s="12" t="inlineStr">
        <is>
          <t>—</t>
        </is>
      </c>
      <c r="N46" s="12" t="inlineStr">
        <is>
          <r>
            <rPr>
              <rFont val="Calibri"/>
              <b val="1"/>
              <sz val="10"/>
            </rPr>
            <t>Skills:</t>
          </r>
          <r>
            <rPr>
              <rFont val="Calibri"/>
              <sz val="10"/>
            </rPr>
            <t xml:space="preserve"> AI/ML · Python</t>
          </r>
        </is>
      </c>
      <c r="O46"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46" s="12" t="inlineStr">
        <is>
          <t>2–4 yrs
Graduate; relevant certification preferred</t>
        </is>
      </c>
      <c r="Q46" s="12" t="inlineStr">
        <is>
          <t>Core 2 · Future-ready 2 · Functional 3 · Leadership —
★ Programming &amp; Tech-Stack Depth · System Design &amp; Architecture</t>
        </is>
      </c>
      <c r="R46" s="12" t="inlineStr">
        <is>
          <t>Build and operate software capabilities. Includes: Application code, data/ML engineering and product reliability. Excludes: Product investment decisions; internal IT service desk.</t>
        </is>
      </c>
      <c r="S46" s="12" t="inlineStr">
        <is>
          <r>
            <rPr>
              <rFont val="Calibri"/>
              <b val="1"/>
              <sz val="10"/>
            </rPr>
            <t>Comparable stage:</t>
          </r>
          <r>
            <rPr>
              <rFont val="Calibri"/>
              <sz val="10"/>
            </rPr>
            <t xml:space="preserve"> ENG04-2 · Machine Learning Engineer
Build reproducible model pipelines and evaluation sets.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baseline comparison, evaluation set, error analysis and monitored deployment with human escalation</t>
          </r>
        </is>
      </c>
      <c r="T46"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46" s="12" t="inlineStr">
        <is>
          <t>B1 · Specialist</t>
        </is>
      </c>
      <c r="V46" s="12" t="inlineStr">
        <is>
          <t>Framework + role-holders' themes · 3+ answered</t>
        </is>
      </c>
    </row>
    <row r="47" ht="119" customHeight="1">
      <c r="A47" s="90" t="inlineStr">
        <is>
          <t>RC-061</t>
        </is>
      </c>
      <c r="B47" s="12" t="inlineStr">
        <is>
          <t>Engineering &amp; Development</t>
        </is>
      </c>
      <c r="C47" s="12" t="inlineStr">
        <is>
          <t>AI / ML &amp; GenAI Engineering</t>
        </is>
      </c>
      <c r="D47" s="20" t="inlineStr">
        <is>
          <t>B1</t>
        </is>
      </c>
      <c r="E47" s="21" t="inlineStr">
        <is>
          <t>Specialist</t>
        </is>
      </c>
      <c r="F47" s="12" t="inlineStr">
        <is>
          <t>IC</t>
        </is>
      </c>
      <c r="G47" s="12" t="inlineStr">
        <is>
          <t>AI/ML Specialist – POD Lead</t>
        </is>
      </c>
      <c r="H47" s="12" t="inlineStr">
        <is>
          <t>Manasvi Sharma</t>
        </is>
      </c>
      <c r="I47" s="12" t="inlineStr">
        <is>
          <t>Technology</t>
        </is>
      </c>
      <c r="J47" s="12" t="inlineStr">
        <is>
          <r>
            <rPr>
              <rFont val="Calibri"/>
              <sz val="10"/>
            </rPr>
            <t xml:space="preserve">Builds AI/ML and LLM features — auto-tagging, classification, agentic workflows, anomaly detection. At B1: a domain / module, or a small team.
</t>
          </r>
          <r>
            <rPr>
              <rFont val="Calibri"/>
              <b val="1"/>
              <sz val="10"/>
            </rPr>
            <t>Common themes in sub-family holders, all levels' answers:</t>
          </r>
          <r>
            <rPr>
              <rFont val="Calibri"/>
              <sz val="10"/>
            </rPr>
            <t xml:space="preserve"> business · ai · solutions · building · solve · enhance</t>
          </r>
        </is>
      </c>
      <c r="K47" s="12" t="inlineStr">
        <is>
          <r>
            <rPr>
              <rFont val="Calibri"/>
              <sz val="10"/>
            </rPr>
            <t xml:space="preserve">Builds AI/ML and LLM features — auto-tagging, classification, agentic workflows, anomaly detection; Domain specialist work; A domain or a small team
</t>
          </r>
          <r>
            <rPr>
              <rFont val="Calibri"/>
              <b val="1"/>
              <sz val="10"/>
            </rPr>
            <t>Common themes in sub-family holders, all levels' answers:</t>
          </r>
          <r>
            <rPr>
              <rFont val="Calibri"/>
              <sz val="10"/>
            </rPr>
            <t xml:space="preserve"> ai · technical · development · evaluation · research · system</t>
          </r>
        </is>
      </c>
      <c r="L47" s="12" t="inlineStr">
        <is>
          <r>
            <rPr>
              <rFont val="Calibri"/>
              <sz val="10"/>
            </rPr>
            <t xml:space="preserve">Technical / QC / client calls for the domain
</t>
          </r>
          <r>
            <rPr>
              <rFont val="Calibri"/>
              <b val="1"/>
              <sz val="10"/>
            </rPr>
            <t>Common themes in sub-family holders, all levels' answers:</t>
          </r>
          <r>
            <rPr>
              <rFont val="Calibri"/>
              <sz val="10"/>
            </rPr>
            <t xml:space="preserve"> approach · research · ai · technical · quality</t>
          </r>
        </is>
      </c>
      <c r="M47" s="12" t="inlineStr">
        <is>
          <t>—</t>
        </is>
      </c>
      <c r="N47" s="12" t="inlineStr">
        <is>
          <r>
            <rPr>
              <rFont val="Calibri"/>
              <b val="1"/>
              <sz val="10"/>
            </rPr>
            <t>Skills:</t>
          </r>
          <r>
            <rPr>
              <rFont val="Calibri"/>
              <sz val="10"/>
            </rPr>
            <t xml:space="preserve"> AI/ML · Python
</t>
          </r>
          <r>
            <rPr>
              <rFont val="Calibri"/>
              <b val="1"/>
              <sz val="10"/>
            </rPr>
            <t>Tools:</t>
          </r>
          <r>
            <rPr>
              <rFont val="Calibri"/>
              <sz val="10"/>
            </rPr>
            <t xml:space="preserve"> Azure · FastAPI · Vs Code</t>
          </r>
        </is>
      </c>
      <c r="O47"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47" s="12" t="inlineStr">
        <is>
          <t>4–7 yrs
Graduate + relevant qualification or certification preferred</t>
        </is>
      </c>
      <c r="Q47" s="12" t="inlineStr">
        <is>
          <t>Core 3 · Future-ready 3 · Functional 3 · Leadership 1
★ Programming &amp; Tech-Stack Depth · System Design &amp; Architecture</t>
        </is>
      </c>
      <c r="R47" s="12" t="inlineStr">
        <is>
          <t>Build and operate software capabilities. Includes: Application code, data/ML engineering and product reliability. Excludes: Product investment decisions; internal IT service desk.</t>
        </is>
      </c>
      <c r="S47" s="12" t="inlineStr">
        <is>
          <r>
            <rPr>
              <rFont val="Calibri"/>
              <b val="1"/>
              <sz val="10"/>
            </rPr>
            <t>Comparable stage:</t>
          </r>
          <r>
            <rPr>
              <rFont val="Calibri"/>
              <sz val="10"/>
            </rPr>
            <t xml:space="preserve"> ENG04-3 · Senior ML Engineer
Own deployment, monitoring, failure analysis and model-quality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baseline comparison, evaluation set, error analysis and monitored deployment with human escalation</t>
          </r>
        </is>
      </c>
      <c r="T47" s="12" t="inlineStr">
        <is>
          <r>
            <rPr>
              <rFont val="Calibri"/>
              <sz val="10"/>
            </rPr>
            <t xml:space="preserve">Radford / Mercer P3 / M2 · SFIA 4 Enable
</t>
          </r>
          <r>
            <rPr>
              <rFont val="Calibri"/>
              <b val="1"/>
              <sz val="10"/>
            </rPr>
            <t>Workiva:</t>
          </r>
          <r>
            <rPr>
              <rFont val="Calibri"/>
              <sz val="10"/>
            </rPr>
            <t xml:space="preserve"> SE / Senior SE · Broadridge India: Senior SE · Nasdaq / AxiomSL: Senior SE · Salesforce: MTS</t>
          </r>
        </is>
      </c>
      <c r="U47" s="12" t="inlineStr">
        <is>
          <t>B2 · Senior Specialist</t>
        </is>
      </c>
      <c r="V47" s="12" t="inlineStr">
        <is>
          <t>Framework + sub-family themes · 3+ answered</t>
        </is>
      </c>
    </row>
    <row r="48" ht="106" customHeight="1">
      <c r="A48" s="90" t="inlineStr">
        <is>
          <t>RC-062</t>
        </is>
      </c>
      <c r="B48" s="12" t="inlineStr">
        <is>
          <t>Engineering &amp; Development</t>
        </is>
      </c>
      <c r="C48" s="12" t="inlineStr">
        <is>
          <t>Application Maintenance &amp; Production Support</t>
        </is>
      </c>
      <c r="D48" s="16" t="inlineStr">
        <is>
          <t>A3</t>
        </is>
      </c>
      <c r="E48" s="17" t="inlineStr">
        <is>
          <t>Senior Associate</t>
        </is>
      </c>
      <c r="F48" s="12" t="inlineStr">
        <is>
          <t>IC</t>
        </is>
      </c>
      <c r="G48" s="12" t="inlineStr">
        <is>
          <t>Senior Software Engineer · Technical Specialist</t>
        </is>
      </c>
      <c r="H48" s="12" t="inlineStr">
        <is>
          <t>Gajanan Vadekar, Manish Yadav</t>
        </is>
      </c>
      <c r="I48" s="12" t="inlineStr">
        <is>
          <t>Support</t>
        </is>
      </c>
      <c r="J48" s="12" t="inlineStr">
        <is>
          <r>
            <rPr>
              <rFont val="Calibri"/>
              <sz val="10"/>
            </rPr>
            <t xml:space="preserve">Keeps live applications/portals running — production fixes, patches, small enhancements, CRs. At A3: varied work; reviews juniors; go-to for a process.
</t>
          </r>
          <r>
            <rPr>
              <rFont val="Calibri"/>
              <b val="1"/>
              <sz val="10"/>
            </rPr>
            <t>Common themes in role-holders' answers:</t>
          </r>
          <r>
            <rPr>
              <rFont val="Calibri"/>
              <sz val="10"/>
            </rPr>
            <t xml:space="preserve"> reliable · requirements · maintain · core · business · solutions</t>
          </r>
        </is>
      </c>
      <c r="K48" s="12" t="inlineStr">
        <is>
          <r>
            <rPr>
              <rFont val="Calibri"/>
              <sz val="10"/>
            </rPr>
            <t xml:space="preserve">Keeps live applications/portals running — production fixes, patches, small enhancements, CRs; Varied and non-standard work; handles exceptions; A module / process, or work with client or regulatory consequences
</t>
          </r>
          <r>
            <rPr>
              <rFont val="Calibri"/>
              <b val="1"/>
              <sz val="10"/>
            </rPr>
            <t>Common themes in role-holders' answers:</t>
          </r>
          <r>
            <rPr>
              <rFont val="Calibri"/>
              <sz val="10"/>
            </rPr>
            <t xml:space="preserve"> development · support · maintenance · bug fixing · feature · performance</t>
          </r>
        </is>
      </c>
      <c r="L48" s="12" t="inlineStr">
        <is>
          <r>
            <rPr>
              <rFont val="Calibri"/>
              <sz val="10"/>
            </rPr>
            <t xml:space="preserve">Technical / QC / client calls on own work
</t>
          </r>
          <r>
            <rPr>
              <rFont val="Calibri"/>
              <b val="1"/>
              <sz val="10"/>
            </rPr>
            <t>Common themes in role-holders' answers:</t>
          </r>
          <r>
            <rPr>
              <rFont val="Calibri"/>
              <sz val="10"/>
            </rPr>
            <t xml:space="preserve"> code · fixes · implementation · technical</t>
          </r>
        </is>
      </c>
      <c r="M48" s="12" t="inlineStr">
        <is>
          <r>
            <rPr>
              <rFont val="Calibri"/>
              <b val="1"/>
              <sz val="10"/>
            </rPr>
            <t>Common themes in manager-set KRAs:</t>
          </r>
          <r>
            <rPr>
              <rFont val="Calibri"/>
              <sz val="10"/>
            </rPr>
            <t xml:space="preserve"> considering critical · stories considering · leakage qa/uat · production support · live production · responsibilities</t>
          </r>
        </is>
      </c>
      <c r="N48" s="12" t="inlineStr">
        <is>
          <r>
            <rPr>
              <rFont val="Calibri"/>
              <b val="1"/>
              <sz val="10"/>
            </rPr>
            <t>Skills:</t>
          </r>
          <r>
            <rPr>
              <rFont val="Calibri"/>
              <sz val="10"/>
            </rPr>
            <t xml:space="preserve"> NET MVC
</t>
          </r>
          <r>
            <rPr>
              <rFont val="Calibri"/>
              <b val="1"/>
              <sz val="10"/>
            </rPr>
            <t>Tools:</t>
          </r>
          <r>
            <rPr>
              <rFont val="Calibri"/>
              <sz val="10"/>
            </rPr>
            <t xml:space="preserve"> Postman · IIS</t>
          </r>
        </is>
      </c>
      <c r="O48"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48" s="12" t="inlineStr">
        <is>
          <t>2–4 yrs
Graduate; relevant certification preferred</t>
        </is>
      </c>
      <c r="Q48" s="12" t="inlineStr">
        <is>
          <t>Core 2 · Future-ready 2 · Functional 3 · Leadership —
★ Programming &amp; Tech-Stack Depth · System Design &amp; Architecture</t>
        </is>
      </c>
      <c r="R48" s="12" t="inlineStr">
        <is>
          <t>Build and operate software capabilities. Includes: Application code, data/ML engineering and product reliability. Excludes: Product investment decisions; internal IT service desk.</t>
        </is>
      </c>
      <c r="S48" s="12" t="inlineStr">
        <is>
          <r>
            <rPr>
              <rFont val="Calibri"/>
              <b val="1"/>
              <sz val="10"/>
            </rPr>
            <t>Comparable stage:</t>
          </r>
          <r>
            <rPr>
              <rFont val="Calibri"/>
              <sz val="10"/>
            </rPr>
            <t xml:space="preserve"> ENG06-2 · Application Maintenance Engineer
Resolve defects with regression evidence and controlled changes.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An incident diagnosis and permanent remediation with rollback and recurrence measures</t>
          </r>
        </is>
      </c>
      <c r="T48"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48" s="12" t="inlineStr">
        <is>
          <t>B1 · Specialist</t>
        </is>
      </c>
      <c r="V48" s="12" t="inlineStr">
        <is>
          <t>Framework + role-holders' themes · 3+ answered</t>
        </is>
      </c>
    </row>
    <row r="49" ht="119" customHeight="1">
      <c r="A49" s="90" t="inlineStr">
        <is>
          <t>RC-065</t>
        </is>
      </c>
      <c r="B49" s="12" t="inlineStr">
        <is>
          <t>Engineering &amp; Development</t>
        </is>
      </c>
      <c r="C49" s="12" t="inlineStr">
        <is>
          <t>Backend Development</t>
        </is>
      </c>
      <c r="D49" s="16" t="inlineStr">
        <is>
          <t>A1</t>
        </is>
      </c>
      <c r="E49" s="17" t="inlineStr">
        <is>
          <t>Intern / Trainee</t>
        </is>
      </c>
      <c r="F49" s="12" t="inlineStr">
        <is>
          <t>IC</t>
        </is>
      </c>
      <c r="G49" s="12" t="inlineStr">
        <is>
          <t>Trainee Software Engineer · Intern – Software Development</t>
        </is>
      </c>
      <c r="H49" s="12" t="inlineStr">
        <is>
          <t>Ayush Sharma</t>
        </is>
      </c>
      <c r="I49" s="12" t="inlineStr">
        <is>
          <t>Technology</t>
        </is>
      </c>
      <c r="J49" s="12" t="inlineStr">
        <is>
          <r>
            <rPr>
              <rFont val="Calibri"/>
              <sz val="10"/>
            </rPr>
            <t xml:space="preserve">Builds back-end services, APIs, processing/validation logic and DB code; fixes defects and delivers change requests. At A1: learning the role; all work reviewed.
</t>
          </r>
          <r>
            <rPr>
              <rFont val="Calibri"/>
              <b val="1"/>
              <sz val="10"/>
            </rPr>
            <t>Common themes in role-holders' answers:</t>
          </r>
          <r>
            <rPr>
              <rFont val="Calibri"/>
              <sz val="10"/>
            </rPr>
            <t xml:space="preserve"> learn · core · software engineer · develop · purpose · design</t>
          </r>
        </is>
      </c>
      <c r="K49" s="12" t="inlineStr">
        <is>
          <r>
            <rPr>
              <rFont val="Calibri"/>
              <sz val="10"/>
            </rPr>
            <t xml:space="preserve">Builds back-end services, APIs, processing/validation logic and DB code; fixes defects and delivers change requests; Learning; follows worked examples; Learning tasks
</t>
          </r>
          <r>
            <rPr>
              <rFont val="Calibri"/>
              <b val="1"/>
              <sz val="10"/>
            </rPr>
            <t>Common themes in role-holders' answers:</t>
          </r>
          <r>
            <rPr>
              <rFont val="Calibri"/>
              <sz val="10"/>
            </rPr>
            <t xml:space="preserve"> features · software · development · learning</t>
          </r>
        </is>
      </c>
      <c r="L49" s="12" t="inlineStr">
        <is>
          <r>
            <rPr>
              <rFont val="Calibri"/>
              <sz val="10"/>
            </rPr>
            <t xml:space="preserve">Needs approval / close guidance
</t>
          </r>
          <r>
            <rPr>
              <rFont val="Calibri"/>
              <b val="1"/>
              <sz val="10"/>
            </rPr>
            <t>Common themes in role-holders' answers:</t>
          </r>
          <r>
            <rPr>
              <rFont val="Calibri"/>
              <sz val="10"/>
            </rPr>
            <t xml:space="preserve"> decisions · technical</t>
          </r>
        </is>
      </c>
      <c r="M49" s="12" t="inlineStr">
        <is>
          <r>
            <rPr>
              <rFont val="Calibri"/>
              <b val="1"/>
              <sz val="10"/>
            </rPr>
            <t>Common themes in manager-set KRAs:</t>
          </r>
          <r>
            <rPr>
              <rFont val="Calibri"/>
              <sz val="10"/>
            </rPr>
            <t xml:space="preserve"> code · technical · agreed · deliver · application · maintain</t>
          </r>
        </is>
      </c>
      <c r="N49" s="12" t="inlineStr">
        <is>
          <r>
            <rPr>
              <rFont val="Calibri"/>
              <b val="1"/>
              <sz val="10"/>
            </rPr>
            <t>Skills:</t>
          </r>
          <r>
            <rPr>
              <rFont val="Calibri"/>
              <sz val="10"/>
            </rPr>
            <t xml:space="preserve"> Java · NET MVC</t>
          </r>
        </is>
      </c>
      <c r="O49"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49" s="12" t="inlineStr">
        <is>
          <t>0 yrs · fresher / intern
Pursuing or completed graduation / diploma</t>
        </is>
      </c>
      <c r="Q49" s="12" t="inlineStr">
        <is>
          <t>Core 1 · Future-ready 1 · Functional 1 · Leadership —
★ Programming &amp; Tech-Stack Depth · System Design &amp; Architecture</t>
        </is>
      </c>
      <c r="R49" s="12" t="inlineStr">
        <is>
          <t>Build and operate software capabilities. Includes: Application code, data/ML engineering and product reliability. Excludes: Product investment decisions; internal IT service desk.</t>
        </is>
      </c>
      <c r="S49" s="12" t="inlineStr">
        <is>
          <r>
            <rPr>
              <rFont val="Calibri"/>
              <b val="1"/>
              <sz val="10"/>
            </rPr>
            <t>Comparable stage:</t>
          </r>
          <r>
            <rPr>
              <rFont val="Calibri"/>
              <sz val="10"/>
            </rPr>
            <t xml:space="preserve"> ENG01-0 · Software Engineering Intern
</t>
          </r>
          <r>
            <rPr>
              <rFont val="Calibri"/>
              <b val="1"/>
              <sz val="10"/>
            </rPr>
            <t>Assist with a supervised work sample:</t>
          </r>
          <r>
            <rPr>
              <rFont val="Calibri"/>
              <sz val="10"/>
            </rPr>
            <t xml:space="preserve"> deliver tested apis and services with clear error handling.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service design and implementation with tests, failure handling and measured production behaviour</t>
          </r>
        </is>
      </c>
      <c r="T49" s="12" t="inlineStr">
        <is>
          <t>Radford / Mercer Entry / P1 · intern · SFIA 1 Follow
—</t>
        </is>
      </c>
      <c r="U49" s="12" t="inlineStr">
        <is>
          <t>A2 · Associate</t>
        </is>
      </c>
      <c r="V49" s="12" t="inlineStr">
        <is>
          <t>Framework + role-holders' themes · 3+ answered</t>
        </is>
      </c>
    </row>
    <row r="50" ht="119" customHeight="1">
      <c r="A50" s="90" t="inlineStr">
        <is>
          <t>RC-066</t>
        </is>
      </c>
      <c r="B50" s="12" t="inlineStr">
        <is>
          <t>Engineering &amp; Development</t>
        </is>
      </c>
      <c r="C50" s="12" t="inlineStr">
        <is>
          <t>Backend Development</t>
        </is>
      </c>
      <c r="D50" s="16" t="inlineStr">
        <is>
          <t>A2</t>
        </is>
      </c>
      <c r="E50" s="17" t="inlineStr">
        <is>
          <t>Associate</t>
        </is>
      </c>
      <c r="F50" s="12" t="inlineStr">
        <is>
          <t>IC</t>
        </is>
      </c>
      <c r="G50" s="12" t="inlineStr">
        <is>
          <t>Software Engineer</t>
        </is>
      </c>
      <c r="H50" s="12" t="inlineStr">
        <is>
          <t>Meet Patel</t>
        </is>
      </c>
      <c r="I50" s="12" t="inlineStr">
        <is>
          <t>Technology</t>
        </is>
      </c>
      <c r="J50" s="12" t="inlineStr">
        <is>
          <r>
            <rPr>
              <rFont val="Calibri"/>
              <sz val="10"/>
            </rPr>
            <t xml:space="preserve">Builds back-end services, APIs, processing/validation logic and DB code; fixes defects and delivers change requests. At A2: standard work delivered independently.
</t>
          </r>
          <r>
            <rPr>
              <rFont val="Calibri"/>
              <b val="1"/>
              <sz val="10"/>
            </rPr>
            <t>Common themes in role-holders' answers:</t>
          </r>
          <r>
            <rPr>
              <rFont val="Calibri"/>
              <sz val="10"/>
            </rPr>
            <t xml:space="preserve"> software · time · maintain · take · solutions · efficiency</t>
          </r>
        </is>
      </c>
      <c r="K50" s="12" t="inlineStr">
        <is>
          <r>
            <rPr>
              <rFont val="Calibri"/>
              <sz val="10"/>
            </rPr>
            <t xml:space="preserve">Builds back-end services, APIs, processing/validation logic and DB code; fixes defects and delivers change requests; Standard work of the discipline; Own deliverables · accuracy, TAT
</t>
          </r>
          <r>
            <rPr>
              <rFont val="Calibri"/>
              <b val="1"/>
              <sz val="10"/>
            </rPr>
            <t>Common themes in role-holders' answers:</t>
          </r>
          <r>
            <rPr>
              <rFont val="Calibri"/>
              <sz val="10"/>
            </rPr>
            <t xml:space="preserve"> fixing · quality · bug · development · client · code</t>
          </r>
        </is>
      </c>
      <c r="L50" s="12" t="inlineStr">
        <is>
          <r>
            <rPr>
              <rFont val="Calibri"/>
              <sz val="10"/>
            </rPr>
            <t xml:space="preserve">Chooses own approach within standards
</t>
          </r>
          <r>
            <rPr>
              <rFont val="Calibri"/>
              <b val="1"/>
              <sz val="10"/>
            </rPr>
            <t>Common themes in role-holders' answers:</t>
          </r>
          <r>
            <rPr>
              <rFont val="Calibri"/>
              <sz val="10"/>
            </rPr>
            <t xml:space="preserve"> implement · solutions · issues · structure · design</t>
          </r>
        </is>
      </c>
      <c r="M50" s="12" t="inlineStr">
        <is>
          <r>
            <rPr>
              <rFont val="Calibri"/>
              <b val="1"/>
              <sz val="10"/>
            </rPr>
            <t>Common themes in manager-set KRAs:</t>
          </r>
          <r>
            <rPr>
              <rFont val="Calibri"/>
              <sz val="10"/>
            </rPr>
            <t xml:space="preserve"> improve · deliver · modules · committed · coverage · automated</t>
          </r>
        </is>
      </c>
      <c r="N50" s="12" t="inlineStr">
        <is>
          <r>
            <rPr>
              <rFont val="Calibri"/>
              <b val="1"/>
              <sz val="10"/>
            </rPr>
            <t>Skills:</t>
          </r>
          <r>
            <rPr>
              <rFont val="Calibri"/>
              <sz val="10"/>
            </rPr>
            <t xml:space="preserve"> NET MVC · Java
</t>
          </r>
          <r>
            <rPr>
              <rFont val="Calibri"/>
              <b val="1"/>
              <sz val="10"/>
            </rPr>
            <t>Tools:</t>
          </r>
          <r>
            <rPr>
              <rFont val="Calibri"/>
              <sz val="10"/>
            </rPr>
            <t xml:space="preserve"> Postman · Oracle database</t>
          </r>
        </is>
      </c>
      <c r="O50"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50" s="12" t="inlineStr">
        <is>
          <t>0–2 yrs
Graduate · or diploma with experience</t>
        </is>
      </c>
      <c r="Q50" s="12" t="inlineStr">
        <is>
          <t>Core 2 · Future-ready 2 · Functional 2 · Leadership —
★ Programming &amp; Tech-Stack Depth · System Design &amp; Architecture</t>
        </is>
      </c>
      <c r="R50" s="12" t="inlineStr">
        <is>
          <t>Build and operate software capabilities. Includes: Application code, data/ML engineering and product reliability. Excludes: Product investment decisions; internal IT service desk.</t>
        </is>
      </c>
      <c r="S50" s="12" t="inlineStr">
        <is>
          <r>
            <rPr>
              <rFont val="Calibri"/>
              <b val="1"/>
              <sz val="10"/>
            </rPr>
            <t>Comparable stage:</t>
          </r>
          <r>
            <rPr>
              <rFont val="Calibri"/>
              <sz val="10"/>
            </rPr>
            <t xml:space="preserve"> ENG01-1 · Associate Software Engineer
</t>
          </r>
          <r>
            <rPr>
              <rFont val="Calibri"/>
              <b val="1"/>
              <sz val="10"/>
            </rPr>
            <t>Complete defined parts under review:</t>
          </r>
          <r>
            <rPr>
              <rFont val="Calibri"/>
              <sz val="10"/>
            </rPr>
            <t xml:space="preserve"> deliver tested apis and services with clear error handling.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service design and implementation with tests, failure handling and measured production behaviour</t>
          </r>
        </is>
      </c>
      <c r="T50" s="12" t="inlineStr">
        <is>
          <r>
            <rPr>
              <rFont val="Calibri"/>
              <sz val="10"/>
            </rPr>
            <t xml:space="preserve">Radford / Mercer P1–P2 · SFIA 2 Assist
</t>
          </r>
          <r>
            <rPr>
              <rFont val="Calibri"/>
              <b val="1"/>
              <sz val="10"/>
            </rPr>
            <t>Workiva:</t>
          </r>
          <r>
            <rPr>
              <rFont val="Calibri"/>
              <sz val="10"/>
            </rPr>
            <t xml:space="preserve"> Associate SE · Broadridge India: SE · Nasdaq / AxiomSL: SE · Salesforce: AMTS</t>
          </r>
        </is>
      </c>
      <c r="U50" s="12" t="inlineStr">
        <is>
          <t>A3 · Senior Associate</t>
        </is>
      </c>
      <c r="V50" s="12" t="inlineStr">
        <is>
          <t>Framework + role-holders' themes · 3+ answered</t>
        </is>
      </c>
    </row>
    <row r="51" ht="119" customHeight="1">
      <c r="A51" s="90" t="inlineStr">
        <is>
          <t>RC-067</t>
        </is>
      </c>
      <c r="B51" s="12" t="inlineStr">
        <is>
          <t>Engineering &amp; Development</t>
        </is>
      </c>
      <c r="C51" s="12" t="inlineStr">
        <is>
          <t>Backend Development</t>
        </is>
      </c>
      <c r="D51" s="16" t="inlineStr">
        <is>
          <t>A3</t>
        </is>
      </c>
      <c r="E51" s="17" t="inlineStr">
        <is>
          <t>Senior Associate</t>
        </is>
      </c>
      <c r="F51" s="12" t="inlineStr">
        <is>
          <t>IC</t>
        </is>
      </c>
      <c r="G51" s="12" t="inlineStr">
        <is>
          <t>Senior Software Engineer · Technical Specialist</t>
        </is>
      </c>
      <c r="H51" s="12" t="inlineStr">
        <is>
          <t>Alpesh Chaudhari, Aniket Kale, Bansi Amipara, Bikram Prasad, Harsh Icecreamwala, Imtiyaz Pathan, Kinjal Rathod, Pritesh Wani, Raj Chauhan</t>
        </is>
      </c>
      <c r="I51" s="12" t="inlineStr">
        <is>
          <t>Technology</t>
        </is>
      </c>
      <c r="J51" s="12" t="inlineStr">
        <is>
          <r>
            <rPr>
              <rFont val="Calibri"/>
              <sz val="10"/>
            </rPr>
            <t xml:space="preserve">Builds back-end services, APIs, processing/validation logic and DB code; fixes defects and delivers change requests. At A3: varied work; reviews juniors; go-to for a process.
</t>
          </r>
          <r>
            <rPr>
              <rFont val="Calibri"/>
              <b val="1"/>
              <sz val="10"/>
            </rPr>
            <t>Common themes in role-holders' answers:</t>
          </r>
          <r>
            <rPr>
              <rFont val="Calibri"/>
              <sz val="10"/>
            </rPr>
            <t xml:space="preserve"> software · reliable · solutions · problems · business · develop</t>
          </r>
        </is>
      </c>
      <c r="K51" s="12" t="inlineStr">
        <is>
          <r>
            <rPr>
              <rFont val="Calibri"/>
              <sz val="10"/>
            </rPr>
            <t xml:space="preserve">Builds back-end services, APIs, processing/validation logic and DB code; fixes defects and delivers change requests; Varied and non-standard work; handles exceptions; A module / process, or work with client or regulatory consequences
</t>
          </r>
          <r>
            <rPr>
              <rFont val="Calibri"/>
              <b val="1"/>
              <sz val="10"/>
            </rPr>
            <t>Common themes in role-holders' answers:</t>
          </r>
          <r>
            <rPr>
              <rFont val="Calibri"/>
              <sz val="10"/>
            </rPr>
            <t xml:space="preserve"> development · code · support · technical · quality · issue</t>
          </r>
        </is>
      </c>
      <c r="L51" s="12" t="inlineStr">
        <is>
          <r>
            <rPr>
              <rFont val="Calibri"/>
              <sz val="10"/>
            </rPr>
            <t xml:space="preserve">Technical / QC / client calls on own work
</t>
          </r>
          <r>
            <rPr>
              <rFont val="Calibri"/>
              <b val="1"/>
              <sz val="10"/>
            </rPr>
            <t>Common themes in role-holders' answers:</t>
          </r>
          <r>
            <rPr>
              <rFont val="Calibri"/>
              <sz val="10"/>
            </rPr>
            <t xml:space="preserve"> code · technical · implementation · bug · approach · decisions</t>
          </r>
        </is>
      </c>
      <c r="M51" s="12" t="inlineStr">
        <is>
          <r>
            <rPr>
              <rFont val="Calibri"/>
              <b val="1"/>
              <sz val="10"/>
            </rPr>
            <t>Common themes in manager-set KRAs:</t>
          </r>
          <r>
            <rPr>
              <rFont val="Calibri"/>
              <sz val="10"/>
            </rPr>
            <t xml:space="preserve"> year · coverage · code · quality · deliver · assigned</t>
          </r>
        </is>
      </c>
      <c r="N51" s="12" t="inlineStr">
        <is>
          <r>
            <rPr>
              <rFont val="Calibri"/>
              <b val="1"/>
              <sz val="10"/>
            </rPr>
            <t>Skills:</t>
          </r>
          <r>
            <rPr>
              <rFont val="Calibri"/>
              <sz val="10"/>
            </rPr>
            <t xml:space="preserve"> Java · NET MVC · debugging · AI · Technical knowledge · Software development · Devops · Spring Boot
</t>
          </r>
          <r>
            <rPr>
              <rFont val="Calibri"/>
              <b val="1"/>
              <sz val="10"/>
            </rPr>
            <t>Tools:</t>
          </r>
          <r>
            <rPr>
              <rFont val="Calibri"/>
              <sz val="10"/>
            </rPr>
            <t xml:space="preserve"> VS Code · Visual studio · Claude · Copilot · Git · Excel · Co-pilot · AWS</t>
          </r>
        </is>
      </c>
      <c r="O51"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51" s="12" t="inlineStr">
        <is>
          <t>2–4 yrs
Graduate; relevant certification preferred</t>
        </is>
      </c>
      <c r="Q51" s="12" t="inlineStr">
        <is>
          <t>Core 2 · Future-ready 2 · Functional 3 · Leadership —
★ Programming &amp; Tech-Stack Depth · System Design &amp; Architecture</t>
        </is>
      </c>
      <c r="R51" s="12" t="inlineStr">
        <is>
          <t>Build and operate software capabilities. Includes: Application code, data/ML engineering and product reliability. Excludes: Product investment decisions; internal IT service desk.</t>
        </is>
      </c>
      <c r="S51" s="12" t="inlineStr">
        <is>
          <r>
            <rPr>
              <rFont val="Calibri"/>
              <b val="1"/>
              <sz val="10"/>
            </rPr>
            <t>Comparable stage:</t>
          </r>
          <r>
            <rPr>
              <rFont val="Calibri"/>
              <sz val="10"/>
            </rPr>
            <t xml:space="preserve"> ENG01-2 · Software Engineer
Deliver tested APIs and services with clear error handling.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service design and implementation with tests, failure handling and measured production behaviour</t>
          </r>
        </is>
      </c>
      <c r="T51"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51" s="12" t="inlineStr">
        <is>
          <t>B1 · Specialist</t>
        </is>
      </c>
      <c r="V51" s="12" t="inlineStr">
        <is>
          <t>Framework + role-holders' themes · 3+ answered</t>
        </is>
      </c>
    </row>
    <row r="52" ht="119" customHeight="1">
      <c r="A52" s="90" t="inlineStr">
        <is>
          <t>RC-068</t>
        </is>
      </c>
      <c r="B52" s="12" t="inlineStr">
        <is>
          <t>Engineering &amp; Development</t>
        </is>
      </c>
      <c r="C52" s="12" t="inlineStr">
        <is>
          <t>Backend Development</t>
        </is>
      </c>
      <c r="D52" s="20" t="inlineStr">
        <is>
          <t>B1</t>
        </is>
      </c>
      <c r="E52" s="21" t="inlineStr">
        <is>
          <t>Specialist</t>
        </is>
      </c>
      <c r="F52" s="12" t="inlineStr">
        <is>
          <t>IC</t>
        </is>
      </c>
      <c r="G52" s="12" t="inlineStr">
        <is>
          <t>Technical Specialist – POD Lead · Technical Specialist · Senior Technical Specialist – POD Lead</t>
        </is>
      </c>
      <c r="H52" s="12" t="inlineStr">
        <is>
          <t>Hetal Chauhan, Huzefa Petit</t>
        </is>
      </c>
      <c r="I52" s="12" t="inlineStr">
        <is>
          <t>Technology</t>
        </is>
      </c>
      <c r="J52" s="12" t="inlineStr">
        <is>
          <r>
            <rPr>
              <rFont val="Calibri"/>
              <sz val="10"/>
            </rPr>
            <t xml:space="preserve">Builds back-end services, APIs, processing/validation logic and DB code; fixes defects and delivers change requests. At B1: a domain / module, or a small team.
</t>
          </r>
          <r>
            <rPr>
              <rFont val="Calibri"/>
              <b val="1"/>
              <sz val="10"/>
            </rPr>
            <t>Common themes in role-holders' answers:</t>
          </r>
          <r>
            <rPr>
              <rFont val="Calibri"/>
              <sz val="10"/>
            </rPr>
            <t xml:space="preserve"> technical · members · guide · lead · time · support</t>
          </r>
        </is>
      </c>
      <c r="K52" s="12" t="inlineStr">
        <is>
          <r>
            <rPr>
              <rFont val="Calibri"/>
              <sz val="10"/>
            </rPr>
            <t xml:space="preserve">Builds back-end services, APIs, processing/validation logic and DB code; fixes defects and delivers change requests; Domain specialist work; A domain or a small team
</t>
          </r>
          <r>
            <rPr>
              <rFont val="Calibri"/>
              <b val="1"/>
              <sz val="10"/>
            </rPr>
            <t>Common themes in role-holders' answers:</t>
          </r>
          <r>
            <rPr>
              <rFont val="Calibri"/>
              <sz val="10"/>
            </rPr>
            <t xml:space="preserve"> development · requirement · testing · support · software · solution</t>
          </r>
        </is>
      </c>
      <c r="L52" s="12" t="inlineStr">
        <is>
          <r>
            <rPr>
              <rFont val="Calibri"/>
              <sz val="10"/>
            </rPr>
            <t xml:space="preserve">Technical / QC / client calls for the domain
</t>
          </r>
          <r>
            <rPr>
              <rFont val="Calibri"/>
              <b val="1"/>
              <sz val="10"/>
            </rPr>
            <t>Common themes in role-holders' answers:</t>
          </r>
          <r>
            <rPr>
              <rFont val="Calibri"/>
              <sz val="10"/>
            </rPr>
            <t xml:space="preserve"> technical · approach · decisions · process · issue · code</t>
          </r>
        </is>
      </c>
      <c r="M52" s="12" t="inlineStr">
        <is>
          <r>
            <rPr>
              <rFont val="Calibri"/>
              <b val="1"/>
              <sz val="10"/>
            </rPr>
            <t>Common themes in manager-set KRAs:</t>
          </r>
          <r>
            <rPr>
              <rFont val="Calibri"/>
              <sz val="10"/>
            </rPr>
            <t xml:space="preserve"> reduce · production · time · quarterly · incidents resolved · stability critical</t>
          </r>
        </is>
      </c>
      <c r="N52" s="12" t="inlineStr">
        <is>
          <r>
            <rPr>
              <rFont val="Calibri"/>
              <b val="1"/>
              <sz val="10"/>
            </rPr>
            <t>Skills:</t>
          </r>
          <r>
            <rPr>
              <rFont val="Calibri"/>
              <sz val="10"/>
            </rPr>
            <t xml:space="preserve"> Problem Solving · NET MVC · Java · Database Management · Production Support
</t>
          </r>
          <r>
            <rPr>
              <rFont val="Calibri"/>
              <b val="1"/>
              <sz val="10"/>
            </rPr>
            <t>Tools:</t>
          </r>
          <r>
            <rPr>
              <rFont val="Calibri"/>
              <sz val="10"/>
            </rPr>
            <t xml:space="preserve"> Postman · Eclipse · Git · Oracle Database</t>
          </r>
        </is>
      </c>
      <c r="O52"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52" s="12" t="inlineStr">
        <is>
          <t>4–7 yrs
Graduate + relevant qualification or certification preferred</t>
        </is>
      </c>
      <c r="Q52" s="12" t="inlineStr">
        <is>
          <t>Core 3 · Future-ready 3 · Functional 3 · Leadership 1
★ Programming &amp; Tech-Stack Depth · System Design &amp; Architecture</t>
        </is>
      </c>
      <c r="R52" s="12" t="inlineStr">
        <is>
          <t>Build and operate software capabilities. Includes: Application code, data/ML engineering and product reliability. Excludes: Product investment decisions; internal IT service desk.</t>
        </is>
      </c>
      <c r="S52" s="12" t="inlineStr">
        <is>
          <r>
            <rPr>
              <rFont val="Calibri"/>
              <b val="1"/>
              <sz val="10"/>
            </rPr>
            <t>Comparable stage:</t>
          </r>
          <r>
            <rPr>
              <rFont val="Calibri"/>
              <sz val="10"/>
            </rPr>
            <t xml:space="preserve"> ENG01-3 · Senior Software Engineer
Own a service design, security review and production failure analysis.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service design and implementation with tests, failure handling and measured production behaviour</t>
          </r>
        </is>
      </c>
      <c r="T52" s="12" t="inlineStr">
        <is>
          <r>
            <rPr>
              <rFont val="Calibri"/>
              <sz val="10"/>
            </rPr>
            <t xml:space="preserve">Radford / Mercer P3 / M2 · SFIA 4 Enable
</t>
          </r>
          <r>
            <rPr>
              <rFont val="Calibri"/>
              <b val="1"/>
              <sz val="10"/>
            </rPr>
            <t>Workiva:</t>
          </r>
          <r>
            <rPr>
              <rFont val="Calibri"/>
              <sz val="10"/>
            </rPr>
            <t xml:space="preserve"> SE / Senior SE · Broadridge India: Senior SE · Nasdaq / AxiomSL: Senior SE · Salesforce: MTS</t>
          </r>
        </is>
      </c>
      <c r="U52" s="12" t="inlineStr">
        <is>
          <t>B2 · Senior Specialist</t>
        </is>
      </c>
      <c r="V52" s="12" t="inlineStr">
        <is>
          <t>Framework + role-holders' themes · 3+ answered</t>
        </is>
      </c>
    </row>
    <row r="53" ht="119" customHeight="1">
      <c r="A53" s="90" t="inlineStr">
        <is>
          <t>RC-069</t>
        </is>
      </c>
      <c r="B53" s="12" t="inlineStr">
        <is>
          <t>Engineering &amp; Development</t>
        </is>
      </c>
      <c r="C53" s="12" t="inlineStr">
        <is>
          <t>Backend Development</t>
        </is>
      </c>
      <c r="D53" s="20" t="inlineStr">
        <is>
          <t>B2</t>
        </is>
      </c>
      <c r="E53" s="21" t="inlineStr">
        <is>
          <t>Senior Specialist</t>
        </is>
      </c>
      <c r="F53" s="12" t="inlineStr">
        <is>
          <t>IC</t>
        </is>
      </c>
      <c r="G53" s="12" t="inlineStr">
        <is>
          <t>Senior Technical Specialist – POD Lead · Lead Software Engineer · Lead Software Engineer – POD Lead · Senior Technical Specialist</t>
        </is>
      </c>
      <c r="H53" s="12" t="inlineStr">
        <is>
          <t>Sarfaraz Badi, Siddhesh Kadam</t>
        </is>
      </c>
      <c r="I53" s="12" t="inlineStr">
        <is>
          <t>Technology</t>
        </is>
      </c>
      <c r="J53" s="12" t="inlineStr">
        <is>
          <r>
            <rPr>
              <rFont val="Calibri"/>
              <sz val="10"/>
            </rPr>
            <t xml:space="preserve">Builds back-end services, APIs, processing/validation logic and DB code; fixes defects and delivers change requests. At B2: deep domain expertise, or one team.
</t>
          </r>
          <r>
            <rPr>
              <rFont val="Calibri"/>
              <b val="1"/>
              <sz val="10"/>
            </rPr>
            <t>Common themes in role-holders' answers:</t>
          </r>
          <r>
            <rPr>
              <rFont val="Calibri"/>
              <sz val="10"/>
            </rPr>
            <t xml:space="preserve"> solutions · technical · reliable · scalable · software · business</t>
          </r>
        </is>
      </c>
      <c r="K53" s="12" t="inlineStr">
        <is>
          <r>
            <rPr>
              <rFont val="Calibri"/>
              <sz val="10"/>
            </rPr>
            <t xml:space="preserve">Builds back-end services, APIs, processing/validation logic and DB code; fixes defects and delivers change requests; Hardest problems in the domain; One team or a client portfolio
</t>
          </r>
          <r>
            <rPr>
              <rFont val="Calibri"/>
              <b val="1"/>
              <sz val="10"/>
            </rPr>
            <t>Common themes in role-holders' answers:</t>
          </r>
          <r>
            <rPr>
              <rFont val="Calibri"/>
              <sz val="10"/>
            </rPr>
            <t xml:space="preserve"> delivery · technical · code · solution design · ownership · leadership</t>
          </r>
        </is>
      </c>
      <c r="L53" s="12" t="inlineStr">
        <is>
          <r>
            <rPr>
              <rFont val="Calibri"/>
              <sz val="10"/>
            </rPr>
            <t xml:space="preserve">Allocates people and sets team priorities
</t>
          </r>
          <r>
            <rPr>
              <rFont val="Calibri"/>
              <b val="1"/>
              <sz val="10"/>
            </rPr>
            <t>Common themes in role-holders' answers:</t>
          </r>
          <r>
            <rPr>
              <rFont val="Calibri"/>
              <sz val="10"/>
            </rPr>
            <t xml:space="preserve"> technical · approach · design · implementation · ai · code</t>
          </r>
        </is>
      </c>
      <c r="M53" s="12" t="inlineStr">
        <is>
          <r>
            <rPr>
              <rFont val="Calibri"/>
              <b val="1"/>
              <sz val="10"/>
            </rPr>
            <t>Common themes in manager-set KRAs:</t>
          </r>
          <r>
            <rPr>
              <rFont val="Calibri"/>
              <sz val="10"/>
            </rPr>
            <t xml:space="preserve"> modules · coverage · complete · components · committed · sprint</t>
          </r>
        </is>
      </c>
      <c r="N53" s="12" t="inlineStr">
        <is>
          <r>
            <rPr>
              <rFont val="Calibri"/>
              <b val="1"/>
              <sz val="10"/>
            </rPr>
            <t>Skills:</t>
          </r>
          <r>
            <rPr>
              <rFont val="Calibri"/>
              <sz val="10"/>
            </rPr>
            <t xml:space="preserve"> NET MVC · Java</t>
          </r>
        </is>
      </c>
      <c r="O53"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53" s="12" t="inlineStr">
        <is>
          <t>6–9 yrs
Graduate or postgraduate; professional qualification preferred</t>
        </is>
      </c>
      <c r="Q53" s="12" t="inlineStr">
        <is>
          <t>Core 3 · Future-ready 3 · Functional 4 · Leadership 2
★ Programming &amp; Tech-Stack Depth · System Design &amp; Architecture</t>
        </is>
      </c>
      <c r="R53" s="12" t="inlineStr">
        <is>
          <t>Build and operate software capabilities. Includes: Application code, data/ML engineering and product reliability. Excludes: Product investment decisions; internal IT service desk.</t>
        </is>
      </c>
      <c r="S53" s="12" t="inlineStr">
        <is>
          <r>
            <rPr>
              <rFont val="Calibri"/>
              <b val="1"/>
              <sz val="10"/>
            </rPr>
            <t>Comparable stage:</t>
          </r>
          <r>
            <rPr>
              <rFont val="Calibri"/>
              <sz val="10"/>
            </rPr>
            <t xml:space="preserve"> ENG01-3 · Senior Software Engineer
Own a service design, security review and production failure analysis.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service design and implementation with tests, failure handling and measured production behaviour</t>
          </r>
        </is>
      </c>
      <c r="T53" s="12" t="inlineStr">
        <is>
          <r>
            <rPr>
              <rFont val="Calibri"/>
              <sz val="10"/>
            </rPr>
            <t xml:space="preserve">Radford / Mercer P4 / M3 · SFIA 4–5
</t>
          </r>
          <r>
            <rPr>
              <rFont val="Calibri"/>
              <b val="1"/>
              <sz val="10"/>
            </rPr>
            <t>Workiva:</t>
          </r>
          <r>
            <rPr>
              <rFont val="Calibri"/>
              <sz val="10"/>
            </rPr>
            <t xml:space="preserve"> Senior SE · Broadridge India: Lead SE · Nasdaq / AxiomSL: Senior SE · Salesforce: SMTS</t>
          </r>
        </is>
      </c>
      <c r="U53" s="12" t="inlineStr">
        <is>
          <t>B3 · Lead Specialist</t>
        </is>
      </c>
      <c r="V53" s="12" t="inlineStr">
        <is>
          <t>Framework + role-holders' themes · 3+ answered</t>
        </is>
      </c>
    </row>
    <row r="54" ht="106" customHeight="1">
      <c r="A54" s="90" t="inlineStr">
        <is>
          <t>RC-072</t>
        </is>
      </c>
      <c r="B54" s="12" t="inlineStr">
        <is>
          <t>Engineering &amp; Development</t>
        </is>
      </c>
      <c r="C54" s="12" t="inlineStr">
        <is>
          <t>Backend Development</t>
        </is>
      </c>
      <c r="D54" s="20" t="inlineStr">
        <is>
          <t>B3</t>
        </is>
      </c>
      <c r="E54" s="21" t="inlineStr">
        <is>
          <t>Senior Manager</t>
        </is>
      </c>
      <c r="F54" s="12" t="inlineStr">
        <is>
          <t>Manager</t>
        </is>
      </c>
      <c r="G54" s="12" t="inlineStr">
        <is>
          <t>Senior Engineering Manager</t>
        </is>
      </c>
      <c r="H54" s="12" t="inlineStr">
        <is>
          <t>Chetan Kotwal</t>
        </is>
      </c>
      <c r="I54" s="12" t="inlineStr">
        <is>
          <t>Technology</t>
        </is>
      </c>
      <c r="J54" s="12" t="inlineStr">
        <is>
          <r>
            <rPr>
              <rFont val="Calibri"/>
              <sz val="10"/>
            </rPr>
            <t xml:space="preserve">Builds back-end services, APIs, processing/validation logic and DB code; fixes defects and delivers change requests. At B3: a practice, or several teams through team leads.
</t>
          </r>
          <r>
            <rPr>
              <rFont val="Calibri"/>
              <b val="1"/>
              <sz val="10"/>
            </rPr>
            <t>Common themes in sub-family holders, all levels' answers:</t>
          </r>
          <r>
            <rPr>
              <rFont val="Calibri"/>
              <sz val="10"/>
            </rPr>
            <t xml:space="preserve"> software · solutions · business · reliable · develop · technical</t>
          </r>
        </is>
      </c>
      <c r="K54" s="12" t="inlineStr">
        <is>
          <r>
            <rPr>
              <rFont val="Calibri"/>
              <sz val="10"/>
            </rPr>
            <t xml:space="preserve">Builds back-end services, APIs, processing/validation logic and DB code; fixes defects and delivers change requests; Sets standards for a practice; cross-team problems; Several teams or a practice
</t>
          </r>
          <r>
            <rPr>
              <rFont val="Calibri"/>
              <b val="1"/>
              <sz val="10"/>
            </rPr>
            <t>Common themes in sub-family holders, all levels' answers:</t>
          </r>
          <r>
            <rPr>
              <rFont val="Calibri"/>
              <sz val="10"/>
            </rPr>
            <t xml:space="preserve"> development · code · quality · technical · support · software</t>
          </r>
        </is>
      </c>
      <c r="L54" s="12" t="inlineStr">
        <is>
          <r>
            <rPr>
              <rFont val="Calibri"/>
              <sz val="10"/>
            </rPr>
            <t xml:space="preserve">Commercial / strategic calls for the unit
</t>
          </r>
          <r>
            <rPr>
              <rFont val="Calibri"/>
              <b val="1"/>
              <sz val="10"/>
            </rPr>
            <t>Common themes in sub-family holders, all levels' answers:</t>
          </r>
          <r>
            <rPr>
              <rFont val="Calibri"/>
              <sz val="10"/>
            </rPr>
            <t xml:space="preserve"> technical · code · approach · implementation · decisions · issues</t>
          </r>
        </is>
      </c>
      <c r="M54" s="12" t="inlineStr">
        <is>
          <t>—</t>
        </is>
      </c>
      <c r="N54" s="12" t="inlineStr">
        <is>
          <r>
            <rPr>
              <rFont val="Calibri"/>
              <b val="1"/>
              <sz val="10"/>
            </rPr>
            <t>Skills:</t>
          </r>
          <r>
            <rPr>
              <rFont val="Calibri"/>
              <sz val="10"/>
            </rPr>
            <t xml:space="preserve"> Java · NET MVC · Debugging · AI · SQL · Technical knowledge · Problem Solving · Python
</t>
          </r>
          <r>
            <rPr>
              <rFont val="Calibri"/>
              <b val="1"/>
              <sz val="10"/>
            </rPr>
            <t>Tools:</t>
          </r>
          <r>
            <rPr>
              <rFont val="Calibri"/>
              <sz val="10"/>
            </rPr>
            <t xml:space="preserve"> VS code · Visual studio · Claude · Git · Postman · Oracle Database · Copilot · Excel</t>
          </r>
        </is>
      </c>
      <c r="O54"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54" s="12" t="inlineStr">
        <is>
          <t>8–12 yrs
Postgraduate or professional qualification preferred</t>
        </is>
      </c>
      <c r="Q54" s="12" t="inlineStr">
        <is>
          <t>Core 4 · Future-ready 3 · Functional 4 · Leadership 4
★ Programming &amp; Tech-Stack Depth · System Design &amp; Architecture</t>
        </is>
      </c>
      <c r="R54" s="12" t="inlineStr">
        <is>
          <t>Build and operate software capabilities. Includes: Application code, data/ML engineering and product reliability. Excludes: Product investment decisions; internal IT service desk.</t>
        </is>
      </c>
      <c r="S54" s="12" t="inlineStr">
        <is>
          <r>
            <rPr>
              <rFont val="Calibri"/>
              <b val="1"/>
              <sz val="10"/>
            </rPr>
            <t>Comparable stage:</t>
          </r>
          <r>
            <rPr>
              <rFont val="Calibri"/>
              <sz val="10"/>
            </rPr>
            <t xml:space="preserve"> LD01-1 · Engineering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54" s="12" t="inlineStr">
        <is>
          <r>
            <rPr>
              <rFont val="Calibri"/>
              <sz val="10"/>
            </rPr>
            <t xml:space="preserve">Radford / Mercer P5 / M4 · SFIA 5 Ensure, advise
</t>
          </r>
          <r>
            <rPr>
              <rFont val="Calibri"/>
              <b val="1"/>
              <sz val="10"/>
            </rPr>
            <t>Workiva:</t>
          </r>
          <r>
            <rPr>
              <rFont val="Calibri"/>
              <sz val="10"/>
            </rPr>
            <t xml:space="preserve"> Staff SE · Broadridge India: Senior Lead SE · Nasdaq / AxiomSL: Lead SE · Salesforce: LMTS</t>
          </r>
        </is>
      </c>
      <c r="U54" s="12" t="inlineStr">
        <is>
          <t>C1 · Principal · or B+ · Player-Coach transition step if leading people hands-on</t>
        </is>
      </c>
      <c r="V54" s="12" t="inlineStr">
        <is>
          <t>Framework + sub-family themes · 3+ answered</t>
        </is>
      </c>
    </row>
    <row r="55" ht="106" customHeight="1">
      <c r="A55" s="90" t="inlineStr">
        <is>
          <t>RC-077</t>
        </is>
      </c>
      <c r="B55" s="12" t="inlineStr">
        <is>
          <t>Engineering &amp; Development</t>
        </is>
      </c>
      <c r="C55" s="12" t="inlineStr">
        <is>
          <t>DevOps &amp; Release Engineering</t>
        </is>
      </c>
      <c r="D55" s="20" t="inlineStr">
        <is>
          <t>B1</t>
        </is>
      </c>
      <c r="E55" s="21" t="inlineStr">
        <is>
          <t>Specialist</t>
        </is>
      </c>
      <c r="F55" s="12" t="inlineStr">
        <is>
          <t>IC</t>
        </is>
      </c>
      <c r="G55" s="12" t="inlineStr">
        <is>
          <t>DevOps Specialist – POD Lead</t>
        </is>
      </c>
      <c r="H55" s="12" t="inlineStr">
        <is>
          <t>Shailesh Koradiya</t>
        </is>
      </c>
      <c r="I55" s="12" t="inlineStr">
        <is>
          <t>Support</t>
        </is>
      </c>
      <c r="J55" s="12" t="inlineStr">
        <is>
          <r>
            <rPr>
              <rFont val="Calibri"/>
              <sz val="10"/>
            </rPr>
            <t xml:space="preserve">Builds and runs CI/CD pipelines, environments, deployments and release automation. At B1: a domain / module, or a small team.
</t>
          </r>
          <r>
            <rPr>
              <rFont val="Calibri"/>
              <b val="1"/>
              <sz val="10"/>
            </rPr>
            <t>Common themes in sub-family holders, all levels' answers:</t>
          </r>
          <r>
            <rPr>
              <rFont val="Calibri"/>
              <sz val="10"/>
            </rPr>
            <t xml:space="preserve"> support · devops activities</t>
          </r>
        </is>
      </c>
      <c r="K55" s="12" t="inlineStr">
        <is>
          <t>Builds and runs CI/CD pipelines, environments, deployments and release automation; Domain specialist work; A domain or a small team</t>
        </is>
      </c>
      <c r="L55" s="12" t="inlineStr">
        <is>
          <t>Technical / QC / client calls for the domain</t>
        </is>
      </c>
      <c r="M55" s="12" t="inlineStr">
        <is>
          <t>—</t>
        </is>
      </c>
      <c r="N55" s="12" t="inlineStr">
        <is>
          <t>—</t>
        </is>
      </c>
      <c r="O55"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55" s="12" t="inlineStr">
        <is>
          <t>4–7 yrs
Graduate + relevant qualification or certification preferred</t>
        </is>
      </c>
      <c r="Q55" s="12" t="inlineStr">
        <is>
          <t>Core 3 · Future-ready 3 · Functional 3 · Leadership 1
★ Programming &amp; Tech-Stack Depth · System Design &amp; Architecture</t>
        </is>
      </c>
      <c r="R55" s="12" t="inlineStr">
        <is>
          <t>Build and operate software capabilities. Includes: Application code, data/ML engineering and product reliability. Excludes: Product investment decisions; internal IT service desk.</t>
        </is>
      </c>
      <c r="S55" s="12" t="inlineStr">
        <is>
          <r>
            <rPr>
              <rFont val="Calibri"/>
              <b val="1"/>
              <sz val="10"/>
            </rPr>
            <t>Comparable stage:</t>
          </r>
          <r>
            <rPr>
              <rFont val="Calibri"/>
              <sz val="10"/>
            </rPr>
            <t xml:space="preserve"> ENG07-3 · Senior DevOps Engineer
Coordinate dependencies and release-risk decisions across teams.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reproducible release pipeline with security gates, rollback and reliability measures</t>
          </r>
        </is>
      </c>
      <c r="T55" s="12" t="inlineStr">
        <is>
          <r>
            <rPr>
              <rFont val="Calibri"/>
              <sz val="10"/>
            </rPr>
            <t xml:space="preserve">Radford / Mercer P3 / M2 · SFIA 4 Enable
</t>
          </r>
          <r>
            <rPr>
              <rFont val="Calibri"/>
              <b val="1"/>
              <sz val="10"/>
            </rPr>
            <t>Workiva:</t>
          </r>
          <r>
            <rPr>
              <rFont val="Calibri"/>
              <sz val="10"/>
            </rPr>
            <t xml:space="preserve"> SE / Senior SE · Broadridge India: Senior SE · Nasdaq / AxiomSL: Senior SE · Salesforce: MTS</t>
          </r>
        </is>
      </c>
      <c r="U55" s="12" t="inlineStr">
        <is>
          <t>B2 · Senior Specialist</t>
        </is>
      </c>
      <c r="V55" s="12" t="inlineStr">
        <is>
          <t>Framework + sub-family themes · 3+ answered</t>
        </is>
      </c>
    </row>
    <row r="56" ht="93" customHeight="1">
      <c r="A56" s="90" t="inlineStr">
        <is>
          <t>RC-078</t>
        </is>
      </c>
      <c r="B56" s="12" t="inlineStr">
        <is>
          <t>Engineering &amp; Development</t>
        </is>
      </c>
      <c r="C56" s="12" t="inlineStr">
        <is>
          <t>Engineering Leadership</t>
        </is>
      </c>
      <c r="D56" s="24" t="inlineStr">
        <is>
          <t>C2</t>
        </is>
      </c>
      <c r="E56" s="25" t="inlineStr">
        <is>
          <t>Head of Function</t>
        </is>
      </c>
      <c r="F56" s="12" t="inlineStr">
        <is>
          <t>Manager</t>
        </is>
      </c>
      <c r="G56" s="12" t="inlineStr">
        <is>
          <t>Head – Product Engineering</t>
        </is>
      </c>
      <c r="H56" s="12" t="inlineStr">
        <is>
          <t>Ashish Singhvi</t>
        </is>
      </c>
      <c r="I56" s="12" t="inlineStr">
        <is>
          <t>Technology</t>
        </is>
      </c>
      <c r="J56" s="12" t="inlineStr">
        <is>
          <t>Leads the product engineering organisation. At C2: a function or department, or a company-wide discipline.</t>
        </is>
      </c>
      <c r="K56" s="12" t="inlineStr">
        <is>
          <t>Leads the product engineering organisation; Function-wide or company-wide problems; creates methods and standards; Function results, budget and risk</t>
        </is>
      </c>
      <c r="L56" s="12" t="inlineStr">
        <is>
          <t>Sets direction for a function</t>
        </is>
      </c>
      <c r="M56" s="12" t="inlineStr">
        <is>
          <t>—</t>
        </is>
      </c>
      <c r="N56" s="12" t="inlineStr">
        <is>
          <t>—</t>
        </is>
      </c>
      <c r="O56" s="12" t="inlineStr">
        <is>
          <r>
            <rPr>
              <rFont val="Calibri"/>
              <b val="1"/>
              <sz val="10"/>
            </rPr>
            <t>Owns:</t>
          </r>
          <r>
            <rPr>
              <rFont val="Calibri"/>
              <sz val="10"/>
            </rPr>
            <t xml:space="preserve"> A function or department, or a company-wide discipline
</t>
          </r>
          <r>
            <rPr>
              <rFont val="Calibri"/>
              <b val="1"/>
              <sz val="10"/>
            </rPr>
            <t>Complexity:</t>
          </r>
          <r>
            <rPr>
              <rFont val="Calibri"/>
              <sz val="10"/>
            </rPr>
            <t xml:space="preserve"> Function-wide or company-wide problems; creates methods and standards
</t>
          </r>
          <r>
            <rPr>
              <rFont val="Calibri"/>
              <b val="1"/>
              <sz val="10"/>
            </rPr>
            <t>Decisions:</t>
          </r>
          <r>
            <rPr>
              <rFont val="Calibri"/>
              <sz val="10"/>
            </rPr>
            <t xml:space="preserve"> Sets direction for a function
</t>
          </r>
          <r>
            <rPr>
              <rFont val="Calibri"/>
              <b val="1"/>
              <sz val="10"/>
            </rPr>
            <t>Answers for:</t>
          </r>
          <r>
            <rPr>
              <rFont val="Calibri"/>
              <sz val="10"/>
            </rPr>
            <t xml:space="preserve"> Function results, budget and risk
</t>
          </r>
          <r>
            <rPr>
              <rFont val="Calibri"/>
              <b val="1"/>
              <sz val="10"/>
            </rPr>
            <t>Leadership:</t>
          </r>
          <r>
            <rPr>
              <rFont val="Calibri"/>
              <sz val="10"/>
            </rPr>
            <t xml:space="preserve"> Leads a function; shapes functional strategy</t>
          </r>
        </is>
      </c>
      <c r="P56" s="12" t="inlineStr">
        <is>
          <t>12–17 yrs
Postgraduate / professional qualification preferred</t>
        </is>
      </c>
      <c r="Q56" s="12" t="inlineStr">
        <is>
          <t>Core 4 · Future-ready 4 · Functional 5 · Leadership 4
★ Programming &amp; Tech-Stack Depth · System Design &amp; Architecture</t>
        </is>
      </c>
      <c r="R56" s="12" t="inlineStr">
        <is>
          <t>Build and operate software capabilities. Includes: Application code, data/ML engineering and product reliability. Excludes: Product investment decisions; internal IT service desk.</t>
        </is>
      </c>
      <c r="S56" s="12" t="inlineStr">
        <is>
          <r>
            <rPr>
              <rFont val="Calibri"/>
              <b val="1"/>
              <sz val="10"/>
            </rPr>
            <t>Comparable stage:</t>
          </r>
          <r>
            <rPr>
              <rFont val="Calibri"/>
              <sz val="10"/>
            </rPr>
            <t xml:space="preserve"> LD01-2 · Director / Head of Engineering
Own integrated function strategy, capacity, controls and cross-team trade-offs
</t>
          </r>
          <r>
            <rPr>
              <rFont val="Calibri"/>
              <b val="1"/>
              <sz val="10"/>
            </rPr>
            <t>Ready when:</t>
          </r>
          <r>
            <rPr>
              <rFont val="Calibri"/>
              <sz val="10"/>
            </rPr>
            <t xml:space="preserve"> Do not manufacture three reporting layers. Choose roles the organisation needs. A specialist may remain on an equally valued expert path.</t>
          </r>
        </is>
      </c>
      <c r="T56" s="12" t="inlineStr">
        <is>
          <r>
            <rPr>
              <rFont val="Calibri"/>
              <sz val="10"/>
            </rPr>
            <t xml:space="preserve">Radford / Mercer P7 / M6 · SFIA 6 Initiate, influence
</t>
          </r>
          <r>
            <rPr>
              <rFont val="Calibri"/>
              <b val="1"/>
              <sz val="10"/>
            </rPr>
            <t>Salesforce:</t>
          </r>
          <r>
            <rPr>
              <rFont val="Calibri"/>
              <sz val="10"/>
            </rPr>
            <t xml:space="preserve"> Architect / Principal Architect · Atlassian: P70 · Freshworks: Principal Engineer · IRIS Vs Competitor Benchmark — engineering managers: Director Engineering</t>
          </r>
        </is>
      </c>
      <c r="U56" s="12" t="inlineStr">
        <is>
          <t>D1 · Chief Specialist / Distinguished Principal · or C+ · Player-Coach transition step if leading people hands-on</t>
        </is>
      </c>
      <c r="V56" s="12" t="inlineStr">
        <is>
          <t>Framework only · fewer than 3 answered</t>
        </is>
      </c>
    </row>
    <row r="57" ht="106" customHeight="1">
      <c r="A57" s="90" t="inlineStr">
        <is>
          <t>RC-080</t>
        </is>
      </c>
      <c r="B57" s="12" t="inlineStr">
        <is>
          <t>Engineering &amp; Development</t>
        </is>
      </c>
      <c r="C57" s="12" t="inlineStr">
        <is>
          <t>Front-End / UI Development</t>
        </is>
      </c>
      <c r="D57" s="16" t="inlineStr">
        <is>
          <t>A2</t>
        </is>
      </c>
      <c r="E57" s="17" t="inlineStr">
        <is>
          <t>Associate</t>
        </is>
      </c>
      <c r="F57" s="12" t="inlineStr">
        <is>
          <t>IC</t>
        </is>
      </c>
      <c r="G57" s="12" t="inlineStr">
        <is>
          <t>UI Developer</t>
        </is>
      </c>
      <c r="H57" s="12" t="inlineStr">
        <is>
          <t>Ayushi Prajapati</t>
        </is>
      </c>
      <c r="I57" s="12" t="inlineStr">
        <is>
          <t>Technology</t>
        </is>
      </c>
      <c r="J57" s="12" t="inlineStr">
        <is>
          <r>
            <rPr>
              <rFont val="Calibri"/>
              <sz val="10"/>
            </rPr>
            <t xml:space="preserve">Builds user interfaces and reusable UI components. At A2: standard work delivered independently.
</t>
          </r>
          <r>
            <rPr>
              <rFont val="Calibri"/>
              <b val="1"/>
              <sz val="10"/>
            </rPr>
            <t>Common themes in role-holders' answers:</t>
          </r>
          <r>
            <rPr>
              <rFont val="Calibri"/>
              <sz val="10"/>
            </rPr>
            <t xml:space="preserve"> solutions · maintain · problems · core · purpose · while</t>
          </r>
        </is>
      </c>
      <c r="K57" s="12" t="inlineStr">
        <is>
          <r>
            <rPr>
              <rFont val="Calibri"/>
              <sz val="10"/>
            </rPr>
            <t xml:space="preserve">Builds user interfaces and reusable UI components; Standard work of the discipline; Own deliverables · accuracy, TAT
</t>
          </r>
          <r>
            <rPr>
              <rFont val="Calibri"/>
              <b val="1"/>
              <sz val="10"/>
            </rPr>
            <t>Common themes in role-holders' answers:</t>
          </r>
          <r>
            <rPr>
              <rFont val="Calibri"/>
              <sz val="10"/>
            </rPr>
            <t xml:space="preserve"> feature · code · quality · development · delivery</t>
          </r>
        </is>
      </c>
      <c r="L57" s="12" t="inlineStr">
        <is>
          <r>
            <rPr>
              <rFont val="Calibri"/>
              <sz val="10"/>
            </rPr>
            <t xml:space="preserve">Chooses own approach within standards
</t>
          </r>
          <r>
            <rPr>
              <rFont val="Calibri"/>
              <b val="1"/>
              <sz val="10"/>
            </rPr>
            <t>Common themes in role-holders' answers:</t>
          </r>
          <r>
            <rPr>
              <rFont val="Calibri"/>
              <sz val="10"/>
            </rPr>
            <t xml:space="preserve"> decisions · implement</t>
          </r>
        </is>
      </c>
      <c r="M57" s="12" t="inlineStr">
        <is>
          <r>
            <rPr>
              <rFont val="Calibri"/>
              <b val="1"/>
              <sz val="10"/>
            </rPr>
            <t>Common themes in manager-set KRAs:</t>
          </r>
          <r>
            <rPr>
              <rFont val="Calibri"/>
              <sz val="10"/>
            </rPr>
            <t xml:space="preserve"> complete · improve · assigned · resolve · code · leakage qa/uat</t>
          </r>
        </is>
      </c>
      <c r="N57" s="12" t="inlineStr">
        <is>
          <r>
            <rPr>
              <rFont val="Calibri"/>
              <b val="1"/>
              <sz val="10"/>
            </rPr>
            <t>Skills:</t>
          </r>
          <r>
            <rPr>
              <rFont val="Calibri"/>
              <sz val="10"/>
            </rPr>
            <t xml:space="preserve"> Angular · React</t>
          </r>
        </is>
      </c>
      <c r="O57"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57" s="12" t="inlineStr">
        <is>
          <t>0–2 yrs
Graduate · or diploma with experience</t>
        </is>
      </c>
      <c r="Q57" s="12" t="inlineStr">
        <is>
          <t>Core 2 · Future-ready 2 · Functional 2 · Leadership —
★ Programming &amp; Tech-Stack Depth · System Design &amp; Architecture</t>
        </is>
      </c>
      <c r="R57" s="12" t="inlineStr">
        <is>
          <t>Build and operate software capabilities. Includes: Application code, data/ML engineering and product reliability. Excludes: Product investment decisions; internal IT service desk.</t>
        </is>
      </c>
      <c r="S57" s="12" t="inlineStr">
        <is>
          <r>
            <rPr>
              <rFont val="Calibri"/>
              <b val="1"/>
              <sz val="10"/>
            </rPr>
            <t>Comparable stage:</t>
          </r>
          <r>
            <rPr>
              <rFont val="Calibri"/>
              <sz val="10"/>
            </rPr>
            <t xml:space="preserve"> ENG03-1 · Associate Frontend Engineer
</t>
          </r>
          <r>
            <rPr>
              <rFont val="Calibri"/>
              <b val="1"/>
              <sz val="10"/>
            </rPr>
            <t>Complete defined parts under review:</t>
          </r>
          <r>
            <rPr>
              <rFont val="Calibri"/>
              <sz val="10"/>
            </rPr>
            <t xml:space="preserve"> build accessible components and reliable browser interactions.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tested accessible interface and reusable components with measured performance</t>
          </r>
        </is>
      </c>
      <c r="T57" s="12" t="inlineStr">
        <is>
          <r>
            <rPr>
              <rFont val="Calibri"/>
              <sz val="10"/>
            </rPr>
            <t xml:space="preserve">Radford / Mercer P1–P2 · SFIA 2 Assist
</t>
          </r>
          <r>
            <rPr>
              <rFont val="Calibri"/>
              <b val="1"/>
              <sz val="10"/>
            </rPr>
            <t>Workiva:</t>
          </r>
          <r>
            <rPr>
              <rFont val="Calibri"/>
              <sz val="10"/>
            </rPr>
            <t xml:space="preserve"> Associate SE · Broadridge India: SE · Nasdaq / AxiomSL: SE · Salesforce: AMTS</t>
          </r>
        </is>
      </c>
      <c r="U57" s="12" t="inlineStr">
        <is>
          <t>A3 · Senior Associate</t>
        </is>
      </c>
      <c r="V57" s="12" t="inlineStr">
        <is>
          <t>Framework + role-holders' themes · 3+ answered</t>
        </is>
      </c>
    </row>
    <row r="58" ht="106" customHeight="1">
      <c r="A58" s="90" t="inlineStr">
        <is>
          <t>RC-081</t>
        </is>
      </c>
      <c r="B58" s="12" t="inlineStr">
        <is>
          <t>Engineering &amp; Development</t>
        </is>
      </c>
      <c r="C58" s="12" t="inlineStr">
        <is>
          <t>Front-End / UI Development</t>
        </is>
      </c>
      <c r="D58" s="16" t="inlineStr">
        <is>
          <t>A3</t>
        </is>
      </c>
      <c r="E58" s="17" t="inlineStr">
        <is>
          <t>Senior Associate</t>
        </is>
      </c>
      <c r="F58" s="12" t="inlineStr">
        <is>
          <t>IC</t>
        </is>
      </c>
      <c r="G58" s="12" t="inlineStr">
        <is>
          <t>Senior UI Developer</t>
        </is>
      </c>
      <c r="H58" s="12" t="inlineStr">
        <is>
          <t>Kush Govani, Omkar Dhumal, Rahul Mejari, Rushali Patel, Shubham Baban Jagtap</t>
        </is>
      </c>
      <c r="I58" s="12" t="inlineStr">
        <is>
          <t>Technology</t>
        </is>
      </c>
      <c r="J58" s="12" t="inlineStr">
        <is>
          <r>
            <rPr>
              <rFont val="Calibri"/>
              <sz val="10"/>
            </rPr>
            <t xml:space="preserve">Builds user interfaces and reusable UI components. At A3: varied work; reviews juniors; go-to for a process.
</t>
          </r>
          <r>
            <rPr>
              <rFont val="Calibri"/>
              <b val="1"/>
              <sz val="10"/>
            </rPr>
            <t>Common themes in role-holders' answers:</t>
          </r>
          <r>
            <rPr>
              <rFont val="Calibri"/>
              <sz val="10"/>
            </rPr>
            <t xml:space="preserve"> core · purpose · web · improve · business · user-friendly</t>
          </r>
        </is>
      </c>
      <c r="K58" s="12" t="inlineStr">
        <is>
          <r>
            <rPr>
              <rFont val="Calibri"/>
              <sz val="10"/>
            </rPr>
            <t xml:space="preserve">Builds user interfaces and reusable UI components; Varied and non-standard work; handles exceptions; A module / process, or work with client or regulatory consequences
</t>
          </r>
          <r>
            <rPr>
              <rFont val="Calibri"/>
              <b val="1"/>
              <sz val="10"/>
            </rPr>
            <t>Common themes in role-holders' answers:</t>
          </r>
          <r>
            <rPr>
              <rFont val="Calibri"/>
              <sz val="10"/>
            </rPr>
            <t xml:space="preserve"> ui · user · performance · design · development · testing</t>
          </r>
        </is>
      </c>
      <c r="L58" s="12" t="inlineStr">
        <is>
          <r>
            <rPr>
              <rFont val="Calibri"/>
              <sz val="10"/>
            </rPr>
            <t xml:space="preserve">Technical / QC / client calls on own work
</t>
          </r>
          <r>
            <rPr>
              <rFont val="Calibri"/>
              <b val="1"/>
              <sz val="10"/>
            </rPr>
            <t>Common themes in role-holders' answers:</t>
          </r>
          <r>
            <rPr>
              <rFont val="Calibri"/>
              <sz val="10"/>
            </rPr>
            <t xml:space="preserve"> code · ui</t>
          </r>
        </is>
      </c>
      <c r="M58" s="12" t="inlineStr">
        <is>
          <r>
            <rPr>
              <rFont val="Calibri"/>
              <b val="1"/>
              <sz val="10"/>
            </rPr>
            <t>Common themes in manager-set KRAs:</t>
          </r>
          <r>
            <rPr>
              <rFont val="Calibri"/>
              <sz val="10"/>
            </rPr>
            <t xml:space="preserve"> components · sprint · code · coverage · quality · maintain</t>
          </r>
        </is>
      </c>
      <c r="N58" s="12" t="inlineStr">
        <is>
          <r>
            <rPr>
              <rFont val="Calibri"/>
              <b val="1"/>
              <sz val="10"/>
            </rPr>
            <t>Skills:</t>
          </r>
          <r>
            <rPr>
              <rFont val="Calibri"/>
              <sz val="10"/>
            </rPr>
            <t xml:space="preserve"> UI · Angular
</t>
          </r>
          <r>
            <rPr>
              <rFont val="Calibri"/>
              <b val="1"/>
              <sz val="10"/>
            </rPr>
            <t>Tools:</t>
          </r>
          <r>
            <rPr>
              <rFont val="Calibri"/>
              <sz val="10"/>
            </rPr>
            <t xml:space="preserve"> Vs code</t>
          </r>
        </is>
      </c>
      <c r="O58"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58" s="12" t="inlineStr">
        <is>
          <t>2–4 yrs
Graduate; relevant certification preferred</t>
        </is>
      </c>
      <c r="Q58" s="12" t="inlineStr">
        <is>
          <t>Core 2 · Future-ready 2 · Functional 3 · Leadership —
★ Programming &amp; Tech-Stack Depth · System Design &amp; Architecture</t>
        </is>
      </c>
      <c r="R58" s="12" t="inlineStr">
        <is>
          <t>Build and operate software capabilities. Includes: Application code, data/ML engineering and product reliability. Excludes: Product investment decisions; internal IT service desk.</t>
        </is>
      </c>
      <c r="S58" s="12" t="inlineStr">
        <is>
          <r>
            <rPr>
              <rFont val="Calibri"/>
              <b val="1"/>
              <sz val="10"/>
            </rPr>
            <t>Comparable stage:</t>
          </r>
          <r>
            <rPr>
              <rFont val="Calibri"/>
              <sz val="10"/>
            </rPr>
            <t xml:space="preserve"> ENG03-2 · Frontend Engineer
Build accessible components and reliable browser interactions.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tested accessible interface and reusable components with measured performance</t>
          </r>
        </is>
      </c>
      <c r="T58"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58" s="12" t="inlineStr">
        <is>
          <t>B1 · Specialist</t>
        </is>
      </c>
      <c r="V58" s="12" t="inlineStr">
        <is>
          <t>Framework + role-holders' themes · 3+ answered</t>
        </is>
      </c>
    </row>
    <row r="59" ht="132" customHeight="1">
      <c r="A59" s="90" t="inlineStr">
        <is>
          <t>RC-083</t>
        </is>
      </c>
      <c r="B59" s="12" t="inlineStr">
        <is>
          <t>Engineering &amp; Development</t>
        </is>
      </c>
      <c r="C59" s="12" t="inlineStr">
        <is>
          <t>Full-Stack Development</t>
        </is>
      </c>
      <c r="D59" s="16" t="inlineStr">
        <is>
          <t>A1</t>
        </is>
      </c>
      <c r="E59" s="17" t="inlineStr">
        <is>
          <t>Intern / Trainee</t>
        </is>
      </c>
      <c r="F59" s="12" t="inlineStr">
        <is>
          <t>IC</t>
        </is>
      </c>
      <c r="G59" s="12" t="inlineStr">
        <is>
          <t>Trainee Software Engineer</t>
        </is>
      </c>
      <c r="H59" s="12" t="inlineStr">
        <is>
          <t>Soniya Paliwal</t>
        </is>
      </c>
      <c r="I59" s="12" t="inlineStr">
        <is>
          <t>Technology</t>
        </is>
      </c>
      <c r="J59" s="12" t="inlineStr">
        <is>
          <r>
            <rPr>
              <rFont val="Calibri"/>
              <sz val="10"/>
            </rPr>
            <t xml:space="preserve">Builds features end to end — back-end services/APIs plus UI screens. At A1: learning the role; all work reviewed.
</t>
          </r>
          <r>
            <rPr>
              <rFont val="Calibri"/>
              <b val="1"/>
              <sz val="10"/>
            </rPr>
            <t>Common themes in role-holders' answers:</t>
          </r>
          <r>
            <rPr>
              <rFont val="Calibri"/>
              <sz val="10"/>
            </rPr>
            <t xml:space="preserve"> improving · software</t>
          </r>
        </is>
      </c>
      <c r="K59" s="12" t="inlineStr">
        <is>
          <r>
            <rPr>
              <rFont val="Calibri"/>
              <sz val="10"/>
            </rPr>
            <t xml:space="preserve">Builds features end to end — back-end services/APIs plus UI screens; Learning; follows worked examples; Learning tasks
</t>
          </r>
          <r>
            <rPr>
              <rFont val="Calibri"/>
              <b val="1"/>
              <sz val="10"/>
            </rPr>
            <t>Common themes in role-holders' answers:</t>
          </r>
          <r>
            <rPr>
              <rFont val="Calibri"/>
              <sz val="10"/>
            </rPr>
            <t xml:space="preserve"> bug fixing · development · feature</t>
          </r>
        </is>
      </c>
      <c r="L59" s="12" t="inlineStr">
        <is>
          <r>
            <rPr>
              <rFont val="Calibri"/>
              <sz val="10"/>
            </rPr>
            <t xml:space="preserve">Needs approval / close guidance
</t>
          </r>
          <r>
            <rPr>
              <rFont val="Calibri"/>
              <b val="1"/>
              <sz val="10"/>
            </rPr>
            <t>Common themes in role-holders' answers:</t>
          </r>
          <r>
            <rPr>
              <rFont val="Calibri"/>
              <sz val="10"/>
            </rPr>
            <t xml:space="preserve"> approaches · implementation</t>
          </r>
        </is>
      </c>
      <c r="M59" s="12" t="inlineStr">
        <is>
          <r>
            <rPr>
              <rFont val="Calibri"/>
              <b val="1"/>
              <sz val="10"/>
            </rPr>
            <t>Common themes in manager-set KRAs:</t>
          </r>
          <r>
            <rPr>
              <rFont val="Calibri"/>
              <sz val="10"/>
            </rPr>
            <t xml:space="preserve"> complete · assigned · improve · code · technical · quality</t>
          </r>
        </is>
      </c>
      <c r="N59" s="12" t="inlineStr">
        <is>
          <r>
            <rPr>
              <rFont val="Calibri"/>
              <b val="1"/>
              <sz val="10"/>
            </rPr>
            <t>Skills:</t>
          </r>
          <r>
            <rPr>
              <rFont val="Calibri"/>
              <sz val="10"/>
            </rPr>
            <t xml:space="preserve"> React · Java · Angular · NET MVC
</t>
          </r>
          <r>
            <rPr>
              <rFont val="Calibri"/>
              <b val="1"/>
              <sz val="10"/>
            </rPr>
            <t>Tools:</t>
          </r>
          <r>
            <rPr>
              <rFont val="Calibri"/>
              <sz val="10"/>
            </rPr>
            <t xml:space="preserve"> Vs code · Postman</t>
          </r>
        </is>
      </c>
      <c r="O59"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59" s="12" t="inlineStr">
        <is>
          <t>0 yrs · fresher / intern
Pursuing or completed graduation / diploma</t>
        </is>
      </c>
      <c r="Q59" s="12" t="inlineStr">
        <is>
          <t>Core 1 · Future-ready 1 · Functional 1 · Leadership —
★ Programming &amp; Tech-Stack Depth · System Design &amp; Architecture</t>
        </is>
      </c>
      <c r="R59" s="12" t="inlineStr">
        <is>
          <t>Build and operate software capabilities. Includes: Application code, data/ML engineering and product reliability. Excludes: Product investment decisions; internal IT service desk.</t>
        </is>
      </c>
      <c r="S59" s="12" t="inlineStr">
        <is>
          <r>
            <rPr>
              <rFont val="Calibri"/>
              <b val="1"/>
              <sz val="10"/>
            </rPr>
            <t>Comparable stage:</t>
          </r>
          <r>
            <rPr>
              <rFont val="Calibri"/>
              <sz val="10"/>
            </rPr>
            <t xml:space="preserve"> ENG02-0 · Software Engineering Intern
</t>
          </r>
          <r>
            <rPr>
              <rFont val="Calibri"/>
              <b val="1"/>
              <sz val="10"/>
            </rPr>
            <t>Assist with a supervised work sample:</t>
          </r>
          <r>
            <rPr>
              <rFont val="Calibri"/>
              <sz val="10"/>
            </rPr>
            <t xml:space="preserve"> deliver a tested end-to-end feature across ui, api and storage.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working end-to-end journey with usability checks, test coverage and deployment evidence</t>
          </r>
        </is>
      </c>
      <c r="T59" s="12" t="inlineStr">
        <is>
          <t>Radford / Mercer Entry / P1 · intern · SFIA 1 Follow
—</t>
        </is>
      </c>
      <c r="U59" s="12" t="inlineStr">
        <is>
          <t>A2 · Associate</t>
        </is>
      </c>
      <c r="V59" s="12" t="inlineStr">
        <is>
          <t>Framework + role-holders' themes · 3+ answered</t>
        </is>
      </c>
    </row>
    <row r="60" ht="119" customHeight="1">
      <c r="A60" s="90" t="inlineStr">
        <is>
          <t>RC-085</t>
        </is>
      </c>
      <c r="B60" s="12" t="inlineStr">
        <is>
          <t>Engineering &amp; Development</t>
        </is>
      </c>
      <c r="C60" s="12" t="inlineStr">
        <is>
          <t>Full-Stack Development</t>
        </is>
      </c>
      <c r="D60" s="16" t="inlineStr">
        <is>
          <t>A3</t>
        </is>
      </c>
      <c r="E60" s="17" t="inlineStr">
        <is>
          <t>Senior Associate</t>
        </is>
      </c>
      <c r="F60" s="12" t="inlineStr">
        <is>
          <t>IC</t>
        </is>
      </c>
      <c r="G60" s="12" t="inlineStr">
        <is>
          <t>Senior Software Engineer · Technical Specialist</t>
        </is>
      </c>
      <c r="H60" s="12" t="inlineStr">
        <is>
          <t>Anuj Pardeshi, Harsh Borad, Jayshiv Patel, Karan Kapadia, Kuldip D Shah, Kunal Jadhav, Parth Jitendrabhai Parmar, Parthviben Mistry, Prachi Digambar Raut, Riya Parekh</t>
        </is>
      </c>
      <c r="I60" s="12" t="inlineStr">
        <is>
          <t>Technology</t>
        </is>
      </c>
      <c r="J60" s="12" t="inlineStr">
        <is>
          <r>
            <rPr>
              <rFont val="Calibri"/>
              <sz val="10"/>
            </rPr>
            <t xml:space="preserve">Builds features end to end — back-end services/APIs plus UI screens. At A3: varied work; reviews juniors; go-to for a process.
</t>
          </r>
          <r>
            <rPr>
              <rFont val="Calibri"/>
              <b val="1"/>
              <sz val="10"/>
            </rPr>
            <t>Common themes in role-holders' answers:</t>
          </r>
          <r>
            <rPr>
              <rFont val="Calibri"/>
              <sz val="10"/>
            </rPr>
            <t xml:space="preserve"> software · requirements · solutions · features · product · develop</t>
          </r>
        </is>
      </c>
      <c r="K60" s="12" t="inlineStr">
        <is>
          <r>
            <rPr>
              <rFont val="Calibri"/>
              <sz val="10"/>
            </rPr>
            <t xml:space="preserve">Builds features end to end — back-end services/APIs plus UI screens; Varied and non-standard work; handles exceptions; A module / process, or work with client or regulatory consequences
</t>
          </r>
          <r>
            <rPr>
              <rFont val="Calibri"/>
              <b val="1"/>
              <sz val="10"/>
            </rPr>
            <t>Common themes in role-holders' answers:</t>
          </r>
          <r>
            <rPr>
              <rFont val="Calibri"/>
              <sz val="10"/>
            </rPr>
            <t xml:space="preserve"> development · bug · support · feature · deployment · fixing</t>
          </r>
        </is>
      </c>
      <c r="L60" s="12" t="inlineStr">
        <is>
          <r>
            <rPr>
              <rFont val="Calibri"/>
              <sz val="10"/>
            </rPr>
            <t xml:space="preserve">Technical / QC / client calls on own work
</t>
          </r>
          <r>
            <rPr>
              <rFont val="Calibri"/>
              <b val="1"/>
              <sz val="10"/>
            </rPr>
            <t>Common themes in role-holders' answers:</t>
          </r>
          <r>
            <rPr>
              <rFont val="Calibri"/>
              <sz val="10"/>
            </rPr>
            <t xml:space="preserve"> code · implementation · design · feature · optimization · structure</t>
          </r>
        </is>
      </c>
      <c r="M60" s="12" t="inlineStr">
        <is>
          <r>
            <rPr>
              <rFont val="Calibri"/>
              <b val="1"/>
              <sz val="10"/>
            </rPr>
            <t>Common themes in manager-set KRAs:</t>
          </r>
          <r>
            <rPr>
              <rFont val="Calibri"/>
              <sz val="10"/>
            </rPr>
            <t xml:space="preserve"> complete · improve · code quality · assigned · year · deliver</t>
          </r>
        </is>
      </c>
      <c r="N60" s="12" t="inlineStr">
        <is>
          <r>
            <rPr>
              <rFont val="Calibri"/>
              <b val="1"/>
              <sz val="10"/>
            </rPr>
            <t>Skills:</t>
          </r>
          <r>
            <rPr>
              <rFont val="Calibri"/>
              <sz val="10"/>
            </rPr>
            <t xml:space="preserve"> Java · Debugging · Angular · NET MVC + React · NET MVC + Angular · Spring Boot · NET MVC · Java + Angular
</t>
          </r>
          <r>
            <rPr>
              <rFont val="Calibri"/>
              <b val="1"/>
              <sz val="10"/>
            </rPr>
            <t>Tools:</t>
          </r>
          <r>
            <rPr>
              <rFont val="Calibri"/>
              <sz val="10"/>
            </rPr>
            <t xml:space="preserve"> VS Code · Visual Studio · Postman · Git · Copilot · Github Copilot · Mongo compass · AI</t>
          </r>
        </is>
      </c>
      <c r="O60"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60" s="12" t="inlineStr">
        <is>
          <t>2–4 yrs
Graduate; relevant certification preferred</t>
        </is>
      </c>
      <c r="Q60" s="12" t="inlineStr">
        <is>
          <t>Core 2 · Future-ready 2 · Functional 3 · Leadership —
★ Programming &amp; Tech-Stack Depth · System Design &amp; Architecture</t>
        </is>
      </c>
      <c r="R60" s="12" t="inlineStr">
        <is>
          <t>Build and operate software capabilities. Includes: Application code, data/ML engineering and product reliability. Excludes: Product investment decisions; internal IT service desk.</t>
        </is>
      </c>
      <c r="S60" s="12" t="inlineStr">
        <is>
          <r>
            <rPr>
              <rFont val="Calibri"/>
              <b val="1"/>
              <sz val="10"/>
            </rPr>
            <t>Comparable stage:</t>
          </r>
          <r>
            <rPr>
              <rFont val="Calibri"/>
              <sz val="10"/>
            </rPr>
            <t xml:space="preserve"> ENG02-2 · Full Stack Engineer
Deliver a tested end-to-end feature across UI, API and storage.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working end-to-end journey with usability checks, test coverage and deployment evidence</t>
          </r>
        </is>
      </c>
      <c r="T60" s="12" t="inlineStr">
        <is>
          <r>
            <rPr>
              <rFont val="Calibri"/>
              <sz val="10"/>
            </rPr>
            <t xml:space="preserve">Radford / Mercer P2 · SFIA 3 Apply
</t>
          </r>
          <r>
            <rPr>
              <rFont val="Calibri"/>
              <b val="1"/>
              <sz val="10"/>
            </rPr>
            <t>Workiva:</t>
          </r>
          <r>
            <rPr>
              <rFont val="Calibri"/>
              <sz val="10"/>
            </rPr>
            <t xml:space="preserve"> SE · Broadridge India: SE · Nasdaq / AxiomSL: SE · Salesforce: MTS</t>
          </r>
        </is>
      </c>
      <c r="U60" s="12" t="inlineStr">
        <is>
          <t>B1 · Specialist</t>
        </is>
      </c>
      <c r="V60" s="12" t="inlineStr">
        <is>
          <t>Framework + role-holders' themes · 3+ answered</t>
        </is>
      </c>
    </row>
    <row r="61" ht="119" customHeight="1">
      <c r="A61" s="90" t="inlineStr">
        <is>
          <t>RC-087</t>
        </is>
      </c>
      <c r="B61" s="12" t="inlineStr">
        <is>
          <t>Engineering &amp; Development</t>
        </is>
      </c>
      <c r="C61" s="12" t="inlineStr">
        <is>
          <t>Full-Stack Development</t>
        </is>
      </c>
      <c r="D61" s="20" t="inlineStr">
        <is>
          <t>B2</t>
        </is>
      </c>
      <c r="E61" s="21" t="inlineStr">
        <is>
          <t>Senior Specialist</t>
        </is>
      </c>
      <c r="F61" s="12" t="inlineStr">
        <is>
          <t>IC</t>
        </is>
      </c>
      <c r="G61" s="12" t="inlineStr">
        <is>
          <t>Lead Software Engineer – POD Lead · Senior Technical Specialist – POD Lead</t>
        </is>
      </c>
      <c r="H61" s="12" t="inlineStr">
        <is>
          <t>Dhiraj Suryawanshi</t>
        </is>
      </c>
      <c r="I61" s="12" t="inlineStr">
        <is>
          <t>Technology</t>
        </is>
      </c>
      <c r="J61" s="12" t="inlineStr">
        <is>
          <r>
            <rPr>
              <rFont val="Calibri"/>
              <sz val="10"/>
            </rPr>
            <t xml:space="preserve">Builds features end to end — back-end services/APIs plus UI screens. At B2: deep domain expertise, or one team.
</t>
          </r>
          <r>
            <rPr>
              <rFont val="Calibri"/>
              <b val="1"/>
              <sz val="10"/>
            </rPr>
            <t>Common themes in sub-family holders, all levels' answers:</t>
          </r>
          <r>
            <rPr>
              <rFont val="Calibri"/>
              <sz val="10"/>
            </rPr>
            <t xml:space="preserve"> software · develop · solutions · product · improve · business</t>
          </r>
        </is>
      </c>
      <c r="K61" s="12" t="inlineStr">
        <is>
          <r>
            <rPr>
              <rFont val="Calibri"/>
              <sz val="10"/>
            </rPr>
            <t xml:space="preserve">Builds features end to end — back-end services/APIs plus UI screens; Hardest problems in the domain; One team or a client portfolio
</t>
          </r>
          <r>
            <rPr>
              <rFont val="Calibri"/>
              <b val="1"/>
              <sz val="10"/>
            </rPr>
            <t>Common themes in sub-family holders, all levels' answers:</t>
          </r>
          <r>
            <rPr>
              <rFont val="Calibri"/>
              <sz val="10"/>
            </rPr>
            <t xml:space="preserve"> development · bug · fixing · feature · support · code</t>
          </r>
        </is>
      </c>
      <c r="L61" s="12" t="inlineStr">
        <is>
          <r>
            <rPr>
              <rFont val="Calibri"/>
              <sz val="10"/>
            </rPr>
            <t xml:space="preserve">Allocates people and sets team priorities
</t>
          </r>
          <r>
            <rPr>
              <rFont val="Calibri"/>
              <b val="1"/>
              <sz val="10"/>
            </rPr>
            <t>Common themes in sub-family holders, all levels' answers:</t>
          </r>
          <r>
            <rPr>
              <rFont val="Calibri"/>
              <sz val="10"/>
            </rPr>
            <t xml:space="preserve"> code · implementation · technical · approaches · independently · decisions</t>
          </r>
        </is>
      </c>
      <c r="M61" s="12" t="inlineStr">
        <is>
          <t>—</t>
        </is>
      </c>
      <c r="N61" s="12" t="inlineStr">
        <is>
          <r>
            <rPr>
              <rFont val="Calibri"/>
              <b val="1"/>
              <sz val="10"/>
            </rPr>
            <t>Skills:</t>
          </r>
          <r>
            <rPr>
              <rFont val="Calibri"/>
              <sz val="10"/>
            </rPr>
            <t xml:space="preserve"> Java · Angular · NET MVC · Debugging · React · SQL · NET MVC + Angular · Java + Angular
</t>
          </r>
          <r>
            <rPr>
              <rFont val="Calibri"/>
              <b val="1"/>
              <sz val="10"/>
            </rPr>
            <t>Tools:</t>
          </r>
          <r>
            <rPr>
              <rFont val="Calibri"/>
              <sz val="10"/>
            </rPr>
            <t xml:space="preserve"> VS Code · Visual Studio · Postman · Git · GitHub Copilot · Angular · Tomcat · Maven</t>
          </r>
        </is>
      </c>
      <c r="O61"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61" s="12" t="inlineStr">
        <is>
          <t>6–9 yrs
Graduate or postgraduate; professional qualification preferred</t>
        </is>
      </c>
      <c r="Q61" s="12" t="inlineStr">
        <is>
          <t>Core 3 · Future-ready 3 · Functional 4 · Leadership 2
★ Programming &amp; Tech-Stack Depth · System Design &amp; Architecture</t>
        </is>
      </c>
      <c r="R61" s="12" t="inlineStr">
        <is>
          <t>Build and operate software capabilities. Includes: Application code, data/ML engineering and product reliability. Excludes: Product investment decisions; internal IT service desk.</t>
        </is>
      </c>
      <c r="S61" s="12" t="inlineStr">
        <is>
          <r>
            <rPr>
              <rFont val="Calibri"/>
              <b val="1"/>
              <sz val="10"/>
            </rPr>
            <t>Comparable stage:</t>
          </r>
          <r>
            <rPr>
              <rFont val="Calibri"/>
              <sz val="10"/>
            </rPr>
            <t xml:space="preserve"> ENG02-3 · Senior Full Stack Engineer
Own cross-layer performance, security and deployment choices.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working end-to-end journey with usability checks, test coverage and deployment evidence</t>
          </r>
        </is>
      </c>
      <c r="T61" s="12" t="inlineStr">
        <is>
          <r>
            <rPr>
              <rFont val="Calibri"/>
              <sz val="10"/>
            </rPr>
            <t xml:space="preserve">Radford / Mercer P4 / M3 · SFIA 4–5
</t>
          </r>
          <r>
            <rPr>
              <rFont val="Calibri"/>
              <b val="1"/>
              <sz val="10"/>
            </rPr>
            <t>Workiva:</t>
          </r>
          <r>
            <rPr>
              <rFont val="Calibri"/>
              <sz val="10"/>
            </rPr>
            <t xml:space="preserve"> Senior SE · Broadridge India: Lead SE · Nasdaq / AxiomSL: Senior SE · Salesforce: SMTS</t>
          </r>
        </is>
      </c>
      <c r="U61" s="12" t="inlineStr">
        <is>
          <t>B3 · Lead Specialist</t>
        </is>
      </c>
      <c r="V61" s="12" t="inlineStr">
        <is>
          <t>Framework + sub-family themes · 3+ answered</t>
        </is>
      </c>
    </row>
    <row r="62">
      <c r="A62" s="89" t="inlineStr">
        <is>
          <t>Executive Leadership</t>
        </is>
      </c>
    </row>
    <row r="63" ht="106" customHeight="1">
      <c r="A63" s="90" t="inlineStr">
        <is>
          <t>RC-090</t>
        </is>
      </c>
      <c r="B63" s="12" t="inlineStr">
        <is>
          <t>Executive Leadership</t>
        </is>
      </c>
      <c r="C63" s="12" t="inlineStr">
        <is>
          <t>Business &amp; Functional Leadership</t>
        </is>
      </c>
      <c r="D63" s="28" t="inlineStr">
        <is>
          <t>D1</t>
        </is>
      </c>
      <c r="E63" s="29" t="inlineStr">
        <is>
          <t>Associate Vice President / Business Head</t>
        </is>
      </c>
      <c r="F63" s="12" t="inlineStr">
        <is>
          <t>Manager</t>
        </is>
      </c>
      <c r="G63" s="12" t="inlineStr">
        <is>
          <t>Senior Vice President – Customer Experience · Business Head – iDEAL</t>
        </is>
      </c>
      <c r="H63" s="12" t="inlineStr">
        <is>
          <t>Suman Adhikary</t>
        </is>
      </c>
      <c r="I63" s="12" t="inlineStr">
        <is>
          <t>Customer Experience</t>
        </is>
      </c>
      <c r="J63" s="12" t="inlineStr">
        <is>
          <t>Owns a business line or enterprise function end to end. At D1: a business line P&amp;L, region or enterprise function.</t>
        </is>
      </c>
      <c r="K63" s="12" t="inlineStr">
        <is>
          <t>Owns a business line or enterprise function end to end; Competing strategic, financial and regulatory priorities; Business-line P&amp;L and market position</t>
        </is>
      </c>
      <c r="L63" s="12" t="inlineStr">
        <is>
          <t>Sets business-line direction, pricing and investment</t>
        </is>
      </c>
      <c r="M63" s="12" t="inlineStr">
        <is>
          <t>—</t>
        </is>
      </c>
      <c r="N63" s="12" t="inlineStr">
        <is>
          <r>
            <rPr>
              <rFont val="Calibri"/>
              <b val="1"/>
              <sz val="10"/>
            </rPr>
            <t>Skills:</t>
          </r>
          <r>
            <rPr>
              <rFont val="Calibri"/>
              <sz val="10"/>
            </rPr>
            <t xml:space="preserve"> Product Management</t>
          </r>
        </is>
      </c>
      <c r="O63" s="12" t="inlineStr">
        <is>
          <r>
            <rPr>
              <rFont val="Calibri"/>
              <b val="1"/>
              <sz val="10"/>
            </rPr>
            <t>Owns:</t>
          </r>
          <r>
            <rPr>
              <rFont val="Calibri"/>
              <sz val="10"/>
            </rPr>
            <t xml:space="preserve"> A business line P&amp;L, region or enterprise function
</t>
          </r>
          <r>
            <rPr>
              <rFont val="Calibri"/>
              <b val="1"/>
              <sz val="10"/>
            </rPr>
            <t>Complexity:</t>
          </r>
          <r>
            <rPr>
              <rFont val="Calibri"/>
              <sz val="10"/>
            </rPr>
            <t xml:space="preserve"> Competing strategic, financial and regulatory priorities
</t>
          </r>
          <r>
            <rPr>
              <rFont val="Calibri"/>
              <b val="1"/>
              <sz val="10"/>
            </rPr>
            <t>Decisions:</t>
          </r>
          <r>
            <rPr>
              <rFont val="Calibri"/>
              <sz val="10"/>
            </rPr>
            <t xml:space="preserve"> Sets business-line direction, pricing and investment
</t>
          </r>
          <r>
            <rPr>
              <rFont val="Calibri"/>
              <b val="1"/>
              <sz val="10"/>
            </rPr>
            <t>Answers for:</t>
          </r>
          <r>
            <rPr>
              <rFont val="Calibri"/>
              <sz val="10"/>
            </rPr>
            <t xml:space="preserve"> Business-line P&amp;L and market position
</t>
          </r>
          <r>
            <rPr>
              <rFont val="Calibri"/>
              <b val="1"/>
              <sz val="10"/>
            </rPr>
            <t>Leadership:</t>
          </r>
          <r>
            <rPr>
              <rFont val="Calibri"/>
              <sz val="10"/>
            </rPr>
            <t xml:space="preserve"> Defines business strategy; builds the leadership bench</t>
          </r>
        </is>
      </c>
      <c r="P63" s="12" t="inlineStr">
        <is>
          <t>15–20 yrs
Postgraduate / professional qualification preferred</t>
        </is>
      </c>
      <c r="Q63" s="12" t="inlineStr">
        <is>
          <t>Core 5 · Future-ready 4 · Functional 4 · Leadership 5
★ Strategic Thinking &amp; Business Acumen · People Leadership &amp; Mentoring</t>
        </is>
      </c>
      <c r="R63" s="12" t="inlineStr">
        <is>
          <t>Integrate enterprise or business outcomes. Includes: Business-unit, enterprise and exceptional expert mandates. Excludes: A generic promotion destination without a new accountable role.</t>
        </is>
      </c>
      <c r="S63" s="12" t="inlineStr">
        <is>
          <r>
            <rPr>
              <rFont val="Calibri"/>
              <b val="1"/>
              <sz val="10"/>
            </rPr>
            <t>Comparable stage:</t>
          </r>
          <r>
            <rPr>
              <rFont val="Calibri"/>
              <sz val="10"/>
            </rPr>
            <t xml:space="preserve"> EX01 · Business Unit Head / General Manager
Own integrated commercial, operational, financial and risk outcomes for a defined business
</t>
          </r>
          <r>
            <rPr>
              <rFont val="Calibri"/>
              <b val="1"/>
              <sz val="10"/>
            </rPr>
            <t>Ready when:</t>
          </r>
          <r>
            <rPr>
              <rFont val="Calibri"/>
              <sz val="10"/>
            </rPr>
            <t xml:space="preserve"> A transition from functional leadership; size and delegated P&amp;L/resource mandate determine level.</t>
          </r>
        </is>
      </c>
      <c r="T63" s="12" t="inlineStr">
        <is>
          <t>Radford / Mercer E1–E2 · SFIA 6–7
IRIS Vs Market Benchmark — Aon Radford / Mercer executive codes: E1–E2 VP / Business Head · IRIS Vs Competitor Benchmark — regtech / SaaS executive titles: General Manager / VP</t>
        </is>
      </c>
      <c r="U63" s="12" t="inlineStr">
        <is>
          <t>D2 · —</t>
        </is>
      </c>
      <c r="V63" s="12" t="inlineStr">
        <is>
          <t>Framework only · fewer than 3 answered</t>
        </is>
      </c>
    </row>
    <row r="64" ht="93" customHeight="1">
      <c r="A64" s="90" t="inlineStr">
        <is>
          <t>RC-091</t>
        </is>
      </c>
      <c r="B64" s="12" t="inlineStr">
        <is>
          <t>Executive Leadership</t>
        </is>
      </c>
      <c r="C64" s="12" t="inlineStr">
        <is>
          <t>Business &amp; Functional Leadership</t>
        </is>
      </c>
      <c r="D64" s="28" t="inlineStr">
        <is>
          <t>D2</t>
        </is>
      </c>
      <c r="E64" s="29" t="inlineStr">
        <is>
          <t>Vice President</t>
        </is>
      </c>
      <c r="F64" s="12" t="inlineStr">
        <is>
          <t>Manager</t>
        </is>
      </c>
      <c r="G64" s="12" t="inlineStr">
        <is>
          <t>Business Head · Business Head – SupTech &amp; Bank-RegTech · Business Head – DataTech</t>
        </is>
      </c>
      <c r="H64" s="12" t="inlineStr">
        <is>
          <t>Anuradha RK</t>
        </is>
      </c>
      <c r="I64" s="12" t="inlineStr">
        <is>
          <t>CARBON Business Head</t>
        </is>
      </c>
      <c r="J64" s="12" t="inlineStr">
        <is>
          <t>Owns a business line or enterprise function end to end. At D2: several business lines or an executive-scope enterprise function.</t>
        </is>
      </c>
      <c r="K64" s="12" t="inlineStr">
        <is>
          <t>Owns a business line or enterprise function end to end; Portfolio-level strategic, financial and regulatory trade-offs; Multi-business results</t>
        </is>
      </c>
      <c r="L64" s="12" t="inlineStr">
        <is>
          <t>Sets direction across business lines</t>
        </is>
      </c>
      <c r="M64" s="12" t="inlineStr">
        <is>
          <t>—</t>
        </is>
      </c>
      <c r="N64" s="12" t="inlineStr">
        <is>
          <r>
            <rPr>
              <rFont val="Calibri"/>
              <b val="1"/>
              <sz val="10"/>
            </rPr>
            <t>Skills:</t>
          </r>
          <r>
            <rPr>
              <rFont val="Calibri"/>
              <sz val="10"/>
            </rPr>
            <t xml:space="preserve"> Product Management</t>
          </r>
        </is>
      </c>
      <c r="O64" s="12" t="inlineStr">
        <is>
          <r>
            <rPr>
              <rFont val="Calibri"/>
              <b val="1"/>
              <sz val="10"/>
            </rPr>
            <t>Owns:</t>
          </r>
          <r>
            <rPr>
              <rFont val="Calibri"/>
              <sz val="10"/>
            </rPr>
            <t xml:space="preserve"> Several business lines or an executive-scope enterprise function
</t>
          </r>
          <r>
            <rPr>
              <rFont val="Calibri"/>
              <b val="1"/>
              <sz val="10"/>
            </rPr>
            <t>Complexity:</t>
          </r>
          <r>
            <rPr>
              <rFont val="Calibri"/>
              <sz val="10"/>
            </rPr>
            <t xml:space="preserve"> Portfolio-level strategic, financial and regulatory trade-offs
</t>
          </r>
          <r>
            <rPr>
              <rFont val="Calibri"/>
              <b val="1"/>
              <sz val="10"/>
            </rPr>
            <t>Decisions:</t>
          </r>
          <r>
            <rPr>
              <rFont val="Calibri"/>
              <sz val="10"/>
            </rPr>
            <t xml:space="preserve"> Sets direction across business lines
</t>
          </r>
          <r>
            <rPr>
              <rFont val="Calibri"/>
              <b val="1"/>
              <sz val="10"/>
            </rPr>
            <t>Answers for:</t>
          </r>
          <r>
            <rPr>
              <rFont val="Calibri"/>
              <sz val="10"/>
            </rPr>
            <t xml:space="preserve"> Multi-business results
</t>
          </r>
          <r>
            <rPr>
              <rFont val="Calibri"/>
              <b val="1"/>
              <sz val="10"/>
            </rPr>
            <t>Leadership:</t>
          </r>
          <r>
            <rPr>
              <rFont val="Calibri"/>
              <sz val="10"/>
            </rPr>
            <t xml:space="preserve"> Builds the leadership team across businesses</t>
          </r>
        </is>
      </c>
      <c r="P64" s="12" t="inlineStr">
        <is>
          <t>18–24 yrs
Postgraduate / professional qualification preferred</t>
        </is>
      </c>
      <c r="Q64" s="12" t="inlineStr">
        <is>
          <t>Core 5 · Future-ready 4 · Functional 4 · Leadership 5
★ Strategic Thinking &amp; Business Acumen · People Leadership &amp; Mentoring</t>
        </is>
      </c>
      <c r="R64" s="12" t="inlineStr">
        <is>
          <t>Integrate enterprise or business outcomes. Includes: Business-unit, enterprise and exceptional expert mandates. Excludes: A generic promotion destination without a new accountable role.</t>
        </is>
      </c>
      <c r="S64" s="12" t="inlineStr">
        <is>
          <r>
            <rPr>
              <rFont val="Calibri"/>
              <b val="1"/>
              <sz val="10"/>
            </rPr>
            <t>Comparable stage:</t>
          </r>
          <r>
            <rPr>
              <rFont val="Calibri"/>
              <sz val="10"/>
            </rPr>
            <t xml:space="preserve"> EX01 · Business Unit Head / General Manager
Own integrated commercial, operational, financial and risk outcomes for a defined business
</t>
          </r>
          <r>
            <rPr>
              <rFont val="Calibri"/>
              <b val="1"/>
              <sz val="10"/>
            </rPr>
            <t>Ready when:</t>
          </r>
          <r>
            <rPr>
              <rFont val="Calibri"/>
              <sz val="10"/>
            </rPr>
            <t xml:space="preserve"> A transition from functional leadership; size and delegated P&amp;L/resource mandate determine level.</t>
          </r>
        </is>
      </c>
      <c r="T64" s="12" t="inlineStr">
        <is>
          <t>Radford / Mercer E3–E4 · SFIA 7 Set strategy
IRIS Vs Market Benchmark — Aon Radford / Mercer executive codes: E3–E4 SVP · IRIS Vs Competitor Benchmark — regtech / SaaS executive titles: SVP</t>
        </is>
      </c>
      <c r="U64" s="12" t="inlineStr">
        <is>
          <t>E1 · —</t>
        </is>
      </c>
      <c r="V64" s="12" t="inlineStr">
        <is>
          <t>Framework only · fewer than 3 answered</t>
        </is>
      </c>
    </row>
    <row r="65" ht="80" customHeight="1">
      <c r="A65" s="90" t="inlineStr">
        <is>
          <t>RC-092</t>
        </is>
      </c>
      <c r="B65" s="12" t="inlineStr">
        <is>
          <t>Executive Leadership</t>
        </is>
      </c>
      <c r="C65" s="12" t="inlineStr">
        <is>
          <t>Enterprise Leadership</t>
        </is>
      </c>
      <c r="D65" s="32" t="inlineStr">
        <is>
          <t>E1</t>
        </is>
      </c>
      <c r="E65" s="33" t="inlineStr">
        <is>
          <t>CXO / President</t>
        </is>
      </c>
      <c r="F65" s="12" t="inlineStr">
        <is>
          <t>Manager</t>
        </is>
      </c>
      <c r="G65" s="12" t="inlineStr">
        <is>
          <t>Chief Revenue Officer · Chief Financial Officer · Chief Operating Officer · Chief Technology Officer</t>
        </is>
      </c>
      <c r="H65" s="12" t="inlineStr">
        <is>
          <t>Dixit Jasani</t>
        </is>
      </c>
      <c r="I65" s="12" t="inlineStr">
        <is>
          <t>CRO - Carbon</t>
        </is>
      </c>
      <c r="J65" s="12" t="inlineStr">
        <is>
          <t>Sets enterprise strategy; leads the executive team. At E1: an enterprise-wide function.</t>
        </is>
      </c>
      <c r="K65" s="12" t="inlineStr">
        <is>
          <t>Sets enterprise strategy; leads the executive team; Enterprise-level functional strategy; Enterprise-wide functional results</t>
        </is>
      </c>
      <c r="L65" s="12" t="inlineStr">
        <is>
          <t>Sets enterprise priorities for the function</t>
        </is>
      </c>
      <c r="M65" s="12" t="inlineStr">
        <is>
          <t>—</t>
        </is>
      </c>
      <c r="N65" s="12" t="inlineStr">
        <is>
          <r>
            <rPr>
              <rFont val="Calibri"/>
              <b val="1"/>
              <sz val="10"/>
            </rPr>
            <t>Skills:</t>
          </r>
          <r>
            <rPr>
              <rFont val="Calibri"/>
              <sz val="10"/>
            </rPr>
            <t xml:space="preserve"> Management · Sales</t>
          </r>
        </is>
      </c>
      <c r="O65" s="12" t="inlineStr">
        <is>
          <r>
            <rPr>
              <rFont val="Calibri"/>
              <b val="1"/>
              <sz val="10"/>
            </rPr>
            <t>Owns:</t>
          </r>
          <r>
            <rPr>
              <rFont val="Calibri"/>
              <sz val="10"/>
            </rPr>
            <t xml:space="preserve"> An enterprise-wide function
</t>
          </r>
          <r>
            <rPr>
              <rFont val="Calibri"/>
              <b val="1"/>
              <sz val="10"/>
            </rPr>
            <t>Complexity:</t>
          </r>
          <r>
            <rPr>
              <rFont val="Calibri"/>
              <sz val="10"/>
            </rPr>
            <t xml:space="preserve"> Enterprise-level functional strategy
</t>
          </r>
          <r>
            <rPr>
              <rFont val="Calibri"/>
              <b val="1"/>
              <sz val="10"/>
            </rPr>
            <t>Decisions:</t>
          </r>
          <r>
            <rPr>
              <rFont val="Calibri"/>
              <sz val="10"/>
            </rPr>
            <t xml:space="preserve"> Sets enterprise priorities for the function
</t>
          </r>
          <r>
            <rPr>
              <rFont val="Calibri"/>
              <b val="1"/>
              <sz val="10"/>
            </rPr>
            <t>Answers for:</t>
          </r>
          <r>
            <rPr>
              <rFont val="Calibri"/>
              <sz val="10"/>
            </rPr>
            <t xml:space="preserve"> Enterprise-wide functional results
</t>
          </r>
          <r>
            <rPr>
              <rFont val="Calibri"/>
              <b val="1"/>
              <sz val="10"/>
            </rPr>
            <t>Leadership:</t>
          </r>
          <r>
            <rPr>
              <rFont val="Calibri"/>
              <sz val="10"/>
            </rPr>
            <t xml:space="preserve"> Shapes enterprise strategy</t>
          </r>
        </is>
      </c>
      <c r="P65" s="12" t="inlineStr">
        <is>
          <t>20+ yrs
Postgraduate / professional qualification; business leadership record</t>
        </is>
      </c>
      <c r="Q65" s="12" t="inlineStr">
        <is>
          <t>Core 5 · Future-ready 5 · Functional 4 · Leadership 5
★ Strategic Thinking &amp; Business Acumen · People Leadership &amp; Mentoring</t>
        </is>
      </c>
      <c r="R65" s="12" t="inlineStr">
        <is>
          <t>Integrate enterprise or business outcomes. Includes: Business-unit, enterprise and exceptional expert mandates. Excludes: A generic promotion destination without a new accountable role.</t>
        </is>
      </c>
      <c r="S65" s="12" t="inlineStr">
        <is>
          <r>
            <rPr>
              <rFont val="Calibri"/>
              <b val="1"/>
              <sz val="10"/>
            </rPr>
            <t>Comparable stage:</t>
          </r>
          <r>
            <rPr>
              <rFont val="Calibri"/>
              <sz val="10"/>
            </rPr>
            <t xml:space="preserve"> EX02 · President / Chief Operating Officer
Own enterprise operating strategy and cross-functional resource trade-offs
</t>
          </r>
          <r>
            <rPr>
              <rFont val="Calibri"/>
              <b val="1"/>
              <sz val="10"/>
            </rPr>
            <t>Ready when:</t>
          </r>
          <r>
            <rPr>
              <rFont val="Calibri"/>
              <sz val="10"/>
            </rPr>
            <t xml:space="preserve"> CEO, president and COO are alternative mandates; no compulsory intermediate title.</t>
          </r>
        </is>
      </c>
      <c r="T65" s="12" t="inlineStr">
        <is>
          <t>Radford / Mercer E5 · SFIA 7
IRIS Vs Market Benchmark — Aon Radford / Mercer executive codes: E5 C-level · functional · IRIS Vs Competitor Benchmark — regtech / SaaS executive titles: CTO · CFO · CRO · CCO · COO</t>
        </is>
      </c>
      <c r="U65" s="12" t="inlineStr">
        <is>
          <t>E2 · —</t>
        </is>
      </c>
      <c r="V65" s="12" t="inlineStr">
        <is>
          <t>Framework only · fewer than 3 answered</t>
        </is>
      </c>
    </row>
    <row r="66">
      <c r="A66" s="89" t="inlineStr">
        <is>
          <t>Marketing &amp; Communications</t>
        </is>
      </c>
    </row>
    <row r="67" ht="119" customHeight="1">
      <c r="A67" s="90" t="inlineStr">
        <is>
          <t>RC-111</t>
        </is>
      </c>
      <c r="B67" s="12" t="inlineStr">
        <is>
          <t>Marketing &amp; Communications</t>
        </is>
      </c>
      <c r="C67" s="12" t="inlineStr">
        <is>
          <t>Content Marketing</t>
        </is>
      </c>
      <c r="D67" s="16" t="inlineStr">
        <is>
          <t>A2</t>
        </is>
      </c>
      <c r="E67" s="17" t="inlineStr">
        <is>
          <t>Associate</t>
        </is>
      </c>
      <c r="F67" s="12" t="inlineStr">
        <is>
          <t>IC</t>
        </is>
      </c>
      <c r="G67" s="12" t="inlineStr">
        <is>
          <t>Content Marketing Associate</t>
        </is>
      </c>
      <c r="H67" s="12" t="inlineStr">
        <is>
          <t>Aakansha Gupta, Jatin Khare, Rimsha Khan, Shubhangi Sharma</t>
        </is>
      </c>
      <c r="I67" s="12" t="inlineStr">
        <is>
          <t>Marketing</t>
        </is>
      </c>
      <c r="J67" s="12" t="inlineStr">
        <is>
          <r>
            <rPr>
              <rFont val="Calibri"/>
              <sz val="10"/>
            </rPr>
            <t xml:space="preserve">Writes blogs, web copy, collateral and social content. At A2: standard work delivered independently.
</t>
          </r>
          <r>
            <rPr>
              <rFont val="Calibri"/>
              <b val="1"/>
              <sz val="10"/>
            </rPr>
            <t>Common themes in role-holders' answers:</t>
          </r>
          <r>
            <rPr>
              <rFont val="Calibri"/>
              <sz val="10"/>
            </rPr>
            <t xml:space="preserve"> content · marketing · leads · generate · management · creation</t>
          </r>
        </is>
      </c>
      <c r="K67" s="12" t="inlineStr">
        <is>
          <r>
            <rPr>
              <rFont val="Calibri"/>
              <sz val="10"/>
            </rPr>
            <t xml:space="preserve">Writes blogs, web copy, collateral and social content; Standard work of the discipline; Own deliverables · accuracy, TAT
</t>
          </r>
          <r>
            <rPr>
              <rFont val="Calibri"/>
              <b val="1"/>
              <sz val="10"/>
            </rPr>
            <t>Common themes in role-holders' answers:</t>
          </r>
          <r>
            <rPr>
              <rFont val="Calibri"/>
              <sz val="10"/>
            </rPr>
            <t xml:space="preserve"> content · blogs · week · campaign</t>
          </r>
        </is>
      </c>
      <c r="L67" s="12" t="inlineStr">
        <is>
          <t>Chooses own approach within standards</t>
        </is>
      </c>
      <c r="M67" s="12" t="inlineStr">
        <is>
          <t>—</t>
        </is>
      </c>
      <c r="N67" s="12" t="inlineStr">
        <is>
          <r>
            <rPr>
              <rFont val="Calibri"/>
              <b val="1"/>
              <sz val="10"/>
            </rPr>
            <t>Skills:</t>
          </r>
          <r>
            <rPr>
              <rFont val="Calibri"/>
              <sz val="10"/>
            </rPr>
            <t xml:space="preserve"> Marketing · Research skills
</t>
          </r>
          <r>
            <rPr>
              <rFont val="Calibri"/>
              <b val="1"/>
              <sz val="10"/>
            </rPr>
            <t>Tools:</t>
          </r>
          <r>
            <rPr>
              <rFont val="Calibri"/>
              <sz val="10"/>
            </rPr>
            <t xml:space="preserve"> Canva · Hubspot · Semrush · Buffer</t>
          </r>
        </is>
      </c>
      <c r="O67"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67" s="12" t="inlineStr">
        <is>
          <t>0–2 yrs
Graduate · or diploma with experience</t>
        </is>
      </c>
      <c r="Q67" s="12" t="inlineStr">
        <is>
          <t>Core 2 · Future-ready 2 · Functional 2 · Leadership —
★ Marketing Tech &amp; Digital Marketing · Communication &amp; Presentation</t>
        </is>
      </c>
      <c r="R67" s="12" t="inlineStr">
        <is>
          <t>Create market understanding, demand and reputation. Includes: Content, demand, digital, product marketing, operations and communications. Excludes: Account closing; product UX design.</t>
        </is>
      </c>
      <c r="S67" s="12" t="inlineStr">
        <is>
          <r>
            <rPr>
              <rFont val="Calibri"/>
              <b val="1"/>
              <sz val="10"/>
            </rPr>
            <t>Comparable stage:</t>
          </r>
          <r>
            <rPr>
              <rFont val="Calibri"/>
              <sz val="10"/>
            </rPr>
            <t xml:space="preserve"> MKT01-1 · Content Associate
</t>
          </r>
          <r>
            <rPr>
              <rFont val="Calibri"/>
              <b val="1"/>
              <sz val="10"/>
            </rPr>
            <t>Complete defined parts under review:</t>
          </r>
          <r>
            <rPr>
              <rFont val="Calibri"/>
              <sz val="10"/>
            </rPr>
            <t xml:space="preserve"> produce accurate content for an identified audience and purpose.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content portfolio with source accuracy, audience fit and measured qualified engagement</t>
          </r>
        </is>
      </c>
      <c r="T67" s="12" t="inlineStr">
        <is>
          <t>Radford / Mercer P1–P2 · SFIA 2 Assist
IRIS Vs Market Benchmark — CIM proficiency scale: 2 Active learner · IRIS Vs Competitor Benchmark — SaaS marketing ladder: Marketing Associate</t>
        </is>
      </c>
      <c r="U67" s="12" t="inlineStr">
        <is>
          <t>A3 · Senior Associate</t>
        </is>
      </c>
      <c r="V67" s="12" t="inlineStr">
        <is>
          <t>Framework + role-holders' themes · 3+ answered</t>
        </is>
      </c>
    </row>
    <row r="68" ht="119" customHeight="1">
      <c r="A68" s="90" t="inlineStr">
        <is>
          <t>RC-112</t>
        </is>
      </c>
      <c r="B68" s="12" t="inlineStr">
        <is>
          <t>Marketing &amp; Communications</t>
        </is>
      </c>
      <c r="C68" s="12" t="inlineStr">
        <is>
          <t>Content Marketing</t>
        </is>
      </c>
      <c r="D68" s="16" t="inlineStr">
        <is>
          <t>A3</t>
        </is>
      </c>
      <c r="E68" s="17" t="inlineStr">
        <is>
          <t>Senior Associate</t>
        </is>
      </c>
      <c r="F68" s="12" t="inlineStr">
        <is>
          <t>IC</t>
        </is>
      </c>
      <c r="G68" s="12" t="inlineStr">
        <is>
          <t>Senior Content Marketing Associate</t>
        </is>
      </c>
      <c r="H68" s="12" t="inlineStr">
        <is>
          <t>Alisha Sheikh</t>
        </is>
      </c>
      <c r="I68" s="12" t="inlineStr">
        <is>
          <t>Marketing</t>
        </is>
      </c>
      <c r="J68" s="12" t="inlineStr">
        <is>
          <r>
            <rPr>
              <rFont val="Calibri"/>
              <sz val="10"/>
            </rPr>
            <t xml:space="preserve">Writes blogs, web copy, collateral and social content. At A3: varied work; reviews juniors; go-to for a process.
</t>
          </r>
          <r>
            <rPr>
              <rFont val="Calibri"/>
              <b val="1"/>
              <sz val="10"/>
            </rPr>
            <t>Common themes in sub-family holders, all levels' answers:</t>
          </r>
          <r>
            <rPr>
              <rFont val="Calibri"/>
              <sz val="10"/>
            </rPr>
            <t xml:space="preserve"> content · creation · brand · marketing · leads · through</t>
          </r>
        </is>
      </c>
      <c r="K68" s="12" t="inlineStr">
        <is>
          <r>
            <rPr>
              <rFont val="Calibri"/>
              <sz val="10"/>
            </rPr>
            <t xml:space="preserve">Writes blogs, web copy, collateral and social content; Varied and non-standard work; handles exceptions; A module / process, or work with client or regulatory consequences
</t>
          </r>
          <r>
            <rPr>
              <rFont val="Calibri"/>
              <b val="1"/>
              <sz val="10"/>
            </rPr>
            <t>Common themes in sub-family holders, all levels' answers:</t>
          </r>
          <r>
            <rPr>
              <rFont val="Calibri"/>
              <sz val="10"/>
            </rPr>
            <t xml:space="preserve"> content · blogs · week · research · campaign · assets</t>
          </r>
        </is>
      </c>
      <c r="L68" s="12" t="inlineStr">
        <is>
          <r>
            <rPr>
              <rFont val="Calibri"/>
              <sz val="10"/>
            </rPr>
            <t xml:space="preserve">Technical / QC / client calls on own work
</t>
          </r>
          <r>
            <rPr>
              <rFont val="Calibri"/>
              <b val="1"/>
              <sz val="10"/>
            </rPr>
            <t>Common themes in sub-family holders, all levels' answers:</t>
          </r>
          <r>
            <rPr>
              <rFont val="Calibri"/>
              <sz val="10"/>
            </rPr>
            <t xml:space="preserve"> seo · blogs · content</t>
          </r>
        </is>
      </c>
      <c r="M68" s="12" t="inlineStr">
        <is>
          <t>—</t>
        </is>
      </c>
      <c r="N68" s="12" t="inlineStr">
        <is>
          <r>
            <rPr>
              <rFont val="Calibri"/>
              <b val="1"/>
              <sz val="10"/>
            </rPr>
            <t>Skills:</t>
          </r>
          <r>
            <rPr>
              <rFont val="Calibri"/>
              <sz val="10"/>
            </rPr>
            <t xml:space="preserve"> Marketing · Research skills · Content strategy · Copywriting
</t>
          </r>
          <r>
            <rPr>
              <rFont val="Calibri"/>
              <b val="1"/>
              <sz val="10"/>
            </rPr>
            <t>Tools:</t>
          </r>
          <r>
            <rPr>
              <rFont val="Calibri"/>
              <sz val="10"/>
            </rPr>
            <t xml:space="preserve"> Semrush · Google Analytics · Canva · Hubspot · Buffer · Claude</t>
          </r>
        </is>
      </c>
      <c r="O68"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68" s="12" t="inlineStr">
        <is>
          <t>2–4 yrs
Graduate; relevant certification preferred</t>
        </is>
      </c>
      <c r="Q68" s="12" t="inlineStr">
        <is>
          <t>Core 2 · Future-ready 2 · Functional 3 · Leadership —
★ Marketing Tech &amp; Digital Marketing · Communication &amp; Presentation</t>
        </is>
      </c>
      <c r="R68" s="12" t="inlineStr">
        <is>
          <t>Create market understanding, demand and reputation. Includes: Content, demand, digital, product marketing, operations and communications. Excludes: Account closing; product UX design.</t>
        </is>
      </c>
      <c r="S68" s="12" t="inlineStr">
        <is>
          <r>
            <rPr>
              <rFont val="Calibri"/>
              <b val="1"/>
              <sz val="10"/>
            </rPr>
            <t>Comparable stage:</t>
          </r>
          <r>
            <rPr>
              <rFont val="Calibri"/>
              <sz val="10"/>
            </rPr>
            <t xml:space="preserve"> MKT01-2 · Content Marketing Specialist
Produce accurate content for an identified audience and purpose.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content portfolio with source accuracy, audience fit and measured qualified engagement</t>
          </r>
        </is>
      </c>
      <c r="T68" s="12" t="inlineStr">
        <is>
          <t>Radford / Mercer P2 · SFIA 3 Apply
IRIS Vs Market Benchmark — CIM proficiency scale: 2–3 · IRIS Vs Competitor Benchmark — SaaS marketing ladder: Marketing Specialist</t>
        </is>
      </c>
      <c r="U68" s="12" t="inlineStr">
        <is>
          <t>B1 · Specialist</t>
        </is>
      </c>
      <c r="V68" s="12" t="inlineStr">
        <is>
          <t>Framework + sub-family themes · 3+ answered</t>
        </is>
      </c>
    </row>
    <row r="69" ht="132" customHeight="1">
      <c r="A69" s="90" t="inlineStr">
        <is>
          <t>RC-114</t>
        </is>
      </c>
      <c r="B69" s="12" t="inlineStr">
        <is>
          <t>Marketing &amp; Communications</t>
        </is>
      </c>
      <c r="C69" s="12" t="inlineStr">
        <is>
          <t>Demand Generation, Brand &amp; Events</t>
        </is>
      </c>
      <c r="D69" s="16" t="inlineStr">
        <is>
          <t>A2</t>
        </is>
      </c>
      <c r="E69" s="17" t="inlineStr">
        <is>
          <t>Associate</t>
        </is>
      </c>
      <c r="F69" s="12" t="inlineStr">
        <is>
          <t>IC</t>
        </is>
      </c>
      <c r="G69" s="12" t="inlineStr">
        <is>
          <t>Marketing Associate</t>
        </is>
      </c>
      <c r="H69" s="12" t="inlineStr">
        <is>
          <t>Aashima Singh</t>
        </is>
      </c>
      <c r="I69" s="12" t="inlineStr">
        <is>
          <t>Marketing</t>
        </is>
      </c>
      <c r="J69" s="12" t="inlineStr">
        <is>
          <r>
            <rPr>
              <rFont val="Calibri"/>
              <sz val="10"/>
            </rPr>
            <t xml:space="preserve">Runs demand-gen campaigns, brand, PR/analyst relations, partner marketing and events. At A2: standard work delivered independently.
</t>
          </r>
          <r>
            <rPr>
              <rFont val="Calibri"/>
              <b val="1"/>
              <sz val="10"/>
            </rPr>
            <t>Common themes in sub-family holders, all levels' answers:</t>
          </r>
          <r>
            <rPr>
              <rFont val="Calibri"/>
              <sz val="10"/>
            </rPr>
            <t xml:space="preserve"> iris · management · gtm · drive · initiatives · growth</t>
          </r>
        </is>
      </c>
      <c r="K69" s="12" t="inlineStr">
        <is>
          <r>
            <rPr>
              <rFont val="Calibri"/>
              <sz val="10"/>
            </rPr>
            <t xml:space="preserve">Runs demand-gen campaigns, brand, PR/analyst relations, partner marketing and events; Standard work of the discipline; Own deliverables · accuracy, TAT
</t>
          </r>
          <r>
            <rPr>
              <rFont val="Calibri"/>
              <b val="1"/>
              <sz val="10"/>
            </rPr>
            <t>Common themes in sub-family holders, all levels' answers:</t>
          </r>
          <r>
            <rPr>
              <rFont val="Calibri"/>
              <sz val="10"/>
            </rPr>
            <t xml:space="preserve"> event · management</t>
          </r>
        </is>
      </c>
      <c r="L69" s="12" t="inlineStr">
        <is>
          <r>
            <rPr>
              <rFont val="Calibri"/>
              <sz val="10"/>
            </rPr>
            <t xml:space="preserve">Chooses own approach within standards
</t>
          </r>
          <r>
            <rPr>
              <rFont val="Calibri"/>
              <b val="1"/>
              <sz val="10"/>
            </rPr>
            <t>Common themes in sub-family holders, all levels' answers:</t>
          </r>
          <r>
            <rPr>
              <rFont val="Calibri"/>
              <sz val="10"/>
            </rPr>
            <t xml:space="preserve"> strategy</t>
          </r>
        </is>
      </c>
      <c r="M69" s="12" t="inlineStr">
        <is>
          <t>—</t>
        </is>
      </c>
      <c r="N69" s="12" t="inlineStr">
        <is>
          <r>
            <rPr>
              <rFont val="Calibri"/>
              <b val="1"/>
              <sz val="10"/>
            </rPr>
            <t>Skills:</t>
          </r>
          <r>
            <rPr>
              <rFont val="Calibri"/>
              <sz val="10"/>
            </rPr>
            <t xml:space="preserve"> Marketing
</t>
          </r>
          <r>
            <rPr>
              <rFont val="Calibri"/>
              <b val="1"/>
              <sz val="10"/>
            </rPr>
            <t>Tools:</t>
          </r>
          <r>
            <rPr>
              <rFont val="Calibri"/>
              <sz val="10"/>
            </rPr>
            <t xml:space="preserve"> HubSpot · Claude</t>
          </r>
        </is>
      </c>
      <c r="O69"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69" s="12" t="inlineStr">
        <is>
          <t>0–2 yrs
Graduate · or diploma with experience</t>
        </is>
      </c>
      <c r="Q69" s="12" t="inlineStr">
        <is>
          <t>Core 2 · Future-ready 2 · Functional 2 · Leadership —
★ Marketing Tech &amp; Digital Marketing · Communication &amp; Presentation</t>
        </is>
      </c>
      <c r="R69" s="12" t="inlineStr">
        <is>
          <t>Create market understanding, demand and reputation. Includes: Content, demand, digital, product marketing, operations and communications. Excludes: Account closing; product UX design.</t>
        </is>
      </c>
      <c r="S69" s="12" t="inlineStr">
        <is>
          <r>
            <rPr>
              <rFont val="Calibri"/>
              <b val="1"/>
              <sz val="10"/>
            </rPr>
            <t>Comparable stage:</t>
          </r>
          <r>
            <rPr>
              <rFont val="Calibri"/>
              <sz val="10"/>
            </rPr>
            <t xml:space="preserve"> MKT03-1 · Campaign Coordinator
</t>
          </r>
          <r>
            <rPr>
              <rFont val="Calibri"/>
              <b val="1"/>
              <sz val="10"/>
            </rPr>
            <t>Complete defined parts under review:</t>
          </r>
          <r>
            <rPr>
              <rFont val="Calibri"/>
              <sz val="10"/>
            </rPr>
            <t xml:space="preserve"> deliver integrated campaigns within agreed budgets and audience plans.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campaign with documented audience, budget, qualified-pipeline contribution and learning</t>
          </r>
        </is>
      </c>
      <c r="T69" s="12" t="inlineStr">
        <is>
          <t>Radford / Mercer P1–P2 · SFIA 2 Assist
IRIS Vs Market Benchmark — CIM proficiency scale: 2 Active learner · IRIS Vs Competitor Benchmark — SaaS marketing ladder: Marketing Associate</t>
        </is>
      </c>
      <c r="U69" s="12" t="inlineStr">
        <is>
          <t>A3 · Senior Associate</t>
        </is>
      </c>
      <c r="V69" s="12" t="inlineStr">
        <is>
          <t>Framework + sub-family themes · 3+ answered</t>
        </is>
      </c>
    </row>
    <row r="70" ht="119" customHeight="1">
      <c r="A70" s="90" t="inlineStr">
        <is>
          <t>RC-115</t>
        </is>
      </c>
      <c r="B70" s="12" t="inlineStr">
        <is>
          <t>Marketing &amp; Communications</t>
        </is>
      </c>
      <c r="C70" s="12" t="inlineStr">
        <is>
          <t>Demand Generation, Brand &amp; Events</t>
        </is>
      </c>
      <c r="D70" s="20" t="inlineStr">
        <is>
          <t>B2</t>
        </is>
      </c>
      <c r="E70" s="21" t="inlineStr">
        <is>
          <t>Senior Specialist</t>
        </is>
      </c>
      <c r="F70" s="12" t="inlineStr">
        <is>
          <t>IC</t>
        </is>
      </c>
      <c r="G70" s="12" t="inlineStr">
        <is>
          <t>Senior Marketing Specialist – POD Lead</t>
        </is>
      </c>
      <c r="H70" s="12" t="inlineStr">
        <is>
          <t>Sudipta Kundu</t>
        </is>
      </c>
      <c r="I70" s="12" t="inlineStr">
        <is>
          <t>Marketing</t>
        </is>
      </c>
      <c r="J70" s="12" t="inlineStr">
        <is>
          <r>
            <rPr>
              <rFont val="Calibri"/>
              <sz val="10"/>
            </rPr>
            <t xml:space="preserve">Runs demand-gen campaigns, brand, PR/analyst relations, partner marketing and events. At B2: deep domain expertise, or one team.
</t>
          </r>
          <r>
            <rPr>
              <rFont val="Calibri"/>
              <b val="1"/>
              <sz val="10"/>
            </rPr>
            <t>Common themes in sub-family holders, all levels' answers:</t>
          </r>
          <r>
            <rPr>
              <rFont val="Calibri"/>
              <sz val="10"/>
            </rPr>
            <t xml:space="preserve"> iris · management · gtm · drive · initiatives · growth</t>
          </r>
        </is>
      </c>
      <c r="K70" s="12" t="inlineStr">
        <is>
          <r>
            <rPr>
              <rFont val="Calibri"/>
              <sz val="10"/>
            </rPr>
            <t xml:space="preserve">Runs demand-gen campaigns, brand, PR/analyst relations, partner marketing and events; Hardest problems in the domain; One team or a client portfolio
</t>
          </r>
          <r>
            <rPr>
              <rFont val="Calibri"/>
              <b val="1"/>
              <sz val="10"/>
            </rPr>
            <t>Common themes in sub-family holders, all levels' answers:</t>
          </r>
          <r>
            <rPr>
              <rFont val="Calibri"/>
              <sz val="10"/>
            </rPr>
            <t xml:space="preserve"> event · management</t>
          </r>
        </is>
      </c>
      <c r="L70" s="12" t="inlineStr">
        <is>
          <r>
            <rPr>
              <rFont val="Calibri"/>
              <sz val="10"/>
            </rPr>
            <t xml:space="preserve">Allocates people and sets team priorities
</t>
          </r>
          <r>
            <rPr>
              <rFont val="Calibri"/>
              <b val="1"/>
              <sz val="10"/>
            </rPr>
            <t>Common themes in sub-family holders, all levels' answers:</t>
          </r>
          <r>
            <rPr>
              <rFont val="Calibri"/>
              <sz val="10"/>
            </rPr>
            <t xml:space="preserve"> strategy</t>
          </r>
        </is>
      </c>
      <c r="M70" s="12" t="inlineStr">
        <is>
          <t>—</t>
        </is>
      </c>
      <c r="N70" s="12" t="inlineStr">
        <is>
          <r>
            <rPr>
              <rFont val="Calibri"/>
              <b val="1"/>
              <sz val="10"/>
            </rPr>
            <t>Skills:</t>
          </r>
          <r>
            <rPr>
              <rFont val="Calibri"/>
              <sz val="10"/>
            </rPr>
            <t xml:space="preserve"> Marketing
</t>
          </r>
          <r>
            <rPr>
              <rFont val="Calibri"/>
              <b val="1"/>
              <sz val="10"/>
            </rPr>
            <t>Tools:</t>
          </r>
          <r>
            <rPr>
              <rFont val="Calibri"/>
              <sz val="10"/>
            </rPr>
            <t xml:space="preserve"> HubSpot · Claude</t>
          </r>
        </is>
      </c>
      <c r="O70"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70" s="12" t="inlineStr">
        <is>
          <t>6–9 yrs
Graduate or postgraduate; professional qualification preferred</t>
        </is>
      </c>
      <c r="Q70" s="12" t="inlineStr">
        <is>
          <t>Core 3 · Future-ready 3 · Functional 4 · Leadership 2
★ Marketing Tech &amp; Digital Marketing · Communication &amp; Presentation</t>
        </is>
      </c>
      <c r="R70" s="12" t="inlineStr">
        <is>
          <t>Create market understanding, demand and reputation. Includes: Content, demand, digital, product marketing, operations and communications. Excludes: Account closing; product UX design.</t>
        </is>
      </c>
      <c r="S70" s="12" t="inlineStr">
        <is>
          <r>
            <rPr>
              <rFont val="Calibri"/>
              <b val="1"/>
              <sz val="10"/>
            </rPr>
            <t>Comparable stage:</t>
          </r>
          <r>
            <rPr>
              <rFont val="Calibri"/>
              <sz val="10"/>
            </rPr>
            <t xml:space="preserve"> MKT03-3 · Senior Campaign Manager
Own channel-mix trade-offs and qualified-pipeline outcomes.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campaign with documented audience, budget, qualified-pipeline contribution and learning</t>
          </r>
        </is>
      </c>
      <c r="T70" s="12" t="inlineStr">
        <is>
          <t>Radford / Mercer P4 / M3 · SFIA 4–5
IRIS Vs Market Benchmark — CIM proficiency scale: 3–4 · IRIS Vs Competitor Benchmark — SaaS marketing ladder: Marketing Manager</t>
        </is>
      </c>
      <c r="U70" s="12" t="inlineStr">
        <is>
          <t>B3 · Lead Specialist</t>
        </is>
      </c>
      <c r="V70" s="12" t="inlineStr">
        <is>
          <t>Framework + sub-family themes · 3+ answered</t>
        </is>
      </c>
    </row>
    <row r="71" ht="93" customHeight="1">
      <c r="A71" s="90" t="inlineStr">
        <is>
          <t>RC-116</t>
        </is>
      </c>
      <c r="B71" s="12" t="inlineStr">
        <is>
          <t>Marketing &amp; Communications</t>
        </is>
      </c>
      <c r="C71" s="12" t="inlineStr">
        <is>
          <t>Demand Generation, Brand &amp; Events</t>
        </is>
      </c>
      <c r="D71" s="20" t="inlineStr">
        <is>
          <t>B2</t>
        </is>
      </c>
      <c r="E71" s="21" t="inlineStr">
        <is>
          <t>Manager</t>
        </is>
      </c>
      <c r="F71" s="12" t="inlineStr">
        <is>
          <t>Manager</t>
        </is>
      </c>
      <c r="G71" s="12" t="inlineStr">
        <is>
          <t>Marketing Manager</t>
        </is>
      </c>
      <c r="H71" s="12" t="inlineStr">
        <is>
          <t>Sobhan Pramanik</t>
        </is>
      </c>
      <c r="I71" s="12" t="inlineStr">
        <is>
          <t>Marketing</t>
        </is>
      </c>
      <c r="J71" s="12" t="inlineStr">
        <is>
          <r>
            <rPr>
              <rFont val="Calibri"/>
              <sz val="10"/>
            </rPr>
            <t xml:space="preserve">Runs demand-gen campaigns, brand, PR/analyst relations, partner marketing and events. At B2: deep domain expertise, or one team.
</t>
          </r>
          <r>
            <rPr>
              <rFont val="Calibri"/>
              <b val="1"/>
              <sz val="10"/>
            </rPr>
            <t>Common themes in sub-family holders, all levels' answers:</t>
          </r>
          <r>
            <rPr>
              <rFont val="Calibri"/>
              <sz val="10"/>
            </rPr>
            <t xml:space="preserve"> iris · management · gtm · drive · initiatives · growth</t>
          </r>
        </is>
      </c>
      <c r="K71" s="12" t="inlineStr">
        <is>
          <r>
            <rPr>
              <rFont val="Calibri"/>
              <sz val="10"/>
            </rPr>
            <t xml:space="preserve">Runs demand-gen campaigns, brand, PR/analyst relations, partner marketing and events; Hardest problems in the domain; One team or a client portfolio
</t>
          </r>
          <r>
            <rPr>
              <rFont val="Calibri"/>
              <b val="1"/>
              <sz val="10"/>
            </rPr>
            <t>Common themes in sub-family holders, all levels' answers:</t>
          </r>
          <r>
            <rPr>
              <rFont val="Calibri"/>
              <sz val="10"/>
            </rPr>
            <t xml:space="preserve"> event · management</t>
          </r>
        </is>
      </c>
      <c r="L71" s="12" t="inlineStr">
        <is>
          <r>
            <rPr>
              <rFont val="Calibri"/>
              <sz val="10"/>
            </rPr>
            <t xml:space="preserve">Allocates people and sets team priorities
</t>
          </r>
          <r>
            <rPr>
              <rFont val="Calibri"/>
              <b val="1"/>
              <sz val="10"/>
            </rPr>
            <t>Common themes in sub-family holders, all levels' answers:</t>
          </r>
          <r>
            <rPr>
              <rFont val="Calibri"/>
              <sz val="10"/>
            </rPr>
            <t xml:space="preserve"> strategy</t>
          </r>
        </is>
      </c>
      <c r="M71" s="12" t="inlineStr">
        <is>
          <t>—</t>
        </is>
      </c>
      <c r="N71" s="12" t="inlineStr">
        <is>
          <r>
            <rPr>
              <rFont val="Calibri"/>
              <b val="1"/>
              <sz val="10"/>
            </rPr>
            <t>Skills:</t>
          </r>
          <r>
            <rPr>
              <rFont val="Calibri"/>
              <sz val="10"/>
            </rPr>
            <t xml:space="preserve"> Marketing
</t>
          </r>
          <r>
            <rPr>
              <rFont val="Calibri"/>
              <b val="1"/>
              <sz val="10"/>
            </rPr>
            <t>Tools:</t>
          </r>
          <r>
            <rPr>
              <rFont val="Calibri"/>
              <sz val="10"/>
            </rPr>
            <t xml:space="preserve"> HubSpot · Claude</t>
          </r>
        </is>
      </c>
      <c r="O71"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71" s="12" t="inlineStr">
        <is>
          <t>6–9 yrs
Graduate or postgraduate; professional qualification preferred</t>
        </is>
      </c>
      <c r="Q71" s="12" t="inlineStr">
        <is>
          <t>Core 3 · Future-ready 3 · Functional 4 · Leadership 3
★ Marketing Tech &amp; Digital Marketing · Communication &amp; Presentation</t>
        </is>
      </c>
      <c r="R71" s="12" t="inlineStr">
        <is>
          <t>Create market understanding, demand and reputation. Includes: Content, demand, digital, product marketing, operations and communications. Excludes: Account closing; product UX design.</t>
        </is>
      </c>
      <c r="S71" s="12" t="inlineStr">
        <is>
          <r>
            <rPr>
              <rFont val="Calibri"/>
              <b val="1"/>
              <sz val="10"/>
            </rPr>
            <t>Comparable stage:</t>
          </r>
          <r>
            <rPr>
              <rFont val="Calibri"/>
              <sz val="10"/>
            </rPr>
            <t xml:space="preserve"> LD10-1 · Marketing Discipline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71" s="12" t="inlineStr">
        <is>
          <t>Radford / Mercer P4 / M3 · SFIA 4–5
IRIS Vs Market Benchmark — CIM proficiency scale: 3–4 · IRIS Vs Competitor Benchmark — SaaS marketing ladder: Marketing Manager</t>
        </is>
      </c>
      <c r="U71" s="12" t="inlineStr">
        <is>
          <t>B3 · Lead Specialist</t>
        </is>
      </c>
      <c r="V71" s="12" t="inlineStr">
        <is>
          <t>Framework + sub-family themes · 3+ answered</t>
        </is>
      </c>
    </row>
    <row r="72" ht="106" customHeight="1">
      <c r="A72" s="90" t="inlineStr">
        <is>
          <t>RC-117</t>
        </is>
      </c>
      <c r="B72" s="12" t="inlineStr">
        <is>
          <t>Marketing &amp; Communications</t>
        </is>
      </c>
      <c r="C72" s="12" t="inlineStr">
        <is>
          <t>Digital Marketing, Web &amp; Social</t>
        </is>
      </c>
      <c r="D72" s="16" t="inlineStr">
        <is>
          <t>A3</t>
        </is>
      </c>
      <c r="E72" s="17" t="inlineStr">
        <is>
          <t>Senior Associate</t>
        </is>
      </c>
      <c r="F72" s="12" t="inlineStr">
        <is>
          <t>IC</t>
        </is>
      </c>
      <c r="G72" s="12" t="inlineStr">
        <is>
          <t>Senior Digital Marketing Associate</t>
        </is>
      </c>
      <c r="H72" s="12" t="inlineStr">
        <is>
          <t>Danish Baksh</t>
        </is>
      </c>
      <c r="I72" s="12" t="inlineStr">
        <is>
          <t>Marketing</t>
        </is>
      </c>
      <c r="J72" s="12" t="inlineStr">
        <is>
          <t>Runs website, SEO/AEO, social media and online reputation. At A3: varied work; reviews juniors; go-to for a process.</t>
        </is>
      </c>
      <c r="K72" s="12" t="inlineStr">
        <is>
          <t>Runs website, SEO/AEO, social media and online reputation; Varied and non-standard work; handles exceptions; A module / process, or work with client or regulatory consequences</t>
        </is>
      </c>
      <c r="L72" s="12" t="inlineStr">
        <is>
          <t>Technical / QC / client calls on own work</t>
        </is>
      </c>
      <c r="M72" s="12" t="inlineStr">
        <is>
          <t>—</t>
        </is>
      </c>
      <c r="N72" s="12" t="inlineStr">
        <is>
          <r>
            <rPr>
              <rFont val="Calibri"/>
              <b val="1"/>
              <sz val="10"/>
            </rPr>
            <t>Skills:</t>
          </r>
          <r>
            <rPr>
              <rFont val="Calibri"/>
              <sz val="10"/>
            </rPr>
            <t xml:space="preserve"> Marketing</t>
          </r>
        </is>
      </c>
      <c r="O7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72" s="12" t="inlineStr">
        <is>
          <t>2–4 yrs
Graduate; relevant certification preferred</t>
        </is>
      </c>
      <c r="Q72" s="12" t="inlineStr">
        <is>
          <t>Core 2 · Future-ready 2 · Functional 3 · Leadership —
★ Marketing Tech &amp; Digital Marketing · Communication &amp; Presentation</t>
        </is>
      </c>
      <c r="R72" s="12" t="inlineStr">
        <is>
          <t>Create market understanding, demand and reputation. Includes: Content, demand, digital, product marketing, operations and communications. Excludes: Account closing; product UX design.</t>
        </is>
      </c>
      <c r="S72" s="12" t="inlineStr">
        <is>
          <r>
            <rPr>
              <rFont val="Calibri"/>
              <b val="1"/>
              <sz val="10"/>
            </rPr>
            <t>Comparable stage:</t>
          </r>
          <r>
            <rPr>
              <rFont val="Calibri"/>
              <sz val="10"/>
            </rPr>
            <t xml:space="preserve"> MKT04-2 · Digital Marketing Specialist
Run instrumented channel campaigns and search improvements.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channel experiment with trustworthy tracking and measurable conversion improvement</t>
          </r>
        </is>
      </c>
      <c r="T72" s="12" t="inlineStr">
        <is>
          <t>Radford / Mercer P2 · SFIA 3 Apply
IRIS Vs Market Benchmark — CIM proficiency scale: 2–3 · IRIS Vs Competitor Benchmark — SaaS marketing ladder: Marketing Specialist</t>
        </is>
      </c>
      <c r="U72" s="12" t="inlineStr">
        <is>
          <t>B1 · Specialist</t>
        </is>
      </c>
      <c r="V72" s="12" t="inlineStr">
        <is>
          <t>Framework only · fewer than 3 answered</t>
        </is>
      </c>
    </row>
    <row r="73" ht="93" customHeight="1">
      <c r="A73" s="90" t="inlineStr">
        <is>
          <t>RC-120</t>
        </is>
      </c>
      <c r="B73" s="12" t="inlineStr">
        <is>
          <t>Marketing &amp; Communications</t>
        </is>
      </c>
      <c r="C73" s="12" t="inlineStr">
        <is>
          <t>Marketing Leadership</t>
        </is>
      </c>
      <c r="D73" s="20" t="inlineStr">
        <is>
          <t>B3</t>
        </is>
      </c>
      <c r="E73" s="21" t="inlineStr">
        <is>
          <t>Senior Manager</t>
        </is>
      </c>
      <c r="F73" s="12" t="inlineStr">
        <is>
          <t>Manager</t>
        </is>
      </c>
      <c r="G73" s="12" t="inlineStr">
        <is>
          <t>Senior Marketing Manager</t>
        </is>
      </c>
      <c r="H73" s="12" t="inlineStr">
        <is>
          <t>Saahit Togaru</t>
        </is>
      </c>
      <c r="I73" s="12" t="inlineStr">
        <is>
          <t>Marketing</t>
        </is>
      </c>
      <c r="J73" s="12" t="inlineStr">
        <is>
          <t>Leads the marketing &amp; communications function. At B3: a practice, or several teams through team leads.</t>
        </is>
      </c>
      <c r="K73" s="12" t="inlineStr">
        <is>
          <t>Leads the marketing &amp; communications function; Sets standards for a practice; cross-team problems; Several teams or a practice</t>
        </is>
      </c>
      <c r="L73" s="12" t="inlineStr">
        <is>
          <t>Commercial / strategic calls for the unit</t>
        </is>
      </c>
      <c r="M73" s="12" t="inlineStr">
        <is>
          <t>—</t>
        </is>
      </c>
      <c r="N73" s="12" t="inlineStr">
        <is>
          <r>
            <rPr>
              <rFont val="Calibri"/>
              <b val="1"/>
              <sz val="10"/>
            </rPr>
            <t>Skills:</t>
          </r>
          <r>
            <rPr>
              <rFont val="Calibri"/>
              <sz val="10"/>
            </rPr>
            <t xml:space="preserve"> Marketing</t>
          </r>
        </is>
      </c>
      <c r="O73"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73" s="12" t="inlineStr">
        <is>
          <t>8–12 yrs
Postgraduate or professional qualification preferred</t>
        </is>
      </c>
      <c r="Q73" s="12" t="inlineStr">
        <is>
          <t>Core 4 · Future-ready 3 · Functional 4 · Leadership 4
★ Marketing Tech &amp; Digital Marketing · Communication &amp; Presentation</t>
        </is>
      </c>
      <c r="R73" s="12" t="inlineStr">
        <is>
          <t>Create market understanding, demand and reputation. Includes: Content, demand, digital, product marketing, operations and communications. Excludes: Account closing; product UX design.</t>
        </is>
      </c>
      <c r="S73" s="12" t="inlineStr">
        <is>
          <r>
            <rPr>
              <rFont val="Calibri"/>
              <b val="1"/>
              <sz val="10"/>
            </rPr>
            <t>Comparable stage:</t>
          </r>
          <r>
            <rPr>
              <rFont val="Calibri"/>
              <sz val="10"/>
            </rPr>
            <t xml:space="preserve"> LD10-1 · Marketing Discipline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73" s="12" t="inlineStr">
        <is>
          <t>Radford / Mercer P5 / M4 · SFIA 5 Ensure, advise
IRIS Vs Market Benchmark — CIM proficiency scale: 4 Accomplished · IRIS Vs Competitor Benchmark — SaaS marketing ladder: Senior Marketing Manager</t>
        </is>
      </c>
      <c r="U73" s="12" t="inlineStr">
        <is>
          <t>C1 · Principal · or B+ · Player-Coach transition step if leading people hands-on</t>
        </is>
      </c>
      <c r="V73" s="12" t="inlineStr">
        <is>
          <t>Framework only · fewer than 3 answered</t>
        </is>
      </c>
    </row>
    <row r="74" ht="106" customHeight="1">
      <c r="A74" s="90" t="inlineStr">
        <is>
          <t>RC-121</t>
        </is>
      </c>
      <c r="B74" s="12" t="inlineStr">
        <is>
          <t>Marketing &amp; Communications</t>
        </is>
      </c>
      <c r="C74" s="12" t="inlineStr">
        <is>
          <t>Marketing Operations &amp; Automation</t>
        </is>
      </c>
      <c r="D74" s="16" t="inlineStr">
        <is>
          <t>A2</t>
        </is>
      </c>
      <c r="E74" s="17" t="inlineStr">
        <is>
          <t>Associate</t>
        </is>
      </c>
      <c r="F74" s="12" t="inlineStr">
        <is>
          <t>IC</t>
        </is>
      </c>
      <c r="G74" s="12" t="inlineStr">
        <is>
          <t>Marketing Operations Associate</t>
        </is>
      </c>
      <c r="H74" s="12" t="inlineStr">
        <is>
          <t>Kaninika Kali, Ritam Mukhopadhyay, Vishal</t>
        </is>
      </c>
      <c r="I74" s="12" t="inlineStr">
        <is>
          <t>Marketing</t>
        </is>
      </c>
      <c r="J74" s="12" t="inlineStr">
        <is>
          <r>
            <rPr>
              <rFont val="Calibri"/>
              <sz val="10"/>
            </rPr>
            <t xml:space="preserve">Maintains CRM/ICP data, marketing automation, reporting and dashboards. At A2: standard work delivered independently.
</t>
          </r>
          <r>
            <rPr>
              <rFont val="Calibri"/>
              <b val="1"/>
              <sz val="10"/>
            </rPr>
            <t>Common themes in role-holders' answers:</t>
          </r>
          <r>
            <rPr>
              <rFont val="Calibri"/>
              <sz val="10"/>
            </rPr>
            <t xml:space="preserve"> maintaining · data · sdr · involves · lusha · upload</t>
          </r>
        </is>
      </c>
      <c r="K74" s="12" t="inlineStr">
        <is>
          <r>
            <rPr>
              <rFont val="Calibri"/>
              <sz val="10"/>
            </rPr>
            <t xml:space="preserve">Maintains CRM/ICP data, marketing automation, reporting and dashboards; Standard work of the discipline; Own deliverables · accuracy, TAT
</t>
          </r>
          <r>
            <rPr>
              <rFont val="Calibri"/>
              <b val="1"/>
              <sz val="10"/>
            </rPr>
            <t>Common themes in role-holders' answers:</t>
          </r>
          <r>
            <rPr>
              <rFont val="Calibri"/>
              <sz val="10"/>
            </rPr>
            <t xml:space="preserve"> hygiene · enrichment · data · hubspot</t>
          </r>
        </is>
      </c>
      <c r="L74" s="12" t="inlineStr">
        <is>
          <t>Chooses own approach within standards</t>
        </is>
      </c>
      <c r="M74" s="12" t="inlineStr">
        <is>
          <t>—</t>
        </is>
      </c>
      <c r="N74" s="12" t="inlineStr">
        <is>
          <r>
            <rPr>
              <rFont val="Calibri"/>
              <b val="1"/>
              <sz val="10"/>
            </rPr>
            <t>Skills:</t>
          </r>
          <r>
            <rPr>
              <rFont val="Calibri"/>
              <sz val="10"/>
            </rPr>
            <t xml:space="preserve"> Marketing · Hubspot · Ai
</t>
          </r>
          <r>
            <rPr>
              <rFont val="Calibri"/>
              <b val="1"/>
              <sz val="10"/>
            </rPr>
            <t>Tools:</t>
          </r>
          <r>
            <rPr>
              <rFont val="Calibri"/>
              <sz val="10"/>
            </rPr>
            <t xml:space="preserve"> Excel · HubSpot</t>
          </r>
        </is>
      </c>
      <c r="O74"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74" s="12" t="inlineStr">
        <is>
          <t>0–2 yrs
Graduate · or diploma with experience</t>
        </is>
      </c>
      <c r="Q74" s="12" t="inlineStr">
        <is>
          <t>Core 2 · Future-ready 2 · Functional 2 · Leadership —
★ Marketing Tech &amp; Digital Marketing · Communication &amp; Presentation</t>
        </is>
      </c>
      <c r="R74" s="12" t="inlineStr">
        <is>
          <t>Create market understanding, demand and reputation. Includes: Content, demand, digital, product marketing, operations and communications. Excludes: Account closing; product UX design.</t>
        </is>
      </c>
      <c r="S74" s="12" t="inlineStr">
        <is>
          <r>
            <rPr>
              <rFont val="Calibri"/>
              <b val="1"/>
              <sz val="10"/>
            </rPr>
            <t>Comparable stage:</t>
          </r>
          <r>
            <rPr>
              <rFont val="Calibri"/>
              <sz val="10"/>
            </rPr>
            <t xml:space="preserve"> MKT02-1 · Marketing Operations Associate
</t>
          </r>
          <r>
            <rPr>
              <rFont val="Calibri"/>
              <b val="1"/>
              <sz val="10"/>
            </rPr>
            <t>Complete defined parts under review:</t>
          </r>
          <r>
            <rPr>
              <rFont val="Calibri"/>
              <sz val="10"/>
            </rPr>
            <t xml:space="preserve"> operate clean crm/automation flows with reliable tracking.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An automated journey with consent controls, data reconciliation and conversion analysis</t>
          </r>
        </is>
      </c>
      <c r="T74" s="12" t="inlineStr">
        <is>
          <t>Radford / Mercer P1–P2 · SFIA 2 Assist
IRIS Vs Market Benchmark — CIM proficiency scale: 2 Active learner · IRIS Vs Competitor Benchmark — SaaS marketing ladder: Marketing Associate</t>
        </is>
      </c>
      <c r="U74" s="12" t="inlineStr">
        <is>
          <t>A3 · Senior Associate</t>
        </is>
      </c>
      <c r="V74" s="12" t="inlineStr">
        <is>
          <t>Framework + role-holders' themes · 3+ answered</t>
        </is>
      </c>
    </row>
    <row r="75" ht="106" customHeight="1">
      <c r="A75" s="90" t="inlineStr">
        <is>
          <t>RC-122</t>
        </is>
      </c>
      <c r="B75" s="12" t="inlineStr">
        <is>
          <t>Marketing &amp; Communications</t>
        </is>
      </c>
      <c r="C75" s="12" t="inlineStr">
        <is>
          <t>Marketing Operations &amp; Automation</t>
        </is>
      </c>
      <c r="D75" s="16" t="inlineStr">
        <is>
          <t>A3</t>
        </is>
      </c>
      <c r="E75" s="17" t="inlineStr">
        <is>
          <t>Senior Associate</t>
        </is>
      </c>
      <c r="F75" s="12" t="inlineStr">
        <is>
          <t>IC</t>
        </is>
      </c>
      <c r="G75" s="12" t="inlineStr">
        <is>
          <t>Senior Marketing Operations Associate</t>
        </is>
      </c>
      <c r="H75" s="12" t="inlineStr">
        <is>
          <t>Mounika Kattula</t>
        </is>
      </c>
      <c r="I75" s="12" t="inlineStr">
        <is>
          <t>Marketing</t>
        </is>
      </c>
      <c r="J75" s="12" t="inlineStr">
        <is>
          <r>
            <rPr>
              <rFont val="Calibri"/>
              <sz val="10"/>
            </rPr>
            <t xml:space="preserve">Maintains CRM/ICP data, marketing automation, reporting and dashboards. At A3: varied work; reviews juniors; go-to for a process.
</t>
          </r>
          <r>
            <rPr>
              <rFont val="Calibri"/>
              <b val="1"/>
              <sz val="10"/>
            </rPr>
            <t>Common themes in role-holders' answers:</t>
          </r>
          <r>
            <rPr>
              <rFont val="Calibri"/>
              <sz val="10"/>
            </rPr>
            <t xml:space="preserve"> business · management · crm · lead</t>
          </r>
        </is>
      </c>
      <c r="K75" s="12" t="inlineStr">
        <is>
          <r>
            <rPr>
              <rFont val="Calibri"/>
              <sz val="10"/>
            </rPr>
            <t xml:space="preserve">Maintains CRM/ICP data, marketing automation, reporting and dashboards; Varied and non-standard work; handles exceptions; A module / process, or work with client or regulatory consequences
</t>
          </r>
          <r>
            <rPr>
              <rFont val="Calibri"/>
              <b val="1"/>
              <sz val="10"/>
            </rPr>
            <t>Common themes in role-holders' answers:</t>
          </r>
          <r>
            <rPr>
              <rFont val="Calibri"/>
              <sz val="10"/>
            </rPr>
            <t xml:space="preserve"> data · crm · lead routing · hygiene · campaign</t>
          </r>
        </is>
      </c>
      <c r="L75" s="12" t="inlineStr">
        <is>
          <r>
            <rPr>
              <rFont val="Calibri"/>
              <sz val="10"/>
            </rPr>
            <t xml:space="preserve">Technical / QC / client calls on own work
</t>
          </r>
          <r>
            <rPr>
              <rFont val="Calibri"/>
              <b val="1"/>
              <sz val="10"/>
            </rPr>
            <t>Common themes in role-holders' answers:</t>
          </r>
          <r>
            <rPr>
              <rFont val="Calibri"/>
              <sz val="10"/>
            </rPr>
            <t xml:space="preserve"> hygiene · data · crm · campaign</t>
          </r>
        </is>
      </c>
      <c r="M75" s="12" t="inlineStr">
        <is>
          <t>—</t>
        </is>
      </c>
      <c r="N75" s="12" t="inlineStr">
        <is>
          <r>
            <rPr>
              <rFont val="Calibri"/>
              <b val="1"/>
              <sz val="10"/>
            </rPr>
            <t>Skills:</t>
          </r>
          <r>
            <rPr>
              <rFont val="Calibri"/>
              <sz val="10"/>
            </rPr>
            <t xml:space="preserve"> Marketing
</t>
          </r>
          <r>
            <rPr>
              <rFont val="Calibri"/>
              <b val="1"/>
              <sz val="10"/>
            </rPr>
            <t>Tools:</t>
          </r>
          <r>
            <rPr>
              <rFont val="Calibri"/>
              <sz val="10"/>
            </rPr>
            <t xml:space="preserve"> Google Ads · Google analytics</t>
          </r>
        </is>
      </c>
      <c r="O75"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75" s="12" t="inlineStr">
        <is>
          <t>2–4 yrs
Graduate; relevant certification preferred</t>
        </is>
      </c>
      <c r="Q75" s="12" t="inlineStr">
        <is>
          <t>Core 2 · Future-ready 2 · Functional 3 · Leadership —
★ Marketing Tech &amp; Digital Marketing · Communication &amp; Presentation</t>
        </is>
      </c>
      <c r="R75" s="12" t="inlineStr">
        <is>
          <t>Create market understanding, demand and reputation. Includes: Content, demand, digital, product marketing, operations and communications. Excludes: Account closing; product UX design.</t>
        </is>
      </c>
      <c r="S75" s="12" t="inlineStr">
        <is>
          <r>
            <rPr>
              <rFont val="Calibri"/>
              <b val="1"/>
              <sz val="10"/>
            </rPr>
            <t>Comparable stage:</t>
          </r>
          <r>
            <rPr>
              <rFont val="Calibri"/>
              <sz val="10"/>
            </rPr>
            <t xml:space="preserve"> MKT02-2 · Marketing Operations Specialist
Operate clean CRM/automation flows with reliable tracking.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An automated journey with consent controls, data reconciliation and conversion analysis</t>
          </r>
        </is>
      </c>
      <c r="T75" s="12" t="inlineStr">
        <is>
          <t>Radford / Mercer P2 · SFIA 3 Apply
IRIS Vs Market Benchmark — CIM proficiency scale: 2–3 · IRIS Vs Competitor Benchmark — SaaS marketing ladder: Marketing Specialist</t>
        </is>
      </c>
      <c r="U75" s="12" t="inlineStr">
        <is>
          <t>B1 · Specialist</t>
        </is>
      </c>
      <c r="V75" s="12" t="inlineStr">
        <is>
          <t>Framework + role-holders' themes · 3+ answered</t>
        </is>
      </c>
    </row>
    <row r="76">
      <c r="A76" s="89" t="inlineStr">
        <is>
          <t>Product Management</t>
        </is>
      </c>
    </row>
    <row r="77" ht="119" customHeight="1">
      <c r="A77" s="90" t="inlineStr">
        <is>
          <t>RC-124</t>
        </is>
      </c>
      <c r="B77" s="12" t="inlineStr">
        <is>
          <t>Product Management</t>
        </is>
      </c>
      <c r="C77" s="12" t="inlineStr">
        <is>
          <t>Product Management</t>
        </is>
      </c>
      <c r="D77" s="16" t="inlineStr">
        <is>
          <t>A3</t>
        </is>
      </c>
      <c r="E77" s="17" t="inlineStr">
        <is>
          <t>Senior Associate</t>
        </is>
      </c>
      <c r="F77" s="12" t="inlineStr">
        <is>
          <t>IC</t>
        </is>
      </c>
      <c r="G77" s="12" t="inlineStr">
        <is>
          <t>Senior Product Associate</t>
        </is>
      </c>
      <c r="H77" s="12" t="inlineStr">
        <is>
          <t>Watan Kumar Meena</t>
        </is>
      </c>
      <c r="I77" s="12" t="inlineStr">
        <is>
          <t>Functional</t>
        </is>
      </c>
      <c r="J77" s="12" t="inlineStr">
        <is>
          <r>
            <rPr>
              <rFont val="Calibri"/>
              <sz val="10"/>
            </rPr>
            <t xml:space="preserve">Owns product vision, roadmap, requirements · PRDs, prioritisation and adoption. At A3: varied work; reviews juniors; go-to for a process.
</t>
          </r>
          <r>
            <rPr>
              <rFont val="Calibri"/>
              <b val="1"/>
              <sz val="10"/>
            </rPr>
            <t>Common themes in sub-family holders, all levels' answers:</t>
          </r>
          <r>
            <rPr>
              <rFont val="Calibri"/>
              <sz val="10"/>
            </rPr>
            <t xml:space="preserve"> product · market · business · customers · management · revenue</t>
          </r>
        </is>
      </c>
      <c r="K77" s="12" t="inlineStr">
        <is>
          <r>
            <rPr>
              <rFont val="Calibri"/>
              <sz val="10"/>
            </rPr>
            <t xml:space="preserve">Owns product vision, roadmap, requirements · PRDs, prioritisation and adoption; Varied and non-standard work; handles exceptions; A module / process, or work with client or regulatory consequences
</t>
          </r>
          <r>
            <rPr>
              <rFont val="Calibri"/>
              <b val="1"/>
              <sz val="10"/>
            </rPr>
            <t>Common themes in sub-family holders, all levels' answers:</t>
          </r>
          <r>
            <rPr>
              <rFont val="Calibri"/>
              <sz val="10"/>
            </rPr>
            <t xml:space="preserve"> product · roadmap · management · customer · research · implementation</t>
          </r>
        </is>
      </c>
      <c r="L77" s="12" t="inlineStr">
        <is>
          <r>
            <rPr>
              <rFont val="Calibri"/>
              <sz val="10"/>
            </rPr>
            <t xml:space="preserve">Technical / QC / client calls on own work
</t>
          </r>
          <r>
            <rPr>
              <rFont val="Calibri"/>
              <b val="1"/>
              <sz val="10"/>
            </rPr>
            <t>Common themes in sub-family holders, all levels' answers:</t>
          </r>
          <r>
            <rPr>
              <rFont val="Calibri"/>
              <sz val="10"/>
            </rPr>
            <t xml:space="preserve"> research · priorities · approach · roadmap · product · stakeholders</t>
          </r>
        </is>
      </c>
      <c r="M77" s="12" t="inlineStr">
        <is>
          <t>—</t>
        </is>
      </c>
      <c r="N77" s="12" t="inlineStr">
        <is>
          <r>
            <rPr>
              <rFont val="Calibri"/>
              <b val="1"/>
              <sz val="10"/>
            </rPr>
            <t>Skills:</t>
          </r>
          <r>
            <rPr>
              <rFont val="Calibri"/>
              <sz val="10"/>
            </rPr>
            <t xml:space="preserve"> Product Management · stakeholder management · Market research · Project management · Product sense · Data analysis · ESG · CA + CE
</t>
          </r>
          <r>
            <rPr>
              <rFont val="Calibri"/>
              <b val="1"/>
              <sz val="10"/>
            </rPr>
            <t>Tools:</t>
          </r>
          <r>
            <rPr>
              <rFont val="Calibri"/>
              <sz val="10"/>
            </rPr>
            <t xml:space="preserve"> Claude · Excel · Mixpanel · MoEngage · Figma</t>
          </r>
        </is>
      </c>
      <c r="O77"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77" s="12" t="inlineStr">
        <is>
          <t>2–4 yrs
Graduate; relevant certification preferred</t>
        </is>
      </c>
      <c r="Q77" s="12" t="inlineStr">
        <is>
          <t>Core 2 · Future-ready 2 · Functional 3 · Leadership —
★ Product, Platform &amp; Domain Knowledge · Business Analysis &amp; Requirements Engineering</t>
        </is>
      </c>
      <c r="R77" s="12" t="inlineStr">
        <is>
          <t>Choose and organise product outcomes. Includes: Discovery, prioritisation, roadmap decisions and product operations. Excludes: Project schedule ownership alone; user research as a standalone discipline.</t>
        </is>
      </c>
      <c r="S77" s="12" t="inlineStr">
        <is>
          <r>
            <rPr>
              <rFont val="Calibri"/>
              <b val="1"/>
              <sz val="10"/>
            </rPr>
            <t>Comparable stage:</t>
          </r>
          <r>
            <rPr>
              <rFont val="Calibri"/>
              <sz val="10"/>
            </rPr>
            <t xml:space="preserve"> PRO01-2 · Product Manager
Own discovery and prioritisation for a defined product problem.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product decision with customer evidence, trade-offs and measured outcomes after launch</t>
          </r>
        </is>
      </c>
      <c r="T77" s="12" t="inlineStr">
        <is>
          <t>Radford / Mercer P2 · SFIA 3 Apply
IRIS Vs Competitor Benchmark — SaaS product ladder: Associate PM</t>
        </is>
      </c>
      <c r="U77" s="12" t="inlineStr">
        <is>
          <t>B1 · Specialist</t>
        </is>
      </c>
      <c r="V77" s="12" t="inlineStr">
        <is>
          <t>Framework + sub-family themes · 3+ answered</t>
        </is>
      </c>
    </row>
    <row r="78" ht="119" customHeight="1">
      <c r="A78" s="90" t="inlineStr">
        <is>
          <t>RC-125</t>
        </is>
      </c>
      <c r="B78" s="12" t="inlineStr">
        <is>
          <t>Product Management</t>
        </is>
      </c>
      <c r="C78" s="12" t="inlineStr">
        <is>
          <t>Product Management</t>
        </is>
      </c>
      <c r="D78" s="20" t="inlineStr">
        <is>
          <t>B1</t>
        </is>
      </c>
      <c r="E78" s="21" t="inlineStr">
        <is>
          <t>Specialist</t>
        </is>
      </c>
      <c r="F78" s="12" t="inlineStr">
        <is>
          <t>IC</t>
        </is>
      </c>
      <c r="G78" s="12" t="inlineStr">
        <is>
          <t>Associate Product Manager – POD Lead · Associate Product Manager</t>
        </is>
      </c>
      <c r="H78" s="12" t="inlineStr">
        <is>
          <t>Biswajit Biswal, Medha Ganti, Priyadarsini Kairali</t>
        </is>
      </c>
      <c r="I78" s="12" t="inlineStr">
        <is>
          <t>Functional</t>
        </is>
      </c>
      <c r="J78" s="12" t="inlineStr">
        <is>
          <r>
            <rPr>
              <rFont val="Calibri"/>
              <sz val="10"/>
            </rPr>
            <t xml:space="preserve">Owns product vision, roadmap, requirements · PRDs, prioritisation and adoption. At B1: a domain / module, or a small team.
</t>
          </r>
          <r>
            <rPr>
              <rFont val="Calibri"/>
              <b val="1"/>
              <sz val="10"/>
            </rPr>
            <t>Common themes in role-holders' answers:</t>
          </r>
          <r>
            <rPr>
              <rFont val="Calibri"/>
              <sz val="10"/>
            </rPr>
            <t xml:space="preserve"> product · management · customers · roadmap · shape · stakeholder</t>
          </r>
        </is>
      </c>
      <c r="K78" s="12" t="inlineStr">
        <is>
          <r>
            <rPr>
              <rFont val="Calibri"/>
              <sz val="10"/>
            </rPr>
            <t xml:space="preserve">Owns product vision, roadmap, requirements · PRDs, prioritisation and adoption; Domain specialist work; A domain or a small team
</t>
          </r>
          <r>
            <rPr>
              <rFont val="Calibri"/>
              <b val="1"/>
              <sz val="10"/>
            </rPr>
            <t>Common themes in role-holders' answers:</t>
          </r>
          <r>
            <rPr>
              <rFont val="Calibri"/>
              <sz val="10"/>
            </rPr>
            <t xml:space="preserve"> research · demos · product · management · customer · analysis</t>
          </r>
        </is>
      </c>
      <c r="L78" s="12" t="inlineStr">
        <is>
          <t>Technical / QC / client calls for the domain</t>
        </is>
      </c>
      <c r="M78" s="12" t="inlineStr">
        <is>
          <t>—</t>
        </is>
      </c>
      <c r="N78" s="12" t="inlineStr">
        <is>
          <r>
            <rPr>
              <rFont val="Calibri"/>
              <b val="1"/>
              <sz val="10"/>
            </rPr>
            <t>Skills:</t>
          </r>
          <r>
            <rPr>
              <rFont val="Calibri"/>
              <sz val="10"/>
            </rPr>
            <t xml:space="preserve"> Product Management · Project management · Product sense · Market research · CA + CE
</t>
          </r>
          <r>
            <rPr>
              <rFont val="Calibri"/>
              <b val="1"/>
              <sz val="10"/>
            </rPr>
            <t>Tools:</t>
          </r>
          <r>
            <rPr>
              <rFont val="Calibri"/>
              <sz val="10"/>
            </rPr>
            <t xml:space="preserve"> Claude · Mixpanel</t>
          </r>
        </is>
      </c>
      <c r="O78"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78" s="12" t="inlineStr">
        <is>
          <t>4–7 yrs
Graduate + relevant qualification or certification preferred</t>
        </is>
      </c>
      <c r="Q78" s="12" t="inlineStr">
        <is>
          <t>Core 3 · Future-ready 3 · Functional 3 · Leadership 1
★ Product, Platform &amp; Domain Knowledge · Business Analysis &amp; Requirements Engineering</t>
        </is>
      </c>
      <c r="R78" s="12" t="inlineStr">
        <is>
          <t>Choose and organise product outcomes. Includes: Discovery, prioritisation, roadmap decisions and product operations. Excludes: Project schedule ownership alone; user research as a standalone discipline.</t>
        </is>
      </c>
      <c r="S78" s="12" t="inlineStr">
        <is>
          <r>
            <rPr>
              <rFont val="Calibri"/>
              <b val="1"/>
              <sz val="10"/>
            </rPr>
            <t>Comparable stage:</t>
          </r>
          <r>
            <rPr>
              <rFont val="Calibri"/>
              <sz val="10"/>
            </rPr>
            <t xml:space="preserve"> PRO01-3 · Senior Product Manager
Set product strategy and make evidence-based outcome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product decision with customer evidence, trade-offs and measured outcomes after launch</t>
          </r>
        </is>
      </c>
      <c r="T78" s="12" t="inlineStr">
        <is>
          <t>Radford / Mercer P3 / M2 · SFIA 4 Enable
IRIS Vs Competitor Benchmark — SaaS product ladder: Product Manager</t>
        </is>
      </c>
      <c r="U78" s="12" t="inlineStr">
        <is>
          <t>B2 · Senior Specialist</t>
        </is>
      </c>
      <c r="V78" s="12" t="inlineStr">
        <is>
          <t>Framework + role-holders' themes · 3+ answered</t>
        </is>
      </c>
    </row>
    <row r="79" ht="93" customHeight="1">
      <c r="A79" s="90" t="inlineStr">
        <is>
          <t>RC-127</t>
        </is>
      </c>
      <c r="B79" s="12" t="inlineStr">
        <is>
          <t>Product Management</t>
        </is>
      </c>
      <c r="C79" s="12" t="inlineStr">
        <is>
          <t>Product Management</t>
        </is>
      </c>
      <c r="D79" s="20" t="inlineStr">
        <is>
          <t>B2</t>
        </is>
      </c>
      <c r="E79" s="21" t="inlineStr">
        <is>
          <t>Manager</t>
        </is>
      </c>
      <c r="F79" s="12" t="inlineStr">
        <is>
          <t>Manager</t>
        </is>
      </c>
      <c r="G79" s="12" t="inlineStr">
        <is>
          <t>Product Manager</t>
        </is>
      </c>
      <c r="H79" s="12" t="inlineStr">
        <is>
          <t>Farzad Wadia</t>
        </is>
      </c>
      <c r="I79" s="12" t="inlineStr">
        <is>
          <t>Functional</t>
        </is>
      </c>
      <c r="J79" s="12" t="inlineStr">
        <is>
          <r>
            <rPr>
              <rFont val="Calibri"/>
              <sz val="10"/>
            </rPr>
            <t xml:space="preserve">Owns product vision, roadmap, requirements · PRDs, prioritisation and adoption. At B2: deep domain expertise, or one team.
</t>
          </r>
          <r>
            <rPr>
              <rFont val="Calibri"/>
              <b val="1"/>
              <sz val="10"/>
            </rPr>
            <t>Common themes in role-holders' answers:</t>
          </r>
          <r>
            <rPr>
              <rFont val="Calibri"/>
              <sz val="10"/>
            </rPr>
            <t xml:space="preserve"> product · market · delivery · business · revenue</t>
          </r>
        </is>
      </c>
      <c r="K79" s="12" t="inlineStr">
        <is>
          <r>
            <rPr>
              <rFont val="Calibri"/>
              <sz val="10"/>
            </rPr>
            <t xml:space="preserve">Owns product vision, roadmap, requirements · PRDs, prioritisation and adoption; Hardest problems in the domain; One team or a client portfolio
</t>
          </r>
          <r>
            <rPr>
              <rFont val="Calibri"/>
              <b val="1"/>
              <sz val="10"/>
            </rPr>
            <t>Common themes in role-holders' answers:</t>
          </r>
          <r>
            <rPr>
              <rFont val="Calibri"/>
              <sz val="10"/>
            </rPr>
            <t xml:space="preserve"> product · implementation · client · management · delivery</t>
          </r>
        </is>
      </c>
      <c r="L79" s="12" t="inlineStr">
        <is>
          <r>
            <rPr>
              <rFont val="Calibri"/>
              <sz val="10"/>
            </rPr>
            <t xml:space="preserve">Allocates people and sets team priorities
</t>
          </r>
          <r>
            <rPr>
              <rFont val="Calibri"/>
              <b val="1"/>
              <sz val="10"/>
            </rPr>
            <t>Common themes in role-holders' answers:</t>
          </r>
          <r>
            <rPr>
              <rFont val="Calibri"/>
              <sz val="10"/>
            </rPr>
            <t xml:space="preserve"> research</t>
          </r>
        </is>
      </c>
      <c r="M79" s="12" t="inlineStr">
        <is>
          <r>
            <rPr>
              <rFont val="Calibri"/>
              <b val="1"/>
              <sz val="10"/>
            </rPr>
            <t>Common themes in manager-set KRAs:</t>
          </r>
          <r>
            <rPr>
              <rFont val="Calibri"/>
              <sz val="10"/>
            </rPr>
            <t xml:space="preserve"> development participation · cash · market requirements · tech learning · support organizational · profitability</t>
          </r>
        </is>
      </c>
      <c r="N79" s="12" t="inlineStr">
        <is>
          <r>
            <rPr>
              <rFont val="Calibri"/>
              <b val="1"/>
              <sz val="10"/>
            </rPr>
            <t>Skills:</t>
          </r>
          <r>
            <rPr>
              <rFont val="Calibri"/>
              <sz val="10"/>
            </rPr>
            <t xml:space="preserve"> Product management</t>
          </r>
        </is>
      </c>
      <c r="O79"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79" s="12" t="inlineStr">
        <is>
          <t>6–9 yrs
Graduate or postgraduate; professional qualification preferred</t>
        </is>
      </c>
      <c r="Q79" s="12" t="inlineStr">
        <is>
          <t>Core 3 · Future-ready 3 · Functional 4 · Leadership 3
★ Product, Platform &amp; Domain Knowledge · Business Analysis &amp; Requirements Engineering</t>
        </is>
      </c>
      <c r="R79" s="12" t="inlineStr">
        <is>
          <t>Choose and organise product outcomes. Includes: Discovery, prioritisation, roadmap decisions and product operations. Excludes: Project schedule ownership alone; user research as a standalone discipline.</t>
        </is>
      </c>
      <c r="S79" s="12" t="inlineStr">
        <is>
          <r>
            <rPr>
              <rFont val="Calibri"/>
              <b val="1"/>
              <sz val="10"/>
            </rPr>
            <t>Comparable stage:</t>
          </r>
          <r>
            <rPr>
              <rFont val="Calibri"/>
              <sz val="10"/>
            </rPr>
            <t xml:space="preserve"> LD12-1 · Group Product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79" s="12" t="inlineStr">
        <is>
          <t>Radford / Mercer P4 / M3 · SFIA 4–5
IRIS Vs Competitor Benchmark — SaaS product ladder: Senior PM</t>
        </is>
      </c>
      <c r="U79" s="12" t="inlineStr">
        <is>
          <t>B3 · Lead Specialist</t>
        </is>
      </c>
      <c r="V79" s="12" t="inlineStr">
        <is>
          <t>Framework + role-holders' themes · 3+ answered</t>
        </is>
      </c>
    </row>
    <row r="80">
      <c r="A80" s="89" t="inlineStr">
        <is>
          <t>Project &amp; Program Management</t>
        </is>
      </c>
    </row>
    <row r="81" ht="93" customHeight="1">
      <c r="A81" s="90" t="inlineStr">
        <is>
          <t>RC-132</t>
        </is>
      </c>
      <c r="B81" s="12" t="inlineStr">
        <is>
          <t>Project &amp; Program Management</t>
        </is>
      </c>
      <c r="C81" s="12" t="inlineStr">
        <is>
          <t>PMO &amp; Delivery Excellence</t>
        </is>
      </c>
      <c r="D81" s="20" t="inlineStr">
        <is>
          <t>B2</t>
        </is>
      </c>
      <c r="E81" s="21" t="inlineStr">
        <is>
          <t>Manager</t>
        </is>
      </c>
      <c r="F81" s="12" t="inlineStr">
        <is>
          <t>Manager</t>
        </is>
      </c>
      <c r="G81" s="12" t="inlineStr">
        <is>
          <t>PMO Manager</t>
        </is>
      </c>
      <c r="H81" s="12" t="inlineStr">
        <is>
          <t>Priyanka Mehra</t>
        </is>
      </c>
      <c r="I81" s="12" t="inlineStr">
        <is>
          <t>Services</t>
        </is>
      </c>
      <c r="J81" s="12" t="inlineStr">
        <is>
          <t>Runs delivery governance, tracking, risk and process-improvement; coaches teams on delivery practices. At B2: deep domain expertise, or one team.</t>
        </is>
      </c>
      <c r="K81" s="12" t="inlineStr">
        <is>
          <t>Runs delivery governance, tracking, risk and process-improvement; coaches teams on delivery practices; Hardest problems in the domain; One team or a client portfolio</t>
        </is>
      </c>
      <c r="L81" s="12" t="inlineStr">
        <is>
          <t>Allocates people and sets team priorities</t>
        </is>
      </c>
      <c r="M81" s="12" t="inlineStr">
        <is>
          <t>—</t>
        </is>
      </c>
      <c r="N81" s="12" t="inlineStr">
        <is>
          <t>—</t>
        </is>
      </c>
      <c r="O81"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81" s="12" t="inlineStr">
        <is>
          <t>6–9 yrs
Graduate or postgraduate; professional qualification preferred</t>
        </is>
      </c>
      <c r="Q81" s="12" t="inlineStr">
        <is>
          <t>Core 3 · Future-ready 3 · Functional 4 · Leadership 3
★ Project, Program &amp; Agile Management · Stakeholder &amp; Client Management</t>
        </is>
      </c>
      <c r="R81" s="12" t="inlineStr">
        <is>
          <t>Deliver change and govern investment execution. Includes: Project, programme, portfolio and PMO work with distinct mandates. Excludes: Ongoing product strategy; routine service operations.</t>
        </is>
      </c>
      <c r="S81" s="12" t="inlineStr">
        <is>
          <r>
            <rPr>
              <rFont val="Calibri"/>
              <b val="1"/>
              <sz val="10"/>
            </rPr>
            <t>Comparable stage:</t>
          </r>
          <r>
            <rPr>
              <rFont val="Calibri"/>
              <sz val="10"/>
            </rPr>
            <t xml:space="preserve"> LD11-1 · Delivery / PMO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81" s="12" t="inlineStr">
        <is>
          <t>Radford / Mercer P4 / M3 · SFIA 4–5
IRIS Vs Competitor Benchmark — PMI pathway + SaaS delivery ladder: Senior PM</t>
        </is>
      </c>
      <c r="U81" s="12" t="inlineStr">
        <is>
          <t>B3 · Lead Specialist</t>
        </is>
      </c>
      <c r="V81" s="12" t="inlineStr">
        <is>
          <t>Framework only · fewer than 3 answered</t>
        </is>
      </c>
    </row>
    <row r="82" ht="106" customHeight="1">
      <c r="A82" s="90" t="inlineStr">
        <is>
          <t>RC-135</t>
        </is>
      </c>
      <c r="B82" s="12" t="inlineStr">
        <is>
          <t>Project &amp; Program Management</t>
        </is>
      </c>
      <c r="C82" s="12" t="inlineStr">
        <is>
          <t>Project &amp; Program Delivery</t>
        </is>
      </c>
      <c r="D82" s="20" t="inlineStr">
        <is>
          <t>B2</t>
        </is>
      </c>
      <c r="E82" s="21" t="inlineStr">
        <is>
          <t>Senior Specialist</t>
        </is>
      </c>
      <c r="F82" s="12" t="inlineStr">
        <is>
          <t>IC</t>
        </is>
      </c>
      <c r="G82" s="12" t="inlineStr">
        <is>
          <t>Project Manager</t>
        </is>
      </c>
      <c r="H82" s="12" t="inlineStr">
        <is>
          <t>Aaron Michael</t>
        </is>
      </c>
      <c r="I82" s="12" t="inlineStr">
        <is>
          <t>Technology</t>
        </is>
      </c>
      <c r="J82" s="12" t="inlineStr">
        <is>
          <r>
            <rPr>
              <rFont val="Calibri"/>
              <sz val="10"/>
            </rPr>
            <t xml:space="preserve">Plans and delivers projects/programmes to scope, time and cost; manages CRs, risks and stakeholders. At B2: deep domain expertise, or one team.
</t>
          </r>
          <r>
            <rPr>
              <rFont val="Calibri"/>
              <b val="1"/>
              <sz val="10"/>
            </rPr>
            <t>Common themes in sub-family holders, all levels' answers:</t>
          </r>
          <r>
            <rPr>
              <rFont val="Calibri"/>
              <sz val="10"/>
            </rPr>
            <t xml:space="preserve"> project · business · client · manager · management · bridge</t>
          </r>
        </is>
      </c>
      <c r="K82" s="12" t="inlineStr">
        <is>
          <r>
            <rPr>
              <rFont val="Calibri"/>
              <sz val="10"/>
            </rPr>
            <t xml:space="preserve">Plans and delivers projects/programmes to scope, time and cost; manages CRs, risks and stakeholders; Hardest problems in the domain; One team or a client portfolio
</t>
          </r>
          <r>
            <rPr>
              <rFont val="Calibri"/>
              <b val="1"/>
              <sz val="10"/>
            </rPr>
            <t>Common themes in sub-family holders, all levels' answers:</t>
          </r>
          <r>
            <rPr>
              <rFont val="Calibri"/>
              <sz val="10"/>
            </rPr>
            <t xml:space="preserve"> management · project · delivery · client · define · priorities</t>
          </r>
        </is>
      </c>
      <c r="L82" s="12" t="inlineStr">
        <is>
          <r>
            <rPr>
              <rFont val="Calibri"/>
              <sz val="10"/>
            </rPr>
            <t xml:space="preserve">Allocates people and sets team priorities
</t>
          </r>
          <r>
            <rPr>
              <rFont val="Calibri"/>
              <b val="1"/>
              <sz val="10"/>
            </rPr>
            <t>Common themes in sub-family holders, all levels' answers:</t>
          </r>
          <r>
            <rPr>
              <rFont val="Calibri"/>
              <sz val="10"/>
            </rPr>
            <t xml:space="preserve"> client · project · issue · product · allocation · delivery</t>
          </r>
        </is>
      </c>
      <c r="M82" s="12" t="inlineStr">
        <is>
          <t>—</t>
        </is>
      </c>
      <c r="N82" s="12" t="inlineStr">
        <is>
          <r>
            <rPr>
              <rFont val="Calibri"/>
              <b val="1"/>
              <sz val="10"/>
            </rPr>
            <t>Skills:</t>
          </r>
          <r>
            <rPr>
              <rFont val="Calibri"/>
              <sz val="10"/>
            </rPr>
            <t xml:space="preserve"> Project Management · Stakeholder management · Requirement analysis
</t>
          </r>
          <r>
            <rPr>
              <rFont val="Calibri"/>
              <b val="1"/>
              <sz val="10"/>
            </rPr>
            <t>Tools:</t>
          </r>
          <r>
            <rPr>
              <rFont val="Calibri"/>
              <sz val="10"/>
            </rPr>
            <t xml:space="preserve"> Excel · Claude · Quickscrum · Quick Scrum</t>
          </r>
        </is>
      </c>
      <c r="O82"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82" s="12" t="inlineStr">
        <is>
          <t>6–9 yrs
Graduate or postgraduate; professional qualification preferred</t>
        </is>
      </c>
      <c r="Q82" s="12" t="inlineStr">
        <is>
          <t>Core 3 · Future-ready 3 · Functional 4 · Leadership 2
★ Project, Program &amp; Agile Management · Stakeholder &amp; Client Management</t>
        </is>
      </c>
      <c r="R82" s="12" t="inlineStr">
        <is>
          <t>Deliver change and govern investment execution. Includes: Project, programme, portfolio and PMO work with distinct mandates. Excludes: Ongoing product strategy; routine service operations.</t>
        </is>
      </c>
      <c r="S82" s="12" t="inlineStr">
        <is>
          <r>
            <rPr>
              <rFont val="Calibri"/>
              <b val="1"/>
              <sz val="10"/>
            </rPr>
            <t>Comparable stage:</t>
          </r>
          <r>
            <rPr>
              <rFont val="Calibri"/>
              <sz val="10"/>
            </rPr>
            <t xml:space="preserve"> PMO01-3 · Senior Project Manager
Own complex dependencies, commercial changes and delivery trade-offs.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delivered project with baseline, managed changes, acceptance and benefit review</t>
          </r>
        </is>
      </c>
      <c r="T82" s="12" t="inlineStr">
        <is>
          <t>Radford / Mercer P4 / M3 · SFIA 4–5
IRIS Vs Competitor Benchmark — PMI pathway + SaaS delivery ladder: Senior PM</t>
        </is>
      </c>
      <c r="U82" s="12" t="inlineStr">
        <is>
          <t>B3 · Lead Specialist</t>
        </is>
      </c>
      <c r="V82" s="12" t="inlineStr">
        <is>
          <t>Framework + sub-family themes · 3+ answered</t>
        </is>
      </c>
    </row>
    <row r="83">
      <c r="A83" s="89" t="inlineStr">
        <is>
          <t>Quality Assurance</t>
        </is>
      </c>
    </row>
    <row r="84" ht="106" customHeight="1">
      <c r="A84" s="90" t="inlineStr">
        <is>
          <t>RC-141</t>
        </is>
      </c>
      <c r="B84" s="12" t="inlineStr">
        <is>
          <t>Quality Assurance</t>
        </is>
      </c>
      <c r="C84" s="12" t="inlineStr">
        <is>
          <t>Functional &amp; Domain Testing</t>
        </is>
      </c>
      <c r="D84" s="16" t="inlineStr">
        <is>
          <t>A3</t>
        </is>
      </c>
      <c r="E84" s="17" t="inlineStr">
        <is>
          <t>Senior Associate</t>
        </is>
      </c>
      <c r="F84" s="12" t="inlineStr">
        <is>
          <t>IC</t>
        </is>
      </c>
      <c r="G84" s="12" t="inlineStr">
        <is>
          <t>Senior QA Engineer · QA Specialist</t>
        </is>
      </c>
      <c r="H84" s="12" t="inlineStr">
        <is>
          <t>Brehmjit Gopalkrishnan, Hrishikesh Thombare, Pooja Gawas, Pratikkumar Mistry, Tasmiyah Patni, Vishal Panchal, Yadavar Velumurgan S.</t>
        </is>
      </c>
      <c r="I84" s="12" t="inlineStr">
        <is>
          <t>Quality Assurance · Services</t>
        </is>
      </c>
      <c r="J84" s="12" t="inlineStr">
        <is>
          <r>
            <rPr>
              <rFont val="Calibri"/>
              <sz val="10"/>
            </rPr>
            <t xml:space="preserve">Designs and executes functional, regression and domain/AI-feature test cases; logs defects; supports sign-off. At A3: varied work; reviews juniors; go-to for a process.
</t>
          </r>
          <r>
            <rPr>
              <rFont val="Calibri"/>
              <b val="1"/>
              <sz val="10"/>
            </rPr>
            <t>Common themes in role-holders' answers:</t>
          </r>
          <r>
            <rPr>
              <rFont val="Calibri"/>
              <sz val="10"/>
            </rPr>
            <t xml:space="preserve"> software · product · user · quality · works · requirements</t>
          </r>
        </is>
      </c>
      <c r="K84" s="12" t="inlineStr">
        <is>
          <r>
            <rPr>
              <rFont val="Calibri"/>
              <sz val="10"/>
            </rPr>
            <t xml:space="preserve">Designs and executes functional, regression and domain/AI-feature test cases; logs defects; supports sign-off; Varied and non-standard work; handles exceptions; A module / process, or work with client or regulatory consequences
</t>
          </r>
          <r>
            <rPr>
              <rFont val="Calibri"/>
              <b val="1"/>
              <sz val="10"/>
            </rPr>
            <t>Common themes in role-holders' answers:</t>
          </r>
          <r>
            <rPr>
              <rFont val="Calibri"/>
              <sz val="10"/>
            </rPr>
            <t xml:space="preserve"> test · regression · defect · case · reporting · execution</t>
          </r>
        </is>
      </c>
      <c r="L84" s="12" t="inlineStr">
        <is>
          <r>
            <rPr>
              <rFont val="Calibri"/>
              <sz val="10"/>
            </rPr>
            <t xml:space="preserve">Technical / QC / client calls on own work
</t>
          </r>
          <r>
            <rPr>
              <rFont val="Calibri"/>
              <b val="1"/>
              <sz val="10"/>
            </rPr>
            <t>Common themes in role-holders' answers:</t>
          </r>
          <r>
            <rPr>
              <rFont val="Calibri"/>
              <sz val="10"/>
            </rPr>
            <t xml:space="preserve"> testing · prioritize · scenarios · independently · cases · routine</t>
          </r>
        </is>
      </c>
      <c r="M84" s="12" t="inlineStr">
        <is>
          <r>
            <rPr>
              <rFont val="Calibri"/>
              <b val="1"/>
              <sz val="10"/>
            </rPr>
            <t>Common themes in manager-set KRAs:</t>
          </r>
          <r>
            <rPr>
              <rFont val="Calibri"/>
              <sz val="10"/>
            </rPr>
            <t xml:space="preserve"> project · qa · quality · production · knowledge · test</t>
          </r>
        </is>
      </c>
      <c r="N84" s="12" t="inlineStr">
        <is>
          <r>
            <rPr>
              <rFont val="Calibri"/>
              <b val="1"/>
              <sz val="10"/>
            </rPr>
            <t>Skills:</t>
          </r>
          <r>
            <rPr>
              <rFont val="Calibri"/>
              <sz val="10"/>
            </rPr>
            <t xml:space="preserve"> Software testing · regression testing · Test case design · Manual Testing · Execution · Test case execution
</t>
          </r>
          <r>
            <rPr>
              <rFont val="Calibri"/>
              <b val="1"/>
              <sz val="10"/>
            </rPr>
            <t>Tools:</t>
          </r>
          <r>
            <rPr>
              <rFont val="Calibri"/>
              <sz val="10"/>
            </rPr>
            <t xml:space="preserve"> Quickscrum · Mail access · Test management tool · Bug tracking tool · POSTMAN</t>
          </r>
        </is>
      </c>
      <c r="O84"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84" s="12" t="inlineStr">
        <is>
          <t>2–4 yrs
Graduate; relevant certification preferred</t>
        </is>
      </c>
      <c r="Q84" s="12" t="inlineStr">
        <is>
          <t>Core 2 · Future-ready 2 · Functional 3 · Leadership —
★ Test Automation &amp; QA Engineering · Product, Platform &amp; Domain Knowledge</t>
        </is>
      </c>
      <c r="R84" s="12" t="inlineStr">
        <is>
          <t>Provide systematic product-quality assurance. Includes: Test design, automation, risk-based coverage and quality architecture. Excludes: Data-production checking where the primary output is data.</t>
        </is>
      </c>
      <c r="S84" s="12" t="inlineStr">
        <is>
          <r>
            <rPr>
              <rFont val="Calibri"/>
              <b val="1"/>
              <sz val="10"/>
            </rPr>
            <t>Comparable stage:</t>
          </r>
          <r>
            <rPr>
              <rFont val="Calibri"/>
              <sz val="10"/>
            </rPr>
            <t xml:space="preserve"> QA01-2 · Test Engineer
Design tests from requirements and report reproducible defects.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risk-based test plan with traceability, reproducible defects and release recommendation</t>
          </r>
        </is>
      </c>
      <c r="T84" s="12" t="inlineStr">
        <is>
          <r>
            <rPr>
              <rFont val="Calibri"/>
              <sz val="10"/>
            </rPr>
            <t xml:space="preserve">Radford / Mercer P2 · SFIA 3 Apply
</t>
          </r>
          <r>
            <rPr>
              <rFont val="Calibri"/>
              <b val="1"/>
              <sz val="10"/>
            </rPr>
            <t>Workiva:</t>
          </r>
          <r>
            <rPr>
              <rFont val="Calibri"/>
              <sz val="10"/>
            </rPr>
            <t xml:space="preserve"> SE · Broadridge India: SE · Nasdaq / AxiomSL: SE · IRIS Vs Market Benchmark — ISTQB certification pathway: Foundation</t>
          </r>
        </is>
      </c>
      <c r="U84" s="12" t="inlineStr">
        <is>
          <t>B1 · Specialist</t>
        </is>
      </c>
      <c r="V84" s="12" t="inlineStr">
        <is>
          <t>Framework + role-holders' themes · 3+ answered</t>
        </is>
      </c>
    </row>
    <row r="85" ht="145" customHeight="1">
      <c r="A85" s="90" t="inlineStr">
        <is>
          <t>RC-144</t>
        </is>
      </c>
      <c r="B85" s="12" t="inlineStr">
        <is>
          <t>Quality Assurance</t>
        </is>
      </c>
      <c r="C85" s="12" t="inlineStr">
        <is>
          <t>Functional &amp; Domain Testing</t>
        </is>
      </c>
      <c r="D85" s="20" t="inlineStr">
        <is>
          <t>B2</t>
        </is>
      </c>
      <c r="E85" s="21" t="inlineStr">
        <is>
          <t>Senior Specialist</t>
        </is>
      </c>
      <c r="F85" s="12" t="inlineStr">
        <is>
          <t>IC</t>
        </is>
      </c>
      <c r="G85" s="12" t="inlineStr">
        <is>
          <t>Senior QA Specialist – POD Lead</t>
        </is>
      </c>
      <c r="H85" s="12" t="inlineStr">
        <is>
          <t>Mohammed Sameer Shamsudin</t>
        </is>
      </c>
      <c r="I85" s="12" t="inlineStr">
        <is>
          <t>Services</t>
        </is>
      </c>
      <c r="J85" s="12" t="inlineStr">
        <is>
          <r>
            <rPr>
              <rFont val="Calibri"/>
              <sz val="10"/>
            </rPr>
            <t xml:space="preserve">Designs and executes functional, regression and domain/AI-feature test cases; logs defects; supports sign-off. At B2: deep domain expertise, or one team.
</t>
          </r>
          <r>
            <rPr>
              <rFont val="Calibri"/>
              <b val="1"/>
              <sz val="10"/>
            </rPr>
            <t>Common themes in sub-family holders, all levels' answers:</t>
          </r>
          <r>
            <rPr>
              <rFont val="Calibri"/>
              <sz val="10"/>
            </rPr>
            <t xml:space="preserve"> software · quality · product · requirements · user · before</t>
          </r>
        </is>
      </c>
      <c r="K85" s="12" t="inlineStr">
        <is>
          <r>
            <rPr>
              <rFont val="Calibri"/>
              <sz val="10"/>
            </rPr>
            <t xml:space="preserve">Designs and executes functional, regression and domain/AI-feature test cases; logs defects; supports sign-off; Hardest problems in the domain; One team or a client portfolio
</t>
          </r>
          <r>
            <rPr>
              <rFont val="Calibri"/>
              <b val="1"/>
              <sz val="10"/>
            </rPr>
            <t>Common themes in sub-family holders, all levels' answers:</t>
          </r>
          <r>
            <rPr>
              <rFont val="Calibri"/>
              <sz val="10"/>
            </rPr>
            <t xml:space="preserve"> test · defect · reporting · regression · case · execution</t>
          </r>
        </is>
      </c>
      <c r="L85" s="12" t="inlineStr">
        <is>
          <r>
            <rPr>
              <rFont val="Calibri"/>
              <sz val="10"/>
            </rPr>
            <t xml:space="preserve">Allocates people and sets team priorities
</t>
          </r>
          <r>
            <rPr>
              <rFont val="Calibri"/>
              <b val="1"/>
              <sz val="10"/>
            </rPr>
            <t>Common themes in sub-family holders, all levels' answers:</t>
          </r>
          <r>
            <rPr>
              <rFont val="Calibri"/>
              <sz val="10"/>
            </rPr>
            <t xml:space="preserve"> test · prioritize · independently · scenarios · identify · issues</t>
          </r>
        </is>
      </c>
      <c r="M85" s="12" t="inlineStr">
        <is>
          <t>—</t>
        </is>
      </c>
      <c r="N85" s="12" t="inlineStr">
        <is>
          <r>
            <rPr>
              <rFont val="Calibri"/>
              <b val="1"/>
              <sz val="10"/>
            </rPr>
            <t>Skills:</t>
          </r>
          <r>
            <rPr>
              <rFont val="Calibri"/>
              <sz val="10"/>
            </rPr>
            <t xml:space="preserve"> Software testing · Test case design · regression testing · Functional testing · Manual Testing · Test Case execution · Analytical thinking · Attention to detail
</t>
          </r>
          <r>
            <rPr>
              <rFont val="Calibri"/>
              <b val="1"/>
              <sz val="10"/>
            </rPr>
            <t>Tools:</t>
          </r>
          <r>
            <rPr>
              <rFont val="Calibri"/>
              <sz val="10"/>
            </rPr>
            <t xml:space="preserve"> Quickscrum · Postman · Bug tracking tool · Mail access · Visual Studio · Notepad plus plus · Test management tool · Jira</t>
          </r>
        </is>
      </c>
      <c r="O85"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85" s="12" t="inlineStr">
        <is>
          <t>6–9 yrs
Graduate or postgraduate; professional qualification preferred</t>
        </is>
      </c>
      <c r="Q85" s="12" t="inlineStr">
        <is>
          <t>Core 3 · Future-ready 3 · Functional 4 · Leadership 2
★ Test Automation &amp; QA Engineering · Product, Platform &amp; Domain Knowledge</t>
        </is>
      </c>
      <c r="R85" s="12" t="inlineStr">
        <is>
          <t>Provide systematic product-quality assurance. Includes: Test design, automation, risk-based coverage and quality architecture. Excludes: Data-production checking where the primary output is data.</t>
        </is>
      </c>
      <c r="S85" s="12" t="inlineStr">
        <is>
          <r>
            <rPr>
              <rFont val="Calibri"/>
              <b val="1"/>
              <sz val="10"/>
            </rPr>
            <t>Comparable stage:</t>
          </r>
          <r>
            <rPr>
              <rFont val="Calibri"/>
              <sz val="10"/>
            </rPr>
            <t xml:space="preserve"> QA01-3 · Senior Test Engineer
Own risk-based coverage and release-quality recommendations.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risk-based test plan with traceability, reproducible defects and release recommendation</t>
          </r>
        </is>
      </c>
      <c r="T85" s="12" t="inlineStr">
        <is>
          <r>
            <rPr>
              <rFont val="Calibri"/>
              <sz val="10"/>
            </rPr>
            <t xml:space="preserve">Radford / Mercer P4 / M3 · SFIA 4–5
</t>
          </r>
          <r>
            <rPr>
              <rFont val="Calibri"/>
              <b val="1"/>
              <sz val="10"/>
            </rPr>
            <t>Workiva:</t>
          </r>
          <r>
            <rPr>
              <rFont val="Calibri"/>
              <sz val="10"/>
            </rPr>
            <t xml:space="preserve"> Senior SE · Broadridge India: Lead SE · Nasdaq / AxiomSL: Senior SE · IRIS Vs Market Benchmark — ISTQB certification pathway: Advanced · Test Manager / TAE</t>
          </r>
        </is>
      </c>
      <c r="U85" s="12" t="inlineStr">
        <is>
          <t>B3 · Lead Specialist</t>
        </is>
      </c>
      <c r="V85" s="12" t="inlineStr">
        <is>
          <t>Framework + sub-family themes · 3+ answered</t>
        </is>
      </c>
    </row>
    <row r="86" ht="106" customHeight="1">
      <c r="A86" s="90" t="inlineStr">
        <is>
          <t>RC-146</t>
        </is>
      </c>
      <c r="B86" s="12" t="inlineStr">
        <is>
          <t>Quality Assurance</t>
        </is>
      </c>
      <c r="C86" s="12" t="inlineStr">
        <is>
          <t>Test Automation</t>
        </is>
      </c>
      <c r="D86" s="16" t="inlineStr">
        <is>
          <t>A3</t>
        </is>
      </c>
      <c r="E86" s="17" t="inlineStr">
        <is>
          <t>Senior Associate</t>
        </is>
      </c>
      <c r="F86" s="12" t="inlineStr">
        <is>
          <t>IC</t>
        </is>
      </c>
      <c r="G86" s="12" t="inlineStr">
        <is>
          <t>Senior QA Automation Engineer</t>
        </is>
      </c>
      <c r="H86" s="12" t="inlineStr">
        <is>
          <t>Vitiksha Gamit</t>
        </is>
      </c>
      <c r="I86" s="12" t="inlineStr">
        <is>
          <t>Quality Assurance</t>
        </is>
      </c>
      <c r="J86" s="12" t="inlineStr">
        <is>
          <r>
            <rPr>
              <rFont val="Calibri"/>
              <sz val="10"/>
            </rPr>
            <t xml:space="preserve">Builds and runs automated UI/API test suites integrated with CI. At A3: varied work; reviews juniors; go-to for a process.
</t>
          </r>
          <r>
            <rPr>
              <rFont val="Calibri"/>
              <b val="1"/>
              <sz val="10"/>
            </rPr>
            <t>Common themes in role-holders' answers:</t>
          </r>
          <r>
            <rPr>
              <rFont val="Calibri"/>
              <sz val="10"/>
            </rPr>
            <t xml:space="preserve"> early · product · quality · automation · tests · testing</t>
          </r>
        </is>
      </c>
      <c r="K86" s="12" t="inlineStr">
        <is>
          <r>
            <rPr>
              <rFont val="Calibri"/>
              <sz val="10"/>
            </rPr>
            <t xml:space="preserve">Builds and runs automated UI/API test suites integrated with CI; Varied and non-standard work; handles exceptions; A module / process, or work with client or regulatory consequences
</t>
          </r>
          <r>
            <rPr>
              <rFont val="Calibri"/>
              <b val="1"/>
              <sz val="10"/>
            </rPr>
            <t>Common themes in role-holders' answers:</t>
          </r>
          <r>
            <rPr>
              <rFont val="Calibri"/>
              <sz val="10"/>
            </rPr>
            <t xml:space="preserve"> testing · scripts · defects · testcase · automation · report</t>
          </r>
        </is>
      </c>
      <c r="L86" s="12" t="inlineStr">
        <is>
          <r>
            <rPr>
              <rFont val="Calibri"/>
              <sz val="10"/>
            </rPr>
            <t xml:space="preserve">Technical / QC / client calls on own work
</t>
          </r>
          <r>
            <rPr>
              <rFont val="Calibri"/>
              <b val="1"/>
              <sz val="10"/>
            </rPr>
            <t>Common themes in role-holders' answers:</t>
          </r>
          <r>
            <rPr>
              <rFont val="Calibri"/>
              <sz val="10"/>
            </rPr>
            <t xml:space="preserve"> testing</t>
          </r>
        </is>
      </c>
      <c r="M86" s="12" t="inlineStr">
        <is>
          <r>
            <rPr>
              <rFont val="Calibri"/>
              <b val="1"/>
              <sz val="10"/>
            </rPr>
            <t>Common themes in manager-set KRAs:</t>
          </r>
          <r>
            <rPr>
              <rFont val="Calibri"/>
              <sz val="10"/>
            </rPr>
            <t xml:space="preserve"> test coverage · business · automation · knowledge · activities · comprehensive</t>
          </r>
        </is>
      </c>
      <c r="N86" s="12" t="inlineStr">
        <is>
          <r>
            <rPr>
              <rFont val="Calibri"/>
              <b val="1"/>
              <sz val="10"/>
            </rPr>
            <t>Skills:</t>
          </r>
          <r>
            <rPr>
              <rFont val="Calibri"/>
              <sz val="10"/>
            </rPr>
            <t xml:space="preserve"> Software Testing · Manual testing · Playwright
</t>
          </r>
          <r>
            <rPr>
              <rFont val="Calibri"/>
              <b val="1"/>
              <sz val="10"/>
            </rPr>
            <t>Tools:</t>
          </r>
          <r>
            <rPr>
              <rFont val="Calibri"/>
              <sz val="10"/>
            </rPr>
            <t xml:space="preserve"> Postman</t>
          </r>
        </is>
      </c>
      <c r="O86"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86" s="12" t="inlineStr">
        <is>
          <t>2–4 yrs
Graduate; relevant certification preferred</t>
        </is>
      </c>
      <c r="Q86" s="12" t="inlineStr">
        <is>
          <t>Core 2 · Future-ready 2 · Functional 3 · Leadership —
★ Test Automation &amp; QA Engineering · Product, Platform &amp; Domain Knowledge</t>
        </is>
      </c>
      <c r="R86" s="12" t="inlineStr">
        <is>
          <t>Provide systematic product-quality assurance. Includes: Test design, automation, risk-based coverage and quality architecture. Excludes: Data-production checking where the primary output is data.</t>
        </is>
      </c>
      <c r="S86" s="12" t="inlineStr">
        <is>
          <r>
            <rPr>
              <rFont val="Calibri"/>
              <b val="1"/>
              <sz val="10"/>
            </rPr>
            <t>Comparable stage:</t>
          </r>
          <r>
            <rPr>
              <rFont val="Calibri"/>
              <sz val="10"/>
            </rPr>
            <t xml:space="preserve"> QA02-2 · Test Automation Engineer / SDET
Build reliable automated tests with useful failure signals.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maintained automation suite with reliable signals and reduced regression effort</t>
          </r>
        </is>
      </c>
      <c r="T86" s="12" t="inlineStr">
        <is>
          <r>
            <rPr>
              <rFont val="Calibri"/>
              <sz val="10"/>
            </rPr>
            <t xml:space="preserve">Radford / Mercer P2 · SFIA 3 Apply
</t>
          </r>
          <r>
            <rPr>
              <rFont val="Calibri"/>
              <b val="1"/>
              <sz val="10"/>
            </rPr>
            <t>Workiva:</t>
          </r>
          <r>
            <rPr>
              <rFont val="Calibri"/>
              <sz val="10"/>
            </rPr>
            <t xml:space="preserve"> SE · Broadridge India: SE · Nasdaq / AxiomSL: SE · IRIS Vs Market Benchmark — ISTQB certification pathway: Foundation</t>
          </r>
        </is>
      </c>
      <c r="U86" s="12" t="inlineStr">
        <is>
          <t>B1 · Specialist</t>
        </is>
      </c>
      <c r="V86" s="12" t="inlineStr">
        <is>
          <t>Framework + role-holders' themes · 3+ answered</t>
        </is>
      </c>
    </row>
    <row r="87" ht="93" customHeight="1">
      <c r="A87" s="90" t="inlineStr">
        <is>
          <t>RC-148</t>
        </is>
      </c>
      <c r="B87" s="12" t="inlineStr">
        <is>
          <t>Quality Assurance</t>
        </is>
      </c>
      <c r="C87" s="12" t="inlineStr">
        <is>
          <t>Test Management &amp; QA Leadership</t>
        </is>
      </c>
      <c r="D87" s="20" t="inlineStr">
        <is>
          <t>B2</t>
        </is>
      </c>
      <c r="E87" s="21" t="inlineStr">
        <is>
          <t>Manager</t>
        </is>
      </c>
      <c r="F87" s="12" t="inlineStr">
        <is>
          <t>Manager</t>
        </is>
      </c>
      <c r="G87" s="12" t="inlineStr">
        <is>
          <t>QA Manager · Senior QA Manager</t>
        </is>
      </c>
      <c r="H87" s="12" t="inlineStr">
        <is>
          <t>Vinod Katekar</t>
        </is>
      </c>
      <c r="I87" s="12" t="inlineStr">
        <is>
          <t>Quality Assurance</t>
        </is>
      </c>
      <c r="J87" s="12" t="inlineStr">
        <is>
          <r>
            <rPr>
              <rFont val="Calibri"/>
              <sz val="10"/>
            </rPr>
            <t xml:space="preserve">Owns test strategy, test planning, QA sign-off and QA team allocation. At B2: deep domain expertise, or one team.
</t>
          </r>
          <r>
            <rPr>
              <rFont val="Calibri"/>
              <b val="1"/>
              <sz val="10"/>
            </rPr>
            <t>Common themes in sub-family holders, all levels' answers:</t>
          </r>
          <r>
            <rPr>
              <rFont val="Calibri"/>
              <sz val="10"/>
            </rPr>
            <t xml:space="preserve"> testing · lead</t>
          </r>
        </is>
      </c>
      <c r="K87" s="12" t="inlineStr">
        <is>
          <r>
            <rPr>
              <rFont val="Calibri"/>
              <sz val="10"/>
            </rPr>
            <t xml:space="preserve">Owns test strategy, test planning, QA sign-off and QA team allocation; Hardest problems in the domain; One team or a client portfolio
</t>
          </r>
          <r>
            <rPr>
              <rFont val="Calibri"/>
              <b val="1"/>
              <sz val="10"/>
            </rPr>
            <t>Common themes in sub-family holders, all levels' answers:</t>
          </r>
          <r>
            <rPr>
              <rFont val="Calibri"/>
              <sz val="10"/>
            </rPr>
            <t xml:space="preserve"> test · quality · planning</t>
          </r>
        </is>
      </c>
      <c r="L87" s="12" t="inlineStr">
        <is>
          <t>Allocates people and sets team priorities</t>
        </is>
      </c>
      <c r="M87" s="12" t="inlineStr">
        <is>
          <t>—</t>
        </is>
      </c>
      <c r="N87" s="12" t="inlineStr">
        <is>
          <r>
            <rPr>
              <rFont val="Calibri"/>
              <b val="1"/>
              <sz val="10"/>
            </rPr>
            <t>Skills:</t>
          </r>
          <r>
            <rPr>
              <rFont val="Calibri"/>
              <sz val="10"/>
            </rPr>
            <t xml:space="preserve"> Software Testing</t>
          </r>
        </is>
      </c>
      <c r="O87"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87" s="12" t="inlineStr">
        <is>
          <t>6–9 yrs
Graduate or postgraduate; professional qualification preferred</t>
        </is>
      </c>
      <c r="Q87" s="12" t="inlineStr">
        <is>
          <t>Core 3 · Future-ready 3 · Functional 4 · Leadership 3
★ Test Automation &amp; QA Engineering · Product, Platform &amp; Domain Knowledge</t>
        </is>
      </c>
      <c r="R87" s="12" t="inlineStr">
        <is>
          <t>Provide systematic product-quality assurance. Includes: Test design, automation, risk-based coverage and quality architecture. Excludes: Data-production checking where the primary output is data.</t>
        </is>
      </c>
      <c r="S87" s="12" t="inlineStr">
        <is>
          <r>
            <rPr>
              <rFont val="Calibri"/>
              <b val="1"/>
              <sz val="10"/>
            </rPr>
            <t>Comparable stage:</t>
          </r>
          <r>
            <rPr>
              <rFont val="Calibri"/>
              <sz val="10"/>
            </rPr>
            <t xml:space="preserve"> LD06-1 · Quality Engineering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87" s="12" t="inlineStr">
        <is>
          <r>
            <rPr>
              <rFont val="Calibri"/>
              <sz val="10"/>
            </rPr>
            <t xml:space="preserve">Radford / Mercer P4 / M3 · SFIA 4–5
</t>
          </r>
          <r>
            <rPr>
              <rFont val="Calibri"/>
              <b val="1"/>
              <sz val="10"/>
            </rPr>
            <t>Workiva:</t>
          </r>
          <r>
            <rPr>
              <rFont val="Calibri"/>
              <sz val="10"/>
            </rPr>
            <t xml:space="preserve"> Senior SE · Broadridge India: Lead SE · Nasdaq / AxiomSL: Senior SE · IRIS Vs Market Benchmark — ISTQB certification pathway: Advanced · Test Manager / TAE</t>
          </r>
        </is>
      </c>
      <c r="U87" s="12" t="inlineStr">
        <is>
          <t>B3 · Lead Specialist</t>
        </is>
      </c>
      <c r="V87" s="12" t="inlineStr">
        <is>
          <t>Framework + sub-family themes · 3+ answered</t>
        </is>
      </c>
    </row>
    <row r="88">
      <c r="A88" s="89" t="inlineStr">
        <is>
          <t>Sales &amp; Business Development</t>
        </is>
      </c>
    </row>
    <row r="89" ht="119" customHeight="1">
      <c r="A89" s="90" t="inlineStr">
        <is>
          <t>RC-149</t>
        </is>
      </c>
      <c r="B89" s="12" t="inlineStr">
        <is>
          <t>Sales &amp; Business Development</t>
        </is>
      </c>
      <c r="C89" s="12" t="inlineStr">
        <is>
          <t>Bids, RFP &amp; Sales Operations</t>
        </is>
      </c>
      <c r="D89" s="16" t="inlineStr">
        <is>
          <t>A3</t>
        </is>
      </c>
      <c r="E89" s="17" t="inlineStr">
        <is>
          <t>Senior Associate</t>
        </is>
      </c>
      <c r="F89" s="12" t="inlineStr">
        <is>
          <t>IC</t>
        </is>
      </c>
      <c r="G89" s="12" t="inlineStr">
        <is>
          <t>Senior Sales Operations Analyst</t>
        </is>
      </c>
      <c r="H89" s="12" t="inlineStr">
        <is>
          <t>Smriti Priya</t>
        </is>
      </c>
      <c r="I89" s="12" t="inlineStr">
        <is>
          <t>Sales</t>
        </is>
      </c>
      <c r="J89" s="12" t="inlineStr">
        <is>
          <t>Prepares RFPs, vendor registrations, deal documentation and sales operations. At A3: varied work; reviews juniors; go-to for a process.</t>
        </is>
      </c>
      <c r="K89" s="12" t="inlineStr">
        <is>
          <t>Prepares RFPs, vendor registrations, deal documentation and sales operations; Varied and non-standard work; handles exceptions; A module / process, or work with client or regulatory consequences</t>
        </is>
      </c>
      <c r="L89" s="12" t="inlineStr">
        <is>
          <t>Technical / QC / client calls on own work</t>
        </is>
      </c>
      <c r="M89" s="12" t="inlineStr">
        <is>
          <t>—</t>
        </is>
      </c>
      <c r="N89" s="12" t="inlineStr">
        <is>
          <r>
            <rPr>
              <rFont val="Calibri"/>
              <b val="1"/>
              <sz val="10"/>
            </rPr>
            <t>Skills:</t>
          </r>
          <r>
            <rPr>
              <rFont val="Calibri"/>
              <sz val="10"/>
            </rPr>
            <t xml:space="preserve"> Sales</t>
          </r>
        </is>
      </c>
      <c r="O89"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89" s="12" t="inlineStr">
        <is>
          <t>2–4 yrs
Graduate; relevant certification preferred</t>
        </is>
      </c>
      <c r="Q89" s="12" t="inlineStr">
        <is>
          <t>Core 2 · Future-ready 2 · Functional 3 · Leadership —
★ Sales, Negotiation &amp; Account Growth · Marketing Tech &amp; Digital Marketing</t>
        </is>
      </c>
      <c r="R89" s="12" t="inlineStr">
        <is>
          <t>Create and convert commercial opportunities. Includes: Prospecting, account sales, alliances, presales and sales operations. Excludes: Customer adoption unless sales accountability is primary.</t>
        </is>
      </c>
      <c r="S89" s="12" t="inlineStr">
        <is>
          <r>
            <rPr>
              <rFont val="Calibri"/>
              <b val="1"/>
              <sz val="10"/>
            </rPr>
            <t>Comparable stage:</t>
          </r>
          <r>
            <rPr>
              <rFont val="Calibri"/>
              <sz val="10"/>
            </rPr>
            <t xml:space="preserve"> SAL04-2 · Sales Operations Analyst / Bid Specialist
Maintain reliable CRM reporting and compliant bid submissions.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bid and sales process with approval controls, data checks and measurable cycle improvement</t>
          </r>
        </is>
      </c>
      <c r="T89" s="12" t="inlineStr">
        <is>
          <t>Radford / Mercer P2 · SFIA 3 Apply
IRIS Vs Competitor Benchmark — SaaS sales ladder — IC: Senior SDR</t>
        </is>
      </c>
      <c r="U89" s="12" t="inlineStr">
        <is>
          <t>B1 · Specialist</t>
        </is>
      </c>
      <c r="V89" s="12" t="inlineStr">
        <is>
          <t>Framework only · fewer than 3 answered</t>
        </is>
      </c>
    </row>
    <row r="90" ht="119" customHeight="1">
      <c r="A90" s="90" t="inlineStr">
        <is>
          <t>RC-150</t>
        </is>
      </c>
      <c r="B90" s="12" t="inlineStr">
        <is>
          <t>Sales &amp; Business Development</t>
        </is>
      </c>
      <c r="C90" s="12" t="inlineStr">
        <is>
          <t>Bids, RFP &amp; Sales Operations</t>
        </is>
      </c>
      <c r="D90" s="20" t="inlineStr">
        <is>
          <t>B1</t>
        </is>
      </c>
      <c r="E90" s="21" t="inlineStr">
        <is>
          <t>Specialist</t>
        </is>
      </c>
      <c r="F90" s="12" t="inlineStr">
        <is>
          <t>IC</t>
        </is>
      </c>
      <c r="G90" s="12" t="inlineStr">
        <is>
          <t>Sales Operations Specialist – POD Lead</t>
        </is>
      </c>
      <c r="H90" s="12" t="inlineStr">
        <is>
          <t>Aniket Das</t>
        </is>
      </c>
      <c r="I90" s="12" t="inlineStr">
        <is>
          <t>Sales</t>
        </is>
      </c>
      <c r="J90" s="12" t="inlineStr">
        <is>
          <t>Prepares RFPs, vendor registrations, deal documentation and sales operations. At B1: a domain / module, or a small team.</t>
        </is>
      </c>
      <c r="K90" s="12" t="inlineStr">
        <is>
          <t>Prepares RFPs, vendor registrations, deal documentation and sales operations; Domain specialist work; A domain or a small team</t>
        </is>
      </c>
      <c r="L90" s="12" t="inlineStr">
        <is>
          <t>Technical / QC / client calls for the domain</t>
        </is>
      </c>
      <c r="M90" s="12" t="inlineStr">
        <is>
          <t>—</t>
        </is>
      </c>
      <c r="N90" s="12" t="inlineStr">
        <is>
          <r>
            <rPr>
              <rFont val="Calibri"/>
              <b val="1"/>
              <sz val="10"/>
            </rPr>
            <t>Skills:</t>
          </r>
          <r>
            <rPr>
              <rFont val="Calibri"/>
              <sz val="10"/>
            </rPr>
            <t xml:space="preserve"> Sales</t>
          </r>
        </is>
      </c>
      <c r="O90"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90" s="12" t="inlineStr">
        <is>
          <t>4–7 yrs
Graduate + relevant qualification or certification preferred</t>
        </is>
      </c>
      <c r="Q90" s="12" t="inlineStr">
        <is>
          <t>Core 3 · Future-ready 3 · Functional 3 · Leadership 1
★ Sales, Negotiation &amp; Account Growth · Marketing Tech &amp; Digital Marketing</t>
        </is>
      </c>
      <c r="R90" s="12" t="inlineStr">
        <is>
          <t>Create and convert commercial opportunities. Includes: Prospecting, account sales, alliances, presales and sales operations. Excludes: Customer adoption unless sales accountability is primary.</t>
        </is>
      </c>
      <c r="S90" s="12" t="inlineStr">
        <is>
          <r>
            <rPr>
              <rFont val="Calibri"/>
              <b val="1"/>
              <sz val="10"/>
            </rPr>
            <t>Comparable stage:</t>
          </r>
          <r>
            <rPr>
              <rFont val="Calibri"/>
              <sz val="10"/>
            </rPr>
            <t xml:space="preserve"> SAL04-3 · Senior Sales Operations Analyst
Resolve pricing/process exceptions and improve forecast data.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bid and sales process with approval controls, data checks and measurable cycle improvement</t>
          </r>
        </is>
      </c>
      <c r="T90" s="12" t="inlineStr">
        <is>
          <t>Radford / Mercer P3 / M2 · SFIA 4 Enable
IRIS Vs Competitor Benchmark — SaaS sales ladder — IC: Account Executive · SMB · IRIS Vs Competitor Benchmark — SaaS sales ladder — management: SDR Team Lead</t>
        </is>
      </c>
      <c r="U90" s="12" t="inlineStr">
        <is>
          <t>B2 · Senior Specialist</t>
        </is>
      </c>
      <c r="V90" s="12" t="inlineStr">
        <is>
          <t>Framework only · fewer than 3 answered</t>
        </is>
      </c>
    </row>
    <row r="91" ht="80" customHeight="1">
      <c r="A91" s="90" t="inlineStr">
        <is>
          <t>RC-154</t>
        </is>
      </c>
      <c r="B91" s="12" t="inlineStr">
        <is>
          <t>Sales &amp; Business Development</t>
        </is>
      </c>
      <c r="C91" s="12" t="inlineStr">
        <is>
          <t>Enterprise Sales &amp; Account Management</t>
        </is>
      </c>
      <c r="D91" s="36" t="inlineStr">
        <is>
          <t>X3</t>
        </is>
      </c>
      <c r="E91" s="37" t="inlineStr">
        <is>
          <t>Senior Consultant / Advisor</t>
        </is>
      </c>
      <c r="F91" s="12" t="inlineStr">
        <is>
          <t>IC</t>
        </is>
      </c>
      <c r="G91" s="12" t="inlineStr">
        <is>
          <t>Senior Consultant – Enterprise Sales &amp; Account Management</t>
        </is>
      </c>
      <c r="H91" s="12" t="inlineStr">
        <is>
          <t>Andrea Messiga</t>
        </is>
      </c>
      <c r="I91" s="12" t="inlineStr">
        <is>
          <t>Sales</t>
        </is>
      </c>
      <c r="J91" s="12" t="inlineStr">
        <is>
          <r>
            <rPr>
              <rFont val="Calibri"/>
              <sz val="10"/>
            </rPr>
            <t xml:space="preserve">Runs discovery, demos, proposals and negotiations; closes and grows accounts. At X3: expert or advisory scope · ≈ B3–C2.
</t>
          </r>
          <r>
            <rPr>
              <rFont val="Calibri"/>
              <b val="1"/>
              <sz val="10"/>
            </rPr>
            <t>Common themes in sub-family holders, all levels' answers:</t>
          </r>
          <r>
            <rPr>
              <rFont val="Calibri"/>
              <sz val="10"/>
            </rPr>
            <t xml:space="preserve"> sales · company · revenue</t>
          </r>
        </is>
      </c>
      <c r="K91" s="12" t="inlineStr">
        <is>
          <r>
            <rPr>
              <rFont val="Calibri"/>
              <sz val="10"/>
            </rPr>
            <t xml:space="preserve">Runs discovery, demos, proposals and negotiations; closes and grows accounts
</t>
          </r>
          <r>
            <rPr>
              <rFont val="Calibri"/>
              <b val="1"/>
              <sz val="10"/>
            </rPr>
            <t>Common themes in sub-family holders, all levels' answers:</t>
          </r>
          <r>
            <rPr>
              <rFont val="Calibri"/>
              <sz val="10"/>
            </rPr>
            <t xml:space="preserve"> ups · follow</t>
          </r>
        </is>
      </c>
      <c r="L91" s="12" t="inlineStr">
        <is>
          <r>
            <rPr>
              <rFont val="Calibri"/>
              <sz val="10"/>
            </rPr>
            <t xml:space="preserve">Within the statement of work
</t>
          </r>
          <r>
            <rPr>
              <rFont val="Calibri"/>
              <b val="1"/>
              <sz val="10"/>
            </rPr>
            <t>Common themes in sub-family holders, all levels' answers:</t>
          </r>
          <r>
            <rPr>
              <rFont val="Calibri"/>
              <sz val="10"/>
            </rPr>
            <t xml:space="preserve"> meeting</t>
          </r>
        </is>
      </c>
      <c r="M91" s="12" t="inlineStr">
        <is>
          <t>—</t>
        </is>
      </c>
      <c r="N91" s="12" t="inlineStr">
        <is>
          <r>
            <rPr>
              <rFont val="Calibri"/>
              <b val="1"/>
              <sz val="10"/>
            </rPr>
            <t>Skills:</t>
          </r>
          <r>
            <rPr>
              <rFont val="Calibri"/>
              <sz val="10"/>
            </rPr>
            <t xml:space="preserve"> Sales
</t>
          </r>
          <r>
            <rPr>
              <rFont val="Calibri"/>
              <b val="1"/>
              <sz val="10"/>
            </rPr>
            <t>Tools:</t>
          </r>
          <r>
            <rPr>
              <rFont val="Calibri"/>
              <sz val="10"/>
            </rPr>
            <t xml:space="preserve"> Excel</t>
          </r>
        </is>
      </c>
      <c r="O91" s="12" t="inlineStr">
        <is>
          <r>
            <rPr>
              <rFont val="Calibri"/>
              <b val="1"/>
              <sz val="10"/>
            </rPr>
            <t>Owns:</t>
          </r>
          <r>
            <rPr>
              <rFont val="Calibri"/>
              <sz val="10"/>
            </rPr>
            <t xml:space="preserve"> Expert or advisory scope · ≈ B3–C2</t>
          </r>
        </is>
      </c>
      <c r="P91" s="12" t="inlineStr">
        <is>
          <t>10+ yrs
As for equivalent role</t>
        </is>
      </c>
      <c r="Q91" s="12" t="inlineStr">
        <is>
          <t>Per statement of work
★ Sales, Negotiation &amp; Account Growth · Marketing Tech &amp; Digital Marketing</t>
        </is>
      </c>
      <c r="R91" s="12" t="inlineStr">
        <is>
          <t>Create and convert commercial opportunities. Includes: Prospecting, account sales, alliances, presales and sales operations. Excludes: Customer adoption unless sales accountability is primary.</t>
        </is>
      </c>
      <c r="S91" s="12" t="inlineStr">
        <is>
          <t>—</t>
        </is>
      </c>
      <c r="T91" s="12" t="inlineStr">
        <is>
          <t>Radford / Mercer Contractor · SFIA —
—</t>
        </is>
      </c>
      <c r="U91" s="12" t="inlineStr">
        <is>
          <t>—</t>
        </is>
      </c>
      <c r="V91" s="12" t="inlineStr">
        <is>
          <t>Framework + sub-family themes · 3+ answered</t>
        </is>
      </c>
    </row>
    <row r="92" ht="119" customHeight="1">
      <c r="A92" s="90" t="inlineStr">
        <is>
          <t>RC-162</t>
        </is>
      </c>
      <c r="B92" s="12" t="inlineStr">
        <is>
          <t>Sales &amp; Business Development</t>
        </is>
      </c>
      <c r="C92" s="12" t="inlineStr">
        <is>
          <t>Sales Development &amp; Prospecting</t>
        </is>
      </c>
      <c r="D92" s="16" t="inlineStr">
        <is>
          <t>A1</t>
        </is>
      </c>
      <c r="E92" s="17" t="inlineStr">
        <is>
          <t>Intern / Trainee</t>
        </is>
      </c>
      <c r="F92" s="12" t="inlineStr">
        <is>
          <t>IC</t>
        </is>
      </c>
      <c r="G92" s="12" t="inlineStr">
        <is>
          <t>Intern – Sales Development &amp; Prospecting</t>
        </is>
      </c>
      <c r="H92" s="12" t="inlineStr">
        <is>
          <t>Anika Mariam, Deblina Chatterjee, Samriddhi Kundu</t>
        </is>
      </c>
      <c r="I92" s="12" t="inlineStr">
        <is>
          <t>Marketing</t>
        </is>
      </c>
      <c r="J92" s="12" t="inlineStr">
        <is>
          <r>
            <rPr>
              <rFont val="Calibri"/>
              <sz val="10"/>
            </rPr>
            <t xml:space="preserve">Researches target accounts, runs outbound outreach, qualifies leads and books meetings. At A1: learning the role; all work reviewed.
</t>
          </r>
          <r>
            <rPr>
              <rFont val="Calibri"/>
              <b val="1"/>
              <sz val="10"/>
            </rPr>
            <t>Common themes in role-holders' answers:</t>
          </r>
          <r>
            <rPr>
              <rFont val="Calibri"/>
              <sz val="10"/>
            </rPr>
            <t xml:space="preserve"> scheduling · sales provide · customers shared · tools linkedin · portfolio company · cold</t>
          </r>
        </is>
      </c>
      <c r="K92" s="12" t="inlineStr">
        <is>
          <r>
            <rPr>
              <rFont val="Calibri"/>
              <sz val="10"/>
            </rPr>
            <t xml:space="preserve">Researches target accounts, runs outbound outreach, qualifies leads and books meetings; Learning; follows worked examples; Learning tasks
</t>
          </r>
          <r>
            <rPr>
              <rFont val="Calibri"/>
              <b val="1"/>
              <sz val="10"/>
            </rPr>
            <t>Common themes in role-holders' answers:</t>
          </r>
          <r>
            <rPr>
              <rFont val="Calibri"/>
              <sz val="10"/>
            </rPr>
            <t xml:space="preserve"> outreach · linkedin</t>
          </r>
        </is>
      </c>
      <c r="L92" s="12" t="inlineStr">
        <is>
          <r>
            <rPr>
              <rFont val="Calibri"/>
              <sz val="10"/>
            </rPr>
            <t xml:space="preserve">Needs approval / close guidance
</t>
          </r>
          <r>
            <rPr>
              <rFont val="Calibri"/>
              <b val="1"/>
              <sz val="10"/>
            </rPr>
            <t>Common themes in role-holders' answers:</t>
          </r>
          <r>
            <rPr>
              <rFont val="Calibri"/>
              <sz val="10"/>
            </rPr>
            <t xml:space="preserve"> lead</t>
          </r>
        </is>
      </c>
      <c r="M92" s="12" t="inlineStr">
        <is>
          <t>—</t>
        </is>
      </c>
      <c r="N92" s="12" t="inlineStr">
        <is>
          <r>
            <rPr>
              <rFont val="Calibri"/>
              <b val="1"/>
              <sz val="10"/>
            </rPr>
            <t>Skills:</t>
          </r>
          <r>
            <rPr>
              <rFont val="Calibri"/>
              <sz val="10"/>
            </rPr>
            <t xml:space="preserve"> Marketing · Objection Handling
</t>
          </r>
          <r>
            <rPr>
              <rFont val="Calibri"/>
              <b val="1"/>
              <sz val="10"/>
            </rPr>
            <t>Tools:</t>
          </r>
          <r>
            <rPr>
              <rFont val="Calibri"/>
              <sz val="10"/>
            </rPr>
            <t xml:space="preserve"> HubSpot · Excel</t>
          </r>
        </is>
      </c>
      <c r="O92" s="12" t="inlineStr">
        <is>
          <r>
            <rPr>
              <rFont val="Calibri"/>
              <b val="1"/>
              <sz val="10"/>
            </rPr>
            <t>Owns:</t>
          </r>
          <r>
            <rPr>
              <rFont val="Calibri"/>
              <sz val="10"/>
            </rPr>
            <t xml:space="preserve"> Learning the role; all work reviewed
</t>
          </r>
          <r>
            <rPr>
              <rFont val="Calibri"/>
              <b val="1"/>
              <sz val="10"/>
            </rPr>
            <t>Complexity:</t>
          </r>
          <r>
            <rPr>
              <rFont val="Calibri"/>
              <sz val="10"/>
            </rPr>
            <t xml:space="preserve"> Learning; follows worked examples
</t>
          </r>
          <r>
            <rPr>
              <rFont val="Calibri"/>
              <b val="1"/>
              <sz val="10"/>
            </rPr>
            <t>Decisions:</t>
          </r>
          <r>
            <rPr>
              <rFont val="Calibri"/>
              <sz val="10"/>
            </rPr>
            <t xml:space="preserve"> Needs approval / close guidance
</t>
          </r>
          <r>
            <rPr>
              <rFont val="Calibri"/>
              <b val="1"/>
              <sz val="10"/>
            </rPr>
            <t>Answers for:</t>
          </r>
          <r>
            <rPr>
              <rFont val="Calibri"/>
              <sz val="10"/>
            </rPr>
            <t xml:space="preserve"> Learning tasks
</t>
          </r>
          <r>
            <rPr>
              <rFont val="Calibri"/>
              <b val="1"/>
              <sz val="10"/>
            </rPr>
            <t>Leadership:</t>
          </r>
          <r>
            <rPr>
              <rFont val="Calibri"/>
              <sz val="10"/>
            </rPr>
            <t xml:space="preserve"> Not scored in Band A</t>
          </r>
        </is>
      </c>
      <c r="P92" s="12" t="inlineStr">
        <is>
          <t>0 yrs · fresher / intern
Pursuing or completed graduation / diploma</t>
        </is>
      </c>
      <c r="Q92" s="12" t="inlineStr">
        <is>
          <t>Core 1 · Future-ready 1 · Functional 1 · Leadership —
★ Sales, Negotiation &amp; Account Growth · Marketing Tech &amp; Digital Marketing</t>
        </is>
      </c>
      <c r="R92" s="12" t="inlineStr">
        <is>
          <t>Create and convert commercial opportunities. Includes: Prospecting, account sales, alliances, presales and sales operations. Excludes: Customer adoption unless sales accountability is primary.</t>
        </is>
      </c>
      <c r="S92" s="12" t="inlineStr">
        <is>
          <r>
            <rPr>
              <rFont val="Calibri"/>
              <b val="1"/>
              <sz val="10"/>
            </rPr>
            <t>Comparable stage:</t>
          </r>
          <r>
            <rPr>
              <rFont val="Calibri"/>
              <sz val="10"/>
            </rPr>
            <t xml:space="preserve"> SAL01-0 · Sales Development Intern
</t>
          </r>
          <r>
            <rPr>
              <rFont val="Calibri"/>
              <b val="1"/>
              <sz val="10"/>
            </rPr>
            <t>Assist with a supervised work sample:</t>
          </r>
          <r>
            <rPr>
              <rFont val="Calibri"/>
              <sz val="10"/>
            </rPr>
            <t xml:space="preserve"> research accounts and qualify opportunities against agreed criteria.
</t>
          </r>
          <r>
            <rPr>
              <rFont val="Calibri"/>
              <b val="1"/>
              <sz val="10"/>
            </rPr>
            <t>Ready when:</t>
          </r>
          <r>
            <rPr>
              <rFont val="Calibri"/>
              <sz val="10"/>
            </rPr>
            <t xml:space="preserve"> Reviewed learning assignment; no independent material sign-off.
</t>
          </r>
          <r>
            <rPr>
              <rFont val="Calibri"/>
              <b val="1"/>
              <sz val="10"/>
            </rPr>
            <t>Work sample:</t>
          </r>
          <r>
            <rPr>
              <rFont val="Calibri"/>
              <sz val="10"/>
            </rPr>
            <t xml:space="preserve"> A prospecting plan and accepted opportunity set with quality and conversion evidence</t>
          </r>
        </is>
      </c>
      <c r="T92" s="12" t="inlineStr">
        <is>
          <t>Radford / Mercer Entry / P1 · intern · SFIA 1 Follow
—</t>
        </is>
      </c>
      <c r="U92" s="12" t="inlineStr">
        <is>
          <t>A2 · Associate</t>
        </is>
      </c>
      <c r="V92" s="12" t="inlineStr">
        <is>
          <t>Framework + role-holders' themes · 3+ answered</t>
        </is>
      </c>
    </row>
    <row r="93" ht="119" customHeight="1">
      <c r="A93" s="90" t="inlineStr">
        <is>
          <t>RC-163</t>
        </is>
      </c>
      <c r="B93" s="12" t="inlineStr">
        <is>
          <t>Sales &amp; Business Development</t>
        </is>
      </c>
      <c r="C93" s="12" t="inlineStr">
        <is>
          <t>Sales Development &amp; Prospecting</t>
        </is>
      </c>
      <c r="D93" s="16" t="inlineStr">
        <is>
          <t>A2</t>
        </is>
      </c>
      <c r="E93" s="17" t="inlineStr">
        <is>
          <t>Associate</t>
        </is>
      </c>
      <c r="F93" s="12" t="inlineStr">
        <is>
          <t>IC</t>
        </is>
      </c>
      <c r="G93" s="12" t="inlineStr">
        <is>
          <t>Sales Development Representative</t>
        </is>
      </c>
      <c r="H93" s="12" t="inlineStr">
        <is>
          <t>Adithya Nair, Diksha Gunjyal, Sanjana Thapa, Satyarth Singh, Shobhit Dhingra</t>
        </is>
      </c>
      <c r="I93" s="12" t="inlineStr">
        <is>
          <t>Marketing</t>
        </is>
      </c>
      <c r="J93" s="12" t="inlineStr">
        <is>
          <r>
            <rPr>
              <rFont val="Calibri"/>
              <sz val="10"/>
            </rPr>
            <t xml:space="preserve">Researches target accounts, runs outbound outreach, qualifies leads and books meetings. At A2: standard work delivered independently.
</t>
          </r>
          <r>
            <rPr>
              <rFont val="Calibri"/>
              <b val="1"/>
              <sz val="10"/>
            </rPr>
            <t>Common themes in role-holders' answers:</t>
          </r>
          <r>
            <rPr>
              <rFont val="Calibri"/>
              <sz val="10"/>
            </rPr>
            <t xml:space="preserve"> scheduling · customers shared · sales · cold · navigator fetch · database</t>
          </r>
        </is>
      </c>
      <c r="K93" s="12" t="inlineStr">
        <is>
          <r>
            <rPr>
              <rFont val="Calibri"/>
              <sz val="10"/>
            </rPr>
            <t xml:space="preserve">Researches target accounts, runs outbound outreach, qualifies leads and books meetings; Standard work of the discipline; Own deliverables · accuracy, TAT
</t>
          </r>
          <r>
            <rPr>
              <rFont val="Calibri"/>
              <b val="1"/>
              <sz val="10"/>
            </rPr>
            <t>Common themes in role-holders' answers:</t>
          </r>
          <r>
            <rPr>
              <rFont val="Calibri"/>
              <sz val="10"/>
            </rPr>
            <t xml:space="preserve"> building · crm · outreach · linkedin · right · company</t>
          </r>
        </is>
      </c>
      <c r="L93" s="12" t="inlineStr">
        <is>
          <r>
            <rPr>
              <rFont val="Calibri"/>
              <sz val="10"/>
            </rPr>
            <t xml:space="preserve">Chooses own approach within standards
</t>
          </r>
          <r>
            <rPr>
              <rFont val="Calibri"/>
              <b val="1"/>
              <sz val="10"/>
            </rPr>
            <t>Common themes in role-holders' answers:</t>
          </r>
          <r>
            <rPr>
              <rFont val="Calibri"/>
              <sz val="10"/>
            </rPr>
            <t xml:space="preserve"> outreach</t>
          </r>
        </is>
      </c>
      <c r="M93" s="12" t="inlineStr">
        <is>
          <t>—</t>
        </is>
      </c>
      <c r="N93" s="12" t="inlineStr">
        <is>
          <r>
            <rPr>
              <rFont val="Calibri"/>
              <b val="1"/>
              <sz val="10"/>
            </rPr>
            <t>Skills:</t>
          </r>
          <r>
            <rPr>
              <rFont val="Calibri"/>
              <sz val="10"/>
            </rPr>
            <t xml:space="preserve"> Marketing · Communication skills
</t>
          </r>
          <r>
            <rPr>
              <rFont val="Calibri"/>
              <b val="1"/>
              <sz val="10"/>
            </rPr>
            <t>Tools:</t>
          </r>
          <r>
            <rPr>
              <rFont val="Calibri"/>
              <sz val="10"/>
            </rPr>
            <t xml:space="preserve"> Linkedin · Hubspot · Claude</t>
          </r>
        </is>
      </c>
      <c r="O93" s="12" t="inlineStr">
        <is>
          <r>
            <rPr>
              <rFont val="Calibri"/>
              <b val="1"/>
              <sz val="10"/>
            </rPr>
            <t>Owns:</t>
          </r>
          <r>
            <rPr>
              <rFont val="Calibri"/>
              <sz val="10"/>
            </rPr>
            <t xml:space="preserve"> Standard work delivered independently
</t>
          </r>
          <r>
            <rPr>
              <rFont val="Calibri"/>
              <b val="1"/>
              <sz val="10"/>
            </rPr>
            <t>Complexity:</t>
          </r>
          <r>
            <rPr>
              <rFont val="Calibri"/>
              <sz val="10"/>
            </rPr>
            <t xml:space="preserve"> Standard work of the discipline
</t>
          </r>
          <r>
            <rPr>
              <rFont val="Calibri"/>
              <b val="1"/>
              <sz val="10"/>
            </rPr>
            <t>Decisions:</t>
          </r>
          <r>
            <rPr>
              <rFont val="Calibri"/>
              <sz val="10"/>
            </rPr>
            <t xml:space="preserve"> Chooses own approach within standards
</t>
          </r>
          <r>
            <rPr>
              <rFont val="Calibri"/>
              <b val="1"/>
              <sz val="10"/>
            </rPr>
            <t>Answers for:</t>
          </r>
          <r>
            <rPr>
              <rFont val="Calibri"/>
              <sz val="10"/>
            </rPr>
            <t xml:space="preserve"> Own deliverables · accuracy, TAT
</t>
          </r>
          <r>
            <rPr>
              <rFont val="Calibri"/>
              <b val="1"/>
              <sz val="10"/>
            </rPr>
            <t>Leadership:</t>
          </r>
          <r>
            <rPr>
              <rFont val="Calibri"/>
              <sz val="10"/>
            </rPr>
            <t xml:space="preserve"> Not scored in Band A</t>
          </r>
        </is>
      </c>
      <c r="P93" s="12" t="inlineStr">
        <is>
          <t>0–2 yrs
Graduate · or diploma with experience</t>
        </is>
      </c>
      <c r="Q93" s="12" t="inlineStr">
        <is>
          <t>Core 2 · Future-ready 2 · Functional 2 · Leadership —
★ Sales, Negotiation &amp; Account Growth · Marketing Tech &amp; Digital Marketing</t>
        </is>
      </c>
      <c r="R93" s="12" t="inlineStr">
        <is>
          <t>Create and convert commercial opportunities. Includes: Prospecting, account sales, alliances, presales and sales operations. Excludes: Customer adoption unless sales accountability is primary.</t>
        </is>
      </c>
      <c r="S93" s="12" t="inlineStr">
        <is>
          <r>
            <rPr>
              <rFont val="Calibri"/>
              <b val="1"/>
              <sz val="10"/>
            </rPr>
            <t>Comparable stage:</t>
          </r>
          <r>
            <rPr>
              <rFont val="Calibri"/>
              <sz val="10"/>
            </rPr>
            <t xml:space="preserve"> SAL01-1 · Sales Development Associate
</t>
          </r>
          <r>
            <rPr>
              <rFont val="Calibri"/>
              <b val="1"/>
              <sz val="10"/>
            </rPr>
            <t>Complete defined parts under review:</t>
          </r>
          <r>
            <rPr>
              <rFont val="Calibri"/>
              <sz val="10"/>
            </rPr>
            <t xml:space="preserve"> research accounts and qualify opportunities against agreed criteria.
</t>
          </r>
          <r>
            <rPr>
              <rFont val="Calibri"/>
              <b val="1"/>
              <sz val="10"/>
            </rPr>
            <t>Ready when:</t>
          </r>
          <r>
            <rPr>
              <rFont val="Calibri"/>
              <sz val="10"/>
            </rPr>
            <t xml:space="preserve"> Repeatable correct delivery, safe escalation and required entry eligibility.
</t>
          </r>
          <r>
            <rPr>
              <rFont val="Calibri"/>
              <b val="1"/>
              <sz val="10"/>
            </rPr>
            <t>Work sample:</t>
          </r>
          <r>
            <rPr>
              <rFont val="Calibri"/>
              <sz val="10"/>
            </rPr>
            <t xml:space="preserve"> A prospecting plan and accepted opportunity set with quality and conversion evidence</t>
          </r>
        </is>
      </c>
      <c r="T93" s="12" t="inlineStr">
        <is>
          <t>Radford / Mercer P1–P2 · SFIA 2 Assist
IRIS Vs Competitor Benchmark — SaaS sales ladder — IC: SDR / BDR</t>
        </is>
      </c>
      <c r="U93" s="12" t="inlineStr">
        <is>
          <t>A3 · Senior Associate</t>
        </is>
      </c>
      <c r="V93" s="12" t="inlineStr">
        <is>
          <t>Framework + role-holders' themes · 3+ answered</t>
        </is>
      </c>
    </row>
    <row r="94" ht="106" customHeight="1">
      <c r="A94" s="90" t="inlineStr">
        <is>
          <t>RC-164</t>
        </is>
      </c>
      <c r="B94" s="12" t="inlineStr">
        <is>
          <t>Sales &amp; Business Development</t>
        </is>
      </c>
      <c r="C94" s="12" t="inlineStr">
        <is>
          <t>Sales Development &amp; Prospecting</t>
        </is>
      </c>
      <c r="D94" s="16" t="inlineStr">
        <is>
          <t>A3</t>
        </is>
      </c>
      <c r="E94" s="17" t="inlineStr">
        <is>
          <t>Senior Associate</t>
        </is>
      </c>
      <c r="F94" s="12" t="inlineStr">
        <is>
          <t>IC</t>
        </is>
      </c>
      <c r="G94" s="12" t="inlineStr">
        <is>
          <t>Senior Sales Development Representative</t>
        </is>
      </c>
      <c r="H94" s="12" t="inlineStr">
        <is>
          <t>Fatima Bhaiji, Mausam Thakkar, Rahul Nishikant Pawar</t>
        </is>
      </c>
      <c r="I94" s="12" t="inlineStr">
        <is>
          <t>Marketing</t>
        </is>
      </c>
      <c r="J94" s="12" t="inlineStr">
        <is>
          <r>
            <rPr>
              <rFont val="Calibri"/>
              <sz val="10"/>
            </rPr>
            <t xml:space="preserve">Researches target accounts, runs outbound outreach, qualifies leads and books meetings. At A3: varied work; reviews juniors; go-to for a process.
</t>
          </r>
          <r>
            <rPr>
              <rFont val="Calibri"/>
              <b val="1"/>
              <sz val="10"/>
            </rPr>
            <t>Common themes in role-holders' answers:</t>
          </r>
          <r>
            <rPr>
              <rFont val="Calibri"/>
              <sz val="10"/>
            </rPr>
            <t xml:space="preserve"> core · sales · schedule · meetings · opportunities · sdr</t>
          </r>
        </is>
      </c>
      <c r="K94" s="12" t="inlineStr">
        <is>
          <r>
            <rPr>
              <rFont val="Calibri"/>
              <sz val="10"/>
            </rPr>
            <t xml:space="preserve">Researches target accounts, runs outbound outreach, qualifies leads and books meetings; Varied and non-standard work; handles exceptions; A module / process, or work with client or regulatory consequences
</t>
          </r>
          <r>
            <rPr>
              <rFont val="Calibri"/>
              <b val="1"/>
              <sz val="10"/>
            </rPr>
            <t>Common themes in role-holders' answers:</t>
          </r>
          <r>
            <rPr>
              <rFont val="Calibri"/>
              <sz val="10"/>
            </rPr>
            <t xml:space="preserve"> outreach · calls · linkedin</t>
          </r>
        </is>
      </c>
      <c r="L94" s="12" t="inlineStr">
        <is>
          <t>Technical / QC / client calls on own work</t>
        </is>
      </c>
      <c r="M94" s="12" t="inlineStr">
        <is>
          <t>—</t>
        </is>
      </c>
      <c r="N94" s="12" t="inlineStr">
        <is>
          <r>
            <rPr>
              <rFont val="Calibri"/>
              <b val="1"/>
              <sz val="10"/>
            </rPr>
            <t>Skills:</t>
          </r>
          <r>
            <rPr>
              <rFont val="Calibri"/>
              <sz val="10"/>
            </rPr>
            <t xml:space="preserve"> Marketing</t>
          </r>
        </is>
      </c>
      <c r="O94"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94" s="12" t="inlineStr">
        <is>
          <t>2–4 yrs
Graduate; relevant certification preferred</t>
        </is>
      </c>
      <c r="Q94" s="12" t="inlineStr">
        <is>
          <t>Core 2 · Future-ready 2 · Functional 3 · Leadership —
★ Sales, Negotiation &amp; Account Growth · Marketing Tech &amp; Digital Marketing</t>
        </is>
      </c>
      <c r="R94" s="12" t="inlineStr">
        <is>
          <t>Create and convert commercial opportunities. Includes: Prospecting, account sales, alliances, presales and sales operations. Excludes: Customer adoption unless sales accountability is primary.</t>
        </is>
      </c>
      <c r="S94" s="12" t="inlineStr">
        <is>
          <r>
            <rPr>
              <rFont val="Calibri"/>
              <b val="1"/>
              <sz val="10"/>
            </rPr>
            <t>Comparable stage:</t>
          </r>
          <r>
            <rPr>
              <rFont val="Calibri"/>
              <sz val="10"/>
            </rPr>
            <t xml:space="preserve"> SAL01-2 · Sales Development Representative
Research accounts and qualify opportunities against agreed criteria.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prospecting plan and accepted opportunity set with quality and conversion evidence</t>
          </r>
        </is>
      </c>
      <c r="T94" s="12" t="inlineStr">
        <is>
          <t>Radford / Mercer P2 · SFIA 3 Apply
IRIS Vs Competitor Benchmark — SaaS sales ladder — IC: Senior SDR</t>
        </is>
      </c>
      <c r="U94" s="12" t="inlineStr">
        <is>
          <t>B1 · Specialist</t>
        </is>
      </c>
      <c r="V94" s="12" t="inlineStr">
        <is>
          <t>Framework + role-holders' themes · 3+ answered</t>
        </is>
      </c>
    </row>
    <row r="95" ht="119" customHeight="1">
      <c r="A95" s="90" t="inlineStr">
        <is>
          <t>RC-165</t>
        </is>
      </c>
      <c r="B95" s="12" t="inlineStr">
        <is>
          <t>Sales &amp; Business Development</t>
        </is>
      </c>
      <c r="C95" s="12" t="inlineStr">
        <is>
          <t>Sales Development &amp; Prospecting</t>
        </is>
      </c>
      <c r="D95" s="20" t="inlineStr">
        <is>
          <t>B1</t>
        </is>
      </c>
      <c r="E95" s="21" t="inlineStr">
        <is>
          <t>Specialist</t>
        </is>
      </c>
      <c r="F95" s="12" t="inlineStr">
        <is>
          <t>IC</t>
        </is>
      </c>
      <c r="G95" s="12" t="inlineStr">
        <is>
          <t>Account Executive</t>
        </is>
      </c>
      <c r="H95" s="12" t="inlineStr">
        <is>
          <t>Anand Chiluka</t>
        </is>
      </c>
      <c r="I95" s="12" t="inlineStr">
        <is>
          <t>Marketing</t>
        </is>
      </c>
      <c r="J95" s="12" t="inlineStr">
        <is>
          <r>
            <rPr>
              <rFont val="Calibri"/>
              <sz val="10"/>
            </rPr>
            <t xml:space="preserve">Researches target accounts, runs outbound outreach, qualifies leads and books meetings. At B1: a domain / module, or a small team.
</t>
          </r>
          <r>
            <rPr>
              <rFont val="Calibri"/>
              <b val="1"/>
              <sz val="10"/>
            </rPr>
            <t>Common themes in sub-family holders, all levels' answers:</t>
          </r>
          <r>
            <rPr>
              <rFont val="Calibri"/>
              <sz val="10"/>
            </rPr>
            <t xml:space="preserve"> sales · scheduling · customers shared · cold · navigator fetch · database</t>
          </r>
        </is>
      </c>
      <c r="K95" s="12" t="inlineStr">
        <is>
          <r>
            <rPr>
              <rFont val="Calibri"/>
              <sz val="10"/>
            </rPr>
            <t xml:space="preserve">Researches target accounts, runs outbound outreach, qualifies leads and books meetings; Domain specialist work; A domain or a small team
</t>
          </r>
          <r>
            <rPr>
              <rFont val="Calibri"/>
              <b val="1"/>
              <sz val="10"/>
            </rPr>
            <t>Common themes in sub-family holders, all levels' answers:</t>
          </r>
          <r>
            <rPr>
              <rFont val="Calibri"/>
              <sz val="10"/>
            </rPr>
            <t xml:space="preserve"> outreach · linkedin · calls · pipeline · qualified · cold</t>
          </r>
        </is>
      </c>
      <c r="L95" s="12" t="inlineStr">
        <is>
          <r>
            <rPr>
              <rFont val="Calibri"/>
              <sz val="10"/>
            </rPr>
            <t xml:space="preserve">Technical / QC / client calls for the domain
</t>
          </r>
          <r>
            <rPr>
              <rFont val="Calibri"/>
              <b val="1"/>
              <sz val="10"/>
            </rPr>
            <t>Common themes in sub-family holders, all levels' answers:</t>
          </r>
          <r>
            <rPr>
              <rFont val="Calibri"/>
              <sz val="10"/>
            </rPr>
            <t xml:space="preserve"> outreach · approach · messaging · calls · emails · pipeline</t>
          </r>
        </is>
      </c>
      <c r="M95" s="12" t="inlineStr">
        <is>
          <t>—</t>
        </is>
      </c>
      <c r="N95" s="12" t="inlineStr">
        <is>
          <r>
            <rPr>
              <rFont val="Calibri"/>
              <b val="1"/>
              <sz val="10"/>
            </rPr>
            <t>Skills:</t>
          </r>
          <r>
            <rPr>
              <rFont val="Calibri"/>
              <sz val="10"/>
            </rPr>
            <t xml:space="preserve"> Marketing · cold calling · objection handling · Communication · Linkedin outreach · Hubspot · Communication skills
</t>
          </r>
          <r>
            <rPr>
              <rFont val="Calibri"/>
              <b val="1"/>
              <sz val="10"/>
            </rPr>
            <t>Tools:</t>
          </r>
          <r>
            <rPr>
              <rFont val="Calibri"/>
              <sz val="10"/>
            </rPr>
            <t xml:space="preserve"> HUBSPOT · Linkedin · SALES NAVIGATOR · Excel · CHATGPT · Zoominfo · Claude · Hubspot Linkedin</t>
          </r>
        </is>
      </c>
      <c r="O95"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95" s="12" t="inlineStr">
        <is>
          <t>4–7 yrs
Graduate + relevant qualification or certification preferred</t>
        </is>
      </c>
      <c r="Q95" s="12" t="inlineStr">
        <is>
          <t>Core 3 · Future-ready 3 · Functional 3 · Leadership 1
★ Sales, Negotiation &amp; Account Growth · Marketing Tech &amp; Digital Marketing</t>
        </is>
      </c>
      <c r="R95" s="12" t="inlineStr">
        <is>
          <t>Create and convert commercial opportunities. Includes: Prospecting, account sales, alliances, presales and sales operations. Excludes: Customer adoption unless sales accountability is primary.</t>
        </is>
      </c>
      <c r="S95" s="12" t="inlineStr">
        <is>
          <r>
            <rPr>
              <rFont val="Calibri"/>
              <b val="1"/>
              <sz val="10"/>
            </rPr>
            <t>Comparable stage:</t>
          </r>
          <r>
            <rPr>
              <rFont val="Calibri"/>
              <sz val="10"/>
            </rPr>
            <t xml:space="preserve"> SAL01-3 · Senior Sales Development Representative
Handle complex stakeholder maps and improve accepted-opportunity quality.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prospecting plan and accepted opportunity set with quality and conversion evidence</t>
          </r>
        </is>
      </c>
      <c r="T95" s="12" t="inlineStr">
        <is>
          <t>Radford / Mercer P3 / M2 · SFIA 4 Enable
IRIS Vs Competitor Benchmark — SaaS sales ladder — IC: Account Executive · SMB · IRIS Vs Competitor Benchmark — SaaS sales ladder — management: SDR Team Lead</t>
        </is>
      </c>
      <c r="U95" s="12" t="inlineStr">
        <is>
          <t>B2 · Senior Specialist</t>
        </is>
      </c>
      <c r="V95" s="12" t="inlineStr">
        <is>
          <t>Framework + sub-family themes · 3+ answered</t>
        </is>
      </c>
    </row>
    <row r="96" ht="119" customHeight="1">
      <c r="A96" s="90" t="inlineStr">
        <is>
          <t>RC-166</t>
        </is>
      </c>
      <c r="B96" s="12" t="inlineStr">
        <is>
          <t>Sales &amp; Business Development</t>
        </is>
      </c>
      <c r="C96" s="12" t="inlineStr">
        <is>
          <t>Sales Development &amp; Prospecting</t>
        </is>
      </c>
      <c r="D96" s="20" t="inlineStr">
        <is>
          <t>B1</t>
        </is>
      </c>
      <c r="E96" s="21" t="inlineStr">
        <is>
          <t>Team Lead</t>
        </is>
      </c>
      <c r="F96" s="12" t="inlineStr">
        <is>
          <t>Manager</t>
        </is>
      </c>
      <c r="G96" s="12" t="inlineStr">
        <is>
          <t>Team Lead – Sales Development</t>
        </is>
      </c>
      <c r="H96" s="12" t="inlineStr">
        <is>
          <t>Priyadarshini Dey, Vijay Krishna Chintha</t>
        </is>
      </c>
      <c r="I96" s="12" t="inlineStr">
        <is>
          <t>Marketing</t>
        </is>
      </c>
      <c r="J96" s="12" t="inlineStr">
        <is>
          <r>
            <rPr>
              <rFont val="Calibri"/>
              <sz val="10"/>
            </rPr>
            <t xml:space="preserve">Researches target accounts, runs outbound outreach, qualifies leads and books meetings. At B1: a domain / module, or a small team.
</t>
          </r>
          <r>
            <rPr>
              <rFont val="Calibri"/>
              <b val="1"/>
              <sz val="10"/>
            </rPr>
            <t>Common themes in sub-family holders, all levels' answers:</t>
          </r>
          <r>
            <rPr>
              <rFont val="Calibri"/>
              <sz val="10"/>
            </rPr>
            <t xml:space="preserve"> sales · scheduling · customers shared · cold · navigator fetch · database</t>
          </r>
        </is>
      </c>
      <c r="K96" s="12" t="inlineStr">
        <is>
          <r>
            <rPr>
              <rFont val="Calibri"/>
              <sz val="10"/>
            </rPr>
            <t xml:space="preserve">Researches target accounts, runs outbound outreach, qualifies leads and books meetings; Domain specialist work; A domain or a small team
</t>
          </r>
          <r>
            <rPr>
              <rFont val="Calibri"/>
              <b val="1"/>
              <sz val="10"/>
            </rPr>
            <t>Common themes in sub-family holders, all levels' answers:</t>
          </r>
          <r>
            <rPr>
              <rFont val="Calibri"/>
              <sz val="10"/>
            </rPr>
            <t xml:space="preserve"> outreach · linkedin · calls · pipeline · qualified · cold</t>
          </r>
        </is>
      </c>
      <c r="L96" s="12" t="inlineStr">
        <is>
          <r>
            <rPr>
              <rFont val="Calibri"/>
              <sz val="10"/>
            </rPr>
            <t xml:space="preserve">Technical / QC / client calls for the domain
</t>
          </r>
          <r>
            <rPr>
              <rFont val="Calibri"/>
              <b val="1"/>
              <sz val="10"/>
            </rPr>
            <t>Common themes in sub-family holders, all levels' answers:</t>
          </r>
          <r>
            <rPr>
              <rFont val="Calibri"/>
              <sz val="10"/>
            </rPr>
            <t xml:space="preserve"> outreach · approach · messaging · calls · emails · pipeline</t>
          </r>
        </is>
      </c>
      <c r="M96" s="12" t="inlineStr">
        <is>
          <t>—</t>
        </is>
      </c>
      <c r="N96" s="12" t="inlineStr">
        <is>
          <r>
            <rPr>
              <rFont val="Calibri"/>
              <b val="1"/>
              <sz val="10"/>
            </rPr>
            <t>Skills:</t>
          </r>
          <r>
            <rPr>
              <rFont val="Calibri"/>
              <sz val="10"/>
            </rPr>
            <t xml:space="preserve"> Marketing · cold calling · objection handling · Communication · Linkedin outreach · Hubspot · Communication skills
</t>
          </r>
          <r>
            <rPr>
              <rFont val="Calibri"/>
              <b val="1"/>
              <sz val="10"/>
            </rPr>
            <t>Tools:</t>
          </r>
          <r>
            <rPr>
              <rFont val="Calibri"/>
              <sz val="10"/>
            </rPr>
            <t xml:space="preserve"> HUBSPOT · Linkedin · SALES NAVIGATOR · Excel · CHATGPT · Zoominfo · Claude · Hubspot Linkedin</t>
          </r>
        </is>
      </c>
      <c r="O96"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96" s="12" t="inlineStr">
        <is>
          <t>4–7 yrs
Graduate + relevant qualification or certification preferred</t>
        </is>
      </c>
      <c r="Q96" s="12" t="inlineStr">
        <is>
          <t>Core 3 · Future-ready 3 · Functional 3 · Leadership 2
★ Sales, Negotiation &amp; Account Growth · Marketing Tech &amp; Digital Marketing</t>
        </is>
      </c>
      <c r="R96" s="12" t="inlineStr">
        <is>
          <t>Create and convert commercial opportunities. Includes: Prospecting, account sales, alliances, presales and sales operations. Excludes: Customer adoption unless sales accountability is primary.</t>
        </is>
      </c>
      <c r="S96" s="12" t="inlineStr">
        <is>
          <r>
            <rPr>
              <rFont val="Calibri"/>
              <b val="1"/>
              <sz val="10"/>
            </rPr>
            <t>Comparable stage:</t>
          </r>
          <r>
            <rPr>
              <rFont val="Calibri"/>
              <sz val="10"/>
            </rPr>
            <t xml:space="preserve"> LD05-1 · Sales / Sales Development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96" s="12" t="inlineStr">
        <is>
          <t>Radford / Mercer P3 / M2 · SFIA 4 Enable
IRIS Vs Competitor Benchmark — SaaS sales ladder — IC: Account Executive · SMB · IRIS Vs Competitor Benchmark — SaaS sales ladder — management: SDR Team Lead</t>
        </is>
      </c>
      <c r="U96" s="12" t="inlineStr">
        <is>
          <t>B2 · Senior Specialist</t>
        </is>
      </c>
      <c r="V96" s="12" t="inlineStr">
        <is>
          <t>Framework + sub-family themes · 3+ answered</t>
        </is>
      </c>
    </row>
    <row r="97" ht="119" customHeight="1">
      <c r="A97" s="90" t="inlineStr">
        <is>
          <t>RC-167</t>
        </is>
      </c>
      <c r="B97" s="12" t="inlineStr">
        <is>
          <t>Sales &amp; Business Development</t>
        </is>
      </c>
      <c r="C97" s="12" t="inlineStr">
        <is>
          <t>Sales Development &amp; Prospecting</t>
        </is>
      </c>
      <c r="D97" s="20" t="inlineStr">
        <is>
          <t>B2</t>
        </is>
      </c>
      <c r="E97" s="21" t="inlineStr">
        <is>
          <t>Senior Specialist</t>
        </is>
      </c>
      <c r="F97" s="12" t="inlineStr">
        <is>
          <t>IC</t>
        </is>
      </c>
      <c r="G97" s="12" t="inlineStr">
        <is>
          <t>Senior Account Executive – POD Lead</t>
        </is>
      </c>
      <c r="H97" s="12" t="inlineStr">
        <is>
          <t>Prashant Sharad Jadhav</t>
        </is>
      </c>
      <c r="I97" s="12" t="inlineStr">
        <is>
          <t>Marketing</t>
        </is>
      </c>
      <c r="J97" s="12" t="inlineStr">
        <is>
          <r>
            <rPr>
              <rFont val="Calibri"/>
              <sz val="10"/>
            </rPr>
            <t xml:space="preserve">Researches target accounts, runs outbound outreach, qualifies leads and books meetings. At B2: deep domain expertise, or one team.
</t>
          </r>
          <r>
            <rPr>
              <rFont val="Calibri"/>
              <b val="1"/>
              <sz val="10"/>
            </rPr>
            <t>Common themes in sub-family holders, all levels' answers:</t>
          </r>
          <r>
            <rPr>
              <rFont val="Calibri"/>
              <sz val="10"/>
            </rPr>
            <t xml:space="preserve"> sales · scheduling · customers shared · cold · navigator fetch · database</t>
          </r>
        </is>
      </c>
      <c r="K97" s="12" t="inlineStr">
        <is>
          <r>
            <rPr>
              <rFont val="Calibri"/>
              <sz val="10"/>
            </rPr>
            <t xml:space="preserve">Researches target accounts, runs outbound outreach, qualifies leads and books meetings; Hardest problems in the domain; One team or a client portfolio
</t>
          </r>
          <r>
            <rPr>
              <rFont val="Calibri"/>
              <b val="1"/>
              <sz val="10"/>
            </rPr>
            <t>Common themes in sub-family holders, all levels' answers:</t>
          </r>
          <r>
            <rPr>
              <rFont val="Calibri"/>
              <sz val="10"/>
            </rPr>
            <t xml:space="preserve"> outreach · linkedin · calls · pipeline · qualified · cold</t>
          </r>
        </is>
      </c>
      <c r="L97" s="12" t="inlineStr">
        <is>
          <r>
            <rPr>
              <rFont val="Calibri"/>
              <sz val="10"/>
            </rPr>
            <t xml:space="preserve">Allocates people and sets team priorities
</t>
          </r>
          <r>
            <rPr>
              <rFont val="Calibri"/>
              <b val="1"/>
              <sz val="10"/>
            </rPr>
            <t>Common themes in sub-family holders, all levels' answers:</t>
          </r>
          <r>
            <rPr>
              <rFont val="Calibri"/>
              <sz val="10"/>
            </rPr>
            <t xml:space="preserve"> outreach · approach · messaging · calls · emails · pipeline</t>
          </r>
        </is>
      </c>
      <c r="M97" s="12" t="inlineStr">
        <is>
          <t>—</t>
        </is>
      </c>
      <c r="N97" s="12" t="inlineStr">
        <is>
          <r>
            <rPr>
              <rFont val="Calibri"/>
              <b val="1"/>
              <sz val="10"/>
            </rPr>
            <t>Skills:</t>
          </r>
          <r>
            <rPr>
              <rFont val="Calibri"/>
              <sz val="10"/>
            </rPr>
            <t xml:space="preserve"> Marketing · cold calling · objection handling · Communication · Linkedin outreach · Hubspot · Communication skills
</t>
          </r>
          <r>
            <rPr>
              <rFont val="Calibri"/>
              <b val="1"/>
              <sz val="10"/>
            </rPr>
            <t>Tools:</t>
          </r>
          <r>
            <rPr>
              <rFont val="Calibri"/>
              <sz val="10"/>
            </rPr>
            <t xml:space="preserve"> HUBSPOT · Linkedin · SALES NAVIGATOR · Excel · CHATGPT · Zoominfo · Claude · Hubspot Linkedin</t>
          </r>
        </is>
      </c>
      <c r="O97"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97" s="12" t="inlineStr">
        <is>
          <t>6–9 yrs
Graduate or postgraduate; professional qualification preferred</t>
        </is>
      </c>
      <c r="Q97" s="12" t="inlineStr">
        <is>
          <t>Core 3 · Future-ready 3 · Functional 4 · Leadership 2
★ Sales, Negotiation &amp; Account Growth · Marketing Tech &amp; Digital Marketing</t>
        </is>
      </c>
      <c r="R97" s="12" t="inlineStr">
        <is>
          <t>Create and convert commercial opportunities. Includes: Prospecting, account sales, alliances, presales and sales operations. Excludes: Customer adoption unless sales accountability is primary.</t>
        </is>
      </c>
      <c r="S97" s="12" t="inlineStr">
        <is>
          <r>
            <rPr>
              <rFont val="Calibri"/>
              <b val="1"/>
              <sz val="10"/>
            </rPr>
            <t>Comparable stage:</t>
          </r>
          <r>
            <rPr>
              <rFont val="Calibri"/>
              <sz val="10"/>
            </rPr>
            <t xml:space="preserve"> SAL01-3 · Senior Sales Development Representative
Handle complex stakeholder maps and improve accepted-opportunity quality.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prospecting plan and accepted opportunity set with quality and conversion evidence</t>
          </r>
        </is>
      </c>
      <c r="T97" s="12" t="inlineStr">
        <is>
          <t>Radford / Mercer P4 / M3 · SFIA 4–5
IRIS Vs Competitor Benchmark — SaaS sales ladder — IC: Mid-Market AE · IRIS Vs Competitor Benchmark — SaaS sales ladder — management: Sales Manager</t>
        </is>
      </c>
      <c r="U97" s="12" t="inlineStr">
        <is>
          <t>B3 · Lead Specialist</t>
        </is>
      </c>
      <c r="V97" s="12" t="inlineStr">
        <is>
          <t>Framework + sub-family themes · 3+ answered</t>
        </is>
      </c>
    </row>
    <row r="98" ht="93" customHeight="1">
      <c r="A98" s="90" t="inlineStr">
        <is>
          <t>RC-168</t>
        </is>
      </c>
      <c r="B98" s="12" t="inlineStr">
        <is>
          <t>Sales &amp; Business Development</t>
        </is>
      </c>
      <c r="C98" s="12" t="inlineStr">
        <is>
          <t>Sales Leadership</t>
        </is>
      </c>
      <c r="D98" s="20" t="inlineStr">
        <is>
          <t>B2</t>
        </is>
      </c>
      <c r="E98" s="21" t="inlineStr">
        <is>
          <t>Senior Specialist</t>
        </is>
      </c>
      <c r="F98" s="12" t="inlineStr">
        <is>
          <t>IC</t>
        </is>
      </c>
      <c r="G98" s="12" t="inlineStr">
        <is>
          <t>Lead Account Executive · Senior Account Executive – POD Lead</t>
        </is>
      </c>
      <c r="H98" s="12" t="inlineStr">
        <is>
          <t>Rohit Bansal</t>
        </is>
      </c>
      <c r="I98" s="12" t="inlineStr">
        <is>
          <t>Sales</t>
        </is>
      </c>
      <c r="J98" s="12" t="inlineStr">
        <is>
          <r>
            <rPr>
              <rFont val="Calibri"/>
              <sz val="10"/>
            </rPr>
            <t xml:space="preserve">Leads the sales &amp; business development function. At B2: deep domain expertise, or one team.
</t>
          </r>
          <r>
            <rPr>
              <rFont val="Calibri"/>
              <b val="1"/>
              <sz val="10"/>
            </rPr>
            <t>Common themes in sub-family holders, all levels' answers:</t>
          </r>
          <r>
            <rPr>
              <rFont val="Calibri"/>
              <sz val="10"/>
            </rPr>
            <t xml:space="preserve"> client · follow till · negotiations · details sdr · understand · call</t>
          </r>
        </is>
      </c>
      <c r="K98" s="12" t="inlineStr">
        <is>
          <r>
            <rPr>
              <rFont val="Calibri"/>
              <sz val="10"/>
            </rPr>
            <t xml:space="preserve">Leads the sales &amp; business development function; Hardest problems in the domain; One team or a client portfolio
</t>
          </r>
          <r>
            <rPr>
              <rFont val="Calibri"/>
              <b val="1"/>
              <sz val="10"/>
            </rPr>
            <t>Common themes in sub-family holders, all levels' answers:</t>
          </r>
          <r>
            <rPr>
              <rFont val="Calibri"/>
              <sz val="10"/>
            </rPr>
            <t xml:space="preserve"> building · partner</t>
          </r>
        </is>
      </c>
      <c r="L98" s="12" t="inlineStr">
        <is>
          <t>Allocates people and sets team priorities</t>
        </is>
      </c>
      <c r="M98" s="12" t="inlineStr">
        <is>
          <t>—</t>
        </is>
      </c>
      <c r="N98" s="12" t="inlineStr">
        <is>
          <r>
            <rPr>
              <rFont val="Calibri"/>
              <b val="1"/>
              <sz val="10"/>
            </rPr>
            <t>Skills:</t>
          </r>
          <r>
            <rPr>
              <rFont val="Calibri"/>
              <sz val="10"/>
            </rPr>
            <t xml:space="preserve"> Sales</t>
          </r>
        </is>
      </c>
      <c r="O98"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98" s="12" t="inlineStr">
        <is>
          <t>6–9 yrs
Graduate or postgraduate; professional qualification preferred</t>
        </is>
      </c>
      <c r="Q98" s="12" t="inlineStr">
        <is>
          <t>Core 3 · Future-ready 3 · Functional 4 · Leadership 2
★ Sales, Negotiation &amp; Account Growth · Marketing Tech &amp; Digital Marketing</t>
        </is>
      </c>
      <c r="R98" s="12" t="inlineStr">
        <is>
          <t>Create and convert commercial opportunities. Includes: Prospecting, account sales, alliances, presales and sales operations. Excludes: Customer adoption unless sales accountability is primary.</t>
        </is>
      </c>
      <c r="S98" s="12" t="inlineStr">
        <is>
          <r>
            <rPr>
              <rFont val="Calibri"/>
              <b val="1"/>
              <sz val="10"/>
            </rPr>
            <t>Comparable stage:</t>
          </r>
          <r>
            <rPr>
              <rFont val="Calibri"/>
              <sz val="10"/>
            </rPr>
            <t xml:space="preserve"> LD05-1 · Sales / Sales Development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98" s="12" t="inlineStr">
        <is>
          <t>Radford / Mercer P4 / M3 · SFIA 4–5
IRIS Vs Competitor Benchmark — SaaS sales ladder — IC: Mid-Market AE · IRIS Vs Competitor Benchmark — SaaS sales ladder — management: Sales Manager</t>
        </is>
      </c>
      <c r="U98" s="12" t="inlineStr">
        <is>
          <t>B3 · Lead Specialist</t>
        </is>
      </c>
      <c r="V98" s="12" t="inlineStr">
        <is>
          <t>Framework + sub-family themes · 3+ answered</t>
        </is>
      </c>
    </row>
    <row r="99" ht="93" customHeight="1">
      <c r="A99" s="90" t="inlineStr">
        <is>
          <t>RC-169</t>
        </is>
      </c>
      <c r="B99" s="12" t="inlineStr">
        <is>
          <t>Sales &amp; Business Development</t>
        </is>
      </c>
      <c r="C99" s="12" t="inlineStr">
        <is>
          <t>Sales Leadership</t>
        </is>
      </c>
      <c r="D99" s="20" t="inlineStr">
        <is>
          <t>B3</t>
        </is>
      </c>
      <c r="E99" s="21" t="inlineStr">
        <is>
          <t>Lead Specialist</t>
        </is>
      </c>
      <c r="F99" s="12" t="inlineStr">
        <is>
          <t>IC</t>
        </is>
      </c>
      <c r="G99" s="12" t="inlineStr">
        <is>
          <t>Lead Account Executive</t>
        </is>
      </c>
      <c r="H99" s="12" t="inlineStr">
        <is>
          <t>Swapnil Trikane</t>
        </is>
      </c>
      <c r="I99" s="12" t="inlineStr">
        <is>
          <t>Sales</t>
        </is>
      </c>
      <c r="J99" s="12" t="inlineStr">
        <is>
          <r>
            <rPr>
              <rFont val="Calibri"/>
              <sz val="10"/>
            </rPr>
            <t xml:space="preserve">Leads the sales &amp; business development function. At B3: a practice, or several teams through team leads.
</t>
          </r>
          <r>
            <rPr>
              <rFont val="Calibri"/>
              <b val="1"/>
              <sz val="10"/>
            </rPr>
            <t>Common themes in sub-family holders, all levels' answers:</t>
          </r>
          <r>
            <rPr>
              <rFont val="Calibri"/>
              <sz val="10"/>
            </rPr>
            <t xml:space="preserve"> client · follow till · negotiations · details sdr · understand · call</t>
          </r>
        </is>
      </c>
      <c r="K99" s="12" t="inlineStr">
        <is>
          <r>
            <rPr>
              <rFont val="Calibri"/>
              <sz val="10"/>
            </rPr>
            <t xml:space="preserve">Leads the sales &amp; business development function; Sets standards for a practice; cross-team problems; Several teams or a practice
</t>
          </r>
          <r>
            <rPr>
              <rFont val="Calibri"/>
              <b val="1"/>
              <sz val="10"/>
            </rPr>
            <t>Common themes in sub-family holders, all levels' answers:</t>
          </r>
          <r>
            <rPr>
              <rFont val="Calibri"/>
              <sz val="10"/>
            </rPr>
            <t xml:space="preserve"> building · partner</t>
          </r>
        </is>
      </c>
      <c r="L99" s="12" t="inlineStr">
        <is>
          <t>Commercial / strategic calls for the unit</t>
        </is>
      </c>
      <c r="M99" s="12" t="inlineStr">
        <is>
          <t>—</t>
        </is>
      </c>
      <c r="N99" s="12" t="inlineStr">
        <is>
          <r>
            <rPr>
              <rFont val="Calibri"/>
              <b val="1"/>
              <sz val="10"/>
            </rPr>
            <t>Skills:</t>
          </r>
          <r>
            <rPr>
              <rFont val="Calibri"/>
              <sz val="10"/>
            </rPr>
            <t xml:space="preserve"> Sales</t>
          </r>
        </is>
      </c>
      <c r="O99" s="12" t="inlineStr">
        <is>
          <r>
            <rPr>
              <rFont val="Calibri"/>
              <b val="1"/>
              <sz val="10"/>
            </rPr>
            <t>Owns:</t>
          </r>
          <r>
            <rPr>
              <rFont val="Calibri"/>
              <sz val="10"/>
            </rPr>
            <t xml:space="preserve"> A practice, or several teams through team leads
</t>
          </r>
          <r>
            <rPr>
              <rFont val="Calibri"/>
              <b val="1"/>
              <sz val="10"/>
            </rPr>
            <t>Complexity:</t>
          </r>
          <r>
            <rPr>
              <rFont val="Calibri"/>
              <sz val="10"/>
            </rPr>
            <t xml:space="preserve"> Sets standards for a practice; cross-team problems
</t>
          </r>
          <r>
            <rPr>
              <rFont val="Calibri"/>
              <b val="1"/>
              <sz val="10"/>
            </rPr>
            <t>Decisions:</t>
          </r>
          <r>
            <rPr>
              <rFont val="Calibri"/>
              <sz val="10"/>
            </rPr>
            <t xml:space="preserve"> Commercial / strategic calls for the unit
</t>
          </r>
          <r>
            <rPr>
              <rFont val="Calibri"/>
              <b val="1"/>
              <sz val="10"/>
            </rPr>
            <t>Answers for:</t>
          </r>
          <r>
            <rPr>
              <rFont val="Calibri"/>
              <sz val="10"/>
            </rPr>
            <t xml:space="preserve"> Several teams or a practice
</t>
          </r>
          <r>
            <rPr>
              <rFont val="Calibri"/>
              <b val="1"/>
              <sz val="10"/>
            </rPr>
            <t>Leadership:</t>
          </r>
          <r>
            <rPr>
              <rFont val="Calibri"/>
              <sz val="10"/>
            </rPr>
            <t xml:space="preserve"> IC: leads a practice · People: team leads / managers report in</t>
          </r>
        </is>
      </c>
      <c r="P99" s="12" t="inlineStr">
        <is>
          <t>8–12 yrs
Postgraduate or professional qualification preferred</t>
        </is>
      </c>
      <c r="Q99" s="12" t="inlineStr">
        <is>
          <t>Core 4 · Future-ready 3 · Functional 4 · Leadership 3
★ Sales, Negotiation &amp; Account Growth · Marketing Tech &amp; Digital Marketing</t>
        </is>
      </c>
      <c r="R99" s="12" t="inlineStr">
        <is>
          <t>Create and convert commercial opportunities. Includes: Prospecting, account sales, alliances, presales and sales operations. Excludes: Customer adoption unless sales accountability is primary.</t>
        </is>
      </c>
      <c r="S99" s="12" t="inlineStr">
        <is>
          <r>
            <rPr>
              <rFont val="Calibri"/>
              <b val="1"/>
              <sz val="10"/>
            </rPr>
            <t>Comparable stage:</t>
          </r>
          <r>
            <rPr>
              <rFont val="Calibri"/>
              <sz val="10"/>
            </rPr>
            <t xml:space="preserve"> LD05-1 · Sales / Sales Development Manager
Own staffing decisions, performance support, service quality and delegated team resources
</t>
          </r>
          <r>
            <rPr>
              <rFont val="Calibri"/>
              <b val="1"/>
              <sz val="10"/>
            </rPr>
            <t>Ready when:</t>
          </r>
          <r>
            <rPr>
              <rFont val="Calibri"/>
              <sz val="10"/>
            </rPr>
            <t xml:space="preserve"> Do not manufacture three reporting layers. Choose roles the organisation needs. A specialist may remain on an equally valued expert path.</t>
          </r>
        </is>
      </c>
      <c r="T99" s="12" t="inlineStr">
        <is>
          <t>Radford / Mercer P5 / M4 · SFIA 5 Ensure, advise
IRIS Vs Competitor Benchmark — SaaS sales ladder — IC: Enterprise AE · IRIS Vs Competitor Benchmark — SaaS sales ladder — management: Senior Sales Manager</t>
        </is>
      </c>
      <c r="U99" s="12" t="inlineStr">
        <is>
          <t>C1 · Principal · or B+ · Player-Coach transition step if leading people hands-on</t>
        </is>
      </c>
      <c r="V99" s="12" t="inlineStr">
        <is>
          <t>Framework + sub-family themes · 3+ answered</t>
        </is>
      </c>
    </row>
    <row r="100" ht="93" customHeight="1">
      <c r="A100" s="90" t="inlineStr">
        <is>
          <t>RC-170</t>
        </is>
      </c>
      <c r="B100" s="12" t="inlineStr">
        <is>
          <t>Sales &amp; Business Development</t>
        </is>
      </c>
      <c r="C100" s="12" t="inlineStr">
        <is>
          <t>Sales Leadership</t>
        </is>
      </c>
      <c r="D100" s="24" t="inlineStr">
        <is>
          <t>C1</t>
        </is>
      </c>
      <c r="E100" s="25" t="inlineStr">
        <is>
          <t>Principal</t>
        </is>
      </c>
      <c r="F100" s="12" t="inlineStr">
        <is>
          <t>IC</t>
        </is>
      </c>
      <c r="G100" s="12" t="inlineStr">
        <is>
          <t>Principal – Enterprise Sales · Principal – Sales</t>
        </is>
      </c>
      <c r="H100" s="12" t="inlineStr">
        <is>
          <t>Sreyash Duragkar</t>
        </is>
      </c>
      <c r="I100" s="12" t="inlineStr">
        <is>
          <t>Sales</t>
        </is>
      </c>
      <c r="J100" s="12" t="inlineStr">
        <is>
          <r>
            <rPr>
              <rFont val="Calibri"/>
              <sz val="10"/>
            </rPr>
            <t xml:space="preserve">Leads the sales &amp; business development function. At C1: a sub-function, or principal authority across products.
</t>
          </r>
          <r>
            <rPr>
              <rFont val="Calibri"/>
              <b val="1"/>
              <sz val="10"/>
            </rPr>
            <t>Common themes in sub-family holders, all levels' answers:</t>
          </r>
          <r>
            <rPr>
              <rFont val="Calibri"/>
              <sz val="10"/>
            </rPr>
            <t xml:space="preserve"> client · follow till · negotiations · details sdr · understand · call</t>
          </r>
        </is>
      </c>
      <c r="K100" s="12" t="inlineStr">
        <is>
          <r>
            <rPr>
              <rFont val="Calibri"/>
              <sz val="10"/>
            </rPr>
            <t xml:space="preserve">Leads the sales &amp; business development function; Ambiguous, cross-product problems; Sub-function results or domain quality across products
</t>
          </r>
          <r>
            <rPr>
              <rFont val="Calibri"/>
              <b val="1"/>
              <sz val="10"/>
            </rPr>
            <t>Common themes in sub-family holders, all levels' answers:</t>
          </r>
          <r>
            <rPr>
              <rFont val="Calibri"/>
              <sz val="10"/>
            </rPr>
            <t xml:space="preserve"> building · partner</t>
          </r>
        </is>
      </c>
      <c r="L100" s="12" t="inlineStr">
        <is>
          <t>Sets direction for a sub-function or domain</t>
        </is>
      </c>
      <c r="M100" s="12" t="inlineStr">
        <is>
          <t>—</t>
        </is>
      </c>
      <c r="N100" s="12" t="inlineStr">
        <is>
          <r>
            <rPr>
              <rFont val="Calibri"/>
              <b val="1"/>
              <sz val="10"/>
            </rPr>
            <t>Skills:</t>
          </r>
          <r>
            <rPr>
              <rFont val="Calibri"/>
              <sz val="10"/>
            </rPr>
            <t xml:space="preserve"> Sales</t>
          </r>
        </is>
      </c>
      <c r="O100" s="12" t="inlineStr">
        <is>
          <r>
            <rPr>
              <rFont val="Calibri"/>
              <b val="1"/>
              <sz val="10"/>
            </rPr>
            <t>Owns:</t>
          </r>
          <r>
            <rPr>
              <rFont val="Calibri"/>
              <sz val="10"/>
            </rPr>
            <t xml:space="preserve"> A sub-function, or principal authority across products
</t>
          </r>
          <r>
            <rPr>
              <rFont val="Calibri"/>
              <b val="1"/>
              <sz val="10"/>
            </rPr>
            <t>Complexity:</t>
          </r>
          <r>
            <rPr>
              <rFont val="Calibri"/>
              <sz val="10"/>
            </rPr>
            <t xml:space="preserve"> Ambiguous, cross-product problems
</t>
          </r>
          <r>
            <rPr>
              <rFont val="Calibri"/>
              <b val="1"/>
              <sz val="10"/>
            </rPr>
            <t>Decisions:</t>
          </r>
          <r>
            <rPr>
              <rFont val="Calibri"/>
              <sz val="10"/>
            </rPr>
            <t xml:space="preserve"> Sets direction for a sub-function or domain
</t>
          </r>
          <r>
            <rPr>
              <rFont val="Calibri"/>
              <b val="1"/>
              <sz val="10"/>
            </rPr>
            <t>Answers for:</t>
          </r>
          <r>
            <rPr>
              <rFont val="Calibri"/>
              <sz val="10"/>
            </rPr>
            <t xml:space="preserve"> Sub-function results or domain quality across products
</t>
          </r>
          <r>
            <rPr>
              <rFont val="Calibri"/>
              <b val="1"/>
              <sz val="10"/>
            </rPr>
            <t>Leadership:</t>
          </r>
          <r>
            <rPr>
              <rFont val="Calibri"/>
              <sz val="10"/>
            </rPr>
            <t xml:space="preserve"> Leads managers or a community of practice</t>
          </r>
        </is>
      </c>
      <c r="P100" s="12" t="inlineStr">
        <is>
          <t>10–14 yrs
Postgraduate / professional qualification preferred</t>
        </is>
      </c>
      <c r="Q100" s="12" t="inlineStr">
        <is>
          <t>Core 4 · Future-ready 4 · Functional 4 · Leadership 4
★ Sales, Negotiation &amp; Account Growth · Marketing Tech &amp; Digital Marketing</t>
        </is>
      </c>
      <c r="R100" s="12" t="inlineStr">
        <is>
          <t>Create and convert commercial opportunities. Includes: Prospecting, account sales, alliances, presales and sales operations. Excludes: Customer adoption unless sales accountability is primary.</t>
        </is>
      </c>
      <c r="S100" s="12" t="inlineStr">
        <is>
          <r>
            <rPr>
              <rFont val="Calibri"/>
              <b val="1"/>
              <sz val="10"/>
            </rPr>
            <t>Comparable stage:</t>
          </r>
          <r>
            <rPr>
              <rFont val="Calibri"/>
              <sz val="10"/>
            </rPr>
            <t xml:space="preserve"> LD05-2 · Head / VP of Sales
Own integrated function strategy, capacity, controls and cross-team trade-offs
</t>
          </r>
          <r>
            <rPr>
              <rFont val="Calibri"/>
              <b val="1"/>
              <sz val="10"/>
            </rPr>
            <t>Ready when:</t>
          </r>
          <r>
            <rPr>
              <rFont val="Calibri"/>
              <sz val="10"/>
            </rPr>
            <t xml:space="preserve"> Do not manufacture three reporting layers. Choose roles the organisation needs. A specialist may remain on an equally valued expert path.</t>
          </r>
        </is>
      </c>
      <c r="T100" s="12" t="inlineStr">
        <is>
          <t>Radford / Mercer P6 / M5 · SFIA 5–6
IRIS Vs Competitor Benchmark — SaaS sales ladder — IC: Strategic / Principal AE · IRIS Vs Competitor Benchmark — SaaS sales ladder — management: Regional Sales Head</t>
        </is>
      </c>
      <c r="U100" s="12" t="inlineStr">
        <is>
          <t>C2 · Senior Principal / Architect</t>
        </is>
      </c>
      <c r="V100" s="12" t="inlineStr">
        <is>
          <t>Framework + sub-family themes · 3+ answered</t>
        </is>
      </c>
    </row>
    <row r="101">
      <c r="A101" s="89" t="inlineStr">
        <is>
          <t>Solution Consulting &amp; Implementation</t>
        </is>
      </c>
    </row>
    <row r="102" ht="106" customHeight="1">
      <c r="A102" s="90" t="inlineStr">
        <is>
          <t>RC-172</t>
        </is>
      </c>
      <c r="B102" s="12" t="inlineStr">
        <is>
          <t>Solution Consulting &amp; Implementation</t>
        </is>
      </c>
      <c r="C102" s="12" t="inlineStr">
        <is>
          <t>Solution Consulting &amp; Implementation</t>
        </is>
      </c>
      <c r="D102" s="16" t="inlineStr">
        <is>
          <t>A3</t>
        </is>
      </c>
      <c r="E102" s="17" t="inlineStr">
        <is>
          <t>Senior Associate</t>
        </is>
      </c>
      <c r="F102" s="12" t="inlineStr">
        <is>
          <t>IC</t>
        </is>
      </c>
      <c r="G102" s="12" t="inlineStr">
        <is>
          <t>Senior Functional Analyst</t>
        </is>
      </c>
      <c r="H102" s="12" t="inlineStr">
        <is>
          <t>Prathamesh Patil</t>
        </is>
      </c>
      <c r="I102" s="12" t="inlineStr">
        <is>
          <t>Functional</t>
        </is>
      </c>
      <c r="J102" s="12" t="inlineStr">
        <is>
          <r>
            <rPr>
              <rFont val="Calibri"/>
              <sz val="10"/>
            </rPr>
            <t xml:space="preserve">Implements the product at clients, runs demos and training, advises on ESG / disclosure reporting. At A3: varied work; reviews juniors; go-to for a process.
</t>
          </r>
          <r>
            <rPr>
              <rFont val="Calibri"/>
              <b val="1"/>
              <sz val="10"/>
            </rPr>
            <t>Common themes in sub-family holders, all levels' answers:</t>
          </r>
          <r>
            <rPr>
              <rFont val="Calibri"/>
              <sz val="10"/>
            </rPr>
            <t xml:space="preserve"> product · clients · implementation · requirements · understand · iris</t>
          </r>
        </is>
      </c>
      <c r="K102" s="12" t="inlineStr">
        <is>
          <r>
            <rPr>
              <rFont val="Calibri"/>
              <sz val="10"/>
            </rPr>
            <t xml:space="preserve">Implements the product at clients, runs demos and training, advises on ESG / disclosure reporting; Varied and non-standard work; handles exceptions; A module / process, or work with client or regulatory consequences
</t>
          </r>
          <r>
            <rPr>
              <rFont val="Calibri"/>
              <b val="1"/>
              <sz val="10"/>
            </rPr>
            <t>Common themes in sub-family holders, all levels' answers:</t>
          </r>
          <r>
            <rPr>
              <rFont val="Calibri"/>
              <sz val="10"/>
            </rPr>
            <t xml:space="preserve"> client · implementation · demos · testing · delivery · platform</t>
          </r>
        </is>
      </c>
      <c r="L102" s="12" t="inlineStr">
        <is>
          <r>
            <rPr>
              <rFont val="Calibri"/>
              <sz val="10"/>
            </rPr>
            <t xml:space="preserve">Technical / QC / client calls on own work
</t>
          </r>
          <r>
            <rPr>
              <rFont val="Calibri"/>
              <b val="1"/>
              <sz val="10"/>
            </rPr>
            <t>Common themes in sub-family holders, all levels' answers:</t>
          </r>
          <r>
            <rPr>
              <rFont val="Calibri"/>
              <sz val="10"/>
            </rPr>
            <t xml:space="preserve"> project · activities · features · setup</t>
          </r>
        </is>
      </c>
      <c r="M102" s="12" t="inlineStr">
        <is>
          <t>—</t>
        </is>
      </c>
      <c r="N102" s="12" t="inlineStr">
        <is>
          <r>
            <rPr>
              <rFont val="Calibri"/>
              <b val="1"/>
              <sz val="10"/>
            </rPr>
            <t>Skills:</t>
          </r>
          <r>
            <rPr>
              <rFont val="Calibri"/>
              <sz val="10"/>
            </rPr>
            <t xml:space="preserve"> CE · ESG frameworks · ESG
</t>
          </r>
          <r>
            <rPr>
              <rFont val="Calibri"/>
              <b val="1"/>
              <sz val="10"/>
            </rPr>
            <t>Tools:</t>
          </r>
          <r>
            <rPr>
              <rFont val="Calibri"/>
              <sz val="10"/>
            </rPr>
            <t xml:space="preserve"> Adobe InDesign · Outlook · Teams · Claude</t>
          </r>
        </is>
      </c>
      <c r="O102" s="12" t="inlineStr">
        <is>
          <r>
            <rPr>
              <rFont val="Calibri"/>
              <b val="1"/>
              <sz val="10"/>
            </rPr>
            <t>Owns:</t>
          </r>
          <r>
            <rPr>
              <rFont val="Calibri"/>
              <sz val="10"/>
            </rPr>
            <t xml:space="preserve"> Varied work; reviews juniors; go-to for a process
</t>
          </r>
          <r>
            <rPr>
              <rFont val="Calibri"/>
              <b val="1"/>
              <sz val="10"/>
            </rPr>
            <t>Complexity:</t>
          </r>
          <r>
            <rPr>
              <rFont val="Calibri"/>
              <sz val="10"/>
            </rPr>
            <t xml:space="preserve"> Varied and non-standard work; handles exceptions
</t>
          </r>
          <r>
            <rPr>
              <rFont val="Calibri"/>
              <b val="1"/>
              <sz val="10"/>
            </rPr>
            <t>Decisions:</t>
          </r>
          <r>
            <rPr>
              <rFont val="Calibri"/>
              <sz val="10"/>
            </rPr>
            <t xml:space="preserve"> Technical / QC / client calls on own work
</t>
          </r>
          <r>
            <rPr>
              <rFont val="Calibri"/>
              <b val="1"/>
              <sz val="10"/>
            </rPr>
            <t>Answers for:</t>
          </r>
          <r>
            <rPr>
              <rFont val="Calibri"/>
              <sz val="10"/>
            </rPr>
            <t xml:space="preserve"> A module / process, or work with client or regulatory consequences
</t>
          </r>
          <r>
            <rPr>
              <rFont val="Calibri"/>
              <b val="1"/>
              <sz val="10"/>
            </rPr>
            <t>Leadership:</t>
          </r>
          <r>
            <rPr>
              <rFont val="Calibri"/>
              <sz val="10"/>
            </rPr>
            <t xml:space="preserve"> Not scored in Band A</t>
          </r>
        </is>
      </c>
      <c r="P102" s="12" t="inlineStr">
        <is>
          <t>2–4 yrs
Graduate; relevant certification preferred</t>
        </is>
      </c>
      <c r="Q102" s="12" t="inlineStr">
        <is>
          <t>Core 2 · Future-ready 2 · Functional 3 · Leadership —
★ Product, Platform &amp; Domain Knowledge · ESG &amp; Sustainability</t>
        </is>
      </c>
      <c r="R102" s="12" t="inlineStr">
        <is>
          <t>Put client solutions into working use. Includes: Configuration, integration, migration and client acceptance. Excludes: Ongoing support cases; product-engineering platform ownership.</t>
        </is>
      </c>
      <c r="S102" s="12" t="inlineStr">
        <is>
          <r>
            <rPr>
              <rFont val="Calibri"/>
              <b val="1"/>
              <sz val="10"/>
            </rPr>
            <t>Comparable stage:</t>
          </r>
          <r>
            <rPr>
              <rFont val="Calibri"/>
              <sz val="10"/>
            </rPr>
            <t xml:space="preserve"> SOL01-2 · Implementation Consultant
Configure agreed workflows and obtain client acceptance.
</t>
          </r>
          <r>
            <rPr>
              <rFont val="Calibri"/>
              <b val="1"/>
              <sz val="10"/>
            </rPr>
            <t>Ready when:</t>
          </r>
          <r>
            <rPr>
              <rFont val="Calibri"/>
              <sz val="10"/>
            </rPr>
            <t xml:space="preserve"> Demonstrate routine delivery plus judgement in bounded exceptions.
</t>
          </r>
          <r>
            <rPr>
              <rFont val="Calibri"/>
              <b val="1"/>
              <sz val="10"/>
            </rPr>
            <t>Work sample:</t>
          </r>
          <r>
            <rPr>
              <rFont val="Calibri"/>
              <sz val="10"/>
            </rPr>
            <t xml:space="preserve"> A scoped implementation with requirements traceability, UAT and go-live acceptance</t>
          </r>
        </is>
      </c>
      <c r="T102" s="12" t="inlineStr">
        <is>
          <r>
            <rPr>
              <rFont val="Calibri"/>
              <sz val="10"/>
            </rPr>
            <t xml:space="preserve">Radford / Mercer P2 · SFIA 3 Apply
</t>
          </r>
          <r>
            <rPr>
              <rFont val="Calibri"/>
              <b val="1"/>
              <sz val="10"/>
            </rPr>
            <t>Big Four:</t>
          </r>
          <r>
            <rPr>
              <rFont val="Calibri"/>
              <sz val="10"/>
            </rPr>
            <t xml:space="preserve"> Consultant · Regnology: Junior BA</t>
          </r>
        </is>
      </c>
      <c r="U102" s="12" t="inlineStr">
        <is>
          <t>B1 · Specialist</t>
        </is>
      </c>
      <c r="V102" s="12" t="inlineStr">
        <is>
          <t>Framework + sub-family themes · 3+ answered</t>
        </is>
      </c>
    </row>
    <row r="103" ht="106" customHeight="1">
      <c r="A103" s="90" t="inlineStr">
        <is>
          <t>RC-173</t>
        </is>
      </c>
      <c r="B103" s="12" t="inlineStr">
        <is>
          <t>Solution Consulting &amp; Implementation</t>
        </is>
      </c>
      <c r="C103" s="12" t="inlineStr">
        <is>
          <t>Solution Consulting &amp; Implementation</t>
        </is>
      </c>
      <c r="D103" s="20" t="inlineStr">
        <is>
          <t>B1</t>
        </is>
      </c>
      <c r="E103" s="21" t="inlineStr">
        <is>
          <t>Specialist</t>
        </is>
      </c>
      <c r="F103" s="12" t="inlineStr">
        <is>
          <t>IC</t>
        </is>
      </c>
      <c r="G103" s="12" t="inlineStr">
        <is>
          <t>Functional Specialist · Functional Specialist – POD Lead</t>
        </is>
      </c>
      <c r="H103" s="12" t="inlineStr">
        <is>
          <t>Alizah Noorani, Chirag Shah, Nandit Verma, Sharanya Balachandran, Vishal Gujar</t>
        </is>
      </c>
      <c r="I103" s="12" t="inlineStr">
        <is>
          <t>Functional</t>
        </is>
      </c>
      <c r="J103" s="12" t="inlineStr">
        <is>
          <r>
            <rPr>
              <rFont val="Calibri"/>
              <sz val="10"/>
            </rPr>
            <t xml:space="preserve">Implements the product at clients, runs demos and training, advises on ESG / disclosure reporting. At B1: a domain / module, or a small team.
</t>
          </r>
          <r>
            <rPr>
              <rFont val="Calibri"/>
              <b val="1"/>
              <sz val="10"/>
            </rPr>
            <t>Common themes in role-holders' answers:</t>
          </r>
          <r>
            <rPr>
              <rFont val="Calibri"/>
              <sz val="10"/>
            </rPr>
            <t xml:space="preserve"> iris · product · clients · platform · carbon · dm</t>
          </r>
        </is>
      </c>
      <c r="K103" s="12" t="inlineStr">
        <is>
          <r>
            <rPr>
              <rFont val="Calibri"/>
              <sz val="10"/>
            </rPr>
            <t xml:space="preserve">Implements the product at clients, runs demos and training, advises on ESG / disclosure reporting; Domain specialist work; A domain or a small team
</t>
          </r>
          <r>
            <rPr>
              <rFont val="Calibri"/>
              <b val="1"/>
              <sz val="10"/>
            </rPr>
            <t>Common themes in role-holders' answers:</t>
          </r>
          <r>
            <rPr>
              <rFont val="Calibri"/>
              <sz val="10"/>
            </rPr>
            <t xml:space="preserve"> delivery · demos · implementation · testing · client</t>
          </r>
        </is>
      </c>
      <c r="L103" s="12" t="inlineStr">
        <is>
          <r>
            <rPr>
              <rFont val="Calibri"/>
              <sz val="10"/>
            </rPr>
            <t xml:space="preserve">Technical / QC / client calls for the domain
</t>
          </r>
          <r>
            <rPr>
              <rFont val="Calibri"/>
              <b val="1"/>
              <sz val="10"/>
            </rPr>
            <t>Common themes in role-holders' answers:</t>
          </r>
          <r>
            <rPr>
              <rFont val="Calibri"/>
              <sz val="10"/>
            </rPr>
            <t xml:space="preserve"> project · activities · features</t>
          </r>
        </is>
      </c>
      <c r="M103" s="12" t="inlineStr">
        <is>
          <t>—</t>
        </is>
      </c>
      <c r="N103" s="12" t="inlineStr">
        <is>
          <r>
            <rPr>
              <rFont val="Calibri"/>
              <b val="1"/>
              <sz val="10"/>
            </rPr>
            <t>Skills:</t>
          </r>
          <r>
            <rPr>
              <rFont val="Calibri"/>
              <sz val="10"/>
            </rPr>
            <t xml:space="preserve"> CE
</t>
          </r>
          <r>
            <rPr>
              <rFont val="Calibri"/>
              <b val="1"/>
              <sz val="10"/>
            </rPr>
            <t>Tools:</t>
          </r>
          <r>
            <rPr>
              <rFont val="Calibri"/>
              <sz val="10"/>
            </rPr>
            <t xml:space="preserve"> Adobe InDesign · Claude</t>
          </r>
        </is>
      </c>
      <c r="O103" s="12" t="inlineStr">
        <is>
          <r>
            <rPr>
              <rFont val="Calibri"/>
              <b val="1"/>
              <sz val="10"/>
            </rPr>
            <t>Owns:</t>
          </r>
          <r>
            <rPr>
              <rFont val="Calibri"/>
              <sz val="10"/>
            </rPr>
            <t xml:space="preserve"> A domain / module, or a small team
</t>
          </r>
          <r>
            <rPr>
              <rFont val="Calibri"/>
              <b val="1"/>
              <sz val="10"/>
            </rPr>
            <t>Complexity:</t>
          </r>
          <r>
            <rPr>
              <rFont val="Calibri"/>
              <sz val="10"/>
            </rPr>
            <t xml:space="preserve"> Domain specialist work
</t>
          </r>
          <r>
            <rPr>
              <rFont val="Calibri"/>
              <b val="1"/>
              <sz val="10"/>
            </rPr>
            <t>Decisions:</t>
          </r>
          <r>
            <rPr>
              <rFont val="Calibri"/>
              <sz val="10"/>
            </rPr>
            <t xml:space="preserve"> Technical / QC / client calls for the domain
</t>
          </r>
          <r>
            <rPr>
              <rFont val="Calibri"/>
              <b val="1"/>
              <sz val="10"/>
            </rPr>
            <t>Answers for:</t>
          </r>
          <r>
            <rPr>
              <rFont val="Calibri"/>
              <sz val="10"/>
            </rPr>
            <t xml:space="preserve"> A domain or a small team
</t>
          </r>
          <r>
            <rPr>
              <rFont val="Calibri"/>
              <b val="1"/>
              <sz val="10"/>
            </rPr>
            <t>Leadership:</t>
          </r>
          <r>
            <rPr>
              <rFont val="Calibri"/>
              <sz val="10"/>
            </rPr>
            <t xml:space="preserve"> IC: mentors and reviews · People: hands-on team lead of 3–5</t>
          </r>
        </is>
      </c>
      <c r="P103" s="12" t="inlineStr">
        <is>
          <t>4–7 yrs
Graduate + relevant qualification or certification preferred</t>
        </is>
      </c>
      <c r="Q103" s="12" t="inlineStr">
        <is>
          <t>Core 3 · Future-ready 3 · Functional 3 · Leadership 1
★ Product, Platform &amp; Domain Knowledge · ESG &amp; Sustainability</t>
        </is>
      </c>
      <c r="R103" s="12" t="inlineStr">
        <is>
          <t>Put client solutions into working use. Includes: Configuration, integration, migration and client acceptance. Excludes: Ongoing support cases; product-engineering platform ownership.</t>
        </is>
      </c>
      <c r="S103" s="12" t="inlineStr">
        <is>
          <r>
            <rPr>
              <rFont val="Calibri"/>
              <b val="1"/>
              <sz val="10"/>
            </rPr>
            <t>Comparable stage:</t>
          </r>
          <r>
            <rPr>
              <rFont val="Calibri"/>
              <sz val="10"/>
            </rPr>
            <t xml:space="preserve"> SOL01-3 · Senior Implementation Consultant
Lead complex discovery, configuration trade-offs and go-live readiness.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scoped implementation with requirements traceability, UAT and go-live acceptance</t>
          </r>
        </is>
      </c>
      <c r="T103" s="12" t="inlineStr">
        <is>
          <r>
            <rPr>
              <rFont val="Calibri"/>
              <sz val="10"/>
            </rPr>
            <t xml:space="preserve">Radford / Mercer P3 / M2 · SFIA 4 Enable
</t>
          </r>
          <r>
            <rPr>
              <rFont val="Calibri"/>
              <b val="1"/>
              <sz val="10"/>
            </rPr>
            <t>Big Four:</t>
          </r>
          <r>
            <rPr>
              <rFont val="Calibri"/>
              <sz val="10"/>
            </rPr>
            <t xml:space="preserve"> Senior Consultant · Regnology: BA · Reg Reporting</t>
          </r>
        </is>
      </c>
      <c r="U103" s="12" t="inlineStr">
        <is>
          <t>B2 · Senior Specialist</t>
        </is>
      </c>
      <c r="V103" s="12" t="inlineStr">
        <is>
          <t>Framework + role-holders' themes · 3+ answered</t>
        </is>
      </c>
    </row>
    <row r="104" ht="106" customHeight="1">
      <c r="A104" s="90" t="inlineStr">
        <is>
          <t>RC-174</t>
        </is>
      </c>
      <c r="B104" s="12" t="inlineStr">
        <is>
          <t>Solution Consulting &amp; Implementation</t>
        </is>
      </c>
      <c r="C104" s="12" t="inlineStr">
        <is>
          <t>Solution Consulting &amp; Implementation</t>
        </is>
      </c>
      <c r="D104" s="20" t="inlineStr">
        <is>
          <t>B2</t>
        </is>
      </c>
      <c r="E104" s="21" t="inlineStr">
        <is>
          <t>Senior Specialist</t>
        </is>
      </c>
      <c r="F104" s="12" t="inlineStr">
        <is>
          <t>IC</t>
        </is>
      </c>
      <c r="G104" s="12" t="inlineStr">
        <is>
          <t>Senior Functional Specialist</t>
        </is>
      </c>
      <c r="H104" s="12" t="inlineStr">
        <is>
          <t>Shambo Mitra</t>
        </is>
      </c>
      <c r="I104" s="12" t="inlineStr">
        <is>
          <t>Functional</t>
        </is>
      </c>
      <c r="J104" s="12" t="inlineStr">
        <is>
          <r>
            <rPr>
              <rFont val="Calibri"/>
              <sz val="10"/>
            </rPr>
            <t xml:space="preserve">Implements the product at clients, runs demos and training, advises on ESG / disclosure reporting. At B2: deep domain expertise, or one team.
</t>
          </r>
          <r>
            <rPr>
              <rFont val="Calibri"/>
              <b val="1"/>
              <sz val="10"/>
            </rPr>
            <t>Common themes in sub-family holders, all levels' answers:</t>
          </r>
          <r>
            <rPr>
              <rFont val="Calibri"/>
              <sz val="10"/>
            </rPr>
            <t xml:space="preserve"> product · clients · implementation · requirements · understand · iris</t>
          </r>
        </is>
      </c>
      <c r="K104" s="12" t="inlineStr">
        <is>
          <r>
            <rPr>
              <rFont val="Calibri"/>
              <sz val="10"/>
            </rPr>
            <t xml:space="preserve">Implements the product at clients, runs demos and training, advises on ESG / disclosure reporting; Hardest problems in the domain; One team or a client portfolio
</t>
          </r>
          <r>
            <rPr>
              <rFont val="Calibri"/>
              <b val="1"/>
              <sz val="10"/>
            </rPr>
            <t>Common themes in sub-family holders, all levels' answers:</t>
          </r>
          <r>
            <rPr>
              <rFont val="Calibri"/>
              <sz val="10"/>
            </rPr>
            <t xml:space="preserve"> client · implementation · demos · testing · delivery · platform</t>
          </r>
        </is>
      </c>
      <c r="L104" s="12" t="inlineStr">
        <is>
          <r>
            <rPr>
              <rFont val="Calibri"/>
              <sz val="10"/>
            </rPr>
            <t xml:space="preserve">Allocates people and sets team priorities
</t>
          </r>
          <r>
            <rPr>
              <rFont val="Calibri"/>
              <b val="1"/>
              <sz val="10"/>
            </rPr>
            <t>Common themes in sub-family holders, all levels' answers:</t>
          </r>
          <r>
            <rPr>
              <rFont val="Calibri"/>
              <sz val="10"/>
            </rPr>
            <t xml:space="preserve"> project · activities · features · setup</t>
          </r>
        </is>
      </c>
      <c r="M104" s="12" t="inlineStr">
        <is>
          <t>—</t>
        </is>
      </c>
      <c r="N104" s="12" t="inlineStr">
        <is>
          <r>
            <rPr>
              <rFont val="Calibri"/>
              <b val="1"/>
              <sz val="10"/>
            </rPr>
            <t>Skills:</t>
          </r>
          <r>
            <rPr>
              <rFont val="Calibri"/>
              <sz val="10"/>
            </rPr>
            <t xml:space="preserve"> CE · ESG frameworks · ESG
</t>
          </r>
          <r>
            <rPr>
              <rFont val="Calibri"/>
              <b val="1"/>
              <sz val="10"/>
            </rPr>
            <t>Tools:</t>
          </r>
          <r>
            <rPr>
              <rFont val="Calibri"/>
              <sz val="10"/>
            </rPr>
            <t xml:space="preserve"> Adobe InDesign · Outlook · Teams · Claude</t>
          </r>
        </is>
      </c>
      <c r="O104" s="12" t="inlineStr">
        <is>
          <r>
            <rPr>
              <rFont val="Calibri"/>
              <b val="1"/>
              <sz val="10"/>
            </rPr>
            <t>Owns:</t>
          </r>
          <r>
            <rPr>
              <rFont val="Calibri"/>
              <sz val="10"/>
            </rPr>
            <t xml:space="preserve"> Deep domain expertise, or one team
</t>
          </r>
          <r>
            <rPr>
              <rFont val="Calibri"/>
              <b val="1"/>
              <sz val="10"/>
            </rPr>
            <t>Complexity:</t>
          </r>
          <r>
            <rPr>
              <rFont val="Calibri"/>
              <sz val="10"/>
            </rPr>
            <t xml:space="preserve"> Hardest problems in the domain
</t>
          </r>
          <r>
            <rPr>
              <rFont val="Calibri"/>
              <b val="1"/>
              <sz val="10"/>
            </rPr>
            <t>Decisions:</t>
          </r>
          <r>
            <rPr>
              <rFont val="Calibri"/>
              <sz val="10"/>
            </rPr>
            <t xml:space="preserve"> Allocates people and sets team priorities
</t>
          </r>
          <r>
            <rPr>
              <rFont val="Calibri"/>
              <b val="1"/>
              <sz val="10"/>
            </rPr>
            <t>Answers for:</t>
          </r>
          <r>
            <rPr>
              <rFont val="Calibri"/>
              <sz val="10"/>
            </rPr>
            <t xml:space="preserve"> One team or a client portfolio
</t>
          </r>
          <r>
            <rPr>
              <rFont val="Calibri"/>
              <b val="1"/>
              <sz val="10"/>
            </rPr>
            <t>Leadership:</t>
          </r>
          <r>
            <rPr>
              <rFont val="Calibri"/>
              <sz val="10"/>
            </rPr>
            <t xml:space="preserve"> IC: guides others in the domain · People: manages a team of 6+</t>
          </r>
        </is>
      </c>
      <c r="P104" s="12" t="inlineStr">
        <is>
          <t>6–9 yrs
Graduate or postgraduate; professional qualification preferred</t>
        </is>
      </c>
      <c r="Q104" s="12" t="inlineStr">
        <is>
          <t>Core 3 · Future-ready 3 · Functional 4 · Leadership 2
★ Product, Platform &amp; Domain Knowledge · ESG &amp; Sustainability</t>
        </is>
      </c>
      <c r="R104" s="12" t="inlineStr">
        <is>
          <t>Put client solutions into working use. Includes: Configuration, integration, migration and client acceptance. Excludes: Ongoing support cases; product-engineering platform ownership.</t>
        </is>
      </c>
      <c r="S104" s="12" t="inlineStr">
        <is>
          <r>
            <rPr>
              <rFont val="Calibri"/>
              <b val="1"/>
              <sz val="10"/>
            </rPr>
            <t>Comparable stage:</t>
          </r>
          <r>
            <rPr>
              <rFont val="Calibri"/>
              <sz val="10"/>
            </rPr>
            <t xml:space="preserve"> SOL01-3 · Senior Implementation Consultant
Lead complex discovery, configuration trade-offs and go-live readiness.
</t>
          </r>
          <r>
            <rPr>
              <rFont val="Calibri"/>
              <b val="1"/>
              <sz val="10"/>
            </rPr>
            <t>Ready when:</t>
          </r>
          <r>
            <rPr>
              <rFont val="Calibri"/>
              <sz val="10"/>
            </rPr>
            <t xml:space="preserve"> Evidence of complex work, decisions and outcomes beyond routine delivery.
</t>
          </r>
          <r>
            <rPr>
              <rFont val="Calibri"/>
              <b val="1"/>
              <sz val="10"/>
            </rPr>
            <t>Work sample:</t>
          </r>
          <r>
            <rPr>
              <rFont val="Calibri"/>
              <sz val="10"/>
            </rPr>
            <t xml:space="preserve"> A scoped implementation with requirements traceability, UAT and go-live acceptance</t>
          </r>
        </is>
      </c>
      <c r="T104" s="12" t="inlineStr">
        <is>
          <r>
            <rPr>
              <rFont val="Calibri"/>
              <sz val="10"/>
            </rPr>
            <t xml:space="preserve">Radford / Mercer P4 / M3 · SFIA 4–5
</t>
          </r>
          <r>
            <rPr>
              <rFont val="Calibri"/>
              <b val="1"/>
              <sz val="10"/>
            </rPr>
            <t>Big Four:</t>
          </r>
          <r>
            <rPr>
              <rFont val="Calibri"/>
              <sz val="10"/>
            </rPr>
            <t xml:space="preserve"> Manager · Regnology: Senior BA</t>
          </r>
        </is>
      </c>
      <c r="U104" s="12" t="inlineStr">
        <is>
          <t>B3 · Lead Specialist</t>
        </is>
      </c>
      <c r="V104" s="12" t="inlineStr">
        <is>
          <t>Framework + sub-family themes · 3+ answered</t>
        </is>
      </c>
    </row>
  </sheetData>
  <autoFilter ref="A6:V104"/>
  <mergeCells count="23">
    <mergeCell ref="A2:V2"/>
    <mergeCell ref="O5:Q5"/>
    <mergeCell ref="A76:V76"/>
    <mergeCell ref="A33:V33"/>
    <mergeCell ref="J5:N5"/>
    <mergeCell ref="T5:U5"/>
    <mergeCell ref="A62:V62"/>
    <mergeCell ref="A5:I5"/>
    <mergeCell ref="A44:V44"/>
    <mergeCell ref="A31:V31"/>
    <mergeCell ref="A40:V40"/>
    <mergeCell ref="A83:V83"/>
    <mergeCell ref="V5"/>
    <mergeCell ref="A101:V101"/>
    <mergeCell ref="A11:V11"/>
    <mergeCell ref="A1:V1"/>
    <mergeCell ref="A88:V88"/>
    <mergeCell ref="A7:V7"/>
    <mergeCell ref="A66:V66"/>
    <mergeCell ref="A80:V80"/>
    <mergeCell ref="A3:V3"/>
    <mergeCell ref="A21:V21"/>
    <mergeCell ref="R5:S5"/>
  </mergeCells>
  <hyperlinks>
    <hyperlink xmlns:r="http://schemas.openxmlformats.org/officeDocument/2006/relationships" ref="W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5.xml><?xml version="1.0" encoding="utf-8"?>
<worksheet xmlns="http://schemas.openxmlformats.org/spreadsheetml/2006/main">
  <sheetPr>
    <tabColor rgb="00C00000"/>
    <outlinePr summaryBelow="1" summaryRight="1"/>
    <pageSetUpPr fitToPage="1"/>
  </sheetPr>
  <dimension ref="A1:G162"/>
  <sheetViews>
    <sheetView showGridLines="0" workbookViewId="0">
      <pane ySplit="4" topLeftCell="A5" activePane="bottomLeft" state="frozen"/>
      <selection pane="bottomLeft" activeCell="A1" sqref="A1"/>
    </sheetView>
  </sheetViews>
  <sheetFormatPr baseColWidth="8" defaultRowHeight="15"/>
  <cols>
    <col width="24" customWidth="1" min="1" max="1"/>
    <col width="18" customWidth="1" min="2" max="2"/>
    <col width="8" customWidth="1" min="3" max="3"/>
    <col width="8" customWidth="1" min="4" max="4"/>
    <col width="30" customWidth="1" min="5" max="5"/>
    <col width="66" customWidth="1" min="6" max="6"/>
    <col width="13" customWidth="1" min="7" max="7"/>
  </cols>
  <sheetData>
    <row r="1" ht="34" customHeight="1">
      <c r="A1" s="1" t="inlineStr">
        <is>
          <t>Decisions &amp; Actions — what needs a decision, who must supply what, and what happens next</t>
        </is>
      </c>
      <c r="G1" s="104" t="inlineStr">
        <is>
          <t>◂ Start Here</t>
        </is>
      </c>
    </row>
    <row r="2" ht="30" customHeight="1">
      <c r="A2" s="3" t="inlineStr">
        <is>
          <t>Sheet 4 · Each case gives the person, the level, the score and the reason in full, so it can be decided from this page. Red = an input or decision is needed.</t>
        </is>
      </c>
    </row>
    <row r="3">
      <c r="A3" s="4" t="inlineStr">
        <is>
          <t>IRIS · Job Architecture &amp; Job Design · Final v1.12 · October 2026 · Internal — Confidential</t>
        </is>
      </c>
    </row>
    <row r="4" ht="15" customHeight="1"/>
    <row r="5" ht="15" customHeight="1">
      <c r="A5" s="41" t="inlineStr">
        <is>
          <t>A · DECISIONS FOR YOU AND THE CALIBRATION PANEL</t>
        </is>
      </c>
    </row>
    <row r="6" ht="20" customHeight="1">
      <c r="A6" s="6" t="inlineStr">
        <is>
          <t>A1. Player-Coach placements — 0</t>
        </is>
      </c>
    </row>
    <row r="7" ht="15" customHeight="1">
      <c r="A7" s="40" t="inlineStr">
        <is>
          <t>Confirm the person still spends a real share of time on hands-on work, and that the team size is right.</t>
        </is>
      </c>
    </row>
    <row r="8" ht="15" customHeight="1">
      <c r="A8" s="40" t="inlineStr">
        <is>
          <t>None.</t>
        </is>
      </c>
    </row>
    <row r="9" ht="20" customHeight="1">
      <c r="A9" s="6" t="inlineStr">
        <is>
          <t>A2. Player-Coach candidates and watch list — 2</t>
        </is>
      </c>
    </row>
    <row r="10" ht="15" customHeight="1">
      <c r="A10" s="40" t="inlineStr">
        <is>
          <t>Candidates qualify on the numbers but have no evidence yet of their own hands-on work: confirm it, or leave them where they are.</t>
        </is>
      </c>
    </row>
    <row r="11" ht="15" customHeight="1">
      <c r="A11" s="8" t="inlineStr">
        <is>
          <t>Person</t>
        </is>
      </c>
      <c r="B11" s="8" t="inlineStr">
        <is>
          <t>Department</t>
        </is>
      </c>
      <c r="C11" s="8" t="inlineStr">
        <is>
          <t>Level</t>
        </is>
      </c>
      <c r="D11" s="8" t="inlineStr">
        <is>
          <t>Score</t>
        </is>
      </c>
      <c r="E11" s="8" t="inlineStr">
        <is>
          <t>Designation</t>
        </is>
      </c>
      <c r="F11" s="8" t="inlineStr">
        <is>
          <t>What to decide, and why</t>
        </is>
      </c>
    </row>
    <row r="12" ht="28" customHeight="1">
      <c r="A12" s="10" t="inlineStr">
        <is>
          <t>Saahit Togaru</t>
        </is>
      </c>
      <c r="B12" s="12" t="inlineStr">
        <is>
          <t>Marketing</t>
        </is>
      </c>
      <c r="C12" s="42" t="inlineStr">
        <is>
          <t>B3</t>
        </is>
      </c>
      <c r="D12" s="42" t="n">
        <v>6</v>
      </c>
      <c r="E12" s="12" t="inlineStr">
        <is>
          <t>Senior Marketing Manager</t>
        </is>
      </c>
      <c r="F12" s="83" t="inlineStr">
        <is>
          <r>
            <rPr>
              <rFont val="Calibri"/>
              <b val="1"/>
              <color rgb="009C0006"/>
              <sz val="10"/>
            </rPr>
            <t>B+ watch:</t>
          </r>
          <r>
            <rPr>
              <rFont val="Calibri"/>
              <color rgb="009C0006"/>
              <sz val="10"/>
            </rPr>
            <t xml:space="preserve"> leads people, Player-Coach score 5.93 · needs 6.25, C–A average 6.00 · needs 5.5</t>
          </r>
        </is>
      </c>
    </row>
    <row r="13" ht="28" customHeight="1">
      <c r="A13" s="10" t="inlineStr">
        <is>
          <t>Ashish Singhvi</t>
        </is>
      </c>
      <c r="B13" s="12" t="inlineStr">
        <is>
          <t>Technology</t>
        </is>
      </c>
      <c r="C13" s="42" t="inlineStr">
        <is>
          <t>C2</t>
        </is>
      </c>
      <c r="D13" s="42" t="n">
        <v>8.07</v>
      </c>
      <c r="E13" s="12" t="inlineStr">
        <is>
          <t>Head – Product Engineering</t>
        </is>
      </c>
      <c r="F13" s="83" t="inlineStr">
        <is>
          <r>
            <rPr>
              <rFont val="Calibri"/>
              <b val="1"/>
              <color rgb="009C0006"/>
              <sz val="10"/>
            </rPr>
            <t>C+ watch:</t>
          </r>
          <r>
            <rPr>
              <rFont val="Calibri"/>
              <color rgb="009C0006"/>
              <sz val="10"/>
            </rPr>
            <t xml:space="preserve"> leads people, Player-Coach score 8.07 · needs 8.25, C–A average 8.00 · needs 7.5</t>
          </r>
        </is>
      </c>
    </row>
    <row r="14" ht="15" customHeight="1"/>
    <row r="15" ht="20" customHeight="1">
      <c r="A15" s="6" t="inlineStr">
        <is>
          <t>A3. Close calls — 17</t>
        </is>
      </c>
    </row>
    <row r="16" ht="15" customHeight="1">
      <c r="A16" s="40" t="inlineStr">
        <is>
          <t>The score decided the level and sits within 0.05 of a rounding point: compare with peers before confirming.</t>
        </is>
      </c>
    </row>
    <row r="17" ht="15" customHeight="1">
      <c r="A17" s="8" t="inlineStr">
        <is>
          <t>Person</t>
        </is>
      </c>
      <c r="B17" s="8" t="inlineStr">
        <is>
          <t>Department</t>
        </is>
      </c>
      <c r="C17" s="8" t="inlineStr">
        <is>
          <t>Level</t>
        </is>
      </c>
      <c r="D17" s="8" t="inlineStr">
        <is>
          <t>Score</t>
        </is>
      </c>
      <c r="E17" s="8" t="inlineStr">
        <is>
          <t>Designation</t>
        </is>
      </c>
      <c r="F17" s="8" t="inlineStr">
        <is>
          <t>What to decide, and why</t>
        </is>
      </c>
    </row>
    <row r="18" ht="41" customHeight="1">
      <c r="A18" s="10" t="inlineStr">
        <is>
          <t>Aishwarya Chaulkar</t>
        </is>
      </c>
      <c r="B18" s="12" t="inlineStr">
        <is>
          <t>Digitizing</t>
        </is>
      </c>
      <c r="C18" s="42" t="inlineStr">
        <is>
          <t>A3</t>
        </is>
      </c>
      <c r="D18" s="42" t="n">
        <v>2.53</v>
      </c>
      <c r="E18" s="12" t="inlineStr">
        <is>
          <t>Senior Digitization Associate</t>
        </is>
      </c>
      <c r="F18" s="83" t="inlineStr">
        <is>
          <t>Score 2.53 is 0.03 above the 2.5 rounding point between A2 and A3, and no rule moved it: confirm A3 against peers in similar roles, or place at A2.</t>
        </is>
      </c>
    </row>
    <row r="19" ht="41" customHeight="1">
      <c r="A19" s="10" t="inlineStr">
        <is>
          <t>Dhanraj Patil</t>
        </is>
      </c>
      <c r="B19" s="12" t="inlineStr">
        <is>
          <t>Digitizing</t>
        </is>
      </c>
      <c r="C19" s="42" t="inlineStr">
        <is>
          <t>A3</t>
        </is>
      </c>
      <c r="D19" s="42" t="n">
        <v>2.5</v>
      </c>
      <c r="E19" s="12" t="inlineStr">
        <is>
          <t>Senior Digitization Associate</t>
        </is>
      </c>
      <c r="F19" s="83" t="inlineStr">
        <is>
          <t>Score 2.50 is 0.00 above the 2.5 rounding point between A2 and A3, and no rule moved it: confirm A3 against peers in similar roles, or place at A2.</t>
        </is>
      </c>
    </row>
    <row r="20" ht="41" customHeight="1">
      <c r="A20" s="10" t="inlineStr">
        <is>
          <t>Chirag Shah</t>
        </is>
      </c>
      <c r="B20" s="12" t="inlineStr">
        <is>
          <t>Functional</t>
        </is>
      </c>
      <c r="C20" s="42" t="inlineStr">
        <is>
          <t>B1</t>
        </is>
      </c>
      <c r="D20" s="42" t="n">
        <v>3.53</v>
      </c>
      <c r="E20" s="12" t="inlineStr">
        <is>
          <t>Functional Specialist</t>
        </is>
      </c>
      <c r="F20" s="83" t="inlineStr">
        <is>
          <t>Score 3.53 is 0.03 above the 3.5 rounding point between A3 and B1, and no rule moved it: confirm B1 against peers in similar roles, or place at A3.</t>
        </is>
      </c>
    </row>
    <row r="21" ht="41" customHeight="1">
      <c r="A21" s="10" t="inlineStr">
        <is>
          <t>Karthik Menon</t>
        </is>
      </c>
      <c r="B21" s="12" t="inlineStr">
        <is>
          <t>Functional</t>
        </is>
      </c>
      <c r="C21" s="42" t="inlineStr">
        <is>
          <t>B1</t>
        </is>
      </c>
      <c r="D21" s="42" t="n">
        <v>3.53</v>
      </c>
      <c r="E21" s="12" t="inlineStr">
        <is>
          <t>Functional Specialist</t>
        </is>
      </c>
      <c r="F21" s="83" t="inlineStr">
        <is>
          <t>Score 3.53 is 0.03 above the 3.5 rounding point between A3 and B1, and no rule moved it: confirm B1 against peers in similar roles, or place at A3.</t>
        </is>
      </c>
    </row>
    <row r="22" ht="41" customHeight="1">
      <c r="A22" s="10" t="inlineStr">
        <is>
          <t>Sudipta Kundu</t>
        </is>
      </c>
      <c r="B22" s="12" t="inlineStr">
        <is>
          <t>Marketing</t>
        </is>
      </c>
      <c r="C22" s="42" t="inlineStr">
        <is>
          <t>B2</t>
        </is>
      </c>
      <c r="D22" s="42" t="n">
        <v>4.54</v>
      </c>
      <c r="E22" s="12" t="inlineStr">
        <is>
          <t>Senior Marketing Specialist – POD Lead</t>
        </is>
      </c>
      <c r="F22" s="83" t="inlineStr">
        <is>
          <t>Score 4.54 is 0.04 above the 4.5 rounding point between B1 and B2, and no rule moved it: confirm B2 against peers in similar roles, or place at B1.</t>
        </is>
      </c>
    </row>
    <row r="23" ht="41" customHeight="1">
      <c r="A23" s="10" t="inlineStr">
        <is>
          <t>Mohammed Dholkawala</t>
        </is>
      </c>
      <c r="B23" s="12" t="inlineStr">
        <is>
          <t>Services</t>
        </is>
      </c>
      <c r="C23" s="42" t="inlineStr">
        <is>
          <t>B2</t>
        </is>
      </c>
      <c r="D23" s="42" t="n">
        <v>4.54</v>
      </c>
      <c r="E23" s="12" t="inlineStr">
        <is>
          <t>Manager – Assisted Services</t>
        </is>
      </c>
      <c r="F23" s="83" t="inlineStr">
        <is>
          <t>Score 4.54 is 0.04 above the 4.5 rounding point between B1 and B2, and no rule moved it: confirm B2 against peers in similar roles, or place at B1.</t>
        </is>
      </c>
    </row>
    <row r="24" ht="41" customHeight="1">
      <c r="A24" s="10" t="inlineStr">
        <is>
          <t>Anjum Shaikh</t>
        </is>
      </c>
      <c r="B24" s="12" t="inlineStr">
        <is>
          <t>Services</t>
        </is>
      </c>
      <c r="C24" s="42" t="inlineStr">
        <is>
          <t>A3</t>
        </is>
      </c>
      <c r="D24" s="42" t="n">
        <v>3.45</v>
      </c>
      <c r="E24" s="12" t="inlineStr">
        <is>
          <t>Senior Financial Analyst</t>
        </is>
      </c>
      <c r="F24" s="83" t="inlineStr">
        <is>
          <t>Score 3.45 is 0.05 below the 3.5 rounding point between A3 and B1, and no rule moved it: confirm A3 against peers in similar roles, or place at B1.</t>
        </is>
      </c>
    </row>
    <row r="25" ht="41" customHeight="1">
      <c r="A25" s="10" t="inlineStr">
        <is>
          <t>Dhananjay Bavkar</t>
        </is>
      </c>
      <c r="B25" s="12" t="inlineStr">
        <is>
          <t>Services</t>
        </is>
      </c>
      <c r="C25" s="42" t="inlineStr">
        <is>
          <t>A3</t>
        </is>
      </c>
      <c r="D25" s="42" t="n">
        <v>3.48</v>
      </c>
      <c r="E25" s="12" t="inlineStr">
        <is>
          <t>Senior Financial Analyst</t>
        </is>
      </c>
      <c r="F25" s="83" t="inlineStr">
        <is>
          <t>Score 3.48 is 0.02 below the 3.5 rounding point between A3 and B1, and no rule moved it: confirm A3 against peers in similar roles, or place at B1.</t>
        </is>
      </c>
    </row>
    <row r="26" ht="41" customHeight="1">
      <c r="A26" s="10" t="inlineStr">
        <is>
          <t>Purva Shrivastava</t>
        </is>
      </c>
      <c r="B26" s="12" t="inlineStr">
        <is>
          <t>Services</t>
        </is>
      </c>
      <c r="C26" s="42" t="inlineStr">
        <is>
          <t>B1</t>
        </is>
      </c>
      <c r="D26" s="42" t="n">
        <v>3.53</v>
      </c>
      <c r="E26" s="12" t="inlineStr">
        <is>
          <t>XBRL Specialist</t>
        </is>
      </c>
      <c r="F26" s="83" t="inlineStr">
        <is>
          <t>Score 3.53 is 0.03 above the 3.5 rounding point between A3 and B1, and no rule moved it: confirm B1 against peers in similar roles, or place at A3.</t>
        </is>
      </c>
    </row>
    <row r="27" ht="41" customHeight="1">
      <c r="A27" s="10" t="inlineStr">
        <is>
          <t>Sandeep Dhere</t>
        </is>
      </c>
      <c r="B27" s="12" t="inlineStr">
        <is>
          <t>Services</t>
        </is>
      </c>
      <c r="C27" s="42" t="inlineStr">
        <is>
          <t>B1</t>
        </is>
      </c>
      <c r="D27" s="42" t="n">
        <v>3.51</v>
      </c>
      <c r="E27" s="12" t="inlineStr">
        <is>
          <t>XBRL Specialist</t>
        </is>
      </c>
      <c r="F27" s="83" t="inlineStr">
        <is>
          <t>Score 3.51 is 0.01 above the 3.5 rounding point between A3 and B1, and no rule moved it: confirm B1 against peers in similar roles, or place at A3.</t>
        </is>
      </c>
    </row>
    <row r="28" ht="41" customHeight="1">
      <c r="A28" s="10" t="inlineStr">
        <is>
          <t>Vikram Bangera</t>
        </is>
      </c>
      <c r="B28" s="12" t="inlineStr">
        <is>
          <t>Services</t>
        </is>
      </c>
      <c r="C28" s="42" t="inlineStr">
        <is>
          <t>A3</t>
        </is>
      </c>
      <c r="D28" s="42" t="n">
        <v>3.48</v>
      </c>
      <c r="E28" s="12" t="inlineStr">
        <is>
          <t>Senior Financial Analyst</t>
        </is>
      </c>
      <c r="F28" s="83" t="inlineStr">
        <is>
          <t>Score 3.48 is 0.02 below the 3.5 rounding point between A3 and B1, and no rule moved it: confirm A3 against peers in similar roles, or place at B1.</t>
        </is>
      </c>
    </row>
    <row r="29" ht="41" customHeight="1">
      <c r="A29" s="10" t="inlineStr">
        <is>
          <t>Chinmayi Patil</t>
        </is>
      </c>
      <c r="B29" s="12" t="inlineStr">
        <is>
          <t>Support</t>
        </is>
      </c>
      <c r="C29" s="42" t="inlineStr">
        <is>
          <t>B2</t>
        </is>
      </c>
      <c r="D29" s="42" t="n">
        <v>4.51</v>
      </c>
      <c r="E29" s="12" t="inlineStr">
        <is>
          <t>Customer Success Specialist</t>
        </is>
      </c>
      <c r="F29" s="83" t="inlineStr">
        <is>
          <t>Score 4.51 is 0.01 above the 4.5 rounding point between B1 and B2, and no rule moved it: confirm B2 against peers in similar roles, or place at B1.</t>
        </is>
      </c>
    </row>
    <row r="30" ht="41" customHeight="1">
      <c r="A30" s="10" t="inlineStr">
        <is>
          <t>Varun Bubna</t>
        </is>
      </c>
      <c r="B30" s="12" t="inlineStr">
        <is>
          <t>Support</t>
        </is>
      </c>
      <c r="C30" s="42" t="inlineStr">
        <is>
          <t>B2</t>
        </is>
      </c>
      <c r="D30" s="42" t="n">
        <v>4.5</v>
      </c>
      <c r="E30" s="12" t="inlineStr">
        <is>
          <t>Senior Customer Success Specialist</t>
        </is>
      </c>
      <c r="F30" s="83" t="inlineStr">
        <is>
          <t>Score 4.50 is 0.00 above the 4.5 rounding point between B1 and B2, and no rule moved it: confirm B2 against peers in similar roles, or place at B1.</t>
        </is>
      </c>
    </row>
    <row r="31" ht="41" customHeight="1">
      <c r="A31" s="10" t="inlineStr">
        <is>
          <t>Dhiraj Suryawanshi</t>
        </is>
      </c>
      <c r="B31" s="12" t="inlineStr">
        <is>
          <t>Technology</t>
        </is>
      </c>
      <c r="C31" s="42" t="inlineStr">
        <is>
          <t>B2</t>
        </is>
      </c>
      <c r="D31" s="42" t="n">
        <v>5.5</v>
      </c>
      <c r="E31" s="12" t="inlineStr">
        <is>
          <t>Lead Software Engineer – POD Lead</t>
        </is>
      </c>
      <c r="F31" s="83" t="inlineStr">
        <is>
          <t>Score 5.50 is 0.00 below the 5.5 rounding point between B2 and B3, and no rule moved it: confirm B2 against peers in similar roles, or place at B3.</t>
        </is>
      </c>
    </row>
    <row r="32" ht="41" customHeight="1">
      <c r="A32" s="10" t="inlineStr">
        <is>
          <t>Prasad Shirke</t>
        </is>
      </c>
      <c r="B32" s="12" t="inlineStr">
        <is>
          <t>Technology</t>
        </is>
      </c>
      <c r="C32" s="42" t="inlineStr">
        <is>
          <t>B2</t>
        </is>
      </c>
      <c r="D32" s="42" t="n">
        <v>4.51</v>
      </c>
      <c r="E32" s="12" t="inlineStr">
        <is>
          <t>Senior Business Analysis Specialist – POD Lead</t>
        </is>
      </c>
      <c r="F32" s="83" t="inlineStr">
        <is>
          <t>Score 4.51 is 0.01 above the 4.5 rounding point between B1 and B2, and no rule moved it: confirm B2 against peers in similar roles, or place at B1.</t>
        </is>
      </c>
    </row>
    <row r="33" ht="41" customHeight="1">
      <c r="A33" s="10" t="inlineStr">
        <is>
          <t>Sarfaraz Badi</t>
        </is>
      </c>
      <c r="B33" s="12" t="inlineStr">
        <is>
          <t>Technology</t>
        </is>
      </c>
      <c r="C33" s="42" t="inlineStr">
        <is>
          <t>B2</t>
        </is>
      </c>
      <c r="D33" s="42" t="n">
        <v>5.5</v>
      </c>
      <c r="E33" s="12" t="inlineStr">
        <is>
          <t>Lead Software Engineer – POD Lead</t>
        </is>
      </c>
      <c r="F33" s="83" t="inlineStr">
        <is>
          <t>Score 5.50 is 0.00 below the 5.5 rounding point between B2 and B3, and no rule moved it: confirm B2 against peers in similar roles, or place at B3.</t>
        </is>
      </c>
    </row>
    <row r="34" ht="41" customHeight="1">
      <c r="A34" s="10" t="inlineStr">
        <is>
          <t>Manasvi Sharma</t>
        </is>
      </c>
      <c r="B34" s="12" t="inlineStr">
        <is>
          <t>Technology</t>
        </is>
      </c>
      <c r="C34" s="42" t="inlineStr">
        <is>
          <t>B1</t>
        </is>
      </c>
      <c r="D34" s="42" t="n">
        <v>3.52</v>
      </c>
      <c r="E34" s="12" t="inlineStr">
        <is>
          <t>AI/ML Specialist – POD Lead</t>
        </is>
      </c>
      <c r="F34" s="83" t="inlineStr">
        <is>
          <t>Score 3.52 is 0.02 above the 3.5 rounding point between A3 and B1, and no rule moved it: confirm B1 against peers in similar roles, or place at A3.</t>
        </is>
      </c>
    </row>
    <row r="35" ht="15" customHeight="1"/>
    <row r="36" ht="20" customHeight="1">
      <c r="A36" s="6" t="inlineStr">
        <is>
          <t>A4. Near a gate — 8</t>
        </is>
      </c>
    </row>
    <row r="37" ht="15" customHeight="1">
      <c r="A37" s="40" t="inlineStr">
        <is>
          <t>A rule set the level, and the number behind it is within a quarter-point of changing it: a small change in one rating would move the person.</t>
        </is>
      </c>
    </row>
    <row r="38" ht="15" customHeight="1">
      <c r="A38" s="8" t="inlineStr">
        <is>
          <t>Person</t>
        </is>
      </c>
      <c r="B38" s="8" t="inlineStr">
        <is>
          <t>Department</t>
        </is>
      </c>
      <c r="C38" s="8" t="inlineStr">
        <is>
          <t>Level</t>
        </is>
      </c>
      <c r="D38" s="8" t="inlineStr">
        <is>
          <t>Score</t>
        </is>
      </c>
      <c r="E38" s="8" t="inlineStr">
        <is>
          <t>Designation</t>
        </is>
      </c>
      <c r="F38" s="8" t="inlineStr">
        <is>
          <t>What to decide, and why</t>
        </is>
      </c>
    </row>
    <row r="39" ht="28" customHeight="1">
      <c r="A39" s="10" t="inlineStr">
        <is>
          <t>Ajinkya Dhumal</t>
        </is>
      </c>
      <c r="B39" s="12" t="inlineStr">
        <is>
          <t>Services</t>
        </is>
      </c>
      <c r="C39" s="42" t="inlineStr">
        <is>
          <t>A3</t>
        </is>
      </c>
      <c r="D39" s="42" t="n">
        <v>3.5</v>
      </c>
      <c r="E39" s="12" t="inlineStr">
        <is>
          <t>Senior Financial Analyst</t>
        </is>
      </c>
      <c r="F39" s="83" t="inlineStr">
        <is>
          <r>
            <rPr>
              <rFont val="Calibri"/>
              <b val="1"/>
              <color rgb="009C0006"/>
              <sz val="10"/>
            </rPr>
            <t>Top of band:</t>
          </r>
          <r>
            <rPr>
              <rFont val="Calibri"/>
              <color rgb="009C0006"/>
              <sz val="10"/>
            </rPr>
            <t xml:space="preserve"> 3.44 on Band B's weights, 0.06 short of the 3.5 needed to enter Band B.</t>
          </r>
        </is>
      </c>
    </row>
    <row r="40" ht="28" customHeight="1">
      <c r="A40" s="10" t="inlineStr">
        <is>
          <t>Ashok Yadav</t>
        </is>
      </c>
      <c r="B40" s="12" t="inlineStr">
        <is>
          <t>Services</t>
        </is>
      </c>
      <c r="C40" s="42" t="inlineStr">
        <is>
          <t>A3</t>
        </is>
      </c>
      <c r="D40" s="42" t="n">
        <v>3.5</v>
      </c>
      <c r="E40" s="12" t="inlineStr">
        <is>
          <t>Senior Financial Analyst</t>
        </is>
      </c>
      <c r="F40" s="83" t="inlineStr">
        <is>
          <r>
            <rPr>
              <rFont val="Calibri"/>
              <b val="1"/>
              <color rgb="009C0006"/>
              <sz val="10"/>
            </rPr>
            <t>Top of band:</t>
          </r>
          <r>
            <rPr>
              <rFont val="Calibri"/>
              <color rgb="009C0006"/>
              <sz val="10"/>
            </rPr>
            <t xml:space="preserve"> 3.42 on Band B's weights, 0.08 short of the 3.5 needed to enter Band B.</t>
          </r>
        </is>
      </c>
    </row>
    <row r="41" ht="28" customHeight="1">
      <c r="A41" s="10" t="inlineStr">
        <is>
          <t>Ruhee Chita</t>
        </is>
      </c>
      <c r="B41" s="12" t="inlineStr">
        <is>
          <t>Services</t>
        </is>
      </c>
      <c r="C41" s="42" t="inlineStr">
        <is>
          <t>A3</t>
        </is>
      </c>
      <c r="D41" s="42" t="n">
        <v>3.6</v>
      </c>
      <c r="E41" s="12" t="inlineStr">
        <is>
          <t>XBRL Specialist</t>
        </is>
      </c>
      <c r="F41" s="83" t="inlineStr">
        <is>
          <r>
            <rPr>
              <rFont val="Calibri"/>
              <b val="1"/>
              <color rgb="009C0006"/>
              <sz val="10"/>
            </rPr>
            <t>Top of band:</t>
          </r>
          <r>
            <rPr>
              <rFont val="Calibri"/>
              <color rgb="009C0006"/>
              <sz val="10"/>
            </rPr>
            <t xml:space="preserve"> 3.49 on Band B's weights, 0.01 short of the 3.5 needed to enter Band B.</t>
          </r>
        </is>
      </c>
    </row>
    <row r="42" ht="28" customHeight="1">
      <c r="A42" s="10" t="inlineStr">
        <is>
          <t>Sunita Ram Singh</t>
        </is>
      </c>
      <c r="B42" s="12" t="inlineStr">
        <is>
          <t>Services</t>
        </is>
      </c>
      <c r="C42" s="42" t="inlineStr">
        <is>
          <t>A3</t>
        </is>
      </c>
      <c r="D42" s="42" t="n">
        <v>3.5</v>
      </c>
      <c r="E42" s="12" t="inlineStr">
        <is>
          <t>Senior Financial Analyst</t>
        </is>
      </c>
      <c r="F42" s="83" t="inlineStr">
        <is>
          <r>
            <rPr>
              <rFont val="Calibri"/>
              <b val="1"/>
              <color rgb="009C0006"/>
              <sz val="10"/>
            </rPr>
            <t>Top of band:</t>
          </r>
          <r>
            <rPr>
              <rFont val="Calibri"/>
              <color rgb="009C0006"/>
              <sz val="10"/>
            </rPr>
            <t xml:space="preserve"> 3.42 on Band B's weights, 0.08 short of the 3.5 needed to enter Band B.</t>
          </r>
        </is>
      </c>
    </row>
    <row r="43" ht="28" customHeight="1">
      <c r="A43" s="10" t="inlineStr">
        <is>
          <t>Sunny Kirtane</t>
        </is>
      </c>
      <c r="B43" s="12" t="inlineStr">
        <is>
          <t>Services</t>
        </is>
      </c>
      <c r="C43" s="42" t="inlineStr">
        <is>
          <t>A3</t>
        </is>
      </c>
      <c r="D43" s="42" t="n">
        <v>3.5</v>
      </c>
      <c r="E43" s="12" t="inlineStr">
        <is>
          <t>Senior Financial Analyst</t>
        </is>
      </c>
      <c r="F43" s="83" t="inlineStr">
        <is>
          <r>
            <rPr>
              <rFont val="Calibri"/>
              <b val="1"/>
              <color rgb="009C0006"/>
              <sz val="10"/>
            </rPr>
            <t>Top of band:</t>
          </r>
          <r>
            <rPr>
              <rFont val="Calibri"/>
              <color rgb="009C0006"/>
              <sz val="10"/>
            </rPr>
            <t xml:space="preserve"> 3.42 on Band B's weights, 0.08 short of the 3.5 needed to enter Band B.</t>
          </r>
        </is>
      </c>
    </row>
    <row r="44" ht="28" customHeight="1">
      <c r="A44" s="10" t="inlineStr">
        <is>
          <t>Mayur Narvekar</t>
        </is>
      </c>
      <c r="B44" s="12" t="inlineStr">
        <is>
          <t>Support</t>
        </is>
      </c>
      <c r="C44" s="42" t="inlineStr">
        <is>
          <t>A3</t>
        </is>
      </c>
      <c r="D44" s="42" t="n">
        <v>3.57</v>
      </c>
      <c r="E44" s="12" t="inlineStr">
        <is>
          <t>MIS Specialist</t>
        </is>
      </c>
      <c r="F44" s="83" t="inlineStr">
        <is>
          <r>
            <rPr>
              <rFont val="Calibri"/>
              <b val="1"/>
              <color rgb="009C0006"/>
              <sz val="10"/>
            </rPr>
            <t>Top of band:</t>
          </r>
          <r>
            <rPr>
              <rFont val="Calibri"/>
              <color rgb="009C0006"/>
              <sz val="10"/>
            </rPr>
            <t xml:space="preserve"> 3.49 on Band B's weights, 0.01 short of the 3.5 needed to enter Band B.</t>
          </r>
        </is>
      </c>
    </row>
    <row r="45" ht="28" customHeight="1">
      <c r="A45" s="10" t="inlineStr">
        <is>
          <t>Riya Parekh</t>
        </is>
      </c>
      <c r="B45" s="12" t="inlineStr">
        <is>
          <t>Technology</t>
        </is>
      </c>
      <c r="C45" s="42" t="inlineStr">
        <is>
          <t>A3</t>
        </is>
      </c>
      <c r="D45" s="42" t="n">
        <v>2.42</v>
      </c>
      <c r="E45" s="12" t="inlineStr">
        <is>
          <t>Senior Software Engineer</t>
        </is>
      </c>
      <c r="F45" s="83" t="inlineStr">
        <is>
          <r>
            <rPr>
              <rFont val="Calibri"/>
              <b val="1"/>
              <color rgb="009C0006"/>
              <sz val="10"/>
            </rPr>
            <t>Band A experience rule:</t>
          </r>
          <r>
            <rPr>
              <rFont val="Calibri"/>
              <color rgb="009C0006"/>
              <sz val="10"/>
            </rPr>
            <t xml:space="preserve"> 2.2 yrs is within three months of the 1- or 2-year threshold.</t>
          </r>
        </is>
      </c>
    </row>
    <row r="46" ht="54" customHeight="1">
      <c r="A46" s="10" t="inlineStr">
        <is>
          <t>Saniya Baxi</t>
        </is>
      </c>
      <c r="B46" s="12" t="inlineStr">
        <is>
          <t>Technology</t>
        </is>
      </c>
      <c r="C46" s="42" t="inlineStr">
        <is>
          <t>A2</t>
        </is>
      </c>
      <c r="D46" s="42" t="n">
        <v>1.92</v>
      </c>
      <c r="E46" s="12" t="inlineStr">
        <is>
          <t>Business Analyst</t>
        </is>
      </c>
      <c r="F46" s="83" t="inlineStr">
        <is>
          <r>
            <rPr>
              <rFont val="Calibri"/>
              <b val="1"/>
              <color rgb="009C0006"/>
              <sz val="10"/>
            </rPr>
            <t>Role substance:</t>
          </r>
          <r>
            <rPr>
              <rFont val="Calibri"/>
              <color rgb="009C0006"/>
              <sz val="10"/>
            </rPr>
            <t xml:space="preserve"> complexity–accountability average 1.75 is 0.25 short of 2, which would lift the limit by one level; Band A experience rule: 2.2 yrs is within three months of the 1- or 2-year threshold.</t>
          </r>
        </is>
      </c>
    </row>
    <row r="47" ht="15" customHeight="1"/>
    <row r="48" ht="20" customHeight="1">
      <c r="A48" s="6" t="inlineStr">
        <is>
          <t>A5. Moves down · pay and title protected for one cycle — 14</t>
        </is>
      </c>
    </row>
    <row r="49" ht="15" customHeight="1">
      <c r="A49" s="40" t="inlineStr">
        <is>
          <t>Confirm the scope of the role and the review date.</t>
        </is>
      </c>
    </row>
    <row r="50" ht="15" customHeight="1">
      <c r="A50" s="8" t="inlineStr">
        <is>
          <t>Person</t>
        </is>
      </c>
      <c r="B50" s="8" t="inlineStr">
        <is>
          <t>Department</t>
        </is>
      </c>
      <c r="C50" s="8" t="inlineStr">
        <is>
          <t>Level</t>
        </is>
      </c>
      <c r="D50" s="8" t="inlineStr">
        <is>
          <t>Score</t>
        </is>
      </c>
      <c r="E50" s="8" t="inlineStr">
        <is>
          <t>Designation</t>
        </is>
      </c>
      <c r="F50" s="8" t="inlineStr">
        <is>
          <t>What to decide, and why</t>
        </is>
      </c>
    </row>
    <row r="51" ht="28" customHeight="1">
      <c r="A51" s="10" t="inlineStr">
        <is>
          <t>Vijay Parulekar</t>
        </is>
      </c>
      <c r="B51" s="12" t="inlineStr">
        <is>
          <t>Digitizing</t>
        </is>
      </c>
      <c r="C51" s="42" t="inlineStr">
        <is>
          <t>C1</t>
        </is>
      </c>
      <c r="D51" s="42" t="n">
        <v>7</v>
      </c>
      <c r="E51" s="12" t="inlineStr">
        <is>
          <t>Associate Head – Digitization</t>
        </is>
      </c>
      <c r="F51" s="83" t="inlineStr">
        <is>
          <t>Current L7 – Head / Sr Director → C1. No rule changed the level: the score decides.</t>
        </is>
      </c>
    </row>
    <row r="52" ht="28" customHeight="1">
      <c r="A52" s="10" t="inlineStr">
        <is>
          <t>Bharani Kumar</t>
        </is>
      </c>
      <c r="B52" s="12" t="inlineStr">
        <is>
          <t>Marketing</t>
        </is>
      </c>
      <c r="C52" s="42" t="inlineStr">
        <is>
          <t>B1</t>
        </is>
      </c>
      <c r="D52" s="42" t="n">
        <v>4.25</v>
      </c>
      <c r="E52" s="12" t="inlineStr">
        <is>
          <t>Design Specialist – POD Lead</t>
        </is>
      </c>
      <c r="F52" s="83" t="inlineStr">
        <is>
          <t>Current L5 – Lead · IC → B1. No rule changed the level: the score decides.</t>
        </is>
      </c>
    </row>
    <row r="53" ht="28" customHeight="1">
      <c r="A53" s="10" t="inlineStr">
        <is>
          <t>Anand Chiluka</t>
        </is>
      </c>
      <c r="B53" s="12" t="inlineStr">
        <is>
          <t>Marketing</t>
        </is>
      </c>
      <c r="C53" s="42" t="inlineStr">
        <is>
          <t>B1</t>
        </is>
      </c>
      <c r="D53" s="42" t="n">
        <v>3.75</v>
      </c>
      <c r="E53" s="12" t="inlineStr">
        <is>
          <t>Account Executive</t>
        </is>
      </c>
      <c r="F53" s="83" t="inlineStr">
        <is>
          <t>Current L5 – Lead · IC → B1. No rule changed the level: the score decides.</t>
        </is>
      </c>
    </row>
    <row r="54" ht="28" customHeight="1">
      <c r="A54" s="10" t="inlineStr">
        <is>
          <t>Vinod Katekar</t>
        </is>
      </c>
      <c r="B54" s="12" t="inlineStr">
        <is>
          <t>Quality Assurance</t>
        </is>
      </c>
      <c r="C54" s="42" t="inlineStr">
        <is>
          <t>B2</t>
        </is>
      </c>
      <c r="D54" s="42" t="n">
        <v>4.84</v>
      </c>
      <c r="E54" s="12" t="inlineStr">
        <is>
          <t>QA Manager</t>
        </is>
      </c>
      <c r="F54" s="83" t="inlineStr">
        <is>
          <t>Current L5 – Lead · IC → B2. No rule changed the level: the score decides.</t>
        </is>
      </c>
    </row>
    <row r="55" ht="28" customHeight="1">
      <c r="A55" s="10" t="inlineStr">
        <is>
          <t>Shashikant Mudaliar</t>
        </is>
      </c>
      <c r="B55" s="12" t="inlineStr">
        <is>
          <t>Services</t>
        </is>
      </c>
      <c r="C55" s="42" t="inlineStr">
        <is>
          <t>C1</t>
        </is>
      </c>
      <c r="D55" s="42" t="n">
        <v>7.14</v>
      </c>
      <c r="E55" s="12" t="inlineStr">
        <is>
          <t>Associate Head – XBRL Assisted Services</t>
        </is>
      </c>
      <c r="F55" s="83" t="inlineStr">
        <is>
          <t>Current L7 – Head / Sr Director → C1. No rule changed the level: the score decides.</t>
        </is>
      </c>
    </row>
    <row r="56" ht="28" customHeight="1">
      <c r="A56" s="10" t="inlineStr">
        <is>
          <t>Mohammed Sameer Shamsudin</t>
        </is>
      </c>
      <c r="B56" s="12" t="inlineStr">
        <is>
          <t>Services</t>
        </is>
      </c>
      <c r="C56" s="42" t="inlineStr">
        <is>
          <t>B2</t>
        </is>
      </c>
      <c r="D56" s="42" t="n">
        <v>4.57</v>
      </c>
      <c r="E56" s="12" t="inlineStr">
        <is>
          <t>Senior QA Specialist – POD Lead</t>
        </is>
      </c>
      <c r="F56" s="83" t="inlineStr">
        <is>
          <t>Current L5 – Lead · IC → B2. No rule changed the level: the score decides.</t>
        </is>
      </c>
    </row>
    <row r="57" ht="28" customHeight="1">
      <c r="A57" s="10" t="inlineStr">
        <is>
          <t>Jinesh Kumar S</t>
        </is>
      </c>
      <c r="B57" s="12" t="inlineStr">
        <is>
          <t>Services</t>
        </is>
      </c>
      <c r="C57" s="42" t="inlineStr">
        <is>
          <t>B2</t>
        </is>
      </c>
      <c r="D57" s="42" t="n">
        <v>5.04</v>
      </c>
      <c r="E57" s="12" t="inlineStr">
        <is>
          <t>Manager – Assisted Services</t>
        </is>
      </c>
      <c r="F57" s="83" t="inlineStr">
        <is>
          <t>Current L5 – Lead · IC → B2. No rule changed the level: the score decides.</t>
        </is>
      </c>
    </row>
    <row r="58" ht="28" customHeight="1">
      <c r="A58" s="10" t="inlineStr">
        <is>
          <t>Mohammed Dholkawala</t>
        </is>
      </c>
      <c r="B58" s="12" t="inlineStr">
        <is>
          <t>Services</t>
        </is>
      </c>
      <c r="C58" s="42" t="inlineStr">
        <is>
          <t>B2</t>
        </is>
      </c>
      <c r="D58" s="42" t="n">
        <v>4.54</v>
      </c>
      <c r="E58" s="12" t="inlineStr">
        <is>
          <t>Manager – Assisted Services</t>
        </is>
      </c>
      <c r="F58" s="83" t="inlineStr">
        <is>
          <t>Current L5 – Lead · IC → B2. No rule changed the level: the score decides.</t>
        </is>
      </c>
    </row>
    <row r="59" ht="28" customHeight="1">
      <c r="A59" s="10" t="inlineStr">
        <is>
          <t>Priyanka Jadhav</t>
        </is>
      </c>
      <c r="B59" s="12" t="inlineStr">
        <is>
          <t>Services</t>
        </is>
      </c>
      <c r="C59" s="42" t="inlineStr">
        <is>
          <t>B2</t>
        </is>
      </c>
      <c r="D59" s="42" t="n">
        <v>5.14</v>
      </c>
      <c r="E59" s="12" t="inlineStr">
        <is>
          <t>Manager – Assisted Services</t>
        </is>
      </c>
      <c r="F59" s="83" t="inlineStr">
        <is>
          <t>Current L5 – Lead · IC → B2. No rule changed the level: the score decides.</t>
        </is>
      </c>
    </row>
    <row r="60" ht="41" customHeight="1">
      <c r="A60" s="10" t="inlineStr">
        <is>
          <t>Anushree Aparajit</t>
        </is>
      </c>
      <c r="B60" s="12" t="inlineStr">
        <is>
          <t>Support</t>
        </is>
      </c>
      <c r="C60" s="42" t="inlineStr">
        <is>
          <t>C1</t>
        </is>
      </c>
      <c r="D60" s="42" t="n">
        <v>7.61</v>
      </c>
      <c r="E60" s="12" t="inlineStr">
        <is>
          <t>Associate Head – Customer Success</t>
        </is>
      </c>
      <c r="F60" s="83" t="inlineStr">
        <is>
          <t>Current L7 – Head / Sr Director → C1. Held at C1 instead of C2: C2 needs a whole function or a company-wide discipline, and the org chart does not show this yet.</t>
        </is>
      </c>
    </row>
    <row r="61" ht="28" customHeight="1">
      <c r="A61" s="10" t="inlineStr">
        <is>
          <t>Shailesh Koradiya</t>
        </is>
      </c>
      <c r="B61" s="12" t="inlineStr">
        <is>
          <t>Support</t>
        </is>
      </c>
      <c r="C61" s="42" t="inlineStr">
        <is>
          <t>B1</t>
        </is>
      </c>
      <c r="D61" s="42" t="n">
        <v>4.01</v>
      </c>
      <c r="E61" s="12" t="inlineStr">
        <is>
          <t>DevOps Specialist – POD Lead</t>
        </is>
      </c>
      <c r="F61" s="83" t="inlineStr">
        <is>
          <t>Current L5 – Lead · IC → B1. No rule changed the level: the score decides.</t>
        </is>
      </c>
    </row>
    <row r="62" ht="28" customHeight="1">
      <c r="A62" s="10" t="inlineStr">
        <is>
          <t>Harshal Shah</t>
        </is>
      </c>
      <c r="B62" s="12" t="inlineStr">
        <is>
          <t>Support</t>
        </is>
      </c>
      <c r="C62" s="42" t="inlineStr">
        <is>
          <t>B2</t>
        </is>
      </c>
      <c r="D62" s="42" t="n">
        <v>4.59</v>
      </c>
      <c r="E62" s="12" t="inlineStr">
        <is>
          <t>Support Manager</t>
        </is>
      </c>
      <c r="F62" s="83" t="inlineStr">
        <is>
          <t>Current L5 – Lead · IC → B2. No rule changed the level: the score decides.</t>
        </is>
      </c>
    </row>
    <row r="63" ht="28" customHeight="1">
      <c r="A63" s="10" t="inlineStr">
        <is>
          <t>Chinmayi Patil</t>
        </is>
      </c>
      <c r="B63" s="12" t="inlineStr">
        <is>
          <t>Support</t>
        </is>
      </c>
      <c r="C63" s="42" t="inlineStr">
        <is>
          <t>B2</t>
        </is>
      </c>
      <c r="D63" s="42" t="n">
        <v>4.51</v>
      </c>
      <c r="E63" s="12" t="inlineStr">
        <is>
          <t>Customer Success Specialist</t>
        </is>
      </c>
      <c r="F63" s="83" t="inlineStr">
        <is>
          <t>Current L5 – Manager → B2. No rule changed the level: the score decides.</t>
        </is>
      </c>
    </row>
    <row r="64" ht="28" customHeight="1">
      <c r="A64" s="10" t="inlineStr">
        <is>
          <t>Huzefa Petit</t>
        </is>
      </c>
      <c r="B64" s="12" t="inlineStr">
        <is>
          <t>Technology</t>
        </is>
      </c>
      <c r="C64" s="42" t="inlineStr">
        <is>
          <t>B1</t>
        </is>
      </c>
      <c r="D64" s="42" t="n">
        <v>4.03</v>
      </c>
      <c r="E64" s="12" t="inlineStr">
        <is>
          <t>Technical Specialist</t>
        </is>
      </c>
      <c r="F64" s="83" t="inlineStr">
        <is>
          <t>Current L5 – Lead · IC → B1. No rule changed the level: the score decides.</t>
        </is>
      </c>
    </row>
    <row r="65" ht="15" customHeight="1"/>
    <row r="66" ht="20" customHeight="1">
      <c r="A66" s="6" t="inlineStr">
        <is>
          <t>A6. Senior titles held by the structure gate — 2</t>
        </is>
      </c>
    </row>
    <row r="67" ht="15" customHeight="1">
      <c r="A67" s="40" t="inlineStr">
        <is>
          <t>Confirm whether the structure behind the title exists · team leads, a sub-function, a business line.</t>
        </is>
      </c>
    </row>
    <row r="68" ht="15" customHeight="1">
      <c r="A68" s="8" t="inlineStr">
        <is>
          <t>Person</t>
        </is>
      </c>
      <c r="B68" s="8" t="inlineStr">
        <is>
          <t>Department</t>
        </is>
      </c>
      <c r="C68" s="8" t="inlineStr">
        <is>
          <t>Level</t>
        </is>
      </c>
      <c r="D68" s="8" t="inlineStr">
        <is>
          <t>Score</t>
        </is>
      </c>
      <c r="E68" s="8" t="inlineStr">
        <is>
          <t>Designation</t>
        </is>
      </c>
      <c r="F68" s="8" t="inlineStr">
        <is>
          <t>What to decide, and why</t>
        </is>
      </c>
    </row>
    <row r="69" ht="41" customHeight="1">
      <c r="A69" s="10" t="inlineStr">
        <is>
          <t>Sreyash Duragkar</t>
        </is>
      </c>
      <c r="B69" s="12" t="inlineStr">
        <is>
          <t>Sales</t>
        </is>
      </c>
      <c r="C69" s="42" t="inlineStr">
        <is>
          <t>C1</t>
        </is>
      </c>
      <c r="D69" s="42" t="n">
        <v>8.720000000000001</v>
      </c>
      <c r="E69" s="12" t="inlineStr">
        <is>
          <t>Director- Enterprise Sales → Principal – Enterprise Sales</t>
        </is>
      </c>
      <c r="F69" s="83" t="inlineStr">
        <is>
          <r>
            <rPr>
              <rFont val="Calibri"/>
              <b val="1"/>
              <color rgb="009C0006"/>
              <sz val="10"/>
            </rPr>
            <t>Held at C1 instead of D1:</t>
          </r>
          <r>
            <rPr>
              <rFont val="Calibri"/>
              <color rgb="009C0006"/>
              <sz val="10"/>
            </rPr>
            <t xml:space="preserve"> C2 needs a whole function or a company-wide discipline, and the org chart does not show this yet.</t>
          </r>
        </is>
      </c>
    </row>
    <row r="70" ht="41" customHeight="1">
      <c r="A70" s="10" t="inlineStr">
        <is>
          <t>Anushree Aparajit</t>
        </is>
      </c>
      <c r="B70" s="12" t="inlineStr">
        <is>
          <t>Support</t>
        </is>
      </c>
      <c r="C70" s="42" t="inlineStr">
        <is>
          <t>C1</t>
        </is>
      </c>
      <c r="D70" s="42" t="n">
        <v>7.61</v>
      </c>
      <c r="E70" s="12" t="inlineStr">
        <is>
          <t>Global Customer Success Head → Associate Head – Customer Success</t>
        </is>
      </c>
      <c r="F70" s="83" t="inlineStr">
        <is>
          <r>
            <rPr>
              <rFont val="Calibri"/>
              <b val="1"/>
              <color rgb="009C0006"/>
              <sz val="10"/>
            </rPr>
            <t>Held at C1 instead of C2:</t>
          </r>
          <r>
            <rPr>
              <rFont val="Calibri"/>
              <color rgb="009C0006"/>
              <sz val="10"/>
            </rPr>
            <t xml:space="preserve"> C2 needs a whole function or a company-wide discipline, and the org chart does not show this yet.</t>
          </r>
        </is>
      </c>
    </row>
    <row r="71" ht="15" customHeight="1"/>
    <row r="72" ht="20" customHeight="1">
      <c r="A72" s="6" t="inlineStr">
        <is>
          <t>A7. Provisional placements — 0</t>
        </is>
      </c>
    </row>
    <row r="73" ht="15" customHeight="1">
      <c r="A73" s="40" t="inlineStr">
        <is>
          <t>HR to confirm the experience record; the level is kept until then.</t>
        </is>
      </c>
    </row>
    <row r="74" ht="15" customHeight="1">
      <c r="A74" s="40" t="inlineStr">
        <is>
          <t>None.</t>
        </is>
      </c>
    </row>
    <row r="75" ht="15" customHeight="1">
      <c r="A75" s="41" t="inlineStr">
        <is>
          <t>B · INPUTS STILL NEEDED — BY OWNER · pay is needed for everyone and is set later</t>
        </is>
      </c>
    </row>
    <row r="76" ht="20" customHeight="1">
      <c r="A76" s="6" t="inlineStr">
        <is>
          <t>B · Manager — 34</t>
        </is>
      </c>
    </row>
    <row r="77" ht="15" customHeight="1">
      <c r="A77" s="8" t="inlineStr">
        <is>
          <t>Person</t>
        </is>
      </c>
      <c r="B77" s="8" t="inlineStr">
        <is>
          <t>Department</t>
        </is>
      </c>
      <c r="C77" s="8" t="inlineStr">
        <is>
          <t>Level</t>
        </is>
      </c>
      <c r="D77" s="8" t="inlineStr">
        <is>
          <t>Score</t>
        </is>
      </c>
      <c r="E77" s="8" t="inlineStr">
        <is>
          <t>Designation</t>
        </is>
      </c>
      <c r="F77" s="8" t="inlineStr">
        <is>
          <t>Input needed</t>
        </is>
      </c>
    </row>
    <row r="78" ht="15" customHeight="1">
      <c r="A78" s="10" t="inlineStr">
        <is>
          <t>Janardan Bale</t>
        </is>
      </c>
      <c r="B78" s="12" t="inlineStr">
        <is>
          <t>Digitizing</t>
        </is>
      </c>
      <c r="C78" s="42" t="inlineStr">
        <is>
          <t>B2</t>
        </is>
      </c>
      <c r="D78" s="42" t="n">
        <v>4.95</v>
      </c>
      <c r="E78" s="12" t="inlineStr">
        <is>
          <t>Digitization Manager</t>
        </is>
      </c>
      <c r="F78" s="83" t="inlineStr">
        <is>
          <t>Confirm the reporting line</t>
        </is>
      </c>
    </row>
    <row r="79" ht="15" customHeight="1">
      <c r="A79" s="10" t="inlineStr">
        <is>
          <t>Aishwarya Chaulkar</t>
        </is>
      </c>
      <c r="B79" s="12" t="inlineStr">
        <is>
          <t>Digitizing</t>
        </is>
      </c>
      <c r="C79" s="42" t="inlineStr">
        <is>
          <t>A3</t>
        </is>
      </c>
      <c r="D79" s="42" t="n">
        <v>2.53</v>
      </c>
      <c r="E79" s="12" t="inlineStr">
        <is>
          <t>Senior Digitization Associate</t>
        </is>
      </c>
      <c r="F79" s="83" t="inlineStr">
        <is>
          <t>Confirm the reporting line</t>
        </is>
      </c>
    </row>
    <row r="80" ht="28" customHeight="1">
      <c r="A80" s="10" t="inlineStr">
        <is>
          <t>Mounika Kattula</t>
        </is>
      </c>
      <c r="B80" s="12" t="inlineStr">
        <is>
          <t>Marketing</t>
        </is>
      </c>
      <c r="C80" s="42" t="inlineStr">
        <is>
          <t>A3</t>
        </is>
      </c>
      <c r="D80" s="42" t="n">
        <v>2.96</v>
      </c>
      <c r="E80" s="12" t="inlineStr">
        <is>
          <t>Senior Marketing Operations Associate</t>
        </is>
      </c>
      <c r="F80" s="83" t="inlineStr">
        <is>
          <t>Confirm the reporting line</t>
        </is>
      </c>
    </row>
    <row r="81" ht="15" customHeight="1">
      <c r="A81" s="10" t="inlineStr">
        <is>
          <t>Vinod Katekar</t>
        </is>
      </c>
      <c r="B81" s="12" t="inlineStr">
        <is>
          <t>Quality Assurance</t>
        </is>
      </c>
      <c r="C81" s="42" t="inlineStr">
        <is>
          <t>B2</t>
        </is>
      </c>
      <c r="D81" s="42" t="n">
        <v>4.84</v>
      </c>
      <c r="E81" s="12" t="inlineStr">
        <is>
          <t>QA Manager</t>
        </is>
      </c>
      <c r="F81" s="83" t="inlineStr">
        <is>
          <t>Confirm the reporting line</t>
        </is>
      </c>
    </row>
    <row r="82" ht="15" customHeight="1">
      <c r="A82" s="10" t="inlineStr">
        <is>
          <t>Pooja Gawas</t>
        </is>
      </c>
      <c r="B82" s="12" t="inlineStr">
        <is>
          <t>Quality Assurance</t>
        </is>
      </c>
      <c r="C82" s="42" t="inlineStr">
        <is>
          <t>A3</t>
        </is>
      </c>
      <c r="D82" s="42" t="n">
        <v>2.78</v>
      </c>
      <c r="E82" s="12" t="inlineStr">
        <is>
          <t>Senior QA Engineer</t>
        </is>
      </c>
      <c r="F82" s="83" t="inlineStr">
        <is>
          <t>Confirm the reporting line</t>
        </is>
      </c>
    </row>
    <row r="83" ht="15" customHeight="1">
      <c r="A83" s="10" t="inlineStr">
        <is>
          <t>Vishal Panchal</t>
        </is>
      </c>
      <c r="B83" s="12" t="inlineStr">
        <is>
          <t>Quality Assurance</t>
        </is>
      </c>
      <c r="C83" s="42" t="inlineStr">
        <is>
          <t>A3</t>
        </is>
      </c>
      <c r="D83" s="42" t="n">
        <v>2.9</v>
      </c>
      <c r="E83" s="12" t="inlineStr">
        <is>
          <t>Senior QA Engineer</t>
        </is>
      </c>
      <c r="F83" s="83" t="inlineStr">
        <is>
          <t>Confirm the reporting line</t>
        </is>
      </c>
    </row>
    <row r="84" ht="28" customHeight="1">
      <c r="A84" s="10" t="inlineStr">
        <is>
          <t>K Ashok Kumar</t>
        </is>
      </c>
      <c r="B84" s="12" t="inlineStr">
        <is>
          <t>Services</t>
        </is>
      </c>
      <c r="C84" s="42" t="inlineStr">
        <is>
          <t>C1</t>
        </is>
      </c>
      <c r="D84" s="42" t="n">
        <v>6.81</v>
      </c>
      <c r="E84" s="12" t="inlineStr">
        <is>
          <t>Associate Head – Assisted Services</t>
        </is>
      </c>
      <c r="F84" s="83" t="inlineStr">
        <is>
          <t>Confirm the reporting line</t>
        </is>
      </c>
    </row>
    <row r="85" ht="28" customHeight="1">
      <c r="A85" s="10" t="inlineStr">
        <is>
          <t>Mayur Zope</t>
        </is>
      </c>
      <c r="B85" s="12" t="inlineStr">
        <is>
          <t>Services</t>
        </is>
      </c>
      <c r="C85" s="42" t="inlineStr">
        <is>
          <t>B2</t>
        </is>
      </c>
      <c r="D85" s="42" t="n">
        <v>5.28</v>
      </c>
      <c r="E85" s="12" t="inlineStr">
        <is>
          <t>Senior Manager – Assisted Services</t>
        </is>
      </c>
      <c r="F85" s="83" t="inlineStr">
        <is>
          <t>Confirm the reporting line</t>
        </is>
      </c>
    </row>
    <row r="86" ht="15" customHeight="1">
      <c r="A86" s="10" t="inlineStr">
        <is>
          <t>Lalita Waghmare</t>
        </is>
      </c>
      <c r="B86" s="12" t="inlineStr">
        <is>
          <t>Services</t>
        </is>
      </c>
      <c r="C86" s="42" t="inlineStr">
        <is>
          <t>B1</t>
        </is>
      </c>
      <c r="D86" s="42" t="n">
        <v>3.61</v>
      </c>
      <c r="E86" s="12" t="inlineStr">
        <is>
          <t>Team Lead – Assisted Services</t>
        </is>
      </c>
      <c r="F86" s="83" t="inlineStr">
        <is>
          <t>Confirm the reporting line</t>
        </is>
      </c>
    </row>
    <row r="87" ht="15" customHeight="1">
      <c r="A87" s="10" t="inlineStr">
        <is>
          <t>Amruta Mirashi</t>
        </is>
      </c>
      <c r="B87" s="12" t="inlineStr">
        <is>
          <t>Services</t>
        </is>
      </c>
      <c r="C87" s="42" t="inlineStr">
        <is>
          <t>B1</t>
        </is>
      </c>
      <c r="D87" s="42" t="n">
        <v>3.58</v>
      </c>
      <c r="E87" s="12" t="inlineStr">
        <is>
          <t>XBRL Specialist</t>
        </is>
      </c>
      <c r="F87" s="83" t="inlineStr">
        <is>
          <t>Confirm the reporting line</t>
        </is>
      </c>
    </row>
    <row r="88" ht="15" customHeight="1">
      <c r="A88" s="10" t="inlineStr">
        <is>
          <t>Manish Lipcha</t>
        </is>
      </c>
      <c r="B88" s="12" t="inlineStr">
        <is>
          <t>Services</t>
        </is>
      </c>
      <c r="C88" s="42" t="inlineStr">
        <is>
          <t>B1</t>
        </is>
      </c>
      <c r="D88" s="42" t="n">
        <v>3.65</v>
      </c>
      <c r="E88" s="12" t="inlineStr">
        <is>
          <t>XBRL Specialist</t>
        </is>
      </c>
      <c r="F88" s="83" t="inlineStr">
        <is>
          <t>Confirm the reporting line</t>
        </is>
      </c>
    </row>
    <row r="89" ht="15" customHeight="1">
      <c r="A89" s="10" t="inlineStr">
        <is>
          <t>Monica Patel</t>
        </is>
      </c>
      <c r="B89" s="12" t="inlineStr">
        <is>
          <t>Services</t>
        </is>
      </c>
      <c r="C89" s="42" t="inlineStr">
        <is>
          <t>A3</t>
        </is>
      </c>
      <c r="D89" s="42" t="n">
        <v>3.28</v>
      </c>
      <c r="E89" s="12" t="inlineStr">
        <is>
          <t>Senior Financial Analyst</t>
        </is>
      </c>
      <c r="F89" s="83" t="inlineStr">
        <is>
          <t>Confirm the reporting line</t>
        </is>
      </c>
    </row>
    <row r="90" ht="15" customHeight="1">
      <c r="A90" s="10" t="inlineStr">
        <is>
          <t>Rupesh Gaikwad</t>
        </is>
      </c>
      <c r="B90" s="12" t="inlineStr">
        <is>
          <t>Services</t>
        </is>
      </c>
      <c r="C90" s="42" t="inlineStr">
        <is>
          <t>B1</t>
        </is>
      </c>
      <c r="D90" s="42" t="n">
        <v>3.73</v>
      </c>
      <c r="E90" s="12" t="inlineStr">
        <is>
          <t>Service Delivery Specialist</t>
        </is>
      </c>
      <c r="F90" s="83" t="inlineStr">
        <is>
          <t>Confirm the reporting line</t>
        </is>
      </c>
    </row>
    <row r="91" ht="15" customHeight="1">
      <c r="A91" s="10" t="inlineStr">
        <is>
          <t>Sagar Barbade</t>
        </is>
      </c>
      <c r="B91" s="12" t="inlineStr">
        <is>
          <t>Services</t>
        </is>
      </c>
      <c r="C91" s="42" t="inlineStr">
        <is>
          <t>A3</t>
        </is>
      </c>
      <c r="D91" s="42" t="n">
        <v>3.41</v>
      </c>
      <c r="E91" s="12" t="inlineStr">
        <is>
          <t>XBRL Specialist</t>
        </is>
      </c>
      <c r="F91" s="83" t="inlineStr">
        <is>
          <t>Confirm the reporting line</t>
        </is>
      </c>
    </row>
    <row r="92" ht="15" customHeight="1">
      <c r="A92" s="10" t="inlineStr">
        <is>
          <t>Vikram Bangera</t>
        </is>
      </c>
      <c r="B92" s="12" t="inlineStr">
        <is>
          <t>Services</t>
        </is>
      </c>
      <c r="C92" s="42" t="inlineStr">
        <is>
          <t>A3</t>
        </is>
      </c>
      <c r="D92" s="42" t="n">
        <v>3.48</v>
      </c>
      <c r="E92" s="12" t="inlineStr">
        <is>
          <t>Senior Financial Analyst</t>
        </is>
      </c>
      <c r="F92" s="83" t="inlineStr">
        <is>
          <t>Confirm the reporting line</t>
        </is>
      </c>
    </row>
    <row r="93" ht="15" customHeight="1">
      <c r="A93" s="10" t="inlineStr">
        <is>
          <t>Vivek Patil</t>
        </is>
      </c>
      <c r="B93" s="12" t="inlineStr">
        <is>
          <t>Services</t>
        </is>
      </c>
      <c r="C93" s="42" t="inlineStr">
        <is>
          <t>B1</t>
        </is>
      </c>
      <c r="D93" s="42" t="n">
        <v>3.78</v>
      </c>
      <c r="E93" s="12" t="inlineStr">
        <is>
          <t>XBRL Specialist</t>
        </is>
      </c>
      <c r="F93" s="83" t="inlineStr">
        <is>
          <t>Confirm the reporting line</t>
        </is>
      </c>
    </row>
    <row r="94" ht="15" customHeight="1">
      <c r="A94" s="10" t="inlineStr">
        <is>
          <t>Abhijit Bhagwan Patil</t>
        </is>
      </c>
      <c r="B94" s="12" t="inlineStr">
        <is>
          <t>Services</t>
        </is>
      </c>
      <c r="C94" s="42" t="inlineStr">
        <is>
          <t>A3</t>
        </is>
      </c>
      <c r="D94" s="42" t="n">
        <v>2.66</v>
      </c>
      <c r="E94" s="12" t="inlineStr">
        <is>
          <t>Senior Financial Analyst</t>
        </is>
      </c>
      <c r="F94" s="83" t="inlineStr">
        <is>
          <t>Confirm the reporting line</t>
        </is>
      </c>
    </row>
    <row r="95" ht="15" customHeight="1">
      <c r="A95" s="10" t="inlineStr">
        <is>
          <t>Namrata Juvekar</t>
        </is>
      </c>
      <c r="B95" s="12" t="inlineStr">
        <is>
          <t>Services</t>
        </is>
      </c>
      <c r="C95" s="42" t="inlineStr">
        <is>
          <t>A3</t>
        </is>
      </c>
      <c r="D95" s="42" t="n">
        <v>2.61</v>
      </c>
      <c r="E95" s="12" t="inlineStr">
        <is>
          <t>Senior Financial Analyst</t>
        </is>
      </c>
      <c r="F95" s="83" t="inlineStr">
        <is>
          <t>Confirm the reporting line</t>
        </is>
      </c>
    </row>
    <row r="96" ht="15" customHeight="1">
      <c r="A96" s="10" t="inlineStr">
        <is>
          <t>Nelson Paul Koonan</t>
        </is>
      </c>
      <c r="B96" s="12" t="inlineStr">
        <is>
          <t>Support</t>
        </is>
      </c>
      <c r="C96" s="42" t="inlineStr">
        <is>
          <t>A3</t>
        </is>
      </c>
      <c r="D96" s="42" t="n">
        <v>2.99</v>
      </c>
      <c r="E96" s="12" t="inlineStr">
        <is>
          <t>Senior Support Executive</t>
        </is>
      </c>
      <c r="F96" s="83" t="inlineStr">
        <is>
          <t>Confirm the reporting line</t>
        </is>
      </c>
    </row>
    <row r="97" ht="15" customHeight="1">
      <c r="A97" s="10" t="inlineStr">
        <is>
          <t>Kiran Pawar</t>
        </is>
      </c>
      <c r="B97" s="12" t="inlineStr">
        <is>
          <t>Support</t>
        </is>
      </c>
      <c r="C97" s="42" t="inlineStr">
        <is>
          <t>A3</t>
        </is>
      </c>
      <c r="D97" s="42" t="n">
        <v>3.04</v>
      </c>
      <c r="E97" s="12" t="inlineStr">
        <is>
          <t>Senior Support Executive</t>
        </is>
      </c>
      <c r="F97" s="83" t="inlineStr">
        <is>
          <t>Confirm the reporting line</t>
        </is>
      </c>
    </row>
    <row r="98" ht="15" customHeight="1">
      <c r="A98" s="10" t="inlineStr">
        <is>
          <t>Huzefa Petit</t>
        </is>
      </c>
      <c r="B98" s="12" t="inlineStr">
        <is>
          <t>Technology</t>
        </is>
      </c>
      <c r="C98" s="42" t="inlineStr">
        <is>
          <t>B1</t>
        </is>
      </c>
      <c r="D98" s="42" t="n">
        <v>4.03</v>
      </c>
      <c r="E98" s="12" t="inlineStr">
        <is>
          <t>Technical Specialist</t>
        </is>
      </c>
      <c r="F98" s="83" t="inlineStr">
        <is>
          <t>Confirm the reporting line</t>
        </is>
      </c>
    </row>
    <row r="99" ht="28" customHeight="1">
      <c r="A99" s="10" t="inlineStr">
        <is>
          <t>Prasad Shirke</t>
        </is>
      </c>
      <c r="B99" s="12" t="inlineStr">
        <is>
          <t>Technology</t>
        </is>
      </c>
      <c r="C99" s="42" t="inlineStr">
        <is>
          <t>B2</t>
        </is>
      </c>
      <c r="D99" s="42" t="n">
        <v>4.51</v>
      </c>
      <c r="E99" s="12" t="inlineStr">
        <is>
          <t>Senior Business Analysis Specialist – POD Lead</t>
        </is>
      </c>
      <c r="F99" s="83" t="inlineStr">
        <is>
          <t>Confirm the reporting line</t>
        </is>
      </c>
    </row>
    <row r="100" ht="28" customHeight="1">
      <c r="A100" s="10" t="inlineStr">
        <is>
          <t>Siddhesh Kadam</t>
        </is>
      </c>
      <c r="B100" s="12" t="inlineStr">
        <is>
          <t>Technology</t>
        </is>
      </c>
      <c r="C100" s="42" t="inlineStr">
        <is>
          <t>B2</t>
        </is>
      </c>
      <c r="D100" s="42" t="n">
        <v>4.76</v>
      </c>
      <c r="E100" s="12" t="inlineStr">
        <is>
          <t>Senior Technical Specialist – POD Lead</t>
        </is>
      </c>
      <c r="F100" s="83" t="inlineStr">
        <is>
          <t>Confirm the reporting line</t>
        </is>
      </c>
    </row>
    <row r="101" ht="15" customHeight="1">
      <c r="A101" s="10" t="inlineStr">
        <is>
          <t>Aaron Michael</t>
        </is>
      </c>
      <c r="B101" s="12" t="inlineStr">
        <is>
          <t>Technology</t>
        </is>
      </c>
      <c r="C101" s="42" t="inlineStr">
        <is>
          <t>B2</t>
        </is>
      </c>
      <c r="D101" s="42" t="n">
        <v>5.06</v>
      </c>
      <c r="E101" s="12" t="inlineStr">
        <is>
          <t>Project Manager</t>
        </is>
      </c>
      <c r="F101" s="83" t="inlineStr">
        <is>
          <t>Confirm the reporting line</t>
        </is>
      </c>
    </row>
    <row r="102" ht="15" customHeight="1">
      <c r="A102" s="10" t="inlineStr">
        <is>
          <t>Alpesh Chaudhari</t>
        </is>
      </c>
      <c r="B102" s="12" t="inlineStr">
        <is>
          <t>Technology</t>
        </is>
      </c>
      <c r="C102" s="42" t="inlineStr">
        <is>
          <t>A3</t>
        </is>
      </c>
      <c r="D102" s="42" t="n">
        <v>3.15</v>
      </c>
      <c r="E102" s="12" t="inlineStr">
        <is>
          <t>Senior Software Engineer</t>
        </is>
      </c>
      <c r="F102" s="83" t="inlineStr">
        <is>
          <t>Confirm the reporting line</t>
        </is>
      </c>
    </row>
    <row r="103" ht="28" customHeight="1">
      <c r="A103" s="10" t="inlineStr">
        <is>
          <t>Hetal Chauhan</t>
        </is>
      </c>
      <c r="B103" s="12" t="inlineStr">
        <is>
          <t>Technology</t>
        </is>
      </c>
      <c r="C103" s="42" t="inlineStr">
        <is>
          <t>B1</t>
        </is>
      </c>
      <c r="D103" s="42" t="n">
        <v>3.46</v>
      </c>
      <c r="E103" s="12" t="inlineStr">
        <is>
          <t>Technical Specialist – POD Lead</t>
        </is>
      </c>
      <c r="F103" s="83" t="inlineStr">
        <is>
          <t>Confirm the reporting line</t>
        </is>
      </c>
    </row>
    <row r="104" ht="15" customHeight="1">
      <c r="A104" s="10" t="inlineStr">
        <is>
          <t>Prachi Digambar Raut</t>
        </is>
      </c>
      <c r="B104" s="12" t="inlineStr">
        <is>
          <t>Technology</t>
        </is>
      </c>
      <c r="C104" s="42" t="inlineStr">
        <is>
          <t>A3</t>
        </is>
      </c>
      <c r="D104" s="42" t="n">
        <v>2.41</v>
      </c>
      <c r="E104" s="12" t="inlineStr">
        <is>
          <t>Senior Software Engineer</t>
        </is>
      </c>
      <c r="F104" s="83" t="inlineStr">
        <is>
          <t>Confirm the reporting line</t>
        </is>
      </c>
    </row>
    <row r="105" ht="28" customHeight="1">
      <c r="A105" s="10" t="inlineStr">
        <is>
          <t>Parth Jitendrabhai Parmar</t>
        </is>
      </c>
      <c r="B105" s="12" t="inlineStr">
        <is>
          <t>Technology</t>
        </is>
      </c>
      <c r="C105" s="42" t="inlineStr">
        <is>
          <t>A3</t>
        </is>
      </c>
      <c r="D105" s="42" t="n">
        <v>2.78</v>
      </c>
      <c r="E105" s="12" t="inlineStr">
        <is>
          <t>Senior Software Engineer</t>
        </is>
      </c>
      <c r="F105" s="83" t="inlineStr">
        <is>
          <t>Confirm the reporting line</t>
        </is>
      </c>
    </row>
    <row r="106" ht="15" customHeight="1">
      <c r="A106" s="10" t="inlineStr">
        <is>
          <t>Raj Chauhan</t>
        </is>
      </c>
      <c r="B106" s="12" t="inlineStr">
        <is>
          <t>Technology</t>
        </is>
      </c>
      <c r="C106" s="42" t="inlineStr">
        <is>
          <t>A3</t>
        </is>
      </c>
      <c r="D106" s="42" t="n">
        <v>2.83</v>
      </c>
      <c r="E106" s="12" t="inlineStr">
        <is>
          <t>Senior Software Engineer</t>
        </is>
      </c>
      <c r="F106" s="83" t="inlineStr">
        <is>
          <t>Confirm the reporting line</t>
        </is>
      </c>
    </row>
    <row r="107" ht="15" customHeight="1">
      <c r="A107" s="10" t="inlineStr">
        <is>
          <t>Bikram Prasad</t>
        </is>
      </c>
      <c r="B107" s="12" t="inlineStr">
        <is>
          <t>Technology</t>
        </is>
      </c>
      <c r="C107" s="42" t="inlineStr">
        <is>
          <t>A3</t>
        </is>
      </c>
      <c r="D107" s="42" t="n">
        <v>2.65</v>
      </c>
      <c r="E107" s="12" t="inlineStr">
        <is>
          <t>Senior Software Engineer</t>
        </is>
      </c>
      <c r="F107" s="83" t="inlineStr">
        <is>
          <t>Confirm the reporting line</t>
        </is>
      </c>
    </row>
    <row r="108" ht="15" customHeight="1">
      <c r="A108" s="10" t="inlineStr">
        <is>
          <t>Jayshiv Patel</t>
        </is>
      </c>
      <c r="B108" s="12" t="inlineStr">
        <is>
          <t>Technology</t>
        </is>
      </c>
      <c r="C108" s="42" t="inlineStr">
        <is>
          <t>A3</t>
        </is>
      </c>
      <c r="D108" s="42" t="n">
        <v>2.7</v>
      </c>
      <c r="E108" s="12" t="inlineStr">
        <is>
          <t>Senior Software Engineer</t>
        </is>
      </c>
      <c r="F108" s="83" t="inlineStr">
        <is>
          <t>Confirm the reporting line</t>
        </is>
      </c>
    </row>
    <row r="109" ht="15" customHeight="1">
      <c r="A109" s="10" t="inlineStr">
        <is>
          <t>Kunal Jadhav</t>
        </is>
      </c>
      <c r="B109" s="12" t="inlineStr">
        <is>
          <t>Technology</t>
        </is>
      </c>
      <c r="C109" s="42" t="inlineStr">
        <is>
          <t>A3</t>
        </is>
      </c>
      <c r="D109" s="42" t="n">
        <v>2.63</v>
      </c>
      <c r="E109" s="12" t="inlineStr">
        <is>
          <t>Senior Software Engineer</t>
        </is>
      </c>
      <c r="F109" s="83" t="inlineStr">
        <is>
          <t>Confirm the reporting line</t>
        </is>
      </c>
    </row>
    <row r="110" ht="15" customHeight="1">
      <c r="A110" s="10" t="inlineStr">
        <is>
          <t>Mandar Ukrulkar</t>
        </is>
      </c>
      <c r="B110" s="12" t="inlineStr">
        <is>
          <t>Technology</t>
        </is>
      </c>
      <c r="C110" s="42" t="inlineStr">
        <is>
          <t>A3</t>
        </is>
      </c>
      <c r="D110" s="42" t="n">
        <v>2.25</v>
      </c>
      <c r="E110" s="12" t="inlineStr">
        <is>
          <t>Senior AI/ML Engineer</t>
        </is>
      </c>
      <c r="F110" s="83" t="inlineStr">
        <is>
          <t>Confirm the reporting line</t>
        </is>
      </c>
    </row>
    <row r="111" ht="15" customHeight="1">
      <c r="A111" s="10" t="inlineStr">
        <is>
          <t>Pritesh Wani</t>
        </is>
      </c>
      <c r="B111" s="12" t="inlineStr">
        <is>
          <t>Technology</t>
        </is>
      </c>
      <c r="C111" s="42" t="inlineStr">
        <is>
          <t>A3</t>
        </is>
      </c>
      <c r="D111" s="42" t="n">
        <v>2.78</v>
      </c>
      <c r="E111" s="12" t="inlineStr">
        <is>
          <t>Senior Software Engineer</t>
        </is>
      </c>
      <c r="F111" s="83" t="inlineStr">
        <is>
          <t>Confirm the reporting line</t>
        </is>
      </c>
    </row>
    <row r="112" ht="15" customHeight="1"/>
    <row r="113" ht="20" customHeight="1">
      <c r="A113" s="6" t="inlineStr">
        <is>
          <t>B · Employee — 5</t>
        </is>
      </c>
    </row>
    <row r="114" ht="15" customHeight="1">
      <c r="A114" s="8" t="inlineStr">
        <is>
          <t>Person</t>
        </is>
      </c>
      <c r="B114" s="8" t="inlineStr">
        <is>
          <t>Department</t>
        </is>
      </c>
      <c r="C114" s="8" t="inlineStr">
        <is>
          <t>Level</t>
        </is>
      </c>
      <c r="D114" s="8" t="inlineStr">
        <is>
          <t>Score</t>
        </is>
      </c>
      <c r="E114" s="8" t="inlineStr">
        <is>
          <t>Designation</t>
        </is>
      </c>
      <c r="F114" s="8" t="inlineStr">
        <is>
          <t>Input needed</t>
        </is>
      </c>
    </row>
    <row r="115" ht="28" customHeight="1">
      <c r="A115" s="10" t="inlineStr">
        <is>
          <t>Anuradha RK</t>
        </is>
      </c>
      <c r="B115" s="12" t="inlineStr">
        <is>
          <t>CARBON Business Head</t>
        </is>
      </c>
      <c r="C115" s="42" t="inlineStr">
        <is>
          <t>D2</t>
        </is>
      </c>
      <c r="D115" s="42" t="n">
        <v>9.029999999999999</v>
      </c>
      <c r="E115" s="12" t="inlineStr">
        <is>
          <t>Business Head</t>
        </is>
      </c>
      <c r="F115" s="83" t="inlineStr">
        <is>
          <t>Survey response or KRAs describing the work · nothing on file</t>
        </is>
      </c>
    </row>
    <row r="116" ht="15" customHeight="1">
      <c r="A116" s="10" t="inlineStr">
        <is>
          <t>Dixit Jasani</t>
        </is>
      </c>
      <c r="B116" s="12" t="inlineStr">
        <is>
          <t>CRO - Carbon</t>
        </is>
      </c>
      <c r="C116" s="42" t="inlineStr">
        <is>
          <t>E1</t>
        </is>
      </c>
      <c r="D116" s="42" t="n">
        <v>11.05</v>
      </c>
      <c r="E116" s="12" t="inlineStr">
        <is>
          <t>Chief Revenue Officer</t>
        </is>
      </c>
      <c r="F116" s="83" t="inlineStr">
        <is>
          <t>Survey response or KRAs describing the work · nothing on file</t>
        </is>
      </c>
    </row>
    <row r="117" ht="28" customHeight="1">
      <c r="A117" s="10" t="inlineStr">
        <is>
          <t>Suman Adhikary</t>
        </is>
      </c>
      <c r="B117" s="12" t="inlineStr">
        <is>
          <t>Customer Experience</t>
        </is>
      </c>
      <c r="C117" s="42" t="inlineStr">
        <is>
          <t>D1</t>
        </is>
      </c>
      <c r="D117" s="42" t="n">
        <v>10.1</v>
      </c>
      <c r="E117" s="12" t="inlineStr">
        <is>
          <t>Senior Vice President – Customer Experience</t>
        </is>
      </c>
      <c r="F117" s="83" t="inlineStr">
        <is>
          <t>Survey response or KRAs describing the work · nothing on file</t>
        </is>
      </c>
    </row>
    <row r="118" ht="15" customHeight="1">
      <c r="A118" s="10" t="inlineStr">
        <is>
          <t>Sreyash Duragkar</t>
        </is>
      </c>
      <c r="B118" s="12" t="inlineStr">
        <is>
          <t>Sales</t>
        </is>
      </c>
      <c r="C118" s="42" t="inlineStr">
        <is>
          <t>C1</t>
        </is>
      </c>
      <c r="D118" s="42" t="n">
        <v>8.720000000000001</v>
      </c>
      <c r="E118" s="12" t="inlineStr">
        <is>
          <t>Principal – Enterprise Sales</t>
        </is>
      </c>
      <c r="F118" s="83" t="inlineStr">
        <is>
          <t>Survey response or KRAs describing the work · nothing on file</t>
        </is>
      </c>
    </row>
    <row r="119" ht="15" customHeight="1">
      <c r="A119" s="10" t="inlineStr">
        <is>
          <t>Ashish Singhvi</t>
        </is>
      </c>
      <c r="B119" s="12" t="inlineStr">
        <is>
          <t>Technology</t>
        </is>
      </c>
      <c r="C119" s="42" t="inlineStr">
        <is>
          <t>C2</t>
        </is>
      </c>
      <c r="D119" s="42" t="n">
        <v>8.07</v>
      </c>
      <c r="E119" s="12" t="inlineStr">
        <is>
          <t>Head – Product Engineering</t>
        </is>
      </c>
      <c r="F119" s="83" t="inlineStr">
        <is>
          <t>Survey response or KRAs describing the work · nothing on file</t>
        </is>
      </c>
    </row>
    <row r="120" ht="15" customHeight="1"/>
    <row r="121" ht="20" customHeight="1">
      <c r="A121" s="6" t="inlineStr">
        <is>
          <t>B · Business head — 5</t>
        </is>
      </c>
    </row>
    <row r="122" ht="15" customHeight="1">
      <c r="A122" s="8" t="inlineStr">
        <is>
          <t>Person</t>
        </is>
      </c>
      <c r="B122" s="8" t="inlineStr">
        <is>
          <t>Department</t>
        </is>
      </c>
      <c r="C122" s="8" t="inlineStr">
        <is>
          <t>Level</t>
        </is>
      </c>
      <c r="D122" s="8" t="inlineStr">
        <is>
          <t>Score</t>
        </is>
      </c>
      <c r="E122" s="8" t="inlineStr">
        <is>
          <t>Designation</t>
        </is>
      </c>
      <c r="F122" s="8" t="inlineStr">
        <is>
          <t>Input needed</t>
        </is>
      </c>
    </row>
    <row r="123" ht="28" customHeight="1">
      <c r="A123" s="10" t="inlineStr">
        <is>
          <t>Anuradha RK</t>
        </is>
      </c>
      <c r="B123" s="12" t="inlineStr">
        <is>
          <t>CARBON Business Head</t>
        </is>
      </c>
      <c r="C123" s="42" t="inlineStr">
        <is>
          <t>D2</t>
        </is>
      </c>
      <c r="D123" s="42" t="n">
        <v>9.029999999999999</v>
      </c>
      <c r="E123" s="12" t="inlineStr">
        <is>
          <t>Business Head</t>
        </is>
      </c>
      <c r="F123" s="83" t="inlineStr">
        <is>
          <t>Resolve conflicting role records</t>
        </is>
      </c>
    </row>
    <row r="124" ht="15" customHeight="1">
      <c r="A124" s="10" t="inlineStr">
        <is>
          <t>Dixit Jasani</t>
        </is>
      </c>
      <c r="B124" s="12" t="inlineStr">
        <is>
          <t>CRO - Carbon</t>
        </is>
      </c>
      <c r="C124" s="42" t="inlineStr">
        <is>
          <t>E1</t>
        </is>
      </c>
      <c r="D124" s="42" t="n">
        <v>11.05</v>
      </c>
      <c r="E124" s="12" t="inlineStr">
        <is>
          <t>Chief Revenue Officer</t>
        </is>
      </c>
      <c r="F124" s="83" t="inlineStr">
        <is>
          <t>Resolve conflicting role records</t>
        </is>
      </c>
    </row>
    <row r="125" ht="28" customHeight="1">
      <c r="A125" s="10" t="inlineStr">
        <is>
          <t>Suman Adhikary</t>
        </is>
      </c>
      <c r="B125" s="12" t="inlineStr">
        <is>
          <t>Customer Experience</t>
        </is>
      </c>
      <c r="C125" s="42" t="inlineStr">
        <is>
          <t>D1</t>
        </is>
      </c>
      <c r="D125" s="42" t="n">
        <v>10.1</v>
      </c>
      <c r="E125" s="12" t="inlineStr">
        <is>
          <t>Senior Vice President – Customer Experience</t>
        </is>
      </c>
      <c r="F125" s="83" t="inlineStr">
        <is>
          <t>Resolve conflicting role records</t>
        </is>
      </c>
    </row>
    <row r="126" ht="15" customHeight="1">
      <c r="A126" s="10" t="inlineStr">
        <is>
          <t>Sreyash Duragkar</t>
        </is>
      </c>
      <c r="B126" s="12" t="inlineStr">
        <is>
          <t>Sales</t>
        </is>
      </c>
      <c r="C126" s="42" t="inlineStr">
        <is>
          <t>C1</t>
        </is>
      </c>
      <c r="D126" s="42" t="n">
        <v>8.720000000000001</v>
      </c>
      <c r="E126" s="12" t="inlineStr">
        <is>
          <t>Principal – Enterprise Sales</t>
        </is>
      </c>
      <c r="F126" s="83" t="inlineStr">
        <is>
          <t>Confirm structure behind the senior title · org chart</t>
        </is>
      </c>
    </row>
    <row r="127" ht="28" customHeight="1">
      <c r="A127" s="10" t="inlineStr">
        <is>
          <t>Anushree Aparajit</t>
        </is>
      </c>
      <c r="B127" s="12" t="inlineStr">
        <is>
          <t>Support</t>
        </is>
      </c>
      <c r="C127" s="42" t="inlineStr">
        <is>
          <t>C1</t>
        </is>
      </c>
      <c r="D127" s="42" t="n">
        <v>7.61</v>
      </c>
      <c r="E127" s="12" t="inlineStr">
        <is>
          <t>Associate Head – Customer Success</t>
        </is>
      </c>
      <c r="F127" s="83" t="inlineStr">
        <is>
          <t>Confirm structure behind the senior title · org chart</t>
        </is>
      </c>
    </row>
    <row r="128" ht="15" customHeight="1"/>
    <row r="129" ht="20" customHeight="1">
      <c r="A129" s="6" t="inlineStr">
        <is>
          <t>B · HR — 5</t>
        </is>
      </c>
    </row>
    <row r="130" ht="15" customHeight="1">
      <c r="A130" s="8" t="inlineStr">
        <is>
          <t>Person</t>
        </is>
      </c>
      <c r="B130" s="8" t="inlineStr">
        <is>
          <t>Department</t>
        </is>
      </c>
      <c r="C130" s="8" t="inlineStr">
        <is>
          <t>Level</t>
        </is>
      </c>
      <c r="D130" s="8" t="inlineStr">
        <is>
          <t>Score</t>
        </is>
      </c>
      <c r="E130" s="8" t="inlineStr">
        <is>
          <t>Designation</t>
        </is>
      </c>
      <c r="F130" s="8" t="inlineStr">
        <is>
          <t>Input needed</t>
        </is>
      </c>
    </row>
    <row r="131" ht="15" customHeight="1">
      <c r="A131" s="10" t="inlineStr">
        <is>
          <t>Vanita Gaikwad</t>
        </is>
      </c>
      <c r="B131" s="12" t="inlineStr">
        <is>
          <t>Digitizing</t>
        </is>
      </c>
      <c r="C131" s="42" t="inlineStr">
        <is>
          <t>A3</t>
        </is>
      </c>
      <c r="D131" s="42" t="n">
        <v>2.33</v>
      </c>
      <c r="E131" s="12" t="inlineStr">
        <is>
          <t>Senior Digitization Associate</t>
        </is>
      </c>
      <c r="F131" s="83" t="inlineStr">
        <is>
          <t>Correct the experience record</t>
        </is>
      </c>
    </row>
    <row r="132" ht="15" customHeight="1">
      <c r="A132" s="10" t="inlineStr">
        <is>
          <t>Sreyash Duragkar</t>
        </is>
      </c>
      <c r="B132" s="12" t="inlineStr">
        <is>
          <t>Sales</t>
        </is>
      </c>
      <c r="C132" s="42" t="inlineStr">
        <is>
          <t>C1</t>
        </is>
      </c>
      <c r="D132" s="42" t="n">
        <v>8.720000000000001</v>
      </c>
      <c r="E132" s="12" t="inlineStr">
        <is>
          <t>Principal – Enterprise Sales</t>
        </is>
      </c>
      <c r="F132" s="83" t="inlineStr">
        <is>
          <t>Correct the experience record</t>
        </is>
      </c>
    </row>
    <row r="133" ht="15" customHeight="1">
      <c r="A133" s="10" t="inlineStr">
        <is>
          <t>Vishakha Vitmal</t>
        </is>
      </c>
      <c r="B133" s="12" t="inlineStr">
        <is>
          <t>Services</t>
        </is>
      </c>
      <c r="C133" s="42" t="inlineStr">
        <is>
          <t>A3</t>
        </is>
      </c>
      <c r="D133" s="42" t="n">
        <v>2.68</v>
      </c>
      <c r="E133" s="12" t="inlineStr">
        <is>
          <t>Senior Financial Analyst</t>
        </is>
      </c>
      <c r="F133" s="83" t="inlineStr">
        <is>
          <t>Correct the experience record</t>
        </is>
      </c>
    </row>
    <row r="134" ht="15" customHeight="1">
      <c r="A134" s="10" t="inlineStr">
        <is>
          <t>Yadavar Velumurgan S.</t>
        </is>
      </c>
      <c r="B134" s="12" t="inlineStr">
        <is>
          <t>Services</t>
        </is>
      </c>
      <c r="C134" s="42" t="inlineStr">
        <is>
          <t>A3</t>
        </is>
      </c>
      <c r="D134" s="42" t="n">
        <v>2.93</v>
      </c>
      <c r="E134" s="12" t="inlineStr">
        <is>
          <t>Senior QA Engineer</t>
        </is>
      </c>
      <c r="F134" s="83" t="inlineStr">
        <is>
          <t>Correct the experience record</t>
        </is>
      </c>
    </row>
    <row r="135" ht="28" customHeight="1">
      <c r="A135" s="10" t="inlineStr">
        <is>
          <t>Varun Bubna</t>
        </is>
      </c>
      <c r="B135" s="12" t="inlineStr">
        <is>
          <t>Support</t>
        </is>
      </c>
      <c r="C135" s="42" t="inlineStr">
        <is>
          <t>B2</t>
        </is>
      </c>
      <c r="D135" s="42" t="n">
        <v>4.5</v>
      </c>
      <c r="E135" s="12" t="inlineStr">
        <is>
          <t>Senior Customer Success Specialist</t>
        </is>
      </c>
      <c r="F135" s="83" t="inlineStr">
        <is>
          <t>Correct the experience record</t>
        </is>
      </c>
    </row>
    <row r="136" ht="15" customHeight="1"/>
    <row r="137" ht="15" customHeight="1">
      <c r="A137" s="41" t="inlineStr">
        <is>
          <t>C · HOW THE STRUCTURE CHANGED IN THIS BUSINESS</t>
        </is>
      </c>
    </row>
    <row r="138" ht="20" customHeight="1">
      <c r="A138" s="6" t="inlineStr">
        <is>
          <t>C. Job families — before → after</t>
        </is>
      </c>
    </row>
    <row r="139" ht="15" customHeight="1">
      <c r="A139" s="8" t="inlineStr">
        <is>
          <t>Job family · now</t>
        </is>
      </c>
      <c r="B139" s="8" t="inlineStr">
        <is>
          <t>People</t>
        </is>
      </c>
      <c r="C139" s="91" t="inlineStr"/>
      <c r="D139" s="91" t="inlineStr"/>
      <c r="E139" s="8" t="inlineStr">
        <is>
          <t>Status</t>
        </is>
      </c>
      <c r="F139" s="8" t="inlineStr">
        <is>
          <t>What happened</t>
        </is>
      </c>
    </row>
    <row r="140" ht="28" customHeight="1">
      <c r="A140" s="10" t="inlineStr">
        <is>
          <t>Consulting &amp; Professional Services</t>
        </is>
      </c>
      <c r="B140" s="42" t="n">
        <v>57</v>
      </c>
      <c r="C140" s="12" t="inlineStr"/>
      <c r="D140" s="12" t="inlineStr"/>
      <c r="E140" s="12" t="inlineStr">
        <is>
          <t>New</t>
        </is>
      </c>
      <c r="F140" s="12" t="inlineStr">
        <is>
          <t>Created from Professional Services ×57</t>
        </is>
      </c>
    </row>
    <row r="141" ht="28" customHeight="1">
      <c r="A141" s="10" t="inlineStr">
        <is>
          <t>Engineering &amp; Development</t>
        </is>
      </c>
      <c r="B141" s="42" t="n">
        <v>45</v>
      </c>
      <c r="C141" s="12" t="inlineStr"/>
      <c r="D141" s="12" t="inlineStr"/>
      <c r="E141" s="12" t="inlineStr">
        <is>
          <t>Regrouped</t>
        </is>
      </c>
      <c r="F141" s="12" t="inlineStr">
        <is>
          <t>Kept its name; joined from Product/Project · Employee Master ×2; Quality Assurance</t>
        </is>
      </c>
    </row>
    <row r="142" ht="28" customHeight="1">
      <c r="A142" s="10" t="inlineStr">
        <is>
          <t>Data Operations &amp; Digitization</t>
        </is>
      </c>
      <c r="B142" s="42" t="n">
        <v>23</v>
      </c>
      <c r="C142" s="12" t="inlineStr"/>
      <c r="D142" s="12" t="inlineStr"/>
      <c r="E142" s="12" t="inlineStr">
        <is>
          <t>New</t>
        </is>
      </c>
      <c r="F142" s="12" t="inlineStr">
        <is>
          <t>Created from Professional Services ×23</t>
        </is>
      </c>
    </row>
    <row r="143" ht="28" customHeight="1">
      <c r="A143" s="10" t="inlineStr">
        <is>
          <t>Customer Success &amp; Support</t>
        </is>
      </c>
      <c r="B143" s="42" t="n">
        <v>21</v>
      </c>
      <c r="C143" s="12" t="inlineStr"/>
      <c r="D143" s="12" t="inlineStr"/>
      <c r="E143" s="12" t="inlineStr">
        <is>
          <t>Regrouped</t>
        </is>
      </c>
      <c r="F143" s="12" t="inlineStr">
        <is>
          <t>Kept its name; joined from Consulting ×2; Professional Services; Client Engagement</t>
        </is>
      </c>
    </row>
    <row r="144" ht="28" customHeight="1">
      <c r="A144" s="10" t="inlineStr">
        <is>
          <t>Sales &amp; Business Development</t>
        </is>
      </c>
      <c r="B144" s="42" t="n">
        <v>21</v>
      </c>
      <c r="C144" s="12" t="inlineStr"/>
      <c r="D144" s="12" t="inlineStr"/>
      <c r="E144" s="12" t="inlineStr">
        <is>
          <t>Regrouped</t>
        </is>
      </c>
      <c r="F144" s="12" t="inlineStr">
        <is>
          <t>Kept its name; part moved to Data &amp; Analytics</t>
        </is>
      </c>
    </row>
    <row r="145" ht="28" customHeight="1">
      <c r="A145" s="10" t="inlineStr">
        <is>
          <t>Marketing &amp; Communications</t>
        </is>
      </c>
      <c r="B145" s="42" t="n">
        <v>14</v>
      </c>
      <c r="C145" s="12" t="inlineStr"/>
      <c r="D145" s="12" t="inlineStr"/>
      <c r="E145" s="12" t="inlineStr">
        <is>
          <t>Regrouped</t>
        </is>
      </c>
      <c r="F145" s="12" t="inlineStr">
        <is>
          <t>Kept its name; joined from Consulting; part moved to Design &amp; Creative ×2</t>
        </is>
      </c>
    </row>
    <row r="146" ht="28" customHeight="1">
      <c r="A146" s="10" t="inlineStr">
        <is>
          <t>Quality Assurance</t>
        </is>
      </c>
      <c r="B146" s="42" t="n">
        <v>10</v>
      </c>
      <c r="C146" s="12" t="inlineStr"/>
      <c r="D146" s="12" t="inlineStr"/>
      <c r="E146" s="12" t="inlineStr">
        <is>
          <t>Regrouped</t>
        </is>
      </c>
      <c r="F146" s="12" t="inlineStr">
        <is>
          <t>Kept its name; joined from Professional Services ×2; part moved to Engineering &amp; Development</t>
        </is>
      </c>
    </row>
    <row r="147" ht="28" customHeight="1">
      <c r="A147" s="10" t="inlineStr">
        <is>
          <t>Solution Consulting &amp; Implementation</t>
        </is>
      </c>
      <c r="B147" s="42" t="n">
        <v>7</v>
      </c>
      <c r="C147" s="12" t="inlineStr"/>
      <c r="D147" s="12" t="inlineStr"/>
      <c r="E147" s="12" t="inlineStr">
        <is>
          <t>New</t>
        </is>
      </c>
      <c r="F147" s="12" t="inlineStr">
        <is>
          <t>Created from Consulting ×6; Client Engagement · Employee Master</t>
        </is>
      </c>
    </row>
    <row r="148" ht="15" customHeight="1">
      <c r="A148" s="10" t="inlineStr">
        <is>
          <t>Product Management</t>
        </is>
      </c>
      <c r="B148" s="42" t="n">
        <v>5</v>
      </c>
      <c r="C148" s="12" t="inlineStr"/>
      <c r="D148" s="12" t="inlineStr"/>
      <c r="E148" s="12" t="inlineStr">
        <is>
          <t>New</t>
        </is>
      </c>
      <c r="F148" s="12" t="inlineStr">
        <is>
          <t>Created from Consulting ×5</t>
        </is>
      </c>
    </row>
    <row r="149" ht="15" customHeight="1">
      <c r="A149" s="10" t="inlineStr">
        <is>
          <t>Executive Leadership</t>
        </is>
      </c>
      <c r="B149" s="42" t="n">
        <v>3</v>
      </c>
      <c r="C149" s="12" t="inlineStr"/>
      <c r="D149" s="12" t="inlineStr"/>
      <c r="E149" s="12" t="inlineStr">
        <is>
          <t>As is</t>
        </is>
      </c>
      <c r="F149" s="12" t="inlineStr">
        <is>
          <t>Unchanged</t>
        </is>
      </c>
    </row>
    <row r="150" ht="15" customHeight="1">
      <c r="A150" s="10" t="inlineStr">
        <is>
          <t>Design &amp; Creative</t>
        </is>
      </c>
      <c r="B150" s="42" t="n">
        <v>3</v>
      </c>
      <c r="C150" s="12" t="inlineStr"/>
      <c r="D150" s="12" t="inlineStr"/>
      <c r="E150" s="12" t="inlineStr">
        <is>
          <t>New</t>
        </is>
      </c>
      <c r="F150" s="12" t="inlineStr">
        <is>
          <t>Created from Marketing &amp; Communications ×2; Product &amp; Design</t>
        </is>
      </c>
    </row>
    <row r="151" ht="15" customHeight="1">
      <c r="A151" s="10" t="inlineStr">
        <is>
          <t>Business Analysis</t>
        </is>
      </c>
      <c r="B151" s="42" t="n">
        <v>3</v>
      </c>
      <c r="C151" s="12" t="inlineStr"/>
      <c r="D151" s="12" t="inlineStr"/>
      <c r="E151" s="12" t="inlineStr">
        <is>
          <t>As is</t>
        </is>
      </c>
      <c r="F151" s="12" t="inlineStr">
        <is>
          <t>Unchanged</t>
        </is>
      </c>
    </row>
    <row r="152" ht="28" customHeight="1">
      <c r="A152" s="10" t="inlineStr">
        <is>
          <t>Project &amp; Program Management</t>
        </is>
      </c>
      <c r="B152" s="42" t="n">
        <v>2</v>
      </c>
      <c r="C152" s="12" t="inlineStr"/>
      <c r="D152" s="12" t="inlineStr"/>
      <c r="E152" s="12" t="inlineStr">
        <is>
          <t>New</t>
        </is>
      </c>
      <c r="F152" s="12" t="inlineStr">
        <is>
          <t>Created from Professional Services; Consulting</t>
        </is>
      </c>
    </row>
    <row r="153" ht="15" customHeight="1">
      <c r="A153" s="10" t="inlineStr">
        <is>
          <t>Data &amp; Analytics</t>
        </is>
      </c>
      <c r="B153" s="42" t="n">
        <v>1</v>
      </c>
      <c r="C153" s="12" t="inlineStr"/>
      <c r="D153" s="12" t="inlineStr"/>
      <c r="E153" s="12" t="inlineStr">
        <is>
          <t>New</t>
        </is>
      </c>
      <c r="F153" s="12" t="inlineStr">
        <is>
          <t>Created from Sales &amp; Business Development</t>
        </is>
      </c>
    </row>
    <row r="154" ht="15" customHeight="1"/>
    <row r="155" ht="28" customHeight="1">
      <c r="A155" s="40" t="inlineStr">
        <is>
          <r>
            <rPr>
              <rFont val="Calibri"/>
              <b val="1"/>
              <i val="1"/>
              <color rgb="00595959"/>
              <sz val="10"/>
            </rPr>
            <t>Status:</t>
          </r>
          <r>
            <rPr>
              <rFont val="Calibri"/>
              <i val="1"/>
              <color rgb="00595959"/>
              <sz val="10"/>
            </rPr>
            <t xml:space="preserve"> As is = same name and people · Renamed = one old name became one new name · Regrouped = existing name, people joined or left · New = formed from old names.</t>
          </r>
        </is>
      </c>
    </row>
    <row r="156" ht="20" customHeight="1">
      <c r="A156" s="6" t="inlineStr">
        <is>
          <t>D · What happens next</t>
        </is>
      </c>
    </row>
    <row r="157" ht="15" customHeight="1">
      <c r="A157" s="8" t="inlineStr">
        <is>
          <t>Step</t>
        </is>
      </c>
      <c r="B157" s="91" t="inlineStr"/>
      <c r="C157" s="91" t="inlineStr"/>
      <c r="D157" s="91" t="inlineStr"/>
      <c r="E157" s="8" t="inlineStr">
        <is>
          <t>Who</t>
        </is>
      </c>
      <c r="F157" s="8" t="inlineStr">
        <is>
          <t>What</t>
        </is>
      </c>
    </row>
    <row r="158" ht="28" customHeight="1">
      <c r="A158" s="10" t="inlineStr">
        <is>
          <t>1. Validate</t>
        </is>
      </c>
      <c r="B158" s="12" t="inlineStr"/>
      <c r="C158" s="12" t="inlineStr"/>
      <c r="D158" s="12" t="inlineStr"/>
      <c r="E158" s="12" t="inlineStr">
        <is>
          <t>You and your managers</t>
        </is>
      </c>
      <c r="F158" s="12" t="inlineStr">
        <is>
          <t>Mark Agree / Change / Discuss for each person on sheet 2; give the reason for every change</t>
        </is>
      </c>
    </row>
    <row r="159" ht="28" customHeight="1">
      <c r="A159" s="10" t="inlineStr">
        <is>
          <t>2. Supply inputs</t>
        </is>
      </c>
      <c r="B159" s="12" t="inlineStr"/>
      <c r="C159" s="12" t="inlineStr"/>
      <c r="D159" s="12" t="inlineStr"/>
      <c r="E159" s="12" t="inlineStr">
        <is>
          <t>Owners in section B</t>
        </is>
      </c>
      <c r="F159" s="12" t="inlineStr">
        <is>
          <r>
            <rPr>
              <rFont val="Calibri"/>
              <b val="1"/>
              <sz val="10"/>
            </rPr>
            <t>Clear the red cells:</t>
          </r>
          <r>
            <rPr>
              <rFont val="Calibri"/>
              <sz val="10"/>
            </rPr>
            <t xml:space="preserve"> experience records, KRAs, reporting lines, scope confirmations</t>
          </r>
        </is>
      </c>
    </row>
    <row r="160" ht="28" customHeight="1">
      <c r="A160" s="10" t="inlineStr">
        <is>
          <t>3. Calibrate</t>
        </is>
      </c>
      <c r="B160" s="12" t="inlineStr"/>
      <c r="C160" s="12" t="inlineStr"/>
      <c r="D160" s="12" t="inlineStr"/>
      <c r="E160" s="12" t="inlineStr">
        <is>
          <t>Cross-business panel</t>
        </is>
      </c>
      <c r="F160" s="12" t="inlineStr">
        <is>
          <t>Decides section A cases against peers in other businesses, and all C-band and higher placements</t>
        </is>
      </c>
    </row>
    <row r="161" ht="28" customHeight="1">
      <c r="A161" s="10" t="inlineStr">
        <is>
          <t>4. Approve</t>
        </is>
      </c>
      <c r="B161" s="12" t="inlineStr"/>
      <c r="C161" s="12" t="inlineStr"/>
      <c r="D161" s="12" t="inlineStr"/>
      <c r="E161" s="12" t="inlineStr">
        <is>
          <t>HR; CEO for model changes</t>
        </is>
      </c>
      <c r="F161" s="12" t="inlineStr">
        <is>
          <t>HR approves placements; moves down are protected for one cycle; designations take effect</t>
        </is>
      </c>
    </row>
    <row r="162" ht="28" customHeight="1">
      <c r="A162" s="10" t="inlineStr">
        <is>
          <t>5. Price</t>
        </is>
      </c>
      <c r="B162" s="12" t="inlineStr"/>
      <c r="C162" s="12" t="inlineStr"/>
      <c r="D162" s="12" t="inlineStr"/>
      <c r="E162" s="12" t="inlineStr">
        <is>
          <t>HR</t>
        </is>
      </c>
      <c r="F162" s="12" t="inlineStr">
        <is>
          <t>Pay ranges per level from a purchased market survey; nothing changes pay before then</t>
        </is>
      </c>
    </row>
  </sheetData>
  <mergeCells count="29">
    <mergeCell ref="A16:F16"/>
    <mergeCell ref="A137:F137"/>
    <mergeCell ref="A66:F66"/>
    <mergeCell ref="A37:F37"/>
    <mergeCell ref="A75:F75"/>
    <mergeCell ref="A74:F74"/>
    <mergeCell ref="A3:F3"/>
    <mergeCell ref="A113:F113"/>
    <mergeCell ref="A2:F2"/>
    <mergeCell ref="A129:F129"/>
    <mergeCell ref="A76:F76"/>
    <mergeCell ref="A5:F5"/>
    <mergeCell ref="A8:F8"/>
    <mergeCell ref="A72:F72"/>
    <mergeCell ref="A156:F156"/>
    <mergeCell ref="A121:F121"/>
    <mergeCell ref="A10:F10"/>
    <mergeCell ref="A155:F155"/>
    <mergeCell ref="A9:F9"/>
    <mergeCell ref="A67:F67"/>
    <mergeCell ref="A48:F48"/>
    <mergeCell ref="A15:F15"/>
    <mergeCell ref="A73:F73"/>
    <mergeCell ref="A49:F49"/>
    <mergeCell ref="A36:F36"/>
    <mergeCell ref="A138:F138"/>
    <mergeCell ref="A1:F1"/>
    <mergeCell ref="A6:F6"/>
    <mergeCell ref="A7:F7"/>
  </mergeCells>
  <hyperlinks>
    <hyperlink xmlns:r="http://schemas.openxmlformats.org/officeDocument/2006/relationships" ref="G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worksheet>
</file>

<file path=xl/worksheets/sheet6.xml><?xml version="1.0" encoding="utf-8"?>
<worksheet xmlns="http://schemas.openxmlformats.org/spreadsheetml/2006/main">
  <sheetPr>
    <tabColor rgb="002E75B6"/>
    <outlinePr summaryBelow="1" summaryRight="1"/>
    <pageSetUpPr fitToPage="1"/>
  </sheetPr>
  <dimension ref="A1:Q101"/>
  <sheetViews>
    <sheetView showGridLines="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20" customWidth="1" min="1" max="1"/>
    <col width="14" customWidth="1" min="2" max="2"/>
    <col width="6" customWidth="1" min="3" max="3"/>
    <col width="16" customWidth="1" min="4" max="4"/>
    <col width="20" customWidth="1" min="5" max="5"/>
    <col width="24" customWidth="1" min="6" max="6"/>
    <col width="30" customWidth="1" min="7" max="7"/>
    <col width="10" customWidth="1" min="8" max="8"/>
    <col width="7" customWidth="1" min="9" max="9"/>
    <col width="40" customWidth="1" min="10" max="10"/>
    <col width="30" customWidth="1" min="11" max="11"/>
    <col width="32" customWidth="1" min="12" max="12"/>
    <col width="22" customWidth="1" min="13" max="13"/>
    <col width="20" customWidth="1" min="14" max="14"/>
    <col width="34" customWidth="1" min="15" max="15"/>
    <col width="38" customWidth="1" min="16" max="16"/>
    <col width="13" customWidth="1" min="17" max="17"/>
  </cols>
  <sheetData>
    <row r="1" ht="34" customHeight="1">
      <c r="A1" s="1" t="inlineStr">
        <is>
          <t>Career ladder — CARBON: department → band → level, competencies and overlaps</t>
        </is>
      </c>
      <c r="Q1" s="104" t="inlineStr">
        <is>
          <t>◂ Start Here</t>
        </is>
      </c>
    </row>
    <row r="2" ht="32" customHeight="1">
      <c r="A2" s="3" t="inlineStr">
        <is>
          <t>Sheet 5 · 215 people in 11 departments. One row per designation at a level in a department, ordered department → band → level · bottom to top: earlier rows are lower levels. 'Same work' = same job family, sub-family and level; overlap within the product is shaded orange, overlap across IRIS blue. D1 top specialist title — decision for the heads: Option A Chief Specialist or Option B Distinguished Principal; both shown until decided.</t>
        </is>
      </c>
    </row>
    <row r="3">
      <c r="A3" s="4" t="inlineStr">
        <is>
          <t>IRIS · Job Architecture &amp; Job Design · Final v1.12 · October 2026 · Internal — Confidential</t>
        </is>
      </c>
    </row>
    <row r="4"/>
    <row r="5"/>
    <row r="6" ht="30" customHeight="1">
      <c r="A6" s="74" t="inlineStr">
        <is>
          <t>Department</t>
        </is>
      </c>
      <c r="B6" s="74" t="inlineStr">
        <is>
          <t>Band</t>
        </is>
      </c>
      <c r="C6" s="74" t="inlineStr">
        <is>
          <t>Level</t>
        </is>
      </c>
      <c r="D6" s="74" t="inlineStr">
        <is>
          <t>Level title</t>
        </is>
      </c>
      <c r="E6" s="74" t="inlineStr">
        <is>
          <t>Job family</t>
        </is>
      </c>
      <c r="F6" s="74" t="inlineStr">
        <is>
          <t>Sub-family</t>
        </is>
      </c>
      <c r="G6" s="74" t="inlineStr">
        <is>
          <t>Designation</t>
        </is>
      </c>
      <c r="H6" s="74" t="inlineStr">
        <is>
          <t>Track</t>
        </is>
      </c>
      <c r="I6" s="74" t="inlineStr">
        <is>
          <t>Holders</t>
        </is>
      </c>
      <c r="J6" s="74" t="inlineStr">
        <is>
          <t>Ladder in this sub-family here · level: designation</t>
        </is>
      </c>
      <c r="K6" s="74" t="inlineStr">
        <is>
          <t>★ Must-have competencies</t>
        </is>
      </c>
      <c r="L6" s="74" t="inlineStr">
        <is>
          <t>Other functional competencies</t>
        </is>
      </c>
      <c r="M6" s="74" t="inlineStr">
        <is>
          <t>Proficiency needed</t>
        </is>
      </c>
      <c r="N6" s="74" t="inlineStr">
        <is>
          <t>Credentials</t>
        </is>
      </c>
      <c r="O6" s="74" t="inlineStr">
        <is>
          <t>Overlap within CARBON · same work in other departments</t>
        </is>
      </c>
      <c r="P6" s="74" t="inlineStr">
        <is>
          <t>Overlap across IRIS · same work in other products</t>
        </is>
      </c>
    </row>
    <row r="7" ht="55" customHeight="1">
      <c r="A7" s="12" t="inlineStr">
        <is>
          <t>CARBON Business Head</t>
        </is>
      </c>
      <c r="B7" s="29" t="inlineStr">
        <is>
          <t>D · Business leadership</t>
        </is>
      </c>
      <c r="C7" s="29" t="inlineStr">
        <is>
          <t>D2</t>
        </is>
      </c>
      <c r="D7" s="12" t="inlineStr">
        <is>
          <t>Vice President</t>
        </is>
      </c>
      <c r="E7" s="12" t="inlineStr">
        <is>
          <t>Executive Leadership</t>
        </is>
      </c>
      <c r="F7" s="12" t="inlineStr">
        <is>
          <t>Business &amp; Functional Leadership</t>
        </is>
      </c>
      <c r="G7" s="12" t="inlineStr">
        <is>
          <t>Business Head</t>
        </is>
      </c>
      <c r="H7" s="12" t="inlineStr">
        <is>
          <t>People Manager</t>
        </is>
      </c>
      <c r="I7" s="12" t="n">
        <v>1</v>
      </c>
      <c r="J7" s="12" t="inlineStr">
        <is>
          <r>
            <rPr>
              <rFont val="Calibri"/>
              <b val="1"/>
              <sz val="10"/>
            </rPr>
            <t>D2:</t>
          </r>
          <r>
            <rPr>
              <rFont val="Calibri"/>
              <sz val="10"/>
            </rPr>
            <t xml:space="preserve"> Business Head</t>
          </r>
        </is>
      </c>
      <c r="K7" s="12" t="inlineStr">
        <is>
          <t>Strategic Thinking &amp; Business Acumen · People Leadership &amp; Mentoring</t>
        </is>
      </c>
      <c r="L7" s="12" t="inlineStr">
        <is>
          <t>Stakeholder &amp; Client Management · Product, Platform &amp; Domain Knowledge · Regulatory &amp; BFSI Domain · Communication &amp; Presentation</t>
        </is>
      </c>
      <c r="M7" s="12" t="inlineStr">
        <is>
          <t>Core 5 · Future-ready 4 · Functional 4 · Leadership 5</t>
        </is>
      </c>
      <c r="N7" s="12" t="inlineStr">
        <is>
          <t>MBA / PGDM · preferred at C+</t>
        </is>
      </c>
      <c r="O7" s="12" t="inlineStr">
        <is>
          <t>None — only this department</t>
        </is>
      </c>
      <c r="P7" s="17" t="inlineStr">
        <is>
          <r>
            <rPr>
              <rFont val="Calibri"/>
              <sz val="10"/>
            </rPr>
            <t xml:space="preserve">iFile 1 · Datatech 1
</t>
          </r>
          <r>
            <rPr>
              <rFont val="Calibri"/>
              <b val="1"/>
              <sz val="10"/>
            </rPr>
            <t>Titled there:</t>
          </r>
          <r>
            <rPr>
              <rFont val="Calibri"/>
              <sz val="10"/>
            </rPr>
            <t xml:space="preserve"> Business Head – DataTech / Business Head – SupTech &amp; Bank-RegTech</t>
          </r>
        </is>
      </c>
    </row>
    <row r="8" ht="55" customHeight="1">
      <c r="A8" s="12" t="inlineStr">
        <is>
          <t>CRO - Carbon</t>
        </is>
      </c>
      <c r="B8" s="33" t="inlineStr">
        <is>
          <t>E · Enterprise leadership</t>
        </is>
      </c>
      <c r="C8" s="33" t="inlineStr">
        <is>
          <t>E1</t>
        </is>
      </c>
      <c r="D8" s="12" t="inlineStr">
        <is>
          <t>CXO / President</t>
        </is>
      </c>
      <c r="E8" s="12" t="inlineStr">
        <is>
          <t>Executive Leadership</t>
        </is>
      </c>
      <c r="F8" s="12" t="inlineStr">
        <is>
          <t>Enterprise Leadership</t>
        </is>
      </c>
      <c r="G8" s="12" t="inlineStr">
        <is>
          <t>Chief Revenue Officer</t>
        </is>
      </c>
      <c r="H8" s="12" t="inlineStr">
        <is>
          <t>People Manager</t>
        </is>
      </c>
      <c r="I8" s="12" t="n">
        <v>1</v>
      </c>
      <c r="J8" s="12" t="inlineStr">
        <is>
          <r>
            <rPr>
              <rFont val="Calibri"/>
              <b val="1"/>
              <sz val="10"/>
            </rPr>
            <t>E1:</t>
          </r>
          <r>
            <rPr>
              <rFont val="Calibri"/>
              <sz val="10"/>
            </rPr>
            <t xml:space="preserve"> Chief Revenue Officer</t>
          </r>
        </is>
      </c>
      <c r="K8" s="12" t="inlineStr">
        <is>
          <t>Strategic Thinking &amp; Business Acumen · People Leadership &amp; Mentoring</t>
        </is>
      </c>
      <c r="L8" s="12" t="inlineStr">
        <is>
          <t>Stakeholder &amp; Client Management · Product, Platform &amp; Domain Knowledge · Regulatory &amp; BFSI Domain · Communication &amp; Presentation</t>
        </is>
      </c>
      <c r="M8" s="12" t="inlineStr">
        <is>
          <t>Core 5 · Future-ready 5 · Functional 4 · Leadership 5</t>
        </is>
      </c>
      <c r="N8" s="12" t="inlineStr">
        <is>
          <t>MBA / PGDM · preferred at C+</t>
        </is>
      </c>
      <c r="O8" s="12" t="inlineStr">
        <is>
          <t>None — only this department</t>
        </is>
      </c>
      <c r="P8" s="17" t="inlineStr">
        <is>
          <r>
            <rPr>
              <rFont val="Calibri"/>
              <sz val="10"/>
            </rPr>
            <t xml:space="preserve">Corporate 3
</t>
          </r>
          <r>
            <rPr>
              <rFont val="Calibri"/>
              <b val="1"/>
              <sz val="10"/>
            </rPr>
            <t>Titled there:</t>
          </r>
          <r>
            <rPr>
              <rFont val="Calibri"/>
              <sz val="10"/>
            </rPr>
            <t xml:space="preserve"> Chief Financial Officer / Chief Operating Officer / Chief Technology Officer</t>
          </r>
        </is>
      </c>
    </row>
    <row r="9" ht="55" customHeight="1">
      <c r="A9" s="12" t="inlineStr">
        <is>
          <t>Customer Experience</t>
        </is>
      </c>
      <c r="B9" s="29" t="inlineStr">
        <is>
          <t>D · Business leadership</t>
        </is>
      </c>
      <c r="C9" s="29" t="inlineStr">
        <is>
          <t>D1</t>
        </is>
      </c>
      <c r="D9" s="12" t="inlineStr">
        <is>
          <t>Associate Vice President / Business Head</t>
        </is>
      </c>
      <c r="E9" s="12" t="inlineStr">
        <is>
          <t>Executive Leadership</t>
        </is>
      </c>
      <c r="F9" s="12" t="inlineStr">
        <is>
          <t>Business &amp; Functional Leadership</t>
        </is>
      </c>
      <c r="G9" s="12" t="inlineStr">
        <is>
          <t>Senior Vice President – Customer Experience</t>
        </is>
      </c>
      <c r="H9" s="12" t="inlineStr">
        <is>
          <t>People Manager</t>
        </is>
      </c>
      <c r="I9" s="12" t="n">
        <v>1</v>
      </c>
      <c r="J9" s="12" t="inlineStr">
        <is>
          <r>
            <rPr>
              <rFont val="Calibri"/>
              <b val="1"/>
              <sz val="10"/>
            </rPr>
            <t>D1:</t>
          </r>
          <r>
            <rPr>
              <rFont val="Calibri"/>
              <sz val="10"/>
            </rPr>
            <t xml:space="preserve"> Senior Vice President – Customer Experience</t>
          </r>
        </is>
      </c>
      <c r="K9" s="12" t="inlineStr">
        <is>
          <t>Strategic Thinking &amp; Business Acumen · People Leadership &amp; Mentoring</t>
        </is>
      </c>
      <c r="L9" s="12" t="inlineStr">
        <is>
          <t>Stakeholder &amp; Client Management · Product, Platform &amp; Domain Knowledge · Regulatory &amp; BFSI Domain · Communication &amp; Presentation</t>
        </is>
      </c>
      <c r="M9" s="12" t="inlineStr">
        <is>
          <t>Core 5 · Future-ready 4 · Functional 4 · Leadership 5</t>
        </is>
      </c>
      <c r="N9" s="12" t="inlineStr">
        <is>
          <t>MBA / PGDM · preferred at C+</t>
        </is>
      </c>
      <c r="O9" s="12" t="inlineStr">
        <is>
          <t>None — only this department</t>
        </is>
      </c>
      <c r="P9" s="17" t="inlineStr">
        <is>
          <r>
            <rPr>
              <rFont val="Calibri"/>
              <sz val="10"/>
            </rPr>
            <t xml:space="preserve">iDEAL 1
</t>
          </r>
          <r>
            <rPr>
              <rFont val="Calibri"/>
              <b val="1"/>
              <sz val="10"/>
            </rPr>
            <t>Titled there:</t>
          </r>
          <r>
            <rPr>
              <rFont val="Calibri"/>
              <sz val="10"/>
            </rPr>
            <t xml:space="preserve"> Business Head – iDEAL</t>
          </r>
        </is>
      </c>
    </row>
    <row r="10" ht="55" customHeight="1">
      <c r="A10" s="12" t="inlineStr">
        <is>
          <t>Digitizing</t>
        </is>
      </c>
      <c r="B10" s="17" t="inlineStr">
        <is>
          <t>A · Practitioner</t>
        </is>
      </c>
      <c r="C10" s="17" t="inlineStr">
        <is>
          <t>A2</t>
        </is>
      </c>
      <c r="D10" s="12" t="inlineStr">
        <is>
          <t>Associate</t>
        </is>
      </c>
      <c r="E10" s="12" t="inlineStr">
        <is>
          <t>Data Operations &amp; Digitization</t>
        </is>
      </c>
      <c r="F10" s="12" t="inlineStr">
        <is>
          <t>Document Conversion, Formatting &amp; Web Publishing</t>
        </is>
      </c>
      <c r="G10" s="12" t="inlineStr">
        <is>
          <t>Digitization Associate</t>
        </is>
      </c>
      <c r="H10" s="12" t="inlineStr">
        <is>
          <t>IC</t>
        </is>
      </c>
      <c r="I10" s="12" t="n">
        <v>3</v>
      </c>
      <c r="J10" s="12" t="inlineStr">
        <is>
          <r>
            <rPr>
              <rFont val="Calibri"/>
              <b val="1"/>
              <sz val="10"/>
            </rPr>
            <t>A2:</t>
          </r>
          <r>
            <rPr>
              <rFont val="Calibri"/>
              <sz val="10"/>
            </rPr>
            <t xml:space="preserve"> Digitization Associate → A3: Senior Digitization Associate → B1: Digitization Specialist – POD Lead / Team Lead – Digitization → B2: Digitization Manager</t>
          </r>
        </is>
      </c>
      <c r="K10" s="12" t="inlineStr">
        <is>
          <t>Advanced Excel &amp; Productivity Tools · Process Improvement &amp; Quality Mindset</t>
        </is>
      </c>
      <c r="L10" s="12" t="inlineStr">
        <is>
          <t>Regulatory &amp; BFSI Domain · XBRL, iXBRL &amp; Taxonomy · AI, GenAI &amp; Prompt Engineering · Time, Priority &amp; Self-Management</t>
        </is>
      </c>
      <c r="M10" s="12" t="inlineStr">
        <is>
          <t>Core 2 · Future-ready 2 · Functional 2 · Leadership —</t>
        </is>
      </c>
      <c r="N10" s="12" t="inlineStr">
        <is>
          <t>MOS Excel · optional; Lean / Six Sigma · optional</t>
        </is>
      </c>
      <c r="O10" s="12" t="inlineStr">
        <is>
          <t>None — only this department</t>
        </is>
      </c>
      <c r="P10" s="17" t="inlineStr">
        <is>
          <t>Consume 1
Same title</t>
        </is>
      </c>
    </row>
    <row r="11" ht="55" customHeight="1">
      <c r="A11" s="12" t="inlineStr">
        <is>
          <t>Digitizing</t>
        </is>
      </c>
      <c r="B11" s="17" t="inlineStr">
        <is>
          <t>A · Practitioner</t>
        </is>
      </c>
      <c r="C11" s="17" t="inlineStr">
        <is>
          <t>A3</t>
        </is>
      </c>
      <c r="D11" s="12" t="inlineStr">
        <is>
          <t>Senior Associate</t>
        </is>
      </c>
      <c r="E11" s="12" t="inlineStr">
        <is>
          <t>Data Operations &amp; Digitization</t>
        </is>
      </c>
      <c r="F11" s="12" t="inlineStr">
        <is>
          <t>Document Conversion, Formatting &amp; Web Publishing</t>
        </is>
      </c>
      <c r="G11" s="12" t="inlineStr">
        <is>
          <t>Senior Digitization Associate</t>
        </is>
      </c>
      <c r="H11" s="12" t="inlineStr">
        <is>
          <t>IC</t>
        </is>
      </c>
      <c r="I11" s="12" t="n">
        <v>14</v>
      </c>
      <c r="J11" s="12" t="inlineStr">
        <is>
          <r>
            <rPr>
              <rFont val="Calibri"/>
              <b val="1"/>
              <sz val="10"/>
            </rPr>
            <t>A2:</t>
          </r>
          <r>
            <rPr>
              <rFont val="Calibri"/>
              <sz val="10"/>
            </rPr>
            <t xml:space="preserve"> Digitization Associate → A3: Senior Digitization Associate → B1: Digitization Specialist – POD Lead / Team Lead – Digitization → B2: Digitization Manager</t>
          </r>
        </is>
      </c>
      <c r="K11" s="12" t="inlineStr">
        <is>
          <t>Advanced Excel &amp; Productivity Tools · Process Improvement &amp; Quality Mindset</t>
        </is>
      </c>
      <c r="L11" s="12" t="inlineStr">
        <is>
          <t>Regulatory &amp; BFSI Domain · XBRL, iXBRL &amp; Taxonomy · AI, GenAI &amp; Prompt Engineering · Time, Priority &amp; Self-Management</t>
        </is>
      </c>
      <c r="M11" s="12" t="inlineStr">
        <is>
          <t>Core 2 · Future-ready 2 · Functional 3 · Leadership —</t>
        </is>
      </c>
      <c r="N11" s="12" t="inlineStr">
        <is>
          <t>MOS Excel · optional; Lean / Six Sigma · optional</t>
        </is>
      </c>
      <c r="O11" s="12" t="inlineStr">
        <is>
          <t>None — only this department</t>
        </is>
      </c>
      <c r="P11" s="17" t="inlineStr">
        <is>
          <t>Consume 6
Same title</t>
        </is>
      </c>
    </row>
    <row r="12" ht="55" customHeight="1">
      <c r="A12" s="12" t="inlineStr">
        <is>
          <t>Digitizing</t>
        </is>
      </c>
      <c r="B12" s="21" t="inlineStr">
        <is>
          <t>B · Specialist / Manager</t>
        </is>
      </c>
      <c r="C12" s="21" t="inlineStr">
        <is>
          <t>B1</t>
        </is>
      </c>
      <c r="D12" s="12" t="inlineStr">
        <is>
          <t>Specialist · POD Lead</t>
        </is>
      </c>
      <c r="E12" s="12" t="inlineStr">
        <is>
          <t>Customer Success &amp; Support</t>
        </is>
      </c>
      <c r="F12" s="12" t="inlineStr">
        <is>
          <t>Customer Training &amp; Enablement</t>
        </is>
      </c>
      <c r="G12" s="12" t="inlineStr">
        <is>
          <t>Customer Enablement Specialist – POD Lead</t>
        </is>
      </c>
      <c r="H12" s="12" t="inlineStr">
        <is>
          <t>POD Lead</t>
        </is>
      </c>
      <c r="I12" s="12" t="n">
        <v>1</v>
      </c>
      <c r="J12" s="12" t="inlineStr">
        <is>
          <r>
            <rPr>
              <rFont val="Calibri"/>
              <b val="1"/>
              <sz val="10"/>
            </rPr>
            <t>B1:</t>
          </r>
          <r>
            <rPr>
              <rFont val="Calibri"/>
              <sz val="10"/>
            </rPr>
            <t xml:space="preserve"> Customer Enablement Specialist – POD Lead</t>
          </r>
        </is>
      </c>
      <c r="K12" s="12" t="inlineStr">
        <is>
          <t>Product, Platform &amp; Domain Knowledge · Stakeholder &amp; Client Management</t>
        </is>
      </c>
      <c r="L12" s="12" t="inlineStr">
        <is>
          <t>Communication &amp; Presentation · Database, SQL &amp; Data Engineering · Regulatory &amp; BFSI Domain · Process Improvement &amp; Quality Mindset</t>
        </is>
      </c>
      <c r="M12" s="12" t="inlineStr">
        <is>
          <t>Core 3 · Future-ready 3 · Functional 3 · Leadership 1</t>
        </is>
      </c>
      <c r="N12" s="12" t="inlineStr">
        <is>
          <t>Internal product certification</t>
        </is>
      </c>
      <c r="O12" s="12" t="inlineStr">
        <is>
          <t>None — only this department</t>
        </is>
      </c>
      <c r="P12" s="12" t="inlineStr">
        <is>
          <t>None — only CARBON</t>
        </is>
      </c>
    </row>
    <row r="13" ht="55" customHeight="1">
      <c r="A13" s="12" t="inlineStr">
        <is>
          <t>Digitizing</t>
        </is>
      </c>
      <c r="B13" s="21" t="inlineStr">
        <is>
          <t>B · Specialist / Manager</t>
        </is>
      </c>
      <c r="C13" s="21" t="inlineStr">
        <is>
          <t>B1</t>
        </is>
      </c>
      <c r="D13" s="12" t="inlineStr">
        <is>
          <t>Specialist · POD Lead</t>
        </is>
      </c>
      <c r="E13" s="12" t="inlineStr">
        <is>
          <t>Data Operations &amp; Digitization</t>
        </is>
      </c>
      <c r="F13" s="12" t="inlineStr">
        <is>
          <t>Document Conversion, Formatting &amp; Web Publishing</t>
        </is>
      </c>
      <c r="G13" s="12" t="inlineStr">
        <is>
          <t>Digitization Specialist – POD Lead</t>
        </is>
      </c>
      <c r="H13" s="12" t="inlineStr">
        <is>
          <t>POD Lead</t>
        </is>
      </c>
      <c r="I13" s="12" t="n">
        <v>3</v>
      </c>
      <c r="J13" s="12" t="inlineStr">
        <is>
          <r>
            <rPr>
              <rFont val="Calibri"/>
              <b val="1"/>
              <sz val="10"/>
            </rPr>
            <t>A2:</t>
          </r>
          <r>
            <rPr>
              <rFont val="Calibri"/>
              <sz val="10"/>
            </rPr>
            <t xml:space="preserve"> Digitization Associate → A3: Senior Digitization Associate → B1: Digitization Specialist – POD Lead / Team Lead – Digitization → B2: Digitization Manager</t>
          </r>
        </is>
      </c>
      <c r="K13" s="12" t="inlineStr">
        <is>
          <t>Advanced Excel &amp; Productivity Tools · Process Improvement &amp; Quality Mindset</t>
        </is>
      </c>
      <c r="L13" s="12" t="inlineStr">
        <is>
          <t>Regulatory &amp; BFSI Domain · XBRL, iXBRL &amp; Taxonomy · AI, GenAI &amp; Prompt Engineering · Time, Priority &amp; Self-Management</t>
        </is>
      </c>
      <c r="M13" s="12" t="inlineStr">
        <is>
          <t>Core 3 · Future-ready 3 · Functional 3 · Leadership 1</t>
        </is>
      </c>
      <c r="N13" s="12" t="inlineStr">
        <is>
          <t>MOS Excel · optional; Lean / Six Sigma · optional</t>
        </is>
      </c>
      <c r="O13" s="12" t="inlineStr">
        <is>
          <t>None — only this department</t>
        </is>
      </c>
      <c r="P13" s="17" t="inlineStr">
        <is>
          <r>
            <rPr>
              <rFont val="Calibri"/>
              <sz val="10"/>
            </rPr>
            <t xml:space="preserve">Consume 1
</t>
          </r>
          <r>
            <rPr>
              <rFont val="Calibri"/>
              <b val="1"/>
              <sz val="10"/>
            </rPr>
            <t>Titled there:</t>
          </r>
          <r>
            <rPr>
              <rFont val="Calibri"/>
              <sz val="10"/>
            </rPr>
            <t xml:space="preserve"> Digitization Specialist</t>
          </r>
        </is>
      </c>
    </row>
    <row r="14" ht="55" customHeight="1">
      <c r="A14" s="12" t="inlineStr">
        <is>
          <t>Digitizing</t>
        </is>
      </c>
      <c r="B14" s="21" t="inlineStr">
        <is>
          <t>B · Specialist / Manager</t>
        </is>
      </c>
      <c r="C14" s="21" t="inlineStr">
        <is>
          <t>B1</t>
        </is>
      </c>
      <c r="D14" s="12" t="inlineStr">
        <is>
          <t>Team Lead</t>
        </is>
      </c>
      <c r="E14" s="12" t="inlineStr">
        <is>
          <t>Data Operations &amp; Digitization</t>
        </is>
      </c>
      <c r="F14" s="12" t="inlineStr">
        <is>
          <t>Document Conversion, Formatting &amp; Web Publishing</t>
        </is>
      </c>
      <c r="G14" s="12" t="inlineStr">
        <is>
          <t>Team Lead – Digitization</t>
        </is>
      </c>
      <c r="H14" s="12" t="inlineStr">
        <is>
          <t>People Manager</t>
        </is>
      </c>
      <c r="I14" s="12" t="n">
        <v>1</v>
      </c>
      <c r="J14" s="12" t="inlineStr">
        <is>
          <r>
            <rPr>
              <rFont val="Calibri"/>
              <b val="1"/>
              <sz val="10"/>
            </rPr>
            <t>A2:</t>
          </r>
          <r>
            <rPr>
              <rFont val="Calibri"/>
              <sz val="10"/>
            </rPr>
            <t xml:space="preserve"> Digitization Associate → A3: Senior Digitization Associate → B1: Digitization Specialist – POD Lead / Team Lead – Digitization → B2: Digitization Manager</t>
          </r>
        </is>
      </c>
      <c r="K14" s="12" t="inlineStr">
        <is>
          <t>Advanced Excel &amp; Productivity Tools · Process Improvement &amp; Quality Mindset</t>
        </is>
      </c>
      <c r="L14" s="12" t="inlineStr">
        <is>
          <t>Regulatory &amp; BFSI Domain · XBRL, iXBRL &amp; Taxonomy · AI, GenAI &amp; Prompt Engineering · Time, Priority &amp; Self-Management</t>
        </is>
      </c>
      <c r="M14" s="12" t="inlineStr">
        <is>
          <t>Core 3 · Future-ready 3 · Functional 3 · Leadership 2</t>
        </is>
      </c>
      <c r="N14" s="12" t="inlineStr">
        <is>
          <t>MOS Excel · optional; Lean / Six Sigma · optional</t>
        </is>
      </c>
      <c r="O14" s="12" t="inlineStr">
        <is>
          <t>None — only this department</t>
        </is>
      </c>
      <c r="P14" s="17" t="inlineStr">
        <is>
          <r>
            <rPr>
              <rFont val="Calibri"/>
              <sz val="10"/>
            </rPr>
            <t xml:space="preserve">Consume 1
</t>
          </r>
          <r>
            <rPr>
              <rFont val="Calibri"/>
              <b val="1"/>
              <sz val="10"/>
            </rPr>
            <t>Titled there:</t>
          </r>
          <r>
            <rPr>
              <rFont val="Calibri"/>
              <sz val="10"/>
            </rPr>
            <t xml:space="preserve"> Digitization Specialist</t>
          </r>
        </is>
      </c>
    </row>
    <row r="15" ht="55" customHeight="1">
      <c r="A15" s="12" t="inlineStr">
        <is>
          <t>Digitizing</t>
        </is>
      </c>
      <c r="B15" s="21" t="inlineStr">
        <is>
          <t>B · Specialist / Manager</t>
        </is>
      </c>
      <c r="C15" s="21" t="inlineStr">
        <is>
          <t>B2</t>
        </is>
      </c>
      <c r="D15" s="12" t="inlineStr">
        <is>
          <t>Manager</t>
        </is>
      </c>
      <c r="E15" s="12" t="inlineStr">
        <is>
          <t>Data Operations &amp; Digitization</t>
        </is>
      </c>
      <c r="F15" s="12" t="inlineStr">
        <is>
          <t>Document Conversion, Formatting &amp; Web Publishing</t>
        </is>
      </c>
      <c r="G15" s="12" t="inlineStr">
        <is>
          <t>Digitization Manager</t>
        </is>
      </c>
      <c r="H15" s="12" t="inlineStr">
        <is>
          <t>People Manager</t>
        </is>
      </c>
      <c r="I15" s="12" t="n">
        <v>1</v>
      </c>
      <c r="J15" s="12" t="inlineStr">
        <is>
          <r>
            <rPr>
              <rFont val="Calibri"/>
              <b val="1"/>
              <sz val="10"/>
            </rPr>
            <t>A2:</t>
          </r>
          <r>
            <rPr>
              <rFont val="Calibri"/>
              <sz val="10"/>
            </rPr>
            <t xml:space="preserve"> Digitization Associate → A3: Senior Digitization Associate → B1: Digitization Specialist – POD Lead / Team Lead – Digitization → B2: Digitization Manager</t>
          </r>
        </is>
      </c>
      <c r="K15" s="12" t="inlineStr">
        <is>
          <t>Advanced Excel &amp; Productivity Tools · Process Improvement &amp; Quality Mindset</t>
        </is>
      </c>
      <c r="L15" s="12" t="inlineStr">
        <is>
          <t>Regulatory &amp; BFSI Domain · XBRL, iXBRL &amp; Taxonomy · AI, GenAI &amp; Prompt Engineering · Time, Priority &amp; Self-Management</t>
        </is>
      </c>
      <c r="M15" s="12" t="inlineStr">
        <is>
          <t>Core 3 · Future-ready 3 · Functional 4 · Leadership 3</t>
        </is>
      </c>
      <c r="N15" s="12" t="inlineStr">
        <is>
          <t>MOS Excel · optional; Lean / Six Sigma · optional</t>
        </is>
      </c>
      <c r="O15" s="12" t="inlineStr">
        <is>
          <t>None — only this department</t>
        </is>
      </c>
      <c r="P15" s="17" t="inlineStr">
        <is>
          <t>Consume 1
Same title</t>
        </is>
      </c>
    </row>
    <row r="16" ht="55" customHeight="1">
      <c r="A16" s="12" t="inlineStr">
        <is>
          <t>Digitizing</t>
        </is>
      </c>
      <c r="B16" s="25" t="inlineStr">
        <is>
          <t>C · Principal / Head</t>
        </is>
      </c>
      <c r="C16" s="25" t="inlineStr">
        <is>
          <t>C1</t>
        </is>
      </c>
      <c r="D16" s="12" t="inlineStr">
        <is>
          <t>Associate Head</t>
        </is>
      </c>
      <c r="E16" s="12" t="inlineStr">
        <is>
          <t>Data Operations &amp; Digitization</t>
        </is>
      </c>
      <c r="F16" s="12" t="inlineStr">
        <is>
          <t>Digitization Leadership</t>
        </is>
      </c>
      <c r="G16" s="12" t="inlineStr">
        <is>
          <t>Associate Head – Digitization</t>
        </is>
      </c>
      <c r="H16" s="12" t="inlineStr">
        <is>
          <t>People Manager</t>
        </is>
      </c>
      <c r="I16" s="12" t="n">
        <v>1</v>
      </c>
      <c r="J16" s="12" t="inlineStr">
        <is>
          <r>
            <rPr>
              <rFont val="Calibri"/>
              <b val="1"/>
              <sz val="10"/>
            </rPr>
            <t>C1:</t>
          </r>
          <r>
            <rPr>
              <rFont val="Calibri"/>
              <sz val="10"/>
            </rPr>
            <t xml:space="preserve"> Associate Head – Digitization</t>
          </r>
        </is>
      </c>
      <c r="K16" s="12" t="inlineStr">
        <is>
          <t>Advanced Excel &amp; Productivity Tools · Process Improvement &amp; Quality Mindset</t>
        </is>
      </c>
      <c r="L16" s="12" t="inlineStr">
        <is>
          <t>Regulatory &amp; BFSI Domain · XBRL, iXBRL &amp; Taxonomy · AI, GenAI &amp; Prompt Engineering · Time, Priority &amp; Self-Management</t>
        </is>
      </c>
      <c r="M16" s="12" t="inlineStr">
        <is>
          <t>Core 4 · Future-ready 4 · Functional 4 · Leadership 4</t>
        </is>
      </c>
      <c r="N16" s="12" t="inlineStr">
        <is>
          <t>MOS Excel · optional; Lean / Six Sigma · optional</t>
        </is>
      </c>
      <c r="O16" s="12" t="inlineStr">
        <is>
          <t>None — only this department</t>
        </is>
      </c>
      <c r="P16" s="12" t="inlineStr">
        <is>
          <t>None — only CARBON</t>
        </is>
      </c>
    </row>
    <row r="17" ht="55" customHeight="1">
      <c r="A17" s="12" t="inlineStr">
        <is>
          <t>Functional</t>
        </is>
      </c>
      <c r="B17" s="17" t="inlineStr">
        <is>
          <t>A · Practitioner</t>
        </is>
      </c>
      <c r="C17" s="17" t="inlineStr">
        <is>
          <t>A3</t>
        </is>
      </c>
      <c r="D17" s="12" t="inlineStr">
        <is>
          <t>Senior Associate</t>
        </is>
      </c>
      <c r="E17" s="12" t="inlineStr">
        <is>
          <t>Product Management</t>
        </is>
      </c>
      <c r="F17" s="12" t="inlineStr">
        <is>
          <t>Product Management</t>
        </is>
      </c>
      <c r="G17" s="12" t="inlineStr">
        <is>
          <t>Senior Product Associate</t>
        </is>
      </c>
      <c r="H17" s="12" t="inlineStr">
        <is>
          <t>IC</t>
        </is>
      </c>
      <c r="I17" s="12" t="n">
        <v>1</v>
      </c>
      <c r="J17" s="12" t="inlineStr">
        <is>
          <r>
            <rPr>
              <rFont val="Calibri"/>
              <b val="1"/>
              <sz val="10"/>
            </rPr>
            <t>A3:</t>
          </r>
          <r>
            <rPr>
              <rFont val="Calibri"/>
              <sz val="10"/>
            </rPr>
            <t xml:space="preserve"> Senior Product Associate → B1: Associate Product Manager – POD Lead → B2: Product Manager</t>
          </r>
        </is>
      </c>
      <c r="K17" s="12" t="inlineStr">
        <is>
          <t>Product, Platform &amp; Domain Knowledge · Business Analysis &amp; Requirements Engineering</t>
        </is>
      </c>
      <c r="L17" s="12" t="inlineStr">
        <is>
          <t>Data Analytics, BI &amp; Visualisation · Strategic Thinking &amp; Business Acumen · Stakeholder &amp; Client Management · AI, GenAI &amp; Prompt Engineering</t>
        </is>
      </c>
      <c r="M17" s="12" t="inlineStr">
        <is>
          <t>Core 2 · Future-ready 2 · Functional 3 · Leadership —</t>
        </is>
      </c>
      <c r="N17" s="12" t="inlineStr">
        <is>
          <t>Internal product certification; CBAP / CCBA · optional</t>
        </is>
      </c>
      <c r="O17" s="12" t="inlineStr">
        <is>
          <t>None — only this department</t>
        </is>
      </c>
      <c r="P17" s="12" t="inlineStr">
        <is>
          <t>None — only CARBON</t>
        </is>
      </c>
    </row>
    <row r="18" ht="68" customHeight="1">
      <c r="A18" s="12" t="inlineStr">
        <is>
          <t>Functional</t>
        </is>
      </c>
      <c r="B18" s="17" t="inlineStr">
        <is>
          <t>A · Practitioner</t>
        </is>
      </c>
      <c r="C18" s="17" t="inlineStr">
        <is>
          <t>A3</t>
        </is>
      </c>
      <c r="D18" s="12" t="inlineStr">
        <is>
          <t>Senior Associate</t>
        </is>
      </c>
      <c r="E18" s="12" t="inlineStr">
        <is>
          <t>Solution Consulting &amp; Implementation</t>
        </is>
      </c>
      <c r="F18" s="12" t="inlineStr">
        <is>
          <t>Solution Consulting &amp; Implementation</t>
        </is>
      </c>
      <c r="G18" s="12" t="inlineStr">
        <is>
          <t>Senior Functional Analyst</t>
        </is>
      </c>
      <c r="H18" s="12" t="inlineStr">
        <is>
          <t>IC</t>
        </is>
      </c>
      <c r="I18" s="12" t="n">
        <v>1</v>
      </c>
      <c r="J18" s="12" t="inlineStr">
        <is>
          <r>
            <rPr>
              <rFont val="Calibri"/>
              <b val="1"/>
              <sz val="10"/>
            </rPr>
            <t>A3:</t>
          </r>
          <r>
            <rPr>
              <rFont val="Calibri"/>
              <sz val="10"/>
            </rPr>
            <t xml:space="preserve"> Senior Functional Analyst → B1: Functional Specialist / Functional Specialist – POD Lead → B2: Senior Functional Specialist</t>
          </r>
        </is>
      </c>
      <c r="K18" s="12" t="inlineStr">
        <is>
          <t>Product, Platform &amp; Domain Knowledge · ESG &amp; Sustainability</t>
        </is>
      </c>
      <c r="L18" s="12" t="inlineStr">
        <is>
          <t>Stakeholder &amp; Client Management · Communication &amp; Presentation · Business Analysis &amp; Requirements Engineering · Project, Program &amp; Agile Management</t>
        </is>
      </c>
      <c r="M18" s="12" t="inlineStr">
        <is>
          <t>Core 2 · Future-ready 2 · Functional 3 · Leadership —</t>
        </is>
      </c>
      <c r="N18" s="12" t="inlineStr">
        <is>
          <t>Internal product certification; GRI / SASB / ESG certificates</t>
        </is>
      </c>
      <c r="O18" s="12" t="inlineStr">
        <is>
          <t>None — only this department</t>
        </is>
      </c>
      <c r="P18" s="12" t="inlineStr">
        <is>
          <t>None — only CARBON</t>
        </is>
      </c>
    </row>
    <row r="19" ht="55" customHeight="1">
      <c r="A19" s="12" t="inlineStr">
        <is>
          <t>Functional</t>
        </is>
      </c>
      <c r="B19" s="21" t="inlineStr">
        <is>
          <t>B · Specialist / Manager</t>
        </is>
      </c>
      <c r="C19" s="21" t="inlineStr">
        <is>
          <t>B1</t>
        </is>
      </c>
      <c r="D19" s="12" t="inlineStr">
        <is>
          <t>Specialist</t>
        </is>
      </c>
      <c r="E19" s="12" t="inlineStr">
        <is>
          <t>Customer Success &amp; Support</t>
        </is>
      </c>
      <c r="F19" s="12" t="inlineStr">
        <is>
          <t>Application &amp; Product Support</t>
        </is>
      </c>
      <c r="G19" s="12" t="inlineStr">
        <is>
          <t>Functional Specialist</t>
        </is>
      </c>
      <c r="H19" s="12" t="inlineStr">
        <is>
          <t>IC</t>
        </is>
      </c>
      <c r="I19" s="12" t="n">
        <v>1</v>
      </c>
      <c r="J19" s="12" t="inlineStr">
        <is>
          <r>
            <rPr>
              <rFont val="Calibri"/>
              <b val="1"/>
              <sz val="10"/>
            </rPr>
            <t>B1:</t>
          </r>
          <r>
            <rPr>
              <rFont val="Calibri"/>
              <sz val="10"/>
            </rPr>
            <t xml:space="preserve"> Functional Specialist</t>
          </r>
        </is>
      </c>
      <c r="K19" s="12" t="inlineStr">
        <is>
          <t>Product, Platform &amp; Domain Knowledge · Stakeholder &amp; Client Management</t>
        </is>
      </c>
      <c r="L19" s="12" t="inlineStr">
        <is>
          <t>Communication &amp; Presentation · Database, SQL &amp; Data Engineering · Regulatory &amp; BFSI Domain · Process Improvement &amp; Quality Mindset</t>
        </is>
      </c>
      <c r="M19" s="12" t="inlineStr">
        <is>
          <t>Core 3 · Future-ready 3 · Functional 3 · Leadership 1</t>
        </is>
      </c>
      <c r="N19" s="12" t="inlineStr">
        <is>
          <t>Internal product certification</t>
        </is>
      </c>
      <c r="O19" s="12" t="inlineStr">
        <is>
          <t>None — only this department</t>
        </is>
      </c>
      <c r="P19" s="17" t="inlineStr">
        <is>
          <r>
            <rPr>
              <rFont val="Calibri"/>
              <sz val="10"/>
            </rPr>
            <t xml:space="preserve">iFile 2
</t>
          </r>
          <r>
            <rPr>
              <rFont val="Calibri"/>
              <b val="1"/>
              <sz val="10"/>
            </rPr>
            <t>Titled there:</t>
          </r>
          <r>
            <rPr>
              <rFont val="Calibri"/>
              <sz val="10"/>
            </rPr>
            <t xml:space="preserve"> Support Specialist</t>
          </r>
        </is>
      </c>
    </row>
    <row r="20" ht="55" customHeight="1">
      <c r="A20" s="12" t="inlineStr">
        <is>
          <t>Functional</t>
        </is>
      </c>
      <c r="B20" s="21" t="inlineStr">
        <is>
          <t>B · Specialist / Manager</t>
        </is>
      </c>
      <c r="C20" s="21" t="inlineStr">
        <is>
          <t>B1</t>
        </is>
      </c>
      <c r="D20" s="12" t="inlineStr">
        <is>
          <t>Specialist · POD Lead</t>
        </is>
      </c>
      <c r="E20" s="12" t="inlineStr">
        <is>
          <t>Customer Success &amp; Support</t>
        </is>
      </c>
      <c r="F20" s="12" t="inlineStr">
        <is>
          <t>Customer Success &amp; Account Management</t>
        </is>
      </c>
      <c r="G20" s="12" t="inlineStr">
        <is>
          <t>Senior Customer Success Specialist – POD Lead</t>
        </is>
      </c>
      <c r="H20" s="12" t="inlineStr">
        <is>
          <t>POD Lead</t>
        </is>
      </c>
      <c r="I20" s="12" t="n">
        <v>1</v>
      </c>
      <c r="J20" s="12" t="inlineStr">
        <is>
          <r>
            <rPr>
              <rFont val="Calibri"/>
              <b val="1"/>
              <sz val="10"/>
            </rPr>
            <t>B1:</t>
          </r>
          <r>
            <rPr>
              <rFont val="Calibri"/>
              <sz val="10"/>
            </rPr>
            <t xml:space="preserve"> Senior Customer Success Specialist – POD Lead</t>
          </r>
        </is>
      </c>
      <c r="K20" s="12" t="inlineStr">
        <is>
          <t>Product, Platform &amp; Domain Knowledge · Stakeholder &amp; Client Management</t>
        </is>
      </c>
      <c r="L20" s="12" t="inlineStr">
        <is>
          <t>Communication &amp; Presentation · Database, SQL &amp; Data Engineering · Regulatory &amp; BFSI Domain · Process Improvement &amp; Quality Mindset</t>
        </is>
      </c>
      <c r="M20" s="12" t="inlineStr">
        <is>
          <t>Core 3 · Future-ready 3 · Functional 3 · Leadership 1</t>
        </is>
      </c>
      <c r="N20" s="12" t="inlineStr">
        <is>
          <t>Internal product certification</t>
        </is>
      </c>
      <c r="O20" s="96" t="inlineStr">
        <is>
          <t>Support</t>
        </is>
      </c>
      <c r="P20" s="12" t="inlineStr">
        <is>
          <t>None — only CARBON</t>
        </is>
      </c>
    </row>
    <row r="21" ht="55" customHeight="1">
      <c r="A21" s="12" t="inlineStr">
        <is>
          <t>Functional</t>
        </is>
      </c>
      <c r="B21" s="21" t="inlineStr">
        <is>
          <t>B · Specialist / Manager</t>
        </is>
      </c>
      <c r="C21" s="21" t="inlineStr">
        <is>
          <t>B1</t>
        </is>
      </c>
      <c r="D21" s="12" t="inlineStr">
        <is>
          <t>Specialist · POD Lead</t>
        </is>
      </c>
      <c r="E21" s="12" t="inlineStr">
        <is>
          <t>Product Management</t>
        </is>
      </c>
      <c r="F21" s="12" t="inlineStr">
        <is>
          <t>Product Management</t>
        </is>
      </c>
      <c r="G21" s="12" t="inlineStr">
        <is>
          <t>Associate Product Manager – POD Lead</t>
        </is>
      </c>
      <c r="H21" s="12" t="inlineStr">
        <is>
          <t>POD Lead</t>
        </is>
      </c>
      <c r="I21" s="12" t="n">
        <v>3</v>
      </c>
      <c r="J21" s="12" t="inlineStr">
        <is>
          <r>
            <rPr>
              <rFont val="Calibri"/>
              <b val="1"/>
              <sz val="10"/>
            </rPr>
            <t>A3:</t>
          </r>
          <r>
            <rPr>
              <rFont val="Calibri"/>
              <sz val="10"/>
            </rPr>
            <t xml:space="preserve"> Senior Product Associate → B1: Associate Product Manager – POD Lead → B2: Product Manager</t>
          </r>
        </is>
      </c>
      <c r="K21" s="12" t="inlineStr">
        <is>
          <t>Product, Platform &amp; Domain Knowledge · Business Analysis &amp; Requirements Engineering</t>
        </is>
      </c>
      <c r="L21" s="12" t="inlineStr">
        <is>
          <t>Data Analytics, BI &amp; Visualisation · Strategic Thinking &amp; Business Acumen · Stakeholder &amp; Client Management · AI, GenAI &amp; Prompt Engineering</t>
        </is>
      </c>
      <c r="M21" s="12" t="inlineStr">
        <is>
          <t>Core 3 · Future-ready 3 · Functional 3 · Leadership 1</t>
        </is>
      </c>
      <c r="N21" s="12" t="inlineStr">
        <is>
          <t>Internal product certification; CBAP / CCBA · optional</t>
        </is>
      </c>
      <c r="O21" s="12" t="inlineStr">
        <is>
          <t>None — only this department</t>
        </is>
      </c>
      <c r="P21" s="17" t="inlineStr">
        <is>
          <r>
            <rPr>
              <rFont val="Calibri"/>
              <sz val="10"/>
            </rPr>
            <t xml:space="preserve">Datatech 2
</t>
          </r>
          <r>
            <rPr>
              <rFont val="Calibri"/>
              <b val="1"/>
              <sz val="10"/>
            </rPr>
            <t>Titled there:</t>
          </r>
          <r>
            <rPr>
              <rFont val="Calibri"/>
              <sz val="10"/>
            </rPr>
            <t xml:space="preserve"> Associate Product Manager</t>
          </r>
        </is>
      </c>
    </row>
    <row r="22" ht="68" customHeight="1">
      <c r="A22" s="12" t="inlineStr">
        <is>
          <t>Functional</t>
        </is>
      </c>
      <c r="B22" s="21" t="inlineStr">
        <is>
          <t>B · Specialist / Manager</t>
        </is>
      </c>
      <c r="C22" s="21" t="inlineStr">
        <is>
          <t>B1</t>
        </is>
      </c>
      <c r="D22" s="12" t="inlineStr">
        <is>
          <t>Specialist</t>
        </is>
      </c>
      <c r="E22" s="12" t="inlineStr">
        <is>
          <t>Solution Consulting &amp; Implementation</t>
        </is>
      </c>
      <c r="F22" s="12" t="inlineStr">
        <is>
          <t>Solution Consulting &amp; Implementation</t>
        </is>
      </c>
      <c r="G22" s="12" t="inlineStr">
        <is>
          <t>Functional Specialist</t>
        </is>
      </c>
      <c r="H22" s="12" t="inlineStr">
        <is>
          <t>IC</t>
        </is>
      </c>
      <c r="I22" s="12" t="n">
        <v>4</v>
      </c>
      <c r="J22" s="12" t="inlineStr">
        <is>
          <r>
            <rPr>
              <rFont val="Calibri"/>
              <b val="1"/>
              <sz val="10"/>
            </rPr>
            <t>A3:</t>
          </r>
          <r>
            <rPr>
              <rFont val="Calibri"/>
              <sz val="10"/>
            </rPr>
            <t xml:space="preserve"> Senior Functional Analyst → B1: Functional Specialist / Functional Specialist – POD Lead → B2: Senior Functional Specialist</t>
          </r>
        </is>
      </c>
      <c r="K22" s="12" t="inlineStr">
        <is>
          <t>Product, Platform &amp; Domain Knowledge · ESG &amp; Sustainability</t>
        </is>
      </c>
      <c r="L22" s="12" t="inlineStr">
        <is>
          <t>Stakeholder &amp; Client Management · Communication &amp; Presentation · Business Analysis &amp; Requirements Engineering · Project, Program &amp; Agile Management</t>
        </is>
      </c>
      <c r="M22" s="12" t="inlineStr">
        <is>
          <t>Core 3 · Future-ready 3 · Functional 3 · Leadership 1</t>
        </is>
      </c>
      <c r="N22" s="12" t="inlineStr">
        <is>
          <t>Internal product certification; GRI / SASB / ESG certificates</t>
        </is>
      </c>
      <c r="O22" s="12" t="inlineStr">
        <is>
          <t>None — only this department</t>
        </is>
      </c>
      <c r="P22" s="12" t="inlineStr">
        <is>
          <t>None — only CARBON</t>
        </is>
      </c>
    </row>
    <row r="23" ht="68" customHeight="1">
      <c r="A23" s="12" t="inlineStr">
        <is>
          <t>Functional</t>
        </is>
      </c>
      <c r="B23" s="21" t="inlineStr">
        <is>
          <t>B · Specialist / Manager</t>
        </is>
      </c>
      <c r="C23" s="21" t="inlineStr">
        <is>
          <t>B1</t>
        </is>
      </c>
      <c r="D23" s="12" t="inlineStr">
        <is>
          <t>Specialist · POD Lead</t>
        </is>
      </c>
      <c r="E23" s="12" t="inlineStr">
        <is>
          <t>Solution Consulting &amp; Implementation</t>
        </is>
      </c>
      <c r="F23" s="12" t="inlineStr">
        <is>
          <t>Solution Consulting &amp; Implementation</t>
        </is>
      </c>
      <c r="G23" s="12" t="inlineStr">
        <is>
          <t>Functional Specialist – POD Lead</t>
        </is>
      </c>
      <c r="H23" s="12" t="inlineStr">
        <is>
          <t>POD Lead</t>
        </is>
      </c>
      <c r="I23" s="12" t="n">
        <v>1</v>
      </c>
      <c r="J23" s="12" t="inlineStr">
        <is>
          <r>
            <rPr>
              <rFont val="Calibri"/>
              <b val="1"/>
              <sz val="10"/>
            </rPr>
            <t>A3:</t>
          </r>
          <r>
            <rPr>
              <rFont val="Calibri"/>
              <sz val="10"/>
            </rPr>
            <t xml:space="preserve"> Senior Functional Analyst → B1: Functional Specialist / Functional Specialist – POD Lead → B2: Senior Functional Specialist</t>
          </r>
        </is>
      </c>
      <c r="K23" s="12" t="inlineStr">
        <is>
          <t>Product, Platform &amp; Domain Knowledge · ESG &amp; Sustainability</t>
        </is>
      </c>
      <c r="L23" s="12" t="inlineStr">
        <is>
          <t>Stakeholder &amp; Client Management · Communication &amp; Presentation · Business Analysis &amp; Requirements Engineering · Project, Program &amp; Agile Management</t>
        </is>
      </c>
      <c r="M23" s="12" t="inlineStr">
        <is>
          <t>Core 3 · Future-ready 3 · Functional 3 · Leadership 1</t>
        </is>
      </c>
      <c r="N23" s="12" t="inlineStr">
        <is>
          <t>Internal product certification; GRI / SASB / ESG certificates</t>
        </is>
      </c>
      <c r="O23" s="12" t="inlineStr">
        <is>
          <t>None — only this department</t>
        </is>
      </c>
      <c r="P23" s="12" t="inlineStr">
        <is>
          <t>None — only CARBON</t>
        </is>
      </c>
    </row>
    <row r="24" ht="55" customHeight="1">
      <c r="A24" s="12" t="inlineStr">
        <is>
          <t>Functional</t>
        </is>
      </c>
      <c r="B24" s="21" t="inlineStr">
        <is>
          <t>B · Specialist / Manager</t>
        </is>
      </c>
      <c r="C24" s="21" t="inlineStr">
        <is>
          <t>B2</t>
        </is>
      </c>
      <c r="D24" s="12" t="inlineStr">
        <is>
          <t>Manager</t>
        </is>
      </c>
      <c r="E24" s="12" t="inlineStr">
        <is>
          <t>Product Management</t>
        </is>
      </c>
      <c r="F24" s="12" t="inlineStr">
        <is>
          <t>Product Management</t>
        </is>
      </c>
      <c r="G24" s="12" t="inlineStr">
        <is>
          <t>Product Manager</t>
        </is>
      </c>
      <c r="H24" s="12" t="inlineStr">
        <is>
          <t>People Manager</t>
        </is>
      </c>
      <c r="I24" s="12" t="n">
        <v>1</v>
      </c>
      <c r="J24" s="12" t="inlineStr">
        <is>
          <r>
            <rPr>
              <rFont val="Calibri"/>
              <b val="1"/>
              <sz val="10"/>
            </rPr>
            <t>A3:</t>
          </r>
          <r>
            <rPr>
              <rFont val="Calibri"/>
              <sz val="10"/>
            </rPr>
            <t xml:space="preserve"> Senior Product Associate → B1: Associate Product Manager – POD Lead → B2: Product Manager</t>
          </r>
        </is>
      </c>
      <c r="K24" s="12" t="inlineStr">
        <is>
          <t>Product, Platform &amp; Domain Knowledge · Business Analysis &amp; Requirements Engineering</t>
        </is>
      </c>
      <c r="L24" s="12" t="inlineStr">
        <is>
          <t>Data Analytics, BI &amp; Visualisation · Strategic Thinking &amp; Business Acumen · Stakeholder &amp; Client Management · AI, GenAI &amp; Prompt Engineering</t>
        </is>
      </c>
      <c r="M24" s="12" t="inlineStr">
        <is>
          <t>Core 3 · Future-ready 3 · Functional 4 · Leadership 3</t>
        </is>
      </c>
      <c r="N24" s="12" t="inlineStr">
        <is>
          <t>Internal product certification; CBAP / CCBA · optional</t>
        </is>
      </c>
      <c r="O24" s="12" t="inlineStr">
        <is>
          <t>None — only this department</t>
        </is>
      </c>
      <c r="P24" s="17" t="inlineStr">
        <is>
          <t>Datatech 3 · iDEAL 2
Same title</t>
        </is>
      </c>
    </row>
    <row r="25" ht="68" customHeight="1">
      <c r="A25" s="12" t="inlineStr">
        <is>
          <t>Functional</t>
        </is>
      </c>
      <c r="B25" s="21" t="inlineStr">
        <is>
          <t>B · Specialist / Manager</t>
        </is>
      </c>
      <c r="C25" s="21" t="inlineStr">
        <is>
          <t>B2</t>
        </is>
      </c>
      <c r="D25" s="12" t="inlineStr">
        <is>
          <t>Senior Specialist</t>
        </is>
      </c>
      <c r="E25" s="12" t="inlineStr">
        <is>
          <t>Solution Consulting &amp; Implementation</t>
        </is>
      </c>
      <c r="F25" s="12" t="inlineStr">
        <is>
          <t>Solution Consulting &amp; Implementation</t>
        </is>
      </c>
      <c r="G25" s="12" t="inlineStr">
        <is>
          <t>Senior Functional Specialist</t>
        </is>
      </c>
      <c r="H25" s="12" t="inlineStr">
        <is>
          <t>IC</t>
        </is>
      </c>
      <c r="I25" s="12" t="n">
        <v>1</v>
      </c>
      <c r="J25" s="12" t="inlineStr">
        <is>
          <r>
            <rPr>
              <rFont val="Calibri"/>
              <b val="1"/>
              <sz val="10"/>
            </rPr>
            <t>A3:</t>
          </r>
          <r>
            <rPr>
              <rFont val="Calibri"/>
              <sz val="10"/>
            </rPr>
            <t xml:space="preserve"> Senior Functional Analyst → B1: Functional Specialist / Functional Specialist – POD Lead → B2: Senior Functional Specialist</t>
          </r>
        </is>
      </c>
      <c r="K25" s="12" t="inlineStr">
        <is>
          <t>Product, Platform &amp; Domain Knowledge · ESG &amp; Sustainability</t>
        </is>
      </c>
      <c r="L25" s="12" t="inlineStr">
        <is>
          <t>Stakeholder &amp; Client Management · Communication &amp; Presentation · Business Analysis &amp; Requirements Engineering · Project, Program &amp; Agile Management</t>
        </is>
      </c>
      <c r="M25" s="12" t="inlineStr">
        <is>
          <t>Core 3 · Future-ready 3 · Functional 4 · Leadership 2</t>
        </is>
      </c>
      <c r="N25" s="12" t="inlineStr">
        <is>
          <t>Internal product certification; GRI / SASB / ESG certificates</t>
        </is>
      </c>
      <c r="O25" s="12" t="inlineStr">
        <is>
          <t>None — only this department</t>
        </is>
      </c>
      <c r="P25" s="12" t="inlineStr">
        <is>
          <t>None — only CARBON</t>
        </is>
      </c>
    </row>
    <row r="26" ht="81" customHeight="1">
      <c r="A26" s="12" t="inlineStr">
        <is>
          <t>Marketing</t>
        </is>
      </c>
      <c r="B26" s="17" t="inlineStr">
        <is>
          <t>A · Practitioner</t>
        </is>
      </c>
      <c r="C26" s="17" t="inlineStr">
        <is>
          <t>A1</t>
        </is>
      </c>
      <c r="D26" s="12" t="inlineStr">
        <is>
          <t>Intern / Trainee</t>
        </is>
      </c>
      <c r="E26" s="12" t="inlineStr">
        <is>
          <t>Sales &amp; Business Development</t>
        </is>
      </c>
      <c r="F26" s="12" t="inlineStr">
        <is>
          <t>Sales Development &amp; Prospecting</t>
        </is>
      </c>
      <c r="G26" s="12" t="inlineStr">
        <is>
          <t>Intern – Sales Development &amp; Prospecting</t>
        </is>
      </c>
      <c r="H26" s="12" t="inlineStr">
        <is>
          <t>IC</t>
        </is>
      </c>
      <c r="I26" s="12" t="n">
        <v>3</v>
      </c>
      <c r="J26" s="12"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26" s="12" t="inlineStr">
        <is>
          <t>Sales, Negotiation &amp; Account Growth · Marketing Tech &amp; Digital Marketing</t>
        </is>
      </c>
      <c r="L26" s="12" t="inlineStr">
        <is>
          <t>Stakeholder &amp; Client Management · Communication &amp; Presentation · Product, Platform &amp; Domain Knowledge · Strategic Thinking &amp; Business Acumen</t>
        </is>
      </c>
      <c r="M26" s="12" t="inlineStr">
        <is>
          <t>Core 1 · Future-ready 1 · Functional 1 · Leadership —</t>
        </is>
      </c>
      <c r="N26" s="12" t="inlineStr">
        <is>
          <t>Google / HubSpot certifications</t>
        </is>
      </c>
      <c r="O26" s="12" t="inlineStr">
        <is>
          <t>None — only this department</t>
        </is>
      </c>
      <c r="P26" s="12" t="inlineStr">
        <is>
          <t>None — only CARBON</t>
        </is>
      </c>
    </row>
    <row r="27" ht="68" customHeight="1">
      <c r="A27" s="12" t="inlineStr">
        <is>
          <t>Marketing</t>
        </is>
      </c>
      <c r="B27" s="17" t="inlineStr">
        <is>
          <t>A · Practitioner</t>
        </is>
      </c>
      <c r="C27" s="17" t="inlineStr">
        <is>
          <t>A2</t>
        </is>
      </c>
      <c r="D27" s="12" t="inlineStr">
        <is>
          <t>Associate</t>
        </is>
      </c>
      <c r="E27" s="12" t="inlineStr">
        <is>
          <t>Marketing &amp; Communications</t>
        </is>
      </c>
      <c r="F27" s="12" t="inlineStr">
        <is>
          <t>Content Marketing</t>
        </is>
      </c>
      <c r="G27" s="12" t="inlineStr">
        <is>
          <t>Content Marketing Associate</t>
        </is>
      </c>
      <c r="H27" s="12" t="inlineStr">
        <is>
          <t>IC</t>
        </is>
      </c>
      <c r="I27" s="12" t="n">
        <v>4</v>
      </c>
      <c r="J27" s="12" t="inlineStr">
        <is>
          <r>
            <rPr>
              <rFont val="Calibri"/>
              <b val="1"/>
              <sz val="10"/>
            </rPr>
            <t>A2:</t>
          </r>
          <r>
            <rPr>
              <rFont val="Calibri"/>
              <sz val="10"/>
            </rPr>
            <t xml:space="preserve"> Content Marketing Associate → A3: Senior Content Marketing Associate</t>
          </r>
        </is>
      </c>
      <c r="K27" s="12" t="inlineStr">
        <is>
          <t>Marketing Tech &amp; Digital Marketing · Communication &amp; Presentation</t>
        </is>
      </c>
      <c r="L27" s="12" t="inlineStr">
        <is>
          <t>Data Analytics, BI &amp; Visualisation · AI, GenAI &amp; Prompt Engineering · Product, Platform &amp; Domain Knowledge · Strategic Thinking &amp; Business Acumen</t>
        </is>
      </c>
      <c r="M27" s="12" t="inlineStr">
        <is>
          <t>Core 2 · Future-ready 2 · Functional 2 · Leadership —</t>
        </is>
      </c>
      <c r="N27" s="12" t="inlineStr">
        <is>
          <t>Google / HubSpot certifications</t>
        </is>
      </c>
      <c r="O27" s="12" t="inlineStr">
        <is>
          <t>None — only this department</t>
        </is>
      </c>
      <c r="P27" s="17" t="inlineStr">
        <is>
          <t>iDEAL 1
Same title</t>
        </is>
      </c>
    </row>
    <row r="28" ht="68" customHeight="1">
      <c r="A28" s="12" t="inlineStr">
        <is>
          <t>Marketing</t>
        </is>
      </c>
      <c r="B28" s="17" t="inlineStr">
        <is>
          <t>A · Practitioner</t>
        </is>
      </c>
      <c r="C28" s="17" t="inlineStr">
        <is>
          <t>A2</t>
        </is>
      </c>
      <c r="D28" s="12" t="inlineStr">
        <is>
          <t>Associate</t>
        </is>
      </c>
      <c r="E28" s="12" t="inlineStr">
        <is>
          <t>Marketing &amp; Communications</t>
        </is>
      </c>
      <c r="F28" s="12" t="inlineStr">
        <is>
          <t>Demand Generation, Brand &amp; Events</t>
        </is>
      </c>
      <c r="G28" s="12" t="inlineStr">
        <is>
          <t>Marketing Associate</t>
        </is>
      </c>
      <c r="H28" s="12" t="inlineStr">
        <is>
          <t>IC</t>
        </is>
      </c>
      <c r="I28" s="12" t="n">
        <v>1</v>
      </c>
      <c r="J28" s="12" t="inlineStr">
        <is>
          <r>
            <rPr>
              <rFont val="Calibri"/>
              <b val="1"/>
              <sz val="10"/>
            </rPr>
            <t>A2:</t>
          </r>
          <r>
            <rPr>
              <rFont val="Calibri"/>
              <sz val="10"/>
            </rPr>
            <t xml:space="preserve"> Marketing Associate → B2: Marketing Manager / Senior Marketing Specialist – POD Lead</t>
          </r>
        </is>
      </c>
      <c r="K28" s="12" t="inlineStr">
        <is>
          <t>Marketing Tech &amp; Digital Marketing · Communication &amp; Presentation</t>
        </is>
      </c>
      <c r="L28" s="12" t="inlineStr">
        <is>
          <t>Data Analytics, BI &amp; Visualisation · AI, GenAI &amp; Prompt Engineering · Product, Platform &amp; Domain Knowledge · Strategic Thinking &amp; Business Acumen</t>
        </is>
      </c>
      <c r="M28" s="12" t="inlineStr">
        <is>
          <t>Core 2 · Future-ready 2 · Functional 2 · Leadership —</t>
        </is>
      </c>
      <c r="N28" s="12" t="inlineStr">
        <is>
          <t>Google / HubSpot certifications</t>
        </is>
      </c>
      <c r="O28" s="12" t="inlineStr">
        <is>
          <t>None — only this department</t>
        </is>
      </c>
      <c r="P28" s="12" t="inlineStr">
        <is>
          <t>None — only CARBON</t>
        </is>
      </c>
    </row>
    <row r="29" ht="68" customHeight="1">
      <c r="A29" s="12" t="inlineStr">
        <is>
          <t>Marketing</t>
        </is>
      </c>
      <c r="B29" s="17" t="inlineStr">
        <is>
          <t>A · Practitioner</t>
        </is>
      </c>
      <c r="C29" s="17" t="inlineStr">
        <is>
          <t>A2</t>
        </is>
      </c>
      <c r="D29" s="12" t="inlineStr">
        <is>
          <t>Associate</t>
        </is>
      </c>
      <c r="E29" s="12" t="inlineStr">
        <is>
          <t>Marketing &amp; Communications</t>
        </is>
      </c>
      <c r="F29" s="12" t="inlineStr">
        <is>
          <t>Marketing Operations &amp; Automation</t>
        </is>
      </c>
      <c r="G29" s="12" t="inlineStr">
        <is>
          <t>Marketing Operations Associate</t>
        </is>
      </c>
      <c r="H29" s="12" t="inlineStr">
        <is>
          <t>IC</t>
        </is>
      </c>
      <c r="I29" s="12" t="n">
        <v>3</v>
      </c>
      <c r="J29" s="12" t="inlineStr">
        <is>
          <r>
            <rPr>
              <rFont val="Calibri"/>
              <b val="1"/>
              <sz val="10"/>
            </rPr>
            <t>A2:</t>
          </r>
          <r>
            <rPr>
              <rFont val="Calibri"/>
              <sz val="10"/>
            </rPr>
            <t xml:space="preserve"> Marketing Operations Associate → A3: Senior Marketing Operations Associate</t>
          </r>
        </is>
      </c>
      <c r="K29" s="12" t="inlineStr">
        <is>
          <t>Marketing Tech &amp; Digital Marketing · Communication &amp; Presentation</t>
        </is>
      </c>
      <c r="L29" s="12" t="inlineStr">
        <is>
          <t>Data Analytics, BI &amp; Visualisation · AI, GenAI &amp; Prompt Engineering · Product, Platform &amp; Domain Knowledge · Strategic Thinking &amp; Business Acumen</t>
        </is>
      </c>
      <c r="M29" s="12" t="inlineStr">
        <is>
          <t>Core 2 · Future-ready 2 · Functional 2 · Leadership —</t>
        </is>
      </c>
      <c r="N29" s="12" t="inlineStr">
        <is>
          <t>Google / HubSpot certifications</t>
        </is>
      </c>
      <c r="O29" s="12" t="inlineStr">
        <is>
          <t>None — only this department</t>
        </is>
      </c>
      <c r="P29" s="12" t="inlineStr">
        <is>
          <t>None — only CARBON</t>
        </is>
      </c>
    </row>
    <row r="30" ht="81" customHeight="1">
      <c r="A30" s="12" t="inlineStr">
        <is>
          <t>Marketing</t>
        </is>
      </c>
      <c r="B30" s="17" t="inlineStr">
        <is>
          <t>A · Practitioner</t>
        </is>
      </c>
      <c r="C30" s="17" t="inlineStr">
        <is>
          <t>A2</t>
        </is>
      </c>
      <c r="D30" s="12" t="inlineStr">
        <is>
          <t>Associate</t>
        </is>
      </c>
      <c r="E30" s="12" t="inlineStr">
        <is>
          <t>Sales &amp; Business Development</t>
        </is>
      </c>
      <c r="F30" s="12" t="inlineStr">
        <is>
          <t>Sales Development &amp; Prospecting</t>
        </is>
      </c>
      <c r="G30" s="12" t="inlineStr">
        <is>
          <t>Sales Development Representative</t>
        </is>
      </c>
      <c r="H30" s="12" t="inlineStr">
        <is>
          <t>IC</t>
        </is>
      </c>
      <c r="I30" s="12" t="n">
        <v>5</v>
      </c>
      <c r="J30" s="12"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0" s="12" t="inlineStr">
        <is>
          <t>Sales, Negotiation &amp; Account Growth · Marketing Tech &amp; Digital Marketing</t>
        </is>
      </c>
      <c r="L30" s="12" t="inlineStr">
        <is>
          <t>Stakeholder &amp; Client Management · Communication &amp; Presentation · Product, Platform &amp; Domain Knowledge · Strategic Thinking &amp; Business Acumen</t>
        </is>
      </c>
      <c r="M30" s="12" t="inlineStr">
        <is>
          <t>Core 2 · Future-ready 2 · Functional 2 · Leadership —</t>
        </is>
      </c>
      <c r="N30" s="12" t="inlineStr">
        <is>
          <t>Google / HubSpot certifications</t>
        </is>
      </c>
      <c r="O30" s="12" t="inlineStr">
        <is>
          <t>None — only this department</t>
        </is>
      </c>
      <c r="P30" s="12" t="inlineStr">
        <is>
          <t>None — only CARBON</t>
        </is>
      </c>
    </row>
    <row r="31" ht="68" customHeight="1">
      <c r="A31" s="12" t="inlineStr">
        <is>
          <t>Marketing</t>
        </is>
      </c>
      <c r="B31" s="17" t="inlineStr">
        <is>
          <t>A · Practitioner</t>
        </is>
      </c>
      <c r="C31" s="17" t="inlineStr">
        <is>
          <t>A3</t>
        </is>
      </c>
      <c r="D31" s="12" t="inlineStr">
        <is>
          <t>Senior Associate</t>
        </is>
      </c>
      <c r="E31" s="12" t="inlineStr">
        <is>
          <t>Design &amp; Creative</t>
        </is>
      </c>
      <c r="F31" s="12" t="inlineStr">
        <is>
          <t>Brand, Graphic &amp; Video Design</t>
        </is>
      </c>
      <c r="G31" s="12" t="inlineStr">
        <is>
          <t>Senior Designer</t>
        </is>
      </c>
      <c r="H31" s="12" t="inlineStr">
        <is>
          <t>IC</t>
        </is>
      </c>
      <c r="I31" s="12" t="n">
        <v>1</v>
      </c>
      <c r="J31" s="12" t="inlineStr">
        <is>
          <r>
            <rPr>
              <rFont val="Calibri"/>
              <b val="1"/>
              <sz val="10"/>
            </rPr>
            <t>A3:</t>
          </r>
          <r>
            <rPr>
              <rFont val="Calibri"/>
              <sz val="10"/>
            </rPr>
            <t xml:space="preserve"> Senior Designer → B1: Design Specialist – POD Lead</t>
          </r>
        </is>
      </c>
      <c r="K31" s="12" t="inlineStr">
        <is>
          <t>Product, Platform &amp; Domain Knowledge · Communication &amp; Presentation</t>
        </is>
      </c>
      <c r="L31" s="12" t="inlineStr">
        <is>
          <t>Marketing Tech &amp; Digital Marketing · Process Improvement &amp; Quality Mindset · AI, GenAI &amp; Prompt Engineering · Stakeholder &amp; Client Management</t>
        </is>
      </c>
      <c r="M31" s="12" t="inlineStr">
        <is>
          <t>Core 2 · Future-ready 2 · Functional 3 · Leadership —</t>
        </is>
      </c>
      <c r="N31" s="12" t="inlineStr">
        <is>
          <t>Internal product certification</t>
        </is>
      </c>
      <c r="O31" s="12" t="inlineStr">
        <is>
          <t>None — only this department</t>
        </is>
      </c>
      <c r="P31" s="17" t="inlineStr">
        <is>
          <t>Corporate 1
Same title</t>
        </is>
      </c>
    </row>
    <row r="32" ht="68" customHeight="1">
      <c r="A32" s="12" t="inlineStr">
        <is>
          <t>Marketing</t>
        </is>
      </c>
      <c r="B32" s="17" t="inlineStr">
        <is>
          <t>A · Practitioner</t>
        </is>
      </c>
      <c r="C32" s="17" t="inlineStr">
        <is>
          <t>A3</t>
        </is>
      </c>
      <c r="D32" s="12" t="inlineStr">
        <is>
          <t>Senior Associate</t>
        </is>
      </c>
      <c r="E32" s="12" t="inlineStr">
        <is>
          <t>Marketing &amp; Communications</t>
        </is>
      </c>
      <c r="F32" s="12" t="inlineStr">
        <is>
          <t>Content Marketing</t>
        </is>
      </c>
      <c r="G32" s="12" t="inlineStr">
        <is>
          <t>Senior Content Marketing Associate</t>
        </is>
      </c>
      <c r="H32" s="12" t="inlineStr">
        <is>
          <t>IC</t>
        </is>
      </c>
      <c r="I32" s="12" t="n">
        <v>1</v>
      </c>
      <c r="J32" s="12" t="inlineStr">
        <is>
          <r>
            <rPr>
              <rFont val="Calibri"/>
              <b val="1"/>
              <sz val="10"/>
            </rPr>
            <t>A2:</t>
          </r>
          <r>
            <rPr>
              <rFont val="Calibri"/>
              <sz val="10"/>
            </rPr>
            <t xml:space="preserve"> Content Marketing Associate → A3: Senior Content Marketing Associate</t>
          </r>
        </is>
      </c>
      <c r="K32" s="12" t="inlineStr">
        <is>
          <t>Marketing Tech &amp; Digital Marketing · Communication &amp; Presentation</t>
        </is>
      </c>
      <c r="L32" s="12" t="inlineStr">
        <is>
          <t>Data Analytics, BI &amp; Visualisation · AI, GenAI &amp; Prompt Engineering · Product, Platform &amp; Domain Knowledge · Strategic Thinking &amp; Business Acumen</t>
        </is>
      </c>
      <c r="M32" s="12" t="inlineStr">
        <is>
          <t>Core 2 · Future-ready 2 · Functional 3 · Leadership —</t>
        </is>
      </c>
      <c r="N32" s="12" t="inlineStr">
        <is>
          <t>Google / HubSpot certifications</t>
        </is>
      </c>
      <c r="O32" s="12" t="inlineStr">
        <is>
          <t>None — only this department</t>
        </is>
      </c>
      <c r="P32" s="17" t="inlineStr">
        <is>
          <t>Datatech 1
Same title</t>
        </is>
      </c>
    </row>
    <row r="33" ht="68" customHeight="1">
      <c r="A33" s="12" t="inlineStr">
        <is>
          <t>Marketing</t>
        </is>
      </c>
      <c r="B33" s="17" t="inlineStr">
        <is>
          <t>A · Practitioner</t>
        </is>
      </c>
      <c r="C33" s="17" t="inlineStr">
        <is>
          <t>A3</t>
        </is>
      </c>
      <c r="D33" s="12" t="inlineStr">
        <is>
          <t>Senior Associate</t>
        </is>
      </c>
      <c r="E33" s="12" t="inlineStr">
        <is>
          <t>Marketing &amp; Communications</t>
        </is>
      </c>
      <c r="F33" s="12" t="inlineStr">
        <is>
          <t>Digital Marketing, Web &amp; Social</t>
        </is>
      </c>
      <c r="G33" s="12" t="inlineStr">
        <is>
          <t>Senior Digital Marketing Associate</t>
        </is>
      </c>
      <c r="H33" s="12" t="inlineStr">
        <is>
          <t>IC</t>
        </is>
      </c>
      <c r="I33" s="12" t="n">
        <v>1</v>
      </c>
      <c r="J33" s="12" t="inlineStr">
        <is>
          <r>
            <rPr>
              <rFont val="Calibri"/>
              <b val="1"/>
              <sz val="10"/>
            </rPr>
            <t>A3:</t>
          </r>
          <r>
            <rPr>
              <rFont val="Calibri"/>
              <sz val="10"/>
            </rPr>
            <t xml:space="preserve"> Senior Digital Marketing Associate</t>
          </r>
        </is>
      </c>
      <c r="K33" s="12" t="inlineStr">
        <is>
          <t>Marketing Tech &amp; Digital Marketing · Communication &amp; Presentation</t>
        </is>
      </c>
      <c r="L33" s="12" t="inlineStr">
        <is>
          <t>Data Analytics, BI &amp; Visualisation · AI, GenAI &amp; Prompt Engineering · Product, Platform &amp; Domain Knowledge · Strategic Thinking &amp; Business Acumen</t>
        </is>
      </c>
      <c r="M33" s="12" t="inlineStr">
        <is>
          <t>Core 2 · Future-ready 2 · Functional 3 · Leadership —</t>
        </is>
      </c>
      <c r="N33" s="12" t="inlineStr">
        <is>
          <t>Google / HubSpot certifications</t>
        </is>
      </c>
      <c r="O33" s="12" t="inlineStr">
        <is>
          <t>None — only this department</t>
        </is>
      </c>
      <c r="P33" s="17" t="inlineStr">
        <is>
          <t>Datatech 1
Same title</t>
        </is>
      </c>
    </row>
    <row r="34" ht="68" customHeight="1">
      <c r="A34" s="12" t="inlineStr">
        <is>
          <t>Marketing</t>
        </is>
      </c>
      <c r="B34" s="17" t="inlineStr">
        <is>
          <t>A · Practitioner</t>
        </is>
      </c>
      <c r="C34" s="17" t="inlineStr">
        <is>
          <t>A3</t>
        </is>
      </c>
      <c r="D34" s="12" t="inlineStr">
        <is>
          <t>Senior Associate</t>
        </is>
      </c>
      <c r="E34" s="12" t="inlineStr">
        <is>
          <t>Marketing &amp; Communications</t>
        </is>
      </c>
      <c r="F34" s="12" t="inlineStr">
        <is>
          <t>Marketing Operations &amp; Automation</t>
        </is>
      </c>
      <c r="G34" s="12" t="inlineStr">
        <is>
          <t>Senior Marketing Operations Associate</t>
        </is>
      </c>
      <c r="H34" s="12" t="inlineStr">
        <is>
          <t>IC</t>
        </is>
      </c>
      <c r="I34" s="12" t="n">
        <v>1</v>
      </c>
      <c r="J34" s="12" t="inlineStr">
        <is>
          <r>
            <rPr>
              <rFont val="Calibri"/>
              <b val="1"/>
              <sz val="10"/>
            </rPr>
            <t>A2:</t>
          </r>
          <r>
            <rPr>
              <rFont val="Calibri"/>
              <sz val="10"/>
            </rPr>
            <t xml:space="preserve"> Marketing Operations Associate → A3: Senior Marketing Operations Associate</t>
          </r>
        </is>
      </c>
      <c r="K34" s="12" t="inlineStr">
        <is>
          <t>Marketing Tech &amp; Digital Marketing · Communication &amp; Presentation</t>
        </is>
      </c>
      <c r="L34" s="12" t="inlineStr">
        <is>
          <t>Data Analytics, BI &amp; Visualisation · AI, GenAI &amp; Prompt Engineering · Product, Platform &amp; Domain Knowledge · Strategic Thinking &amp; Business Acumen</t>
        </is>
      </c>
      <c r="M34" s="12" t="inlineStr">
        <is>
          <t>Core 2 · Future-ready 2 · Functional 3 · Leadership —</t>
        </is>
      </c>
      <c r="N34" s="12" t="inlineStr">
        <is>
          <t>Google / HubSpot certifications</t>
        </is>
      </c>
      <c r="O34" s="12" t="inlineStr">
        <is>
          <t>None — only this department</t>
        </is>
      </c>
      <c r="P34" s="17" t="inlineStr">
        <is>
          <t>iFile 1 · Corporate 1
Same title</t>
        </is>
      </c>
    </row>
    <row r="35" ht="81" customHeight="1">
      <c r="A35" s="12" t="inlineStr">
        <is>
          <t>Marketing</t>
        </is>
      </c>
      <c r="B35" s="17" t="inlineStr">
        <is>
          <t>A · Practitioner</t>
        </is>
      </c>
      <c r="C35" s="17" t="inlineStr">
        <is>
          <t>A3</t>
        </is>
      </c>
      <c r="D35" s="12" t="inlineStr">
        <is>
          <t>Senior Associate</t>
        </is>
      </c>
      <c r="E35" s="12" t="inlineStr">
        <is>
          <t>Sales &amp; Business Development</t>
        </is>
      </c>
      <c r="F35" s="12" t="inlineStr">
        <is>
          <t>Sales Development &amp; Prospecting</t>
        </is>
      </c>
      <c r="G35" s="12" t="inlineStr">
        <is>
          <t>Senior Sales Development Representative</t>
        </is>
      </c>
      <c r="H35" s="12" t="inlineStr">
        <is>
          <t>IC</t>
        </is>
      </c>
      <c r="I35" s="12" t="n">
        <v>3</v>
      </c>
      <c r="J35" s="12"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5" s="12" t="inlineStr">
        <is>
          <t>Sales, Negotiation &amp; Account Growth · Marketing Tech &amp; Digital Marketing</t>
        </is>
      </c>
      <c r="L35" s="12" t="inlineStr">
        <is>
          <t>Stakeholder &amp; Client Management · Communication &amp; Presentation · Product, Platform &amp; Domain Knowledge · Strategic Thinking &amp; Business Acumen</t>
        </is>
      </c>
      <c r="M35" s="12" t="inlineStr">
        <is>
          <t>Core 2 · Future-ready 2 · Functional 3 · Leadership —</t>
        </is>
      </c>
      <c r="N35" s="12" t="inlineStr">
        <is>
          <t>Google / HubSpot certifications</t>
        </is>
      </c>
      <c r="O35" s="12" t="inlineStr">
        <is>
          <t>None — only this department</t>
        </is>
      </c>
      <c r="P35" s="12" t="inlineStr">
        <is>
          <t>None — only CARBON</t>
        </is>
      </c>
    </row>
    <row r="36" ht="68" customHeight="1">
      <c r="A36" s="12" t="inlineStr">
        <is>
          <t>Marketing</t>
        </is>
      </c>
      <c r="B36" s="21" t="inlineStr">
        <is>
          <t>B · Specialist / Manager</t>
        </is>
      </c>
      <c r="C36" s="21" t="inlineStr">
        <is>
          <t>B1</t>
        </is>
      </c>
      <c r="D36" s="12" t="inlineStr">
        <is>
          <t>Specialist · POD Lead</t>
        </is>
      </c>
      <c r="E36" s="12" t="inlineStr">
        <is>
          <t>Design &amp; Creative</t>
        </is>
      </c>
      <c r="F36" s="12" t="inlineStr">
        <is>
          <t>Brand, Graphic &amp; Video Design</t>
        </is>
      </c>
      <c r="G36" s="12" t="inlineStr">
        <is>
          <t>Design Specialist – POD Lead</t>
        </is>
      </c>
      <c r="H36" s="12" t="inlineStr">
        <is>
          <t>POD Lead</t>
        </is>
      </c>
      <c r="I36" s="12" t="n">
        <v>1</v>
      </c>
      <c r="J36" s="12" t="inlineStr">
        <is>
          <r>
            <rPr>
              <rFont val="Calibri"/>
              <b val="1"/>
              <sz val="10"/>
            </rPr>
            <t>A3:</t>
          </r>
          <r>
            <rPr>
              <rFont val="Calibri"/>
              <sz val="10"/>
            </rPr>
            <t xml:space="preserve"> Senior Designer → B1: Design Specialist – POD Lead</t>
          </r>
        </is>
      </c>
      <c r="K36" s="12" t="inlineStr">
        <is>
          <t>Product, Platform &amp; Domain Knowledge · Communication &amp; Presentation</t>
        </is>
      </c>
      <c r="L36" s="12" t="inlineStr">
        <is>
          <t>Marketing Tech &amp; Digital Marketing · Process Improvement &amp; Quality Mindset · AI, GenAI &amp; Prompt Engineering · Stakeholder &amp; Client Management</t>
        </is>
      </c>
      <c r="M36" s="12" t="inlineStr">
        <is>
          <t>Core 3 · Future-ready 3 · Functional 3 · Leadership 1</t>
        </is>
      </c>
      <c r="N36" s="12" t="inlineStr">
        <is>
          <t>Internal product certification</t>
        </is>
      </c>
      <c r="O36" s="12" t="inlineStr">
        <is>
          <t>None — only this department</t>
        </is>
      </c>
      <c r="P36" s="12" t="inlineStr">
        <is>
          <t>None — only CARBON</t>
        </is>
      </c>
    </row>
    <row r="37" ht="81" customHeight="1">
      <c r="A37" s="12" t="inlineStr">
        <is>
          <t>Marketing</t>
        </is>
      </c>
      <c r="B37" s="21" t="inlineStr">
        <is>
          <t>B · Specialist / Manager</t>
        </is>
      </c>
      <c r="C37" s="21" t="inlineStr">
        <is>
          <t>B1</t>
        </is>
      </c>
      <c r="D37" s="12" t="inlineStr">
        <is>
          <t>Specialist</t>
        </is>
      </c>
      <c r="E37" s="12" t="inlineStr">
        <is>
          <t>Sales &amp; Business Development</t>
        </is>
      </c>
      <c r="F37" s="12" t="inlineStr">
        <is>
          <t>Sales Development &amp; Prospecting</t>
        </is>
      </c>
      <c r="G37" s="12" t="inlineStr">
        <is>
          <t>Account Executive</t>
        </is>
      </c>
      <c r="H37" s="12" t="inlineStr">
        <is>
          <t>IC</t>
        </is>
      </c>
      <c r="I37" s="12" t="n">
        <v>1</v>
      </c>
      <c r="J37" s="12"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7" s="12" t="inlineStr">
        <is>
          <t>Sales, Negotiation &amp; Account Growth · Marketing Tech &amp; Digital Marketing</t>
        </is>
      </c>
      <c r="L37" s="12" t="inlineStr">
        <is>
          <t>Stakeholder &amp; Client Management · Communication &amp; Presentation · Product, Platform &amp; Domain Knowledge · Strategic Thinking &amp; Business Acumen</t>
        </is>
      </c>
      <c r="M37" s="12" t="inlineStr">
        <is>
          <t>Core 3 · Future-ready 3 · Functional 3 · Leadership 1</t>
        </is>
      </c>
      <c r="N37" s="12" t="inlineStr">
        <is>
          <t>Google / HubSpot certifications</t>
        </is>
      </c>
      <c r="O37" s="12" t="inlineStr">
        <is>
          <t>None — only this department</t>
        </is>
      </c>
      <c r="P37" s="12" t="inlineStr">
        <is>
          <t>None — only CARBON</t>
        </is>
      </c>
    </row>
    <row r="38" ht="81" customHeight="1">
      <c r="A38" s="12" t="inlineStr">
        <is>
          <t>Marketing</t>
        </is>
      </c>
      <c r="B38" s="21" t="inlineStr">
        <is>
          <t>B · Specialist / Manager</t>
        </is>
      </c>
      <c r="C38" s="21" t="inlineStr">
        <is>
          <t>B1</t>
        </is>
      </c>
      <c r="D38" s="12" t="inlineStr">
        <is>
          <t>Team Lead</t>
        </is>
      </c>
      <c r="E38" s="12" t="inlineStr">
        <is>
          <t>Sales &amp; Business Development</t>
        </is>
      </c>
      <c r="F38" s="12" t="inlineStr">
        <is>
          <t>Sales Development &amp; Prospecting</t>
        </is>
      </c>
      <c r="G38" s="12" t="inlineStr">
        <is>
          <t>Team Lead – Sales Development</t>
        </is>
      </c>
      <c r="H38" s="12" t="inlineStr">
        <is>
          <t>People Manager</t>
        </is>
      </c>
      <c r="I38" s="12" t="n">
        <v>2</v>
      </c>
      <c r="J38" s="12"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38" s="12" t="inlineStr">
        <is>
          <t>Sales, Negotiation &amp; Account Growth · Marketing Tech &amp; Digital Marketing</t>
        </is>
      </c>
      <c r="L38" s="12" t="inlineStr">
        <is>
          <t>Stakeholder &amp; Client Management · Communication &amp; Presentation · Product, Platform &amp; Domain Knowledge · Strategic Thinking &amp; Business Acumen</t>
        </is>
      </c>
      <c r="M38" s="12" t="inlineStr">
        <is>
          <t>Core 3 · Future-ready 3 · Functional 3 · Leadership 2</t>
        </is>
      </c>
      <c r="N38" s="12" t="inlineStr">
        <is>
          <t>Google / HubSpot certifications</t>
        </is>
      </c>
      <c r="O38" s="12" t="inlineStr">
        <is>
          <t>None — only this department</t>
        </is>
      </c>
      <c r="P38" s="12" t="inlineStr">
        <is>
          <t>None — only CARBON</t>
        </is>
      </c>
    </row>
    <row r="39" ht="68" customHeight="1">
      <c r="A39" s="12" t="inlineStr">
        <is>
          <t>Marketing</t>
        </is>
      </c>
      <c r="B39" s="21" t="inlineStr">
        <is>
          <t>B · Specialist / Manager</t>
        </is>
      </c>
      <c r="C39" s="21" t="inlineStr">
        <is>
          <t>B2</t>
        </is>
      </c>
      <c r="D39" s="12" t="inlineStr">
        <is>
          <t>Manager</t>
        </is>
      </c>
      <c r="E39" s="12" t="inlineStr">
        <is>
          <t>Marketing &amp; Communications</t>
        </is>
      </c>
      <c r="F39" s="12" t="inlineStr">
        <is>
          <t>Demand Generation, Brand &amp; Events</t>
        </is>
      </c>
      <c r="G39" s="12" t="inlineStr">
        <is>
          <t>Marketing Manager</t>
        </is>
      </c>
      <c r="H39" s="12" t="inlineStr">
        <is>
          <t>People Manager</t>
        </is>
      </c>
      <c r="I39" s="12" t="n">
        <v>1</v>
      </c>
      <c r="J39" s="12" t="inlineStr">
        <is>
          <r>
            <rPr>
              <rFont val="Calibri"/>
              <b val="1"/>
              <sz val="10"/>
            </rPr>
            <t>A2:</t>
          </r>
          <r>
            <rPr>
              <rFont val="Calibri"/>
              <sz val="10"/>
            </rPr>
            <t xml:space="preserve"> Marketing Associate → B2: Marketing Manager / Senior Marketing Specialist – POD Lead</t>
          </r>
        </is>
      </c>
      <c r="K39" s="12" t="inlineStr">
        <is>
          <t>Marketing Tech &amp; Digital Marketing · Communication &amp; Presentation</t>
        </is>
      </c>
      <c r="L39" s="12" t="inlineStr">
        <is>
          <t>Data Analytics, BI &amp; Visualisation · AI, GenAI &amp; Prompt Engineering · Product, Platform &amp; Domain Knowledge · Strategic Thinking &amp; Business Acumen</t>
        </is>
      </c>
      <c r="M39" s="12" t="inlineStr">
        <is>
          <t>Core 3 · Future-ready 3 · Functional 4 · Leadership 3</t>
        </is>
      </c>
      <c r="N39" s="12" t="inlineStr">
        <is>
          <t>Google / HubSpot certifications</t>
        </is>
      </c>
      <c r="O39" s="12" t="inlineStr">
        <is>
          <t>None — only this department</t>
        </is>
      </c>
      <c r="P39" s="12" t="inlineStr">
        <is>
          <t>None — only CARBON</t>
        </is>
      </c>
    </row>
    <row r="40" ht="68" customHeight="1">
      <c r="A40" s="12" t="inlineStr">
        <is>
          <t>Marketing</t>
        </is>
      </c>
      <c r="B40" s="21" t="inlineStr">
        <is>
          <t>B · Specialist / Manager</t>
        </is>
      </c>
      <c r="C40" s="21" t="inlineStr">
        <is>
          <t>B2</t>
        </is>
      </c>
      <c r="D40" s="12" t="inlineStr">
        <is>
          <t>Senior Specialist · POD Lead</t>
        </is>
      </c>
      <c r="E40" s="12" t="inlineStr">
        <is>
          <t>Marketing &amp; Communications</t>
        </is>
      </c>
      <c r="F40" s="12" t="inlineStr">
        <is>
          <t>Demand Generation, Brand &amp; Events</t>
        </is>
      </c>
      <c r="G40" s="12" t="inlineStr">
        <is>
          <t>Senior Marketing Specialist – POD Lead</t>
        </is>
      </c>
      <c r="H40" s="12" t="inlineStr">
        <is>
          <t>POD Lead</t>
        </is>
      </c>
      <c r="I40" s="12" t="n">
        <v>1</v>
      </c>
      <c r="J40" s="12" t="inlineStr">
        <is>
          <r>
            <rPr>
              <rFont val="Calibri"/>
              <b val="1"/>
              <sz val="10"/>
            </rPr>
            <t>A2:</t>
          </r>
          <r>
            <rPr>
              <rFont val="Calibri"/>
              <sz val="10"/>
            </rPr>
            <t xml:space="preserve"> Marketing Associate → B2: Marketing Manager / Senior Marketing Specialist – POD Lead</t>
          </r>
        </is>
      </c>
      <c r="K40" s="12" t="inlineStr">
        <is>
          <t>Marketing Tech &amp; Digital Marketing · Communication &amp; Presentation</t>
        </is>
      </c>
      <c r="L40" s="12" t="inlineStr">
        <is>
          <t>Data Analytics, BI &amp; Visualisation · AI, GenAI &amp; Prompt Engineering · Product, Platform &amp; Domain Knowledge · Strategic Thinking &amp; Business Acumen</t>
        </is>
      </c>
      <c r="M40" s="12" t="inlineStr">
        <is>
          <t>Core 3 · Future-ready 3 · Functional 4 · Leadership 2</t>
        </is>
      </c>
      <c r="N40" s="12" t="inlineStr">
        <is>
          <t>Google / HubSpot certifications</t>
        </is>
      </c>
      <c r="O40" s="12" t="inlineStr">
        <is>
          <t>None — only this department</t>
        </is>
      </c>
      <c r="P40" s="12" t="inlineStr">
        <is>
          <t>None — only CARBON</t>
        </is>
      </c>
    </row>
    <row r="41" ht="81" customHeight="1">
      <c r="A41" s="12" t="inlineStr">
        <is>
          <t>Marketing</t>
        </is>
      </c>
      <c r="B41" s="21" t="inlineStr">
        <is>
          <t>B · Specialist / Manager</t>
        </is>
      </c>
      <c r="C41" s="21" t="inlineStr">
        <is>
          <t>B2</t>
        </is>
      </c>
      <c r="D41" s="12" t="inlineStr">
        <is>
          <t>Senior Specialist · POD Lead</t>
        </is>
      </c>
      <c r="E41" s="12" t="inlineStr">
        <is>
          <t>Sales &amp; Business Development</t>
        </is>
      </c>
      <c r="F41" s="12" t="inlineStr">
        <is>
          <t>Sales Development &amp; Prospecting</t>
        </is>
      </c>
      <c r="G41" s="12" t="inlineStr">
        <is>
          <t>Senior Account Executive – POD Lead</t>
        </is>
      </c>
      <c r="H41" s="12" t="inlineStr">
        <is>
          <t>POD Lead</t>
        </is>
      </c>
      <c r="I41" s="12" t="n">
        <v>1</v>
      </c>
      <c r="J41" s="12" t="inlineStr">
        <is>
          <r>
            <rPr>
              <rFont val="Calibri"/>
              <b val="1"/>
              <sz val="10"/>
            </rPr>
            <t>A1:</t>
          </r>
          <r>
            <rPr>
              <rFont val="Calibri"/>
              <sz val="10"/>
            </rPr>
            <t xml:space="preserve"> Intern – Sales Development &amp; Prospecting → A2: Sales Development Representative → A3: Senior Sales Development Representative → B1: Account Executive / Team Lead – Sales Development → B2: Senior Account Executive – POD Lead</t>
          </r>
        </is>
      </c>
      <c r="K41" s="12" t="inlineStr">
        <is>
          <t>Sales, Negotiation &amp; Account Growth · Marketing Tech &amp; Digital Marketing</t>
        </is>
      </c>
      <c r="L41" s="12" t="inlineStr">
        <is>
          <t>Stakeholder &amp; Client Management · Communication &amp; Presentation · Product, Platform &amp; Domain Knowledge · Strategic Thinking &amp; Business Acumen</t>
        </is>
      </c>
      <c r="M41" s="12" t="inlineStr">
        <is>
          <t>Core 3 · Future-ready 3 · Functional 4 · Leadership 2</t>
        </is>
      </c>
      <c r="N41" s="12" t="inlineStr">
        <is>
          <t>Google / HubSpot certifications</t>
        </is>
      </c>
      <c r="O41" s="12" t="inlineStr">
        <is>
          <t>None — only this department</t>
        </is>
      </c>
      <c r="P41" s="12" t="inlineStr">
        <is>
          <t>None — only CARBON</t>
        </is>
      </c>
    </row>
    <row r="42" ht="68" customHeight="1">
      <c r="A42" s="12" t="inlineStr">
        <is>
          <t>Marketing</t>
        </is>
      </c>
      <c r="B42" s="21" t="inlineStr">
        <is>
          <t>B · Specialist / Manager</t>
        </is>
      </c>
      <c r="C42" s="21" t="inlineStr">
        <is>
          <t>B3</t>
        </is>
      </c>
      <c r="D42" s="12" t="inlineStr">
        <is>
          <t>Senior Manager</t>
        </is>
      </c>
      <c r="E42" s="12" t="inlineStr">
        <is>
          <t>Marketing &amp; Communications</t>
        </is>
      </c>
      <c r="F42" s="12" t="inlineStr">
        <is>
          <t>Marketing Leadership</t>
        </is>
      </c>
      <c r="G42" s="12" t="inlineStr">
        <is>
          <t>Senior Marketing Manager</t>
        </is>
      </c>
      <c r="H42" s="12" t="inlineStr">
        <is>
          <t>People Manager</t>
        </is>
      </c>
      <c r="I42" s="12" t="n">
        <v>1</v>
      </c>
      <c r="J42" s="12" t="inlineStr">
        <is>
          <r>
            <rPr>
              <rFont val="Calibri"/>
              <b val="1"/>
              <sz val="10"/>
            </rPr>
            <t>B3:</t>
          </r>
          <r>
            <rPr>
              <rFont val="Calibri"/>
              <sz val="10"/>
            </rPr>
            <t xml:space="preserve"> Senior Marketing Manager</t>
          </r>
        </is>
      </c>
      <c r="K42" s="12" t="inlineStr">
        <is>
          <t>Marketing Tech &amp; Digital Marketing · Communication &amp; Presentation</t>
        </is>
      </c>
      <c r="L42" s="12" t="inlineStr">
        <is>
          <t>Data Analytics, BI &amp; Visualisation · AI, GenAI &amp; Prompt Engineering · Product, Platform &amp; Domain Knowledge · Strategic Thinking &amp; Business Acumen</t>
        </is>
      </c>
      <c r="M42" s="12" t="inlineStr">
        <is>
          <t>Core 4 · Future-ready 3 · Functional 4 · Leadership 4</t>
        </is>
      </c>
      <c r="N42" s="12" t="inlineStr">
        <is>
          <t>Google / HubSpot certifications</t>
        </is>
      </c>
      <c r="O42" s="12" t="inlineStr">
        <is>
          <t>None — only this department</t>
        </is>
      </c>
      <c r="P42" s="12" t="inlineStr">
        <is>
          <t>None — only CARBON</t>
        </is>
      </c>
    </row>
    <row r="43" ht="55" customHeight="1">
      <c r="A43" s="12" t="inlineStr">
        <is>
          <t>Quality Assurance</t>
        </is>
      </c>
      <c r="B43" s="17" t="inlineStr">
        <is>
          <t>A · Practitioner</t>
        </is>
      </c>
      <c r="C43" s="17" t="inlineStr">
        <is>
          <t>A3</t>
        </is>
      </c>
      <c r="D43" s="12" t="inlineStr">
        <is>
          <t>Senior Associate</t>
        </is>
      </c>
      <c r="E43" s="12" t="inlineStr">
        <is>
          <t>Quality Assurance</t>
        </is>
      </c>
      <c r="F43" s="12" t="inlineStr">
        <is>
          <t>Functional &amp; Domain Testing</t>
        </is>
      </c>
      <c r="G43" s="12" t="inlineStr">
        <is>
          <t>Senior QA Engineer</t>
        </is>
      </c>
      <c r="H43" s="12" t="inlineStr">
        <is>
          <t>IC</t>
        </is>
      </c>
      <c r="I43" s="12" t="n">
        <v>6</v>
      </c>
      <c r="J43" s="12" t="inlineStr">
        <is>
          <r>
            <rPr>
              <rFont val="Calibri"/>
              <b val="1"/>
              <sz val="10"/>
            </rPr>
            <t>A3:</t>
          </r>
          <r>
            <rPr>
              <rFont val="Calibri"/>
              <sz val="10"/>
            </rPr>
            <t xml:space="preserve"> Senior QA Engineer</t>
          </r>
        </is>
      </c>
      <c r="K43" s="12" t="inlineStr">
        <is>
          <t>Test Automation &amp; QA Engineering · Product, Platform &amp; Domain Knowledge</t>
        </is>
      </c>
      <c r="L43" s="12" t="inlineStr">
        <is>
          <t>Database, SQL &amp; Data Engineering · AI, GenAI &amp; Prompt Engineering · Process Improvement &amp; Quality Mindset · Communication &amp; Presentation</t>
        </is>
      </c>
      <c r="M43" s="12" t="inlineStr">
        <is>
          <t>Core 2 · Future-ready 2 · Functional 3 · Leadership —</t>
        </is>
      </c>
      <c r="N43" s="12" t="inlineStr">
        <is>
          <t>ISTQB Foundation / Advanced; Internal product certification</t>
        </is>
      </c>
      <c r="O43" s="96" t="inlineStr">
        <is>
          <t>Services</t>
        </is>
      </c>
      <c r="P43" s="17" t="inlineStr">
        <is>
          <r>
            <rPr>
              <rFont val="Calibri"/>
              <sz val="10"/>
            </rPr>
            <t xml:space="preserve">iFile 11 · iDEAL 1 · Datatech 1
</t>
          </r>
          <r>
            <rPr>
              <rFont val="Calibri"/>
              <b val="1"/>
              <sz val="10"/>
            </rPr>
            <t>Titled there:</t>
          </r>
          <r>
            <rPr>
              <rFont val="Calibri"/>
              <sz val="10"/>
            </rPr>
            <t xml:space="preserve"> QA Specialist / Senior QA Engineer</t>
          </r>
        </is>
      </c>
    </row>
    <row r="44" ht="55" customHeight="1">
      <c r="A44" s="12" t="inlineStr">
        <is>
          <t>Quality Assurance</t>
        </is>
      </c>
      <c r="B44" s="17" t="inlineStr">
        <is>
          <t>A · Practitioner</t>
        </is>
      </c>
      <c r="C44" s="17" t="inlineStr">
        <is>
          <t>A3</t>
        </is>
      </c>
      <c r="D44" s="12" t="inlineStr">
        <is>
          <t>Senior Associate</t>
        </is>
      </c>
      <c r="E44" s="12" t="inlineStr">
        <is>
          <t>Quality Assurance</t>
        </is>
      </c>
      <c r="F44" s="12" t="inlineStr">
        <is>
          <t>Test Automation</t>
        </is>
      </c>
      <c r="G44" s="12" t="inlineStr">
        <is>
          <t>Senior QA Automation Engineer</t>
        </is>
      </c>
      <c r="H44" s="12" t="inlineStr">
        <is>
          <t>IC</t>
        </is>
      </c>
      <c r="I44" s="12" t="n">
        <v>1</v>
      </c>
      <c r="J44" s="12" t="inlineStr">
        <is>
          <r>
            <rPr>
              <rFont val="Calibri"/>
              <b val="1"/>
              <sz val="10"/>
            </rPr>
            <t>A3:</t>
          </r>
          <r>
            <rPr>
              <rFont val="Calibri"/>
              <sz val="10"/>
            </rPr>
            <t xml:space="preserve"> Senior QA Automation Engineer</t>
          </r>
        </is>
      </c>
      <c r="K44" s="12" t="inlineStr">
        <is>
          <t>Test Automation &amp; QA Engineering · Product, Platform &amp; Domain Knowledge</t>
        </is>
      </c>
      <c r="L44" s="12" t="inlineStr">
        <is>
          <t>Database, SQL &amp; Data Engineering · AI, GenAI &amp; Prompt Engineering · Process Improvement &amp; Quality Mindset · Communication &amp; Presentation</t>
        </is>
      </c>
      <c r="M44" s="12" t="inlineStr">
        <is>
          <t>Core 2 · Future-ready 2 · Functional 3 · Leadership —</t>
        </is>
      </c>
      <c r="N44" s="12" t="inlineStr">
        <is>
          <t>ISTQB Foundation / Advanced; Internal product certification</t>
        </is>
      </c>
      <c r="O44" s="12" t="inlineStr">
        <is>
          <t>None — only this department</t>
        </is>
      </c>
      <c r="P44" s="17" t="inlineStr">
        <is>
          <t>iDEAL 3 · iFile 1 · Datatech 1
Same title</t>
        </is>
      </c>
    </row>
    <row r="45" ht="55" customHeight="1">
      <c r="A45" s="12" t="inlineStr">
        <is>
          <t>Quality Assurance</t>
        </is>
      </c>
      <c r="B45" s="21" t="inlineStr">
        <is>
          <t>B · Specialist / Manager</t>
        </is>
      </c>
      <c r="C45" s="21" t="inlineStr">
        <is>
          <t>B2</t>
        </is>
      </c>
      <c r="D45" s="12" t="inlineStr">
        <is>
          <t>Manager</t>
        </is>
      </c>
      <c r="E45" s="12" t="inlineStr">
        <is>
          <t>Quality Assurance</t>
        </is>
      </c>
      <c r="F45" s="12" t="inlineStr">
        <is>
          <t>Test Management &amp; QA Leadership</t>
        </is>
      </c>
      <c r="G45" s="12" t="inlineStr">
        <is>
          <t>QA Manager</t>
        </is>
      </c>
      <c r="H45" s="12" t="inlineStr">
        <is>
          <t>People Manager</t>
        </is>
      </c>
      <c r="I45" s="12" t="n">
        <v>1</v>
      </c>
      <c r="J45" s="12" t="inlineStr">
        <is>
          <r>
            <rPr>
              <rFont val="Calibri"/>
              <b val="1"/>
              <sz val="10"/>
            </rPr>
            <t>B2:</t>
          </r>
          <r>
            <rPr>
              <rFont val="Calibri"/>
              <sz val="10"/>
            </rPr>
            <t xml:space="preserve"> QA Manager</t>
          </r>
        </is>
      </c>
      <c r="K45" s="12" t="inlineStr">
        <is>
          <t>Test Automation &amp; QA Engineering · Product, Platform &amp; Domain Knowledge</t>
        </is>
      </c>
      <c r="L45" s="12" t="inlineStr">
        <is>
          <t>Database, SQL &amp; Data Engineering · AI, GenAI &amp; Prompt Engineering · Process Improvement &amp; Quality Mindset · Communication &amp; Presentation</t>
        </is>
      </c>
      <c r="M45" s="12" t="inlineStr">
        <is>
          <t>Core 3 · Future-ready 3 · Functional 4 · Leadership 3</t>
        </is>
      </c>
      <c r="N45" s="12" t="inlineStr">
        <is>
          <t>ISTQB Foundation / Advanced; Internal product certification</t>
        </is>
      </c>
      <c r="O45" s="12" t="inlineStr">
        <is>
          <t>None — only this department</t>
        </is>
      </c>
      <c r="P45" s="17" t="inlineStr">
        <is>
          <r>
            <rPr>
              <rFont val="Calibri"/>
              <sz val="10"/>
            </rPr>
            <t xml:space="preserve">iFile 2
</t>
          </r>
          <r>
            <rPr>
              <rFont val="Calibri"/>
              <b val="1"/>
              <sz val="10"/>
            </rPr>
            <t>Titled there:</t>
          </r>
          <r>
            <rPr>
              <rFont val="Calibri"/>
              <sz val="10"/>
            </rPr>
            <t xml:space="preserve"> Senior QA Manager / Senior QA Specialist – POD Lead</t>
          </r>
        </is>
      </c>
    </row>
    <row r="46" ht="55" customHeight="1">
      <c r="A46" s="12" t="inlineStr">
        <is>
          <t>Sales</t>
        </is>
      </c>
      <c r="B46" s="17" t="inlineStr">
        <is>
          <t>A · Practitioner</t>
        </is>
      </c>
      <c r="C46" s="17" t="inlineStr">
        <is>
          <t>A3</t>
        </is>
      </c>
      <c r="D46" s="12" t="inlineStr">
        <is>
          <t>Senior Associate</t>
        </is>
      </c>
      <c r="E46" s="12" t="inlineStr">
        <is>
          <t>Sales &amp; Business Development</t>
        </is>
      </c>
      <c r="F46" s="12" t="inlineStr">
        <is>
          <t>Bids, RFP &amp; Sales Operations</t>
        </is>
      </c>
      <c r="G46" s="12" t="inlineStr">
        <is>
          <t>Senior Sales Operations Analyst</t>
        </is>
      </c>
      <c r="H46" s="12" t="inlineStr">
        <is>
          <t>IC</t>
        </is>
      </c>
      <c r="I46" s="12" t="n">
        <v>1</v>
      </c>
      <c r="J46" s="12" t="inlineStr">
        <is>
          <r>
            <rPr>
              <rFont val="Calibri"/>
              <b val="1"/>
              <sz val="10"/>
            </rPr>
            <t>A3:</t>
          </r>
          <r>
            <rPr>
              <rFont val="Calibri"/>
              <sz val="10"/>
            </rPr>
            <t xml:space="preserve"> Senior Sales Operations Analyst → B1: Sales Operations Specialist – POD Lead</t>
          </r>
        </is>
      </c>
      <c r="K46" s="12" t="inlineStr">
        <is>
          <t>Sales, Negotiation &amp; Account Growth · Marketing Tech &amp; Digital Marketing</t>
        </is>
      </c>
      <c r="L46" s="12" t="inlineStr">
        <is>
          <t>Stakeholder &amp; Client Management · Communication &amp; Presentation · Product, Platform &amp; Domain Knowledge · Strategic Thinking &amp; Business Acumen</t>
        </is>
      </c>
      <c r="M46" s="12" t="inlineStr">
        <is>
          <t>Core 2 · Future-ready 2 · Functional 3 · Leadership —</t>
        </is>
      </c>
      <c r="N46" s="12" t="inlineStr">
        <is>
          <t>Google / HubSpot certifications</t>
        </is>
      </c>
      <c r="O46" s="12" t="inlineStr">
        <is>
          <t>None — only this department</t>
        </is>
      </c>
      <c r="P46" s="12" t="inlineStr">
        <is>
          <t>None — only CARBON</t>
        </is>
      </c>
    </row>
    <row r="47" ht="55" customHeight="1">
      <c r="A47" s="12" t="inlineStr">
        <is>
          <t>Sales</t>
        </is>
      </c>
      <c r="B47" s="21" t="inlineStr">
        <is>
          <t>B · Specialist / Manager</t>
        </is>
      </c>
      <c r="C47" s="21" t="inlineStr">
        <is>
          <t>B1</t>
        </is>
      </c>
      <c r="D47" s="12" t="inlineStr">
        <is>
          <t>Specialist · POD Lead</t>
        </is>
      </c>
      <c r="E47" s="12" t="inlineStr">
        <is>
          <t>Sales &amp; Business Development</t>
        </is>
      </c>
      <c r="F47" s="12" t="inlineStr">
        <is>
          <t>Bids, RFP &amp; Sales Operations</t>
        </is>
      </c>
      <c r="G47" s="12" t="inlineStr">
        <is>
          <t>Sales Operations Specialist – POD Lead</t>
        </is>
      </c>
      <c r="H47" s="12" t="inlineStr">
        <is>
          <t>POD Lead</t>
        </is>
      </c>
      <c r="I47" s="12" t="n">
        <v>1</v>
      </c>
      <c r="J47" s="12" t="inlineStr">
        <is>
          <r>
            <rPr>
              <rFont val="Calibri"/>
              <b val="1"/>
              <sz val="10"/>
            </rPr>
            <t>A3:</t>
          </r>
          <r>
            <rPr>
              <rFont val="Calibri"/>
              <sz val="10"/>
            </rPr>
            <t xml:space="preserve"> Senior Sales Operations Analyst → B1: Sales Operations Specialist – POD Lead</t>
          </r>
        </is>
      </c>
      <c r="K47" s="12" t="inlineStr">
        <is>
          <t>Sales, Negotiation &amp; Account Growth · Marketing Tech &amp; Digital Marketing</t>
        </is>
      </c>
      <c r="L47" s="12" t="inlineStr">
        <is>
          <t>Stakeholder &amp; Client Management · Communication &amp; Presentation · Product, Platform &amp; Domain Knowledge · Strategic Thinking &amp; Business Acumen</t>
        </is>
      </c>
      <c r="M47" s="12" t="inlineStr">
        <is>
          <t>Core 3 · Future-ready 3 · Functional 3 · Leadership 1</t>
        </is>
      </c>
      <c r="N47" s="12" t="inlineStr">
        <is>
          <t>Google / HubSpot certifications</t>
        </is>
      </c>
      <c r="O47" s="12" t="inlineStr">
        <is>
          <t>None — only this department</t>
        </is>
      </c>
      <c r="P47" s="12" t="inlineStr">
        <is>
          <t>None — only CARBON</t>
        </is>
      </c>
    </row>
    <row r="48" ht="55" customHeight="1">
      <c r="A48" s="12" t="inlineStr">
        <is>
          <t>Sales</t>
        </is>
      </c>
      <c r="B48" s="21" t="inlineStr">
        <is>
          <t>B · Specialist / Manager</t>
        </is>
      </c>
      <c r="C48" s="21" t="inlineStr">
        <is>
          <t>B2</t>
        </is>
      </c>
      <c r="D48" s="12" t="inlineStr">
        <is>
          <t>Senior Specialist</t>
        </is>
      </c>
      <c r="E48" s="12" t="inlineStr">
        <is>
          <t>Sales &amp; Business Development</t>
        </is>
      </c>
      <c r="F48" s="12" t="inlineStr">
        <is>
          <t>Sales Leadership</t>
        </is>
      </c>
      <c r="G48" s="12" t="inlineStr">
        <is>
          <t>Lead Account Executive</t>
        </is>
      </c>
      <c r="H48" s="12" t="inlineStr">
        <is>
          <t>IC</t>
        </is>
      </c>
      <c r="I48" s="12" t="n">
        <v>1</v>
      </c>
      <c r="J48" s="12" t="inlineStr">
        <is>
          <r>
            <rPr>
              <rFont val="Calibri"/>
              <b val="1"/>
              <sz val="10"/>
            </rPr>
            <t>B2:</t>
          </r>
          <r>
            <rPr>
              <rFont val="Calibri"/>
              <sz val="10"/>
            </rPr>
            <t xml:space="preserve"> Lead Account Executive → B3: Lead Account Executive → C1: Principal – Enterprise Sales</t>
          </r>
        </is>
      </c>
      <c r="K48" s="12" t="inlineStr">
        <is>
          <t>Sales, Negotiation &amp; Account Growth · Marketing Tech &amp; Digital Marketing</t>
        </is>
      </c>
      <c r="L48" s="12" t="inlineStr">
        <is>
          <t>Stakeholder &amp; Client Management · Communication &amp; Presentation · Product, Platform &amp; Domain Knowledge · Strategic Thinking &amp; Business Acumen</t>
        </is>
      </c>
      <c r="M48" s="12" t="inlineStr">
        <is>
          <t>Core 3 · Future-ready 3 · Functional 4 · Leadership 2</t>
        </is>
      </c>
      <c r="N48" s="12" t="inlineStr">
        <is>
          <t>Google / HubSpot certifications</t>
        </is>
      </c>
      <c r="O48" s="12" t="inlineStr">
        <is>
          <t>None — only this department</t>
        </is>
      </c>
      <c r="P48" s="17" t="inlineStr">
        <is>
          <r>
            <rPr>
              <rFont val="Calibri"/>
              <sz val="10"/>
            </rPr>
            <t xml:space="preserve">iFile 1
</t>
          </r>
          <r>
            <rPr>
              <rFont val="Calibri"/>
              <b val="1"/>
              <sz val="10"/>
            </rPr>
            <t>Titled there:</t>
          </r>
          <r>
            <rPr>
              <rFont val="Calibri"/>
              <sz val="10"/>
            </rPr>
            <t xml:space="preserve"> Senior Account Executive – POD Lead</t>
          </r>
        </is>
      </c>
    </row>
    <row r="49" ht="55" customHeight="1">
      <c r="A49" s="12" t="inlineStr">
        <is>
          <t>Sales</t>
        </is>
      </c>
      <c r="B49" s="21" t="inlineStr">
        <is>
          <t>B · Specialist / Manager</t>
        </is>
      </c>
      <c r="C49" s="21" t="inlineStr">
        <is>
          <t>B3</t>
        </is>
      </c>
      <c r="D49" s="12" t="inlineStr">
        <is>
          <t>Lead Specialist</t>
        </is>
      </c>
      <c r="E49" s="12" t="inlineStr">
        <is>
          <t>Sales &amp; Business Development</t>
        </is>
      </c>
      <c r="F49" s="12" t="inlineStr">
        <is>
          <t>Sales Leadership</t>
        </is>
      </c>
      <c r="G49" s="12" t="inlineStr">
        <is>
          <t>Lead Account Executive</t>
        </is>
      </c>
      <c r="H49" s="12" t="inlineStr">
        <is>
          <t>IC</t>
        </is>
      </c>
      <c r="I49" s="12" t="n">
        <v>1</v>
      </c>
      <c r="J49" s="12" t="inlineStr">
        <is>
          <r>
            <rPr>
              <rFont val="Calibri"/>
              <b val="1"/>
              <sz val="10"/>
            </rPr>
            <t>B2:</t>
          </r>
          <r>
            <rPr>
              <rFont val="Calibri"/>
              <sz val="10"/>
            </rPr>
            <t xml:space="preserve"> Lead Account Executive → B3: Lead Account Executive → C1: Principal – Enterprise Sales</t>
          </r>
        </is>
      </c>
      <c r="K49" s="12" t="inlineStr">
        <is>
          <t>Sales, Negotiation &amp; Account Growth · Marketing Tech &amp; Digital Marketing</t>
        </is>
      </c>
      <c r="L49" s="12" t="inlineStr">
        <is>
          <t>Stakeholder &amp; Client Management · Communication &amp; Presentation · Product, Platform &amp; Domain Knowledge · Strategic Thinking &amp; Business Acumen</t>
        </is>
      </c>
      <c r="M49" s="12" t="inlineStr">
        <is>
          <t>Core 4 · Future-ready 3 · Functional 4 · Leadership 3</t>
        </is>
      </c>
      <c r="N49" s="12" t="inlineStr">
        <is>
          <t>Google / HubSpot certifications</t>
        </is>
      </c>
      <c r="O49" s="12" t="inlineStr">
        <is>
          <t>None — only this department</t>
        </is>
      </c>
      <c r="P49" s="12" t="inlineStr">
        <is>
          <t>None — only CARBON</t>
        </is>
      </c>
    </row>
    <row r="50" ht="55" customHeight="1">
      <c r="A50" s="12" t="inlineStr">
        <is>
          <t>Sales</t>
        </is>
      </c>
      <c r="B50" s="25" t="inlineStr">
        <is>
          <t>C · Principal / Head</t>
        </is>
      </c>
      <c r="C50" s="25" t="inlineStr">
        <is>
          <t>C1</t>
        </is>
      </c>
      <c r="D50" s="12" t="inlineStr">
        <is>
          <t>Principal</t>
        </is>
      </c>
      <c r="E50" s="12" t="inlineStr">
        <is>
          <t>Sales &amp; Business Development</t>
        </is>
      </c>
      <c r="F50" s="12" t="inlineStr">
        <is>
          <t>Sales Leadership</t>
        </is>
      </c>
      <c r="G50" s="12" t="inlineStr">
        <is>
          <t>Principal – Enterprise Sales</t>
        </is>
      </c>
      <c r="H50" s="12" t="inlineStr">
        <is>
          <t>IC</t>
        </is>
      </c>
      <c r="I50" s="12" t="n">
        <v>1</v>
      </c>
      <c r="J50" s="12" t="inlineStr">
        <is>
          <r>
            <rPr>
              <rFont val="Calibri"/>
              <b val="1"/>
              <sz val="10"/>
            </rPr>
            <t>B2:</t>
          </r>
          <r>
            <rPr>
              <rFont val="Calibri"/>
              <sz val="10"/>
            </rPr>
            <t xml:space="preserve"> Lead Account Executive → B3: Lead Account Executive → C1: Principal – Enterprise Sales</t>
          </r>
        </is>
      </c>
      <c r="K50" s="12" t="inlineStr">
        <is>
          <t>Sales, Negotiation &amp; Account Growth · Marketing Tech &amp; Digital Marketing</t>
        </is>
      </c>
      <c r="L50" s="12" t="inlineStr">
        <is>
          <t>Stakeholder &amp; Client Management · Communication &amp; Presentation · Product, Platform &amp; Domain Knowledge · Strategic Thinking &amp; Business Acumen</t>
        </is>
      </c>
      <c r="M50" s="12" t="inlineStr">
        <is>
          <t>Core 4 · Future-ready 4 · Functional 4 · Leadership 4</t>
        </is>
      </c>
      <c r="N50" s="12" t="inlineStr">
        <is>
          <t>Google / HubSpot certifications</t>
        </is>
      </c>
      <c r="O50" s="12" t="inlineStr">
        <is>
          <t>None — only this department</t>
        </is>
      </c>
      <c r="P50" s="17" t="inlineStr">
        <is>
          <r>
            <rPr>
              <rFont val="Calibri"/>
              <sz val="10"/>
            </rPr>
            <t xml:space="preserve">iFile 1 · Datatech 1
</t>
          </r>
          <r>
            <rPr>
              <rFont val="Calibri"/>
              <b val="1"/>
              <sz val="10"/>
            </rPr>
            <t>Titled there:</t>
          </r>
          <r>
            <rPr>
              <rFont val="Calibri"/>
              <sz val="10"/>
            </rPr>
            <t xml:space="preserve"> Principal – Enterprise Sales / Principal – Sales</t>
          </r>
        </is>
      </c>
    </row>
    <row r="51" ht="55" customHeight="1">
      <c r="A51" s="12" t="inlineStr">
        <is>
          <t>Sales</t>
        </is>
      </c>
      <c r="B51" s="37" t="inlineStr">
        <is>
          <t>X · Consultant</t>
        </is>
      </c>
      <c r="C51" s="37" t="inlineStr">
        <is>
          <t>X3</t>
        </is>
      </c>
      <c r="D51" s="12" t="inlineStr">
        <is>
          <t>Senior Consultant / Advisor</t>
        </is>
      </c>
      <c r="E51" s="12" t="inlineStr">
        <is>
          <t>Sales &amp; Business Development</t>
        </is>
      </c>
      <c r="F51" s="12" t="inlineStr">
        <is>
          <t>Enterprise Sales &amp; Account Management</t>
        </is>
      </c>
      <c r="G51" s="12" t="inlineStr">
        <is>
          <t>Senior Consultant – Enterprise Sales &amp; Account Management</t>
        </is>
      </c>
      <c r="H51" s="12" t="inlineStr">
        <is>
          <t>Consultant</t>
        </is>
      </c>
      <c r="I51" s="12" t="n">
        <v>1</v>
      </c>
      <c r="J51" s="12" t="inlineStr">
        <is>
          <r>
            <rPr>
              <rFont val="Calibri"/>
              <b val="1"/>
              <sz val="10"/>
            </rPr>
            <t>X3:</t>
          </r>
          <r>
            <rPr>
              <rFont val="Calibri"/>
              <sz val="10"/>
            </rPr>
            <t xml:space="preserve"> Senior Consultant – Enterprise Sales &amp; Account Management</t>
          </r>
        </is>
      </c>
      <c r="K51" s="12" t="inlineStr">
        <is>
          <t>Sales, Negotiation &amp; Account Growth · Marketing Tech &amp; Digital Marketing</t>
        </is>
      </c>
      <c r="L51" s="12" t="inlineStr">
        <is>
          <t>Stakeholder &amp; Client Management · Communication &amp; Presentation · Product, Platform &amp; Domain Knowledge · Strategic Thinking &amp; Business Acumen</t>
        </is>
      </c>
      <c r="M51" s="12" t="inlineStr">
        <is>
          <t>Per statement of work</t>
        </is>
      </c>
      <c r="N51" s="12" t="inlineStr">
        <is>
          <t>Google / HubSpot certifications</t>
        </is>
      </c>
      <c r="O51" s="12" t="inlineStr">
        <is>
          <t>None — only this department</t>
        </is>
      </c>
      <c r="P51" s="12" t="inlineStr">
        <is>
          <t>None — only CARBON</t>
        </is>
      </c>
    </row>
    <row r="52" ht="81" customHeight="1">
      <c r="A52" s="12" t="inlineStr">
        <is>
          <t>Services</t>
        </is>
      </c>
      <c r="B52" s="17" t="inlineStr">
        <is>
          <t>A · Practitioner</t>
        </is>
      </c>
      <c r="C52" s="17" t="inlineStr">
        <is>
          <t>A2</t>
        </is>
      </c>
      <c r="D52" s="12" t="inlineStr">
        <is>
          <t>Associate</t>
        </is>
      </c>
      <c r="E52" s="12" t="inlineStr">
        <is>
          <t>Consulting &amp; Professional Services</t>
        </is>
      </c>
      <c r="F52" s="12" t="inlineStr">
        <is>
          <t>XBRL Tagging, Conversion &amp; Filing</t>
        </is>
      </c>
      <c r="G52" s="12" t="inlineStr">
        <is>
          <t>Financial Analyst</t>
        </is>
      </c>
      <c r="H52" s="12" t="inlineStr">
        <is>
          <t>IC</t>
        </is>
      </c>
      <c r="I52" s="12" t="n">
        <v>1</v>
      </c>
      <c r="J52" s="12"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2" s="12" t="inlineStr">
        <is>
          <t>XBRL, iXBRL &amp; Taxonomy · Accounting &amp; Reporting Standards · IFRS/US GAAP</t>
        </is>
      </c>
      <c r="L52" s="12" t="inlineStr">
        <is>
          <t>Regulatory &amp; BFSI Domain · Process Improvement &amp; Quality Mindset · Advanced Excel &amp; Productivity Tools · AI, GenAI &amp; Prompt Engineering</t>
        </is>
      </c>
      <c r="M52" s="12" t="inlineStr">
        <is>
          <t>Core 2 · Future-ready 2 · Functional 2 · Leadership —</t>
        </is>
      </c>
      <c r="N52" s="12" t="inlineStr">
        <is>
          <t>XBRL US GAAP Certificate · AICPA &amp; XBRL US or equivalent; CA / CMA / ACCA / CFA / IFRS certificate</t>
        </is>
      </c>
      <c r="O52" s="12" t="inlineStr">
        <is>
          <t>None — only this department</t>
        </is>
      </c>
      <c r="P52" s="17" t="inlineStr">
        <is>
          <t>iFile 3
Same title</t>
        </is>
      </c>
    </row>
    <row r="53" ht="68" customHeight="1">
      <c r="A53" s="12" t="inlineStr">
        <is>
          <t>Services</t>
        </is>
      </c>
      <c r="B53" s="17" t="inlineStr">
        <is>
          <t>A · Practitioner</t>
        </is>
      </c>
      <c r="C53" s="17" t="inlineStr">
        <is>
          <t>A3</t>
        </is>
      </c>
      <c r="D53" s="12" t="inlineStr">
        <is>
          <t>Senior Associate</t>
        </is>
      </c>
      <c r="E53" s="12" t="inlineStr">
        <is>
          <t>Consulting &amp; Professional Services</t>
        </is>
      </c>
      <c r="F53" s="12" t="inlineStr">
        <is>
          <t>Service Delivery Operations</t>
        </is>
      </c>
      <c r="G53" s="12" t="inlineStr">
        <is>
          <t>Senior Service Delivery Analyst</t>
        </is>
      </c>
      <c r="H53" s="12" t="inlineStr">
        <is>
          <t>IC</t>
        </is>
      </c>
      <c r="I53" s="12" t="n">
        <v>1</v>
      </c>
      <c r="J53" s="12" t="inlineStr">
        <is>
          <r>
            <rPr>
              <rFont val="Calibri"/>
              <b val="1"/>
              <sz val="10"/>
            </rPr>
            <t>A3:</t>
          </r>
          <r>
            <rPr>
              <rFont val="Calibri"/>
              <sz val="10"/>
            </rPr>
            <t xml:space="preserve"> Senior Service Delivery Analyst → B1: Service Delivery Specialist → B2: Senior Manager – Service Delivery</t>
          </r>
        </is>
      </c>
      <c r="K53" s="12" t="inlineStr">
        <is>
          <t>XBRL, iXBRL &amp; Taxonomy · Accounting &amp; Reporting Standards · IFRS/US GAAP</t>
        </is>
      </c>
      <c r="L53" s="12" t="inlineStr">
        <is>
          <t>Regulatory &amp; BFSI Domain · Process Improvement &amp; Quality Mindset · Advanced Excel &amp; Productivity Tools · AI, GenAI &amp; Prompt Engineering</t>
        </is>
      </c>
      <c r="M53" s="12" t="inlineStr">
        <is>
          <t>Core 2 · Future-ready 2 · Functional 3 · Leadership —</t>
        </is>
      </c>
      <c r="N53" s="12" t="inlineStr">
        <is>
          <t>XBRL US GAAP Certificate · AICPA &amp; XBRL US or equivalent; CA / CMA / ACCA / CFA / IFRS certificate</t>
        </is>
      </c>
      <c r="O53" s="12" t="inlineStr">
        <is>
          <t>None — only this department</t>
        </is>
      </c>
      <c r="P53" s="12" t="inlineStr">
        <is>
          <t>None — only CARBON</t>
        </is>
      </c>
    </row>
    <row r="54" ht="81" customHeight="1">
      <c r="A54" s="12" t="inlineStr">
        <is>
          <t>Services</t>
        </is>
      </c>
      <c r="B54" s="17" t="inlineStr">
        <is>
          <t>A · Practitioner</t>
        </is>
      </c>
      <c r="C54" s="17" t="inlineStr">
        <is>
          <t>A3</t>
        </is>
      </c>
      <c r="D54" s="12" t="inlineStr">
        <is>
          <t>Senior Associate</t>
        </is>
      </c>
      <c r="E54" s="12" t="inlineStr">
        <is>
          <t>Consulting &amp; Professional Services</t>
        </is>
      </c>
      <c r="F54" s="12" t="inlineStr">
        <is>
          <t>XBRL Tagging, Conversion &amp; Filing</t>
        </is>
      </c>
      <c r="G54" s="12" t="inlineStr">
        <is>
          <t>Senior Financial Analyst</t>
        </is>
      </c>
      <c r="H54" s="12" t="inlineStr">
        <is>
          <t>IC</t>
        </is>
      </c>
      <c r="I54" s="12" t="n">
        <v>33</v>
      </c>
      <c r="J54" s="12"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4" s="12" t="inlineStr">
        <is>
          <t>XBRL, iXBRL &amp; Taxonomy · Accounting &amp; Reporting Standards · IFRS/US GAAP</t>
        </is>
      </c>
      <c r="L54" s="12" t="inlineStr">
        <is>
          <t>Regulatory &amp; BFSI Domain · Process Improvement &amp; Quality Mindset · Advanced Excel &amp; Productivity Tools · AI, GenAI &amp; Prompt Engineering</t>
        </is>
      </c>
      <c r="M54" s="12" t="inlineStr">
        <is>
          <t>Core 2 · Future-ready 2 · Functional 3 · Leadership —</t>
        </is>
      </c>
      <c r="N54" s="12" t="inlineStr">
        <is>
          <t>XBRL US GAAP Certificate · AICPA &amp; XBRL US or equivalent; CA / CMA / ACCA / CFA / IFRS certificate</t>
        </is>
      </c>
      <c r="O54" s="12" t="inlineStr">
        <is>
          <t>None — only this department</t>
        </is>
      </c>
      <c r="P54" s="17" t="inlineStr">
        <is>
          <t>iFile 3
Same title</t>
        </is>
      </c>
    </row>
    <row r="55" ht="81" customHeight="1">
      <c r="A55" s="12" t="inlineStr">
        <is>
          <t>Services</t>
        </is>
      </c>
      <c r="B55" s="17" t="inlineStr">
        <is>
          <t>A · Practitioner</t>
        </is>
      </c>
      <c r="C55" s="17" t="inlineStr">
        <is>
          <t>A3</t>
        </is>
      </c>
      <c r="D55" s="12" t="inlineStr">
        <is>
          <t>Senior Associate</t>
        </is>
      </c>
      <c r="E55" s="12" t="inlineStr">
        <is>
          <t>Consulting &amp; Professional Services</t>
        </is>
      </c>
      <c r="F55" s="12" t="inlineStr">
        <is>
          <t>XBRL Tagging, Conversion &amp; Filing</t>
        </is>
      </c>
      <c r="G55" s="12" t="inlineStr">
        <is>
          <t>XBRL Specialist</t>
        </is>
      </c>
      <c r="H55" s="12" t="inlineStr">
        <is>
          <t>IC</t>
        </is>
      </c>
      <c r="I55" s="12" t="n">
        <v>2</v>
      </c>
      <c r="J55" s="12"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5" s="12" t="inlineStr">
        <is>
          <t>XBRL, iXBRL &amp; Taxonomy · Accounting &amp; Reporting Standards · IFRS/US GAAP</t>
        </is>
      </c>
      <c r="L55" s="12" t="inlineStr">
        <is>
          <t>Regulatory &amp; BFSI Domain · Process Improvement &amp; Quality Mindset · Advanced Excel &amp; Productivity Tools · AI, GenAI &amp; Prompt Engineering</t>
        </is>
      </c>
      <c r="M55" s="12" t="inlineStr">
        <is>
          <t>Core 2 · Future-ready 2 · Functional 3 · Leadership —</t>
        </is>
      </c>
      <c r="N55" s="12" t="inlineStr">
        <is>
          <t>XBRL US GAAP Certificate · AICPA &amp; XBRL US or equivalent; CA / CMA / ACCA / CFA / IFRS certificate</t>
        </is>
      </c>
      <c r="O55" s="12" t="inlineStr">
        <is>
          <t>None — only this department</t>
        </is>
      </c>
      <c r="P55" s="17" t="inlineStr">
        <is>
          <r>
            <rPr>
              <rFont val="Calibri"/>
              <sz val="10"/>
            </rPr>
            <t xml:space="preserve">iFile 3
</t>
          </r>
          <r>
            <rPr>
              <rFont val="Calibri"/>
              <b val="1"/>
              <sz val="10"/>
            </rPr>
            <t>Titled there:</t>
          </r>
          <r>
            <rPr>
              <rFont val="Calibri"/>
              <sz val="10"/>
            </rPr>
            <t xml:space="preserve"> Senior Financial Analyst</t>
          </r>
        </is>
      </c>
    </row>
    <row r="56" ht="55" customHeight="1">
      <c r="A56" s="12" t="inlineStr">
        <is>
          <t>Services</t>
        </is>
      </c>
      <c r="B56" s="17" t="inlineStr">
        <is>
          <t>A · Practitioner</t>
        </is>
      </c>
      <c r="C56" s="17" t="inlineStr">
        <is>
          <t>A3</t>
        </is>
      </c>
      <c r="D56" s="12" t="inlineStr">
        <is>
          <t>Senior Associate</t>
        </is>
      </c>
      <c r="E56" s="12" t="inlineStr">
        <is>
          <t>Quality Assurance</t>
        </is>
      </c>
      <c r="F56" s="12" t="inlineStr">
        <is>
          <t>Functional &amp; Domain Testing</t>
        </is>
      </c>
      <c r="G56" s="12" t="inlineStr">
        <is>
          <t>Senior QA Engineer</t>
        </is>
      </c>
      <c r="H56" s="12" t="inlineStr">
        <is>
          <t>IC</t>
        </is>
      </c>
      <c r="I56" s="12" t="n">
        <v>1</v>
      </c>
      <c r="J56" s="12" t="inlineStr">
        <is>
          <r>
            <rPr>
              <rFont val="Calibri"/>
              <b val="1"/>
              <sz val="10"/>
            </rPr>
            <t>A3:</t>
          </r>
          <r>
            <rPr>
              <rFont val="Calibri"/>
              <sz val="10"/>
            </rPr>
            <t xml:space="preserve"> Senior QA Engineer → B2: Senior QA Specialist – POD Lead</t>
          </r>
        </is>
      </c>
      <c r="K56" s="12" t="inlineStr">
        <is>
          <t>Test Automation &amp; QA Engineering · Product, Platform &amp; Domain Knowledge</t>
        </is>
      </c>
      <c r="L56" s="12" t="inlineStr">
        <is>
          <t>Database, SQL &amp; Data Engineering · AI, GenAI &amp; Prompt Engineering · Process Improvement &amp; Quality Mindset · Communication &amp; Presentation</t>
        </is>
      </c>
      <c r="M56" s="12" t="inlineStr">
        <is>
          <t>Core 2 · Future-ready 2 · Functional 3 · Leadership —</t>
        </is>
      </c>
      <c r="N56" s="12" t="inlineStr">
        <is>
          <t>ISTQB Foundation / Advanced; Internal product certification</t>
        </is>
      </c>
      <c r="O56" s="96" t="inlineStr">
        <is>
          <t>Quality Assurance</t>
        </is>
      </c>
      <c r="P56" s="17" t="inlineStr">
        <is>
          <r>
            <rPr>
              <rFont val="Calibri"/>
              <sz val="10"/>
            </rPr>
            <t xml:space="preserve">iFile 11 · iDEAL 1 · Datatech 1
</t>
          </r>
          <r>
            <rPr>
              <rFont val="Calibri"/>
              <b val="1"/>
              <sz val="10"/>
            </rPr>
            <t>Titled there:</t>
          </r>
          <r>
            <rPr>
              <rFont val="Calibri"/>
              <sz val="10"/>
            </rPr>
            <t xml:space="preserve"> QA Specialist / Senior QA Engineer</t>
          </r>
        </is>
      </c>
    </row>
    <row r="57" ht="68" customHeight="1">
      <c r="A57" s="12" t="inlineStr">
        <is>
          <t>Services</t>
        </is>
      </c>
      <c r="B57" s="21" t="inlineStr">
        <is>
          <t>B · Specialist / Manager</t>
        </is>
      </c>
      <c r="C57" s="21" t="inlineStr">
        <is>
          <t>B1</t>
        </is>
      </c>
      <c r="D57" s="12" t="inlineStr">
        <is>
          <t>Specialist</t>
        </is>
      </c>
      <c r="E57" s="12" t="inlineStr">
        <is>
          <t>Consulting &amp; Professional Services</t>
        </is>
      </c>
      <c r="F57" s="12" t="inlineStr">
        <is>
          <t>Service Delivery Operations</t>
        </is>
      </c>
      <c r="G57" s="12" t="inlineStr">
        <is>
          <t>Service Delivery Specialist</t>
        </is>
      </c>
      <c r="H57" s="12" t="inlineStr">
        <is>
          <t>IC</t>
        </is>
      </c>
      <c r="I57" s="12" t="n">
        <v>1</v>
      </c>
      <c r="J57" s="12" t="inlineStr">
        <is>
          <r>
            <rPr>
              <rFont val="Calibri"/>
              <b val="1"/>
              <sz val="10"/>
            </rPr>
            <t>A3:</t>
          </r>
          <r>
            <rPr>
              <rFont val="Calibri"/>
              <sz val="10"/>
            </rPr>
            <t xml:space="preserve"> Senior Service Delivery Analyst → B1: Service Delivery Specialist → B2: Senior Manager – Service Delivery</t>
          </r>
        </is>
      </c>
      <c r="K57" s="12" t="inlineStr">
        <is>
          <t>XBRL, iXBRL &amp; Taxonomy · Accounting &amp; Reporting Standards · IFRS/US GAAP</t>
        </is>
      </c>
      <c r="L57" s="12" t="inlineStr">
        <is>
          <t>Regulatory &amp; BFSI Domain · Process Improvement &amp; Quality Mindset · Advanced Excel &amp; Productivity Tools · AI, GenAI &amp; Prompt Engineering</t>
        </is>
      </c>
      <c r="M57" s="12" t="inlineStr">
        <is>
          <t>Core 3 · Future-ready 3 · Functional 3 · Leadership 1</t>
        </is>
      </c>
      <c r="N57" s="12" t="inlineStr">
        <is>
          <t>XBRL US GAAP Certificate · AICPA &amp; XBRL US or equivalent; CA / CMA / ACCA / CFA / IFRS certificate</t>
        </is>
      </c>
      <c r="O57" s="12" t="inlineStr">
        <is>
          <t>None — only this department</t>
        </is>
      </c>
      <c r="P57" s="12" t="inlineStr">
        <is>
          <t>None — only CARBON</t>
        </is>
      </c>
    </row>
    <row r="58" ht="81" customHeight="1">
      <c r="A58" s="12" t="inlineStr">
        <is>
          <t>Services</t>
        </is>
      </c>
      <c r="B58" s="21" t="inlineStr">
        <is>
          <t>B · Specialist / Manager</t>
        </is>
      </c>
      <c r="C58" s="21" t="inlineStr">
        <is>
          <t>B1</t>
        </is>
      </c>
      <c r="D58" s="12" t="inlineStr">
        <is>
          <t>Team Lead</t>
        </is>
      </c>
      <c r="E58" s="12" t="inlineStr">
        <is>
          <t>Consulting &amp; Professional Services</t>
        </is>
      </c>
      <c r="F58" s="12" t="inlineStr">
        <is>
          <t>XBRL Tagging, Conversion &amp; Filing</t>
        </is>
      </c>
      <c r="G58" s="12" t="inlineStr">
        <is>
          <t>Team Lead – Assisted Services</t>
        </is>
      </c>
      <c r="H58" s="12" t="inlineStr">
        <is>
          <t>People Manager</t>
        </is>
      </c>
      <c r="I58" s="12" t="n">
        <v>2</v>
      </c>
      <c r="J58" s="12"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8" s="12" t="inlineStr">
        <is>
          <t>XBRL, iXBRL &amp; Taxonomy · Accounting &amp; Reporting Standards · IFRS/US GAAP</t>
        </is>
      </c>
      <c r="L58" s="12" t="inlineStr">
        <is>
          <t>Regulatory &amp; BFSI Domain · Process Improvement &amp; Quality Mindset · Advanced Excel &amp; Productivity Tools · AI, GenAI &amp; Prompt Engineering</t>
        </is>
      </c>
      <c r="M58" s="12" t="inlineStr">
        <is>
          <t>Core 3 · Future-ready 3 · Functional 3 · Leadership 2</t>
        </is>
      </c>
      <c r="N58" s="12" t="inlineStr">
        <is>
          <t>XBRL US GAAP Certificate · AICPA &amp; XBRL US or equivalent; CA / CMA / ACCA / CFA / IFRS certificate</t>
        </is>
      </c>
      <c r="O58" s="12" t="inlineStr">
        <is>
          <t>None — only this department</t>
        </is>
      </c>
      <c r="P58" s="12" t="inlineStr">
        <is>
          <t>None — only CARBON</t>
        </is>
      </c>
    </row>
    <row r="59" ht="81" customHeight="1">
      <c r="A59" s="12" t="inlineStr">
        <is>
          <t>Services</t>
        </is>
      </c>
      <c r="B59" s="21" t="inlineStr">
        <is>
          <t>B · Specialist / Manager</t>
        </is>
      </c>
      <c r="C59" s="21" t="inlineStr">
        <is>
          <t>B1</t>
        </is>
      </c>
      <c r="D59" s="12" t="inlineStr">
        <is>
          <t>Specialist</t>
        </is>
      </c>
      <c r="E59" s="12" t="inlineStr">
        <is>
          <t>Consulting &amp; Professional Services</t>
        </is>
      </c>
      <c r="F59" s="12" t="inlineStr">
        <is>
          <t>XBRL Tagging, Conversion &amp; Filing</t>
        </is>
      </c>
      <c r="G59" s="12" t="inlineStr">
        <is>
          <t>XBRL Specialist</t>
        </is>
      </c>
      <c r="H59" s="12" t="inlineStr">
        <is>
          <t>IC</t>
        </is>
      </c>
      <c r="I59" s="12" t="n">
        <v>8</v>
      </c>
      <c r="J59" s="12"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59" s="12" t="inlineStr">
        <is>
          <t>XBRL, iXBRL &amp; Taxonomy · Accounting &amp; Reporting Standards · IFRS/US GAAP</t>
        </is>
      </c>
      <c r="L59" s="12" t="inlineStr">
        <is>
          <t>Regulatory &amp; BFSI Domain · Process Improvement &amp; Quality Mindset · Advanced Excel &amp; Productivity Tools · AI, GenAI &amp; Prompt Engineering</t>
        </is>
      </c>
      <c r="M59" s="12" t="inlineStr">
        <is>
          <t>Core 3 · Future-ready 3 · Functional 3 · Leadership 1</t>
        </is>
      </c>
      <c r="N59" s="12" t="inlineStr">
        <is>
          <t>XBRL US GAAP Certificate · AICPA &amp; XBRL US or equivalent; CA / CMA / ACCA / CFA / IFRS certificate</t>
        </is>
      </c>
      <c r="O59" s="12" t="inlineStr">
        <is>
          <t>None — only this department</t>
        </is>
      </c>
      <c r="P59" s="12" t="inlineStr">
        <is>
          <t>None — only CARBON</t>
        </is>
      </c>
    </row>
    <row r="60" ht="81" customHeight="1">
      <c r="A60" s="12" t="inlineStr">
        <is>
          <t>Services</t>
        </is>
      </c>
      <c r="B60" s="21" t="inlineStr">
        <is>
          <t>B · Specialist / Manager</t>
        </is>
      </c>
      <c r="C60" s="21" t="inlineStr">
        <is>
          <t>B1</t>
        </is>
      </c>
      <c r="D60" s="12" t="inlineStr">
        <is>
          <t>Specialist · POD Lead</t>
        </is>
      </c>
      <c r="E60" s="12" t="inlineStr">
        <is>
          <t>Consulting &amp; Professional Services</t>
        </is>
      </c>
      <c r="F60" s="12" t="inlineStr">
        <is>
          <t>XBRL Tagging, Conversion &amp; Filing</t>
        </is>
      </c>
      <c r="G60" s="12" t="inlineStr">
        <is>
          <t>XBRL Specialist – POD Lead</t>
        </is>
      </c>
      <c r="H60" s="12" t="inlineStr">
        <is>
          <t>POD Lead</t>
        </is>
      </c>
      <c r="I60" s="12" t="n">
        <v>2</v>
      </c>
      <c r="J60" s="12"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60" s="12" t="inlineStr">
        <is>
          <t>XBRL, iXBRL &amp; Taxonomy · Accounting &amp; Reporting Standards · IFRS/US GAAP</t>
        </is>
      </c>
      <c r="L60" s="12" t="inlineStr">
        <is>
          <t>Regulatory &amp; BFSI Domain · Process Improvement &amp; Quality Mindset · Advanced Excel &amp; Productivity Tools · AI, GenAI &amp; Prompt Engineering</t>
        </is>
      </c>
      <c r="M60" s="12" t="inlineStr">
        <is>
          <t>Core 3 · Future-ready 3 · Functional 3 · Leadership 1</t>
        </is>
      </c>
      <c r="N60" s="12" t="inlineStr">
        <is>
          <t>XBRL US GAAP Certificate · AICPA &amp; XBRL US or equivalent; CA / CMA / ACCA / CFA / IFRS certificate</t>
        </is>
      </c>
      <c r="O60" s="12" t="inlineStr">
        <is>
          <t>None — only this department</t>
        </is>
      </c>
      <c r="P60" s="12" t="inlineStr">
        <is>
          <t>None — only CARBON</t>
        </is>
      </c>
    </row>
    <row r="61" ht="68" customHeight="1">
      <c r="A61" s="12" t="inlineStr">
        <is>
          <t>Services</t>
        </is>
      </c>
      <c r="B61" s="21" t="inlineStr">
        <is>
          <t>B · Specialist / Manager</t>
        </is>
      </c>
      <c r="C61" s="21" t="inlineStr">
        <is>
          <t>B2</t>
        </is>
      </c>
      <c r="D61" s="12" t="inlineStr">
        <is>
          <t>Manager</t>
        </is>
      </c>
      <c r="E61" s="12" t="inlineStr">
        <is>
          <t>Consulting &amp; Professional Services</t>
        </is>
      </c>
      <c r="F61" s="12" t="inlineStr">
        <is>
          <t>Service Delivery Operations</t>
        </is>
      </c>
      <c r="G61" s="12" t="inlineStr">
        <is>
          <t>Senior Manager – Service Delivery</t>
        </is>
      </c>
      <c r="H61" s="12" t="inlineStr">
        <is>
          <t>People Manager</t>
        </is>
      </c>
      <c r="I61" s="12" t="n">
        <v>1</v>
      </c>
      <c r="J61" s="12" t="inlineStr">
        <is>
          <r>
            <rPr>
              <rFont val="Calibri"/>
              <b val="1"/>
              <sz val="10"/>
            </rPr>
            <t>A3:</t>
          </r>
          <r>
            <rPr>
              <rFont val="Calibri"/>
              <sz val="10"/>
            </rPr>
            <t xml:space="preserve"> Senior Service Delivery Analyst → B1: Service Delivery Specialist → B2: Senior Manager – Service Delivery</t>
          </r>
        </is>
      </c>
      <c r="K61" s="12" t="inlineStr">
        <is>
          <t>XBRL, iXBRL &amp; Taxonomy · Accounting &amp; Reporting Standards · IFRS/US GAAP</t>
        </is>
      </c>
      <c r="L61" s="12" t="inlineStr">
        <is>
          <t>Regulatory &amp; BFSI Domain · Process Improvement &amp; Quality Mindset · Advanced Excel &amp; Productivity Tools · AI, GenAI &amp; Prompt Engineering</t>
        </is>
      </c>
      <c r="M61" s="12" t="inlineStr">
        <is>
          <t>Core 3 · Future-ready 3 · Functional 4 · Leadership 3</t>
        </is>
      </c>
      <c r="N61" s="12" t="inlineStr">
        <is>
          <t>XBRL US GAAP Certificate · AICPA &amp; XBRL US or equivalent; CA / CMA / ACCA / CFA / IFRS certificate</t>
        </is>
      </c>
      <c r="O61" s="12" t="inlineStr">
        <is>
          <t>None — only this department</t>
        </is>
      </c>
      <c r="P61" s="12" t="inlineStr">
        <is>
          <t>None — only CARBON</t>
        </is>
      </c>
    </row>
    <row r="62" ht="81" customHeight="1">
      <c r="A62" s="12" t="inlineStr">
        <is>
          <t>Services</t>
        </is>
      </c>
      <c r="B62" s="21" t="inlineStr">
        <is>
          <t>B · Specialist / Manager</t>
        </is>
      </c>
      <c r="C62" s="21" t="inlineStr">
        <is>
          <t>B2</t>
        </is>
      </c>
      <c r="D62" s="12" t="inlineStr">
        <is>
          <t>Manager</t>
        </is>
      </c>
      <c r="E62" s="12" t="inlineStr">
        <is>
          <t>Consulting &amp; Professional Services</t>
        </is>
      </c>
      <c r="F62" s="12" t="inlineStr">
        <is>
          <t>XBRL Tagging, Conversion &amp; Filing</t>
        </is>
      </c>
      <c r="G62" s="12" t="inlineStr">
        <is>
          <t>Manager – Assisted Services</t>
        </is>
      </c>
      <c r="H62" s="12" t="inlineStr">
        <is>
          <t>People Manager</t>
        </is>
      </c>
      <c r="I62" s="12" t="n">
        <v>3</v>
      </c>
      <c r="J62" s="12"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62" s="12" t="inlineStr">
        <is>
          <t>XBRL, iXBRL &amp; Taxonomy · Accounting &amp; Reporting Standards · IFRS/US GAAP</t>
        </is>
      </c>
      <c r="L62" s="12" t="inlineStr">
        <is>
          <t>Regulatory &amp; BFSI Domain · Process Improvement &amp; Quality Mindset · Advanced Excel &amp; Productivity Tools · AI, GenAI &amp; Prompt Engineering</t>
        </is>
      </c>
      <c r="M62" s="12" t="inlineStr">
        <is>
          <t>Core 3 · Future-ready 3 · Functional 4 · Leadership 3</t>
        </is>
      </c>
      <c r="N62" s="12" t="inlineStr">
        <is>
          <t>XBRL US GAAP Certificate · AICPA &amp; XBRL US or equivalent; CA / CMA / ACCA / CFA / IFRS certificate</t>
        </is>
      </c>
      <c r="O62" s="12" t="inlineStr">
        <is>
          <t>None — only this department</t>
        </is>
      </c>
      <c r="P62" s="12" t="inlineStr">
        <is>
          <t>None — only CARBON</t>
        </is>
      </c>
    </row>
    <row r="63" ht="81" customHeight="1">
      <c r="A63" s="12" t="inlineStr">
        <is>
          <t>Services</t>
        </is>
      </c>
      <c r="B63" s="21" t="inlineStr">
        <is>
          <t>B · Specialist / Manager</t>
        </is>
      </c>
      <c r="C63" s="21" t="inlineStr">
        <is>
          <t>B2</t>
        </is>
      </c>
      <c r="D63" s="12" t="inlineStr">
        <is>
          <t>Manager</t>
        </is>
      </c>
      <c r="E63" s="12" t="inlineStr">
        <is>
          <t>Consulting &amp; Professional Services</t>
        </is>
      </c>
      <c r="F63" s="12" t="inlineStr">
        <is>
          <t>XBRL Tagging, Conversion &amp; Filing</t>
        </is>
      </c>
      <c r="G63" s="12" t="inlineStr">
        <is>
          <t>Senior Manager – Assisted Services</t>
        </is>
      </c>
      <c r="H63" s="12" t="inlineStr">
        <is>
          <t>People Manager</t>
        </is>
      </c>
      <c r="I63" s="12" t="n">
        <v>1</v>
      </c>
      <c r="J63" s="12" t="inlineStr">
        <is>
          <r>
            <rPr>
              <rFont val="Calibri"/>
              <b val="1"/>
              <sz val="10"/>
            </rPr>
            <t>A2:</t>
          </r>
          <r>
            <rPr>
              <rFont val="Calibri"/>
              <sz val="10"/>
            </rPr>
            <t xml:space="preserve"> Financial Analyst → A3: Senior Financial Analyst / XBRL Specialist → B1: Team Lead – Assisted Services / XBRL Specialist / XBRL Specialist – POD Lead → B2: Manager – Assisted Services / Senior Manager – Assisted Services</t>
          </r>
        </is>
      </c>
      <c r="K63" s="12" t="inlineStr">
        <is>
          <t>XBRL, iXBRL &amp; Taxonomy · Accounting &amp; Reporting Standards · IFRS/US GAAP</t>
        </is>
      </c>
      <c r="L63" s="12" t="inlineStr">
        <is>
          <t>Regulatory &amp; BFSI Domain · Process Improvement &amp; Quality Mindset · Advanced Excel &amp; Productivity Tools · AI, GenAI &amp; Prompt Engineering</t>
        </is>
      </c>
      <c r="M63" s="12" t="inlineStr">
        <is>
          <t>Core 3 · Future-ready 3 · Functional 4 · Leadership 3</t>
        </is>
      </c>
      <c r="N63" s="12" t="inlineStr">
        <is>
          <t>XBRL US GAAP Certificate · AICPA &amp; XBRL US or equivalent; CA / CMA / ACCA / CFA / IFRS certificate</t>
        </is>
      </c>
      <c r="O63" s="12" t="inlineStr">
        <is>
          <t>None — only this department</t>
        </is>
      </c>
      <c r="P63" s="12" t="inlineStr">
        <is>
          <t>None — only CARBON</t>
        </is>
      </c>
    </row>
    <row r="64" ht="68" customHeight="1">
      <c r="A64" s="12" t="inlineStr">
        <is>
          <t>Services</t>
        </is>
      </c>
      <c r="B64" s="21" t="inlineStr">
        <is>
          <t>B · Specialist / Manager</t>
        </is>
      </c>
      <c r="C64" s="21" t="inlineStr">
        <is>
          <t>B2</t>
        </is>
      </c>
      <c r="D64" s="12" t="inlineStr">
        <is>
          <t>Manager</t>
        </is>
      </c>
      <c r="E64" s="12" t="inlineStr">
        <is>
          <t>Project &amp; Program Management</t>
        </is>
      </c>
      <c r="F64" s="12" t="inlineStr">
        <is>
          <t>PMO &amp; Delivery Excellence</t>
        </is>
      </c>
      <c r="G64" s="12" t="inlineStr">
        <is>
          <t>PMO Manager</t>
        </is>
      </c>
      <c r="H64" s="12" t="inlineStr">
        <is>
          <t>People Manager</t>
        </is>
      </c>
      <c r="I64" s="12" t="n">
        <v>1</v>
      </c>
      <c r="J64" s="12" t="inlineStr">
        <is>
          <r>
            <rPr>
              <rFont val="Calibri"/>
              <b val="1"/>
              <sz val="10"/>
            </rPr>
            <t>B2:</t>
          </r>
          <r>
            <rPr>
              <rFont val="Calibri"/>
              <sz val="10"/>
            </rPr>
            <t xml:space="preserve"> PMO Manager</t>
          </r>
        </is>
      </c>
      <c r="K64" s="12" t="inlineStr">
        <is>
          <t>Project, Program &amp; Agile Management · Stakeholder &amp; Client Management</t>
        </is>
      </c>
      <c r="L64" s="12" t="inlineStr">
        <is>
          <t>Communication &amp; Presentation · Process Improvement &amp; Quality Mindset · Strategic Thinking &amp; Business Acumen · Product, Platform &amp; Domain Knowledge</t>
        </is>
      </c>
      <c r="M64" s="12" t="inlineStr">
        <is>
          <t>Core 3 · Future-ready 3 · Functional 4 · Leadership 3</t>
        </is>
      </c>
      <c r="N64" s="12" t="inlineStr">
        <is>
          <t>PMP / PRINCE2 / CSM / SAFe</t>
        </is>
      </c>
      <c r="O64" s="12" t="inlineStr">
        <is>
          <t>None — only this department</t>
        </is>
      </c>
      <c r="P64" s="12" t="inlineStr">
        <is>
          <t>None — only CARBON</t>
        </is>
      </c>
    </row>
    <row r="65" ht="55" customHeight="1">
      <c r="A65" s="12" t="inlineStr">
        <is>
          <t>Services</t>
        </is>
      </c>
      <c r="B65" s="21" t="inlineStr">
        <is>
          <t>B · Specialist / Manager</t>
        </is>
      </c>
      <c r="C65" s="21" t="inlineStr">
        <is>
          <t>B2</t>
        </is>
      </c>
      <c r="D65" s="12" t="inlineStr">
        <is>
          <t>Senior Specialist · POD Lead</t>
        </is>
      </c>
      <c r="E65" s="12" t="inlineStr">
        <is>
          <t>Quality Assurance</t>
        </is>
      </c>
      <c r="F65" s="12" t="inlineStr">
        <is>
          <t>Functional &amp; Domain Testing</t>
        </is>
      </c>
      <c r="G65" s="12" t="inlineStr">
        <is>
          <t>Senior QA Specialist – POD Lead</t>
        </is>
      </c>
      <c r="H65" s="12" t="inlineStr">
        <is>
          <t>POD Lead</t>
        </is>
      </c>
      <c r="I65" s="12" t="n">
        <v>1</v>
      </c>
      <c r="J65" s="12" t="inlineStr">
        <is>
          <r>
            <rPr>
              <rFont val="Calibri"/>
              <b val="1"/>
              <sz val="10"/>
            </rPr>
            <t>A3:</t>
          </r>
          <r>
            <rPr>
              <rFont val="Calibri"/>
              <sz val="10"/>
            </rPr>
            <t xml:space="preserve"> Senior QA Engineer → B2: Senior QA Specialist – POD Lead</t>
          </r>
        </is>
      </c>
      <c r="K65" s="12" t="inlineStr">
        <is>
          <t>Test Automation &amp; QA Engineering · Product, Platform &amp; Domain Knowledge</t>
        </is>
      </c>
      <c r="L65" s="12" t="inlineStr">
        <is>
          <t>Database, SQL &amp; Data Engineering · AI, GenAI &amp; Prompt Engineering · Process Improvement &amp; Quality Mindset · Communication &amp; Presentation</t>
        </is>
      </c>
      <c r="M65" s="12" t="inlineStr">
        <is>
          <t>Core 3 · Future-ready 3 · Functional 4 · Leadership 2</t>
        </is>
      </c>
      <c r="N65" s="12" t="inlineStr">
        <is>
          <t>ISTQB Foundation / Advanced; Internal product certification</t>
        </is>
      </c>
      <c r="O65" s="12" t="inlineStr">
        <is>
          <t>None — only this department</t>
        </is>
      </c>
      <c r="P65" s="12" t="inlineStr">
        <is>
          <t>None — only CARBON</t>
        </is>
      </c>
    </row>
    <row r="66" ht="68" customHeight="1">
      <c r="A66" s="12" t="inlineStr">
        <is>
          <t>Services</t>
        </is>
      </c>
      <c r="B66" s="25" t="inlineStr">
        <is>
          <t>C · Principal / Head</t>
        </is>
      </c>
      <c r="C66" s="25" t="inlineStr">
        <is>
          <t>C1</t>
        </is>
      </c>
      <c r="D66" s="12" t="inlineStr">
        <is>
          <t>Associate Head</t>
        </is>
      </c>
      <c r="E66" s="12" t="inlineStr">
        <is>
          <t>Consulting &amp; Professional Services</t>
        </is>
      </c>
      <c r="F66" s="12" t="inlineStr">
        <is>
          <t>Professional Services Leadership</t>
        </is>
      </c>
      <c r="G66" s="12" t="inlineStr">
        <is>
          <t>Associate Head – Assisted Services</t>
        </is>
      </c>
      <c r="H66" s="12" t="inlineStr">
        <is>
          <t>People Manager</t>
        </is>
      </c>
      <c r="I66" s="12" t="n">
        <v>1</v>
      </c>
      <c r="J66" s="12" t="inlineStr">
        <is>
          <r>
            <rPr>
              <rFont val="Calibri"/>
              <b val="1"/>
              <sz val="10"/>
            </rPr>
            <t>C1:</t>
          </r>
          <r>
            <rPr>
              <rFont val="Calibri"/>
              <sz val="10"/>
            </rPr>
            <t xml:space="preserve"> Associate Head – Assisted Services / Associate Head – XBRL Assisted Services</t>
          </r>
        </is>
      </c>
      <c r="K66" s="12" t="inlineStr">
        <is>
          <t>XBRL, iXBRL &amp; Taxonomy · Accounting &amp; Reporting Standards · IFRS/US GAAP</t>
        </is>
      </c>
      <c r="L66" s="12" t="inlineStr">
        <is>
          <t>Regulatory &amp; BFSI Domain · Process Improvement &amp; Quality Mindset · Advanced Excel &amp; Productivity Tools · AI, GenAI &amp; Prompt Engineering</t>
        </is>
      </c>
      <c r="M66" s="12" t="inlineStr">
        <is>
          <t>Core 4 · Future-ready 4 · Functional 4 · Leadership 4</t>
        </is>
      </c>
      <c r="N66" s="12" t="inlineStr">
        <is>
          <t>XBRL US GAAP Certificate · AICPA &amp; XBRL US or equivalent; CA / CMA / ACCA / CFA / IFRS certificate</t>
        </is>
      </c>
      <c r="O66" s="12" t="inlineStr">
        <is>
          <t>None — only this department</t>
        </is>
      </c>
      <c r="P66" s="12" t="inlineStr">
        <is>
          <t>None — only CARBON</t>
        </is>
      </c>
    </row>
    <row r="67" ht="68" customHeight="1">
      <c r="A67" s="12" t="inlineStr">
        <is>
          <t>Services</t>
        </is>
      </c>
      <c r="B67" s="25" t="inlineStr">
        <is>
          <t>C · Principal / Head</t>
        </is>
      </c>
      <c r="C67" s="25" t="inlineStr">
        <is>
          <t>C1</t>
        </is>
      </c>
      <c r="D67" s="12" t="inlineStr">
        <is>
          <t>Associate Head</t>
        </is>
      </c>
      <c r="E67" s="12" t="inlineStr">
        <is>
          <t>Consulting &amp; Professional Services</t>
        </is>
      </c>
      <c r="F67" s="12" t="inlineStr">
        <is>
          <t>Professional Services Leadership</t>
        </is>
      </c>
      <c r="G67" s="12" t="inlineStr">
        <is>
          <t>Associate Head – XBRL Assisted Services</t>
        </is>
      </c>
      <c r="H67" s="12" t="inlineStr">
        <is>
          <t>People Manager</t>
        </is>
      </c>
      <c r="I67" s="12" t="n">
        <v>1</v>
      </c>
      <c r="J67" s="12" t="inlineStr">
        <is>
          <r>
            <rPr>
              <rFont val="Calibri"/>
              <b val="1"/>
              <sz val="10"/>
            </rPr>
            <t>C1:</t>
          </r>
          <r>
            <rPr>
              <rFont val="Calibri"/>
              <sz val="10"/>
            </rPr>
            <t xml:space="preserve"> Associate Head – Assisted Services / Associate Head – XBRL Assisted Services</t>
          </r>
        </is>
      </c>
      <c r="K67" s="12" t="inlineStr">
        <is>
          <t>XBRL, iXBRL &amp; Taxonomy · Accounting &amp; Reporting Standards · IFRS/US GAAP</t>
        </is>
      </c>
      <c r="L67" s="12" t="inlineStr">
        <is>
          <t>Regulatory &amp; BFSI Domain · Process Improvement &amp; Quality Mindset · Advanced Excel &amp; Productivity Tools · AI, GenAI &amp; Prompt Engineering</t>
        </is>
      </c>
      <c r="M67" s="12" t="inlineStr">
        <is>
          <t>Core 4 · Future-ready 4 · Functional 4 · Leadership 4</t>
        </is>
      </c>
      <c r="N67" s="12" t="inlineStr">
        <is>
          <t>XBRL US GAAP Certificate · AICPA &amp; XBRL US or equivalent; CA / CMA / ACCA / CFA / IFRS certificate</t>
        </is>
      </c>
      <c r="O67" s="12" t="inlineStr">
        <is>
          <t>None — only this department</t>
        </is>
      </c>
      <c r="P67" s="12" t="inlineStr">
        <is>
          <t>None — only CARBON</t>
        </is>
      </c>
    </row>
    <row r="68" ht="55" customHeight="1">
      <c r="A68" s="12" t="inlineStr">
        <is>
          <t>Support</t>
        </is>
      </c>
      <c r="B68" s="17" t="inlineStr">
        <is>
          <t>A · Practitioner</t>
        </is>
      </c>
      <c r="C68" s="17" t="inlineStr">
        <is>
          <t>A3</t>
        </is>
      </c>
      <c r="D68" s="12" t="inlineStr">
        <is>
          <t>Senior Associate</t>
        </is>
      </c>
      <c r="E68" s="12" t="inlineStr">
        <is>
          <t>Customer Success &amp; Support</t>
        </is>
      </c>
      <c r="F68" s="12" t="inlineStr">
        <is>
          <t>Application &amp; Product Support</t>
        </is>
      </c>
      <c r="G68" s="12" t="inlineStr">
        <is>
          <t>Senior Support Executive</t>
        </is>
      </c>
      <c r="H68" s="12" t="inlineStr">
        <is>
          <t>IC</t>
        </is>
      </c>
      <c r="I68" s="12" t="n">
        <v>7</v>
      </c>
      <c r="J68" s="12" t="inlineStr">
        <is>
          <r>
            <rPr>
              <rFont val="Calibri"/>
              <b val="1"/>
              <sz val="10"/>
            </rPr>
            <t>A3:</t>
          </r>
          <r>
            <rPr>
              <rFont val="Calibri"/>
              <sz val="10"/>
            </rPr>
            <t xml:space="preserve"> Senior Support Executive → B2: Support Manager</t>
          </r>
        </is>
      </c>
      <c r="K68" s="12" t="inlineStr">
        <is>
          <t>Product, Platform &amp; Domain Knowledge · Stakeholder &amp; Client Management</t>
        </is>
      </c>
      <c r="L68" s="12" t="inlineStr">
        <is>
          <t>Communication &amp; Presentation · Database, SQL &amp; Data Engineering · Regulatory &amp; BFSI Domain · Process Improvement &amp; Quality Mindset</t>
        </is>
      </c>
      <c r="M68" s="12" t="inlineStr">
        <is>
          <t>Core 2 · Future-ready 2 · Functional 3 · Leadership —</t>
        </is>
      </c>
      <c r="N68" s="12" t="inlineStr">
        <is>
          <t>Internal product certification</t>
        </is>
      </c>
      <c r="O68" s="12" t="inlineStr">
        <is>
          <t>None — only this department</t>
        </is>
      </c>
      <c r="P68" s="17" t="inlineStr">
        <is>
          <r>
            <rPr>
              <rFont val="Calibri"/>
              <sz val="10"/>
            </rPr>
            <t xml:space="preserve">iFile 8 · iDEAL 2
</t>
          </r>
          <r>
            <rPr>
              <rFont val="Calibri"/>
              <b val="1"/>
              <sz val="10"/>
            </rPr>
            <t>Titled there:</t>
          </r>
          <r>
            <rPr>
              <rFont val="Calibri"/>
              <sz val="10"/>
            </rPr>
            <t xml:space="preserve"> Senior Support Executive / Support Specialist</t>
          </r>
        </is>
      </c>
    </row>
    <row r="69" ht="81" customHeight="1">
      <c r="A69" s="12" t="inlineStr">
        <is>
          <t>Support</t>
        </is>
      </c>
      <c r="B69" s="17" t="inlineStr">
        <is>
          <t>A · Practitioner</t>
        </is>
      </c>
      <c r="C69" s="17" t="inlineStr">
        <is>
          <t>A3</t>
        </is>
      </c>
      <c r="D69" s="12" t="inlineStr">
        <is>
          <t>Senior Associate</t>
        </is>
      </c>
      <c r="E69" s="12" t="inlineStr">
        <is>
          <t>Customer Success &amp; Support</t>
        </is>
      </c>
      <c r="F69" s="12" t="inlineStr">
        <is>
          <t>Customer Success &amp; Account Management</t>
        </is>
      </c>
      <c r="G69" s="12" t="inlineStr">
        <is>
          <t>Senior Customer Success Executive</t>
        </is>
      </c>
      <c r="H69" s="12" t="inlineStr">
        <is>
          <t>IC</t>
        </is>
      </c>
      <c r="I69" s="12" t="n">
        <v>2</v>
      </c>
      <c r="J69" s="12"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69" s="12" t="inlineStr">
        <is>
          <t>Product, Platform &amp; Domain Knowledge · Stakeholder &amp; Client Management</t>
        </is>
      </c>
      <c r="L69" s="12" t="inlineStr">
        <is>
          <t>Communication &amp; Presentation · Database, SQL &amp; Data Engineering · Regulatory &amp; BFSI Domain · Process Improvement &amp; Quality Mindset</t>
        </is>
      </c>
      <c r="M69" s="12" t="inlineStr">
        <is>
          <t>Core 2 · Future-ready 2 · Functional 3 · Leadership —</t>
        </is>
      </c>
      <c r="N69" s="12" t="inlineStr">
        <is>
          <t>Internal product certification</t>
        </is>
      </c>
      <c r="O69" s="12" t="inlineStr">
        <is>
          <t>None — only this department</t>
        </is>
      </c>
      <c r="P69" s="12" t="inlineStr">
        <is>
          <t>None — only CARBON</t>
        </is>
      </c>
    </row>
    <row r="70" ht="68" customHeight="1">
      <c r="A70" s="12" t="inlineStr">
        <is>
          <t>Support</t>
        </is>
      </c>
      <c r="B70" s="17" t="inlineStr">
        <is>
          <t>A · Practitioner</t>
        </is>
      </c>
      <c r="C70" s="17" t="inlineStr">
        <is>
          <t>A3</t>
        </is>
      </c>
      <c r="D70" s="12" t="inlineStr">
        <is>
          <t>Senior Associate</t>
        </is>
      </c>
      <c r="E70" s="12" t="inlineStr">
        <is>
          <t>Data &amp; Analytics</t>
        </is>
      </c>
      <c r="F70" s="12" t="inlineStr">
        <is>
          <t>MIS &amp; Business Reporting</t>
        </is>
      </c>
      <c r="G70" s="12" t="inlineStr">
        <is>
          <t>MIS Specialist</t>
        </is>
      </c>
      <c r="H70" s="12" t="inlineStr">
        <is>
          <t>IC</t>
        </is>
      </c>
      <c r="I70" s="12" t="n">
        <v>1</v>
      </c>
      <c r="J70" s="12" t="inlineStr">
        <is>
          <r>
            <rPr>
              <rFont val="Calibri"/>
              <b val="1"/>
              <sz val="10"/>
            </rPr>
            <t>A3:</t>
          </r>
          <r>
            <rPr>
              <rFont val="Calibri"/>
              <sz val="10"/>
            </rPr>
            <t xml:space="preserve"> MIS Specialist</t>
          </r>
        </is>
      </c>
      <c r="K70" s="12" t="inlineStr">
        <is>
          <t>Data Analytics, BI &amp; Visualisation · Database, SQL &amp; Data Engineering</t>
        </is>
      </c>
      <c r="L70" s="12" t="inlineStr">
        <is>
          <t>Advanced Excel &amp; Productivity Tools · Regulatory &amp; BFSI Domain · Process Improvement &amp; Quality Mindset · Accounting &amp; Reporting Standards · IFRS/US GAAP</t>
        </is>
      </c>
      <c r="M70" s="12" t="inlineStr">
        <is>
          <t>Core 2 · Future-ready 2 · Functional 3 · Leadership —</t>
        </is>
      </c>
      <c r="N70" s="12" t="inlineStr">
        <is>
          <t>Power BI / Tableau · optional; Database certifications · optional</t>
        </is>
      </c>
      <c r="O70" s="12" t="inlineStr">
        <is>
          <t>None — only this department</t>
        </is>
      </c>
      <c r="P70" s="12" t="inlineStr">
        <is>
          <t>None — only CARBON</t>
        </is>
      </c>
    </row>
    <row r="71" ht="55" customHeight="1">
      <c r="A71" s="12" t="inlineStr">
        <is>
          <t>Support</t>
        </is>
      </c>
      <c r="B71" s="17" t="inlineStr">
        <is>
          <t>A · Practitioner</t>
        </is>
      </c>
      <c r="C71" s="17" t="inlineStr">
        <is>
          <t>A3</t>
        </is>
      </c>
      <c r="D71" s="12" t="inlineStr">
        <is>
          <t>Senior Associate</t>
        </is>
      </c>
      <c r="E71" s="12" t="inlineStr">
        <is>
          <t>Engineering &amp; Development</t>
        </is>
      </c>
      <c r="F71" s="12" t="inlineStr">
        <is>
          <t>Application Maintenance &amp; Production Support</t>
        </is>
      </c>
      <c r="G71" s="12" t="inlineStr">
        <is>
          <t>Senior Software Engineer</t>
        </is>
      </c>
      <c r="H71" s="12" t="inlineStr">
        <is>
          <t>IC</t>
        </is>
      </c>
      <c r="I71" s="12" t="n">
        <v>2</v>
      </c>
      <c r="J71" s="12" t="inlineStr">
        <is>
          <r>
            <rPr>
              <rFont val="Calibri"/>
              <b val="1"/>
              <sz val="10"/>
            </rPr>
            <t>A3:</t>
          </r>
          <r>
            <rPr>
              <rFont val="Calibri"/>
              <sz val="10"/>
            </rPr>
            <t xml:space="preserve"> Senior Software Engineer</t>
          </r>
        </is>
      </c>
      <c r="K71" s="12" t="inlineStr">
        <is>
          <t>Programming &amp; Tech-Stack Depth · System Design &amp; Architecture</t>
        </is>
      </c>
      <c r="L71" s="12" t="inlineStr">
        <is>
          <t>Database, SQL &amp; Data Engineering · Cloud, DevOps &amp; CI/CD · AI, GenAI &amp; Prompt Engineering · Product, Platform &amp; Domain Knowledge</t>
        </is>
      </c>
      <c r="M71" s="12" t="inlineStr">
        <is>
          <t>Core 2 · Future-ready 2 · Functional 3 · Leadership —</t>
        </is>
      </c>
      <c r="N71" s="12" t="inlineStr">
        <is>
          <t>Cloud / language certifications · optional; AWS / Azure architect · optional</t>
        </is>
      </c>
      <c r="O71" s="12" t="inlineStr">
        <is>
          <t>None — only this department</t>
        </is>
      </c>
      <c r="P71" s="17" t="inlineStr">
        <is>
          <r>
            <rPr>
              <rFont val="Calibri"/>
              <sz val="10"/>
            </rPr>
            <t xml:space="preserve">Consume 2
</t>
          </r>
          <r>
            <rPr>
              <rFont val="Calibri"/>
              <b val="1"/>
              <sz val="10"/>
            </rPr>
            <t>Titled there:</t>
          </r>
          <r>
            <rPr>
              <rFont val="Calibri"/>
              <sz val="10"/>
            </rPr>
            <t xml:space="preserve"> Senior Software Engineer / Technical Specialist</t>
          </r>
        </is>
      </c>
    </row>
    <row r="72" ht="81" customHeight="1">
      <c r="A72" s="12" t="inlineStr">
        <is>
          <t>Support</t>
        </is>
      </c>
      <c r="B72" s="21" t="inlineStr">
        <is>
          <t>B · Specialist / Manager</t>
        </is>
      </c>
      <c r="C72" s="21" t="inlineStr">
        <is>
          <t>B1</t>
        </is>
      </c>
      <c r="D72" s="12" t="inlineStr">
        <is>
          <t>Specialist</t>
        </is>
      </c>
      <c r="E72" s="12" t="inlineStr">
        <is>
          <t>Customer Success &amp; Support</t>
        </is>
      </c>
      <c r="F72" s="12" t="inlineStr">
        <is>
          <t>Customer Success &amp; Account Management</t>
        </is>
      </c>
      <c r="G72" s="12" t="inlineStr">
        <is>
          <t>Senior Customer Success Specialist</t>
        </is>
      </c>
      <c r="H72" s="12" t="inlineStr">
        <is>
          <t>IC</t>
        </is>
      </c>
      <c r="I72" s="12" t="n">
        <v>1</v>
      </c>
      <c r="J72" s="12"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2" s="12" t="inlineStr">
        <is>
          <t>Product, Platform &amp; Domain Knowledge · Stakeholder &amp; Client Management</t>
        </is>
      </c>
      <c r="L72" s="12" t="inlineStr">
        <is>
          <t>Communication &amp; Presentation · Database, SQL &amp; Data Engineering · Regulatory &amp; BFSI Domain · Process Improvement &amp; Quality Mindset</t>
        </is>
      </c>
      <c r="M72" s="12" t="inlineStr">
        <is>
          <t>Core 3 · Future-ready 3 · Functional 3 · Leadership 1</t>
        </is>
      </c>
      <c r="N72" s="12" t="inlineStr">
        <is>
          <t>Internal product certification</t>
        </is>
      </c>
      <c r="O72" s="96" t="inlineStr">
        <is>
          <t>Functional</t>
        </is>
      </c>
      <c r="P72" s="12" t="inlineStr">
        <is>
          <t>None — only CARBON</t>
        </is>
      </c>
    </row>
    <row r="73" ht="55" customHeight="1">
      <c r="A73" s="12" t="inlineStr">
        <is>
          <t>Support</t>
        </is>
      </c>
      <c r="B73" s="21" t="inlineStr">
        <is>
          <t>B · Specialist / Manager</t>
        </is>
      </c>
      <c r="C73" s="21" t="inlineStr">
        <is>
          <t>B1</t>
        </is>
      </c>
      <c r="D73" s="12" t="inlineStr">
        <is>
          <t>Specialist · POD Lead</t>
        </is>
      </c>
      <c r="E73" s="12" t="inlineStr">
        <is>
          <t>Engineering &amp; Development</t>
        </is>
      </c>
      <c r="F73" s="12" t="inlineStr">
        <is>
          <t>DevOps &amp; Release Engineering</t>
        </is>
      </c>
      <c r="G73" s="12" t="inlineStr">
        <is>
          <t>DevOps Specialist – POD Lead</t>
        </is>
      </c>
      <c r="H73" s="12" t="inlineStr">
        <is>
          <t>POD Lead</t>
        </is>
      </c>
      <c r="I73" s="12" t="n">
        <v>1</v>
      </c>
      <c r="J73" s="12" t="inlineStr">
        <is>
          <r>
            <rPr>
              <rFont val="Calibri"/>
              <b val="1"/>
              <sz val="10"/>
            </rPr>
            <t>B1:</t>
          </r>
          <r>
            <rPr>
              <rFont val="Calibri"/>
              <sz val="10"/>
            </rPr>
            <t xml:space="preserve"> DevOps Specialist – POD Lead</t>
          </r>
        </is>
      </c>
      <c r="K73" s="12" t="inlineStr">
        <is>
          <t>Programming &amp; Tech-Stack Depth · System Design &amp; Architecture</t>
        </is>
      </c>
      <c r="L73" s="12" t="inlineStr">
        <is>
          <t>Database, SQL &amp; Data Engineering · Cloud, DevOps &amp; CI/CD · AI, GenAI &amp; Prompt Engineering · Product, Platform &amp; Domain Knowledge</t>
        </is>
      </c>
      <c r="M73" s="12" t="inlineStr">
        <is>
          <t>Core 3 · Future-ready 3 · Functional 3 · Leadership 1</t>
        </is>
      </c>
      <c r="N73" s="12" t="inlineStr">
        <is>
          <t>Cloud / language certifications · optional; AWS / Azure architect · optional</t>
        </is>
      </c>
      <c r="O73" s="12" t="inlineStr">
        <is>
          <t>None — only this department</t>
        </is>
      </c>
      <c r="P73" s="12" t="inlineStr">
        <is>
          <t>None — only CARBON</t>
        </is>
      </c>
    </row>
    <row r="74" ht="55" customHeight="1">
      <c r="A74" s="12" t="inlineStr">
        <is>
          <t>Support</t>
        </is>
      </c>
      <c r="B74" s="21" t="inlineStr">
        <is>
          <t>B · Specialist / Manager</t>
        </is>
      </c>
      <c r="C74" s="21" t="inlineStr">
        <is>
          <t>B2</t>
        </is>
      </c>
      <c r="D74" s="12" t="inlineStr">
        <is>
          <t>Manager</t>
        </is>
      </c>
      <c r="E74" s="12" t="inlineStr">
        <is>
          <t>Customer Success &amp; Support</t>
        </is>
      </c>
      <c r="F74" s="12" t="inlineStr">
        <is>
          <t>Application &amp; Product Support</t>
        </is>
      </c>
      <c r="G74" s="12" t="inlineStr">
        <is>
          <t>Support Manager</t>
        </is>
      </c>
      <c r="H74" s="12" t="inlineStr">
        <is>
          <t>People Manager</t>
        </is>
      </c>
      <c r="I74" s="12" t="n">
        <v>1</v>
      </c>
      <c r="J74" s="12" t="inlineStr">
        <is>
          <r>
            <rPr>
              <rFont val="Calibri"/>
              <b val="1"/>
              <sz val="10"/>
            </rPr>
            <t>A3:</t>
          </r>
          <r>
            <rPr>
              <rFont val="Calibri"/>
              <sz val="10"/>
            </rPr>
            <t xml:space="preserve"> Senior Support Executive → B2: Support Manager</t>
          </r>
        </is>
      </c>
      <c r="K74" s="12" t="inlineStr">
        <is>
          <t>Product, Platform &amp; Domain Knowledge · Stakeholder &amp; Client Management</t>
        </is>
      </c>
      <c r="L74" s="12" t="inlineStr">
        <is>
          <t>Communication &amp; Presentation · Database, SQL &amp; Data Engineering · Regulatory &amp; BFSI Domain · Process Improvement &amp; Quality Mindset</t>
        </is>
      </c>
      <c r="M74" s="12" t="inlineStr">
        <is>
          <t>Core 3 · Future-ready 3 · Functional 4 · Leadership 3</t>
        </is>
      </c>
      <c r="N74" s="12" t="inlineStr">
        <is>
          <t>Internal product certification</t>
        </is>
      </c>
      <c r="O74" s="12" t="inlineStr">
        <is>
          <t>None — only this department</t>
        </is>
      </c>
      <c r="P74" s="12" t="inlineStr">
        <is>
          <t>None — only CARBON</t>
        </is>
      </c>
    </row>
    <row r="75" ht="81" customHeight="1">
      <c r="A75" s="12" t="inlineStr">
        <is>
          <t>Support</t>
        </is>
      </c>
      <c r="B75" s="21" t="inlineStr">
        <is>
          <t>B · Specialist / Manager</t>
        </is>
      </c>
      <c r="C75" s="21" t="inlineStr">
        <is>
          <t>B2</t>
        </is>
      </c>
      <c r="D75" s="12" t="inlineStr">
        <is>
          <t>Senior Specialist</t>
        </is>
      </c>
      <c r="E75" s="12" t="inlineStr">
        <is>
          <t>Customer Success &amp; Support</t>
        </is>
      </c>
      <c r="F75" s="12" t="inlineStr">
        <is>
          <t>Customer Success &amp; Account Management</t>
        </is>
      </c>
      <c r="G75" s="12" t="inlineStr">
        <is>
          <t>Customer Success Specialist</t>
        </is>
      </c>
      <c r="H75" s="12" t="inlineStr">
        <is>
          <t>IC</t>
        </is>
      </c>
      <c r="I75" s="12" t="n">
        <v>1</v>
      </c>
      <c r="J75" s="12"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5" s="12" t="inlineStr">
        <is>
          <t>Product, Platform &amp; Domain Knowledge · Stakeholder &amp; Client Management</t>
        </is>
      </c>
      <c r="L75" s="12" t="inlineStr">
        <is>
          <t>Communication &amp; Presentation · Database, SQL &amp; Data Engineering · Regulatory &amp; BFSI Domain · Process Improvement &amp; Quality Mindset</t>
        </is>
      </c>
      <c r="M75" s="12" t="inlineStr">
        <is>
          <t>Core 3 · Future-ready 3 · Functional 4 · Leadership 2</t>
        </is>
      </c>
      <c r="N75" s="12" t="inlineStr">
        <is>
          <t>Internal product certification</t>
        </is>
      </c>
      <c r="O75" s="12" t="inlineStr">
        <is>
          <t>None — only this department</t>
        </is>
      </c>
      <c r="P75" s="12" t="inlineStr">
        <is>
          <t>None — only CARBON</t>
        </is>
      </c>
    </row>
    <row r="76" ht="81" customHeight="1">
      <c r="A76" s="12" t="inlineStr">
        <is>
          <t>Support</t>
        </is>
      </c>
      <c r="B76" s="21" t="inlineStr">
        <is>
          <t>B · Specialist / Manager</t>
        </is>
      </c>
      <c r="C76" s="21" t="inlineStr">
        <is>
          <t>B2</t>
        </is>
      </c>
      <c r="D76" s="12" t="inlineStr">
        <is>
          <t>Senior Specialist</t>
        </is>
      </c>
      <c r="E76" s="12" t="inlineStr">
        <is>
          <t>Customer Success &amp; Support</t>
        </is>
      </c>
      <c r="F76" s="12" t="inlineStr">
        <is>
          <t>Customer Success &amp; Account Management</t>
        </is>
      </c>
      <c r="G76" s="12" t="inlineStr">
        <is>
          <t>Senior Customer Success Specialist</t>
        </is>
      </c>
      <c r="H76" s="12" t="inlineStr">
        <is>
          <t>IC</t>
        </is>
      </c>
      <c r="I76" s="12" t="n">
        <v>3</v>
      </c>
      <c r="J76" s="12"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6" s="12" t="inlineStr">
        <is>
          <t>Product, Platform &amp; Domain Knowledge · Stakeholder &amp; Client Management</t>
        </is>
      </c>
      <c r="L76" s="12" t="inlineStr">
        <is>
          <t>Communication &amp; Presentation · Database, SQL &amp; Data Engineering · Regulatory &amp; BFSI Domain · Process Improvement &amp; Quality Mindset</t>
        </is>
      </c>
      <c r="M76" s="12" t="inlineStr">
        <is>
          <t>Core 3 · Future-ready 3 · Functional 4 · Leadership 2</t>
        </is>
      </c>
      <c r="N76" s="12" t="inlineStr">
        <is>
          <t>Internal product certification</t>
        </is>
      </c>
      <c r="O76" s="12" t="inlineStr">
        <is>
          <t>None — only this department</t>
        </is>
      </c>
      <c r="P76" s="12" t="inlineStr">
        <is>
          <t>None — only CARBON</t>
        </is>
      </c>
    </row>
    <row r="77" ht="81" customHeight="1">
      <c r="A77" s="12" t="inlineStr">
        <is>
          <t>Support</t>
        </is>
      </c>
      <c r="B77" s="21" t="inlineStr">
        <is>
          <t>B · Specialist / Manager</t>
        </is>
      </c>
      <c r="C77" s="21" t="inlineStr">
        <is>
          <t>B2</t>
        </is>
      </c>
      <c r="D77" s="12" t="inlineStr">
        <is>
          <t>Senior Specialist · POD Lead</t>
        </is>
      </c>
      <c r="E77" s="12" t="inlineStr">
        <is>
          <t>Customer Success &amp; Support</t>
        </is>
      </c>
      <c r="F77" s="12" t="inlineStr">
        <is>
          <t>Customer Success &amp; Account Management</t>
        </is>
      </c>
      <c r="G77" s="12" t="inlineStr">
        <is>
          <t>Senior Customer Success Specialist – POD Lead</t>
        </is>
      </c>
      <c r="H77" s="12" t="inlineStr">
        <is>
          <t>POD Lead</t>
        </is>
      </c>
      <c r="I77" s="12" t="n">
        <v>1</v>
      </c>
      <c r="J77" s="12"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7" s="12" t="inlineStr">
        <is>
          <t>Product, Platform &amp; Domain Knowledge · Stakeholder &amp; Client Management</t>
        </is>
      </c>
      <c r="L77" s="12" t="inlineStr">
        <is>
          <t>Communication &amp; Presentation · Database, SQL &amp; Data Engineering · Regulatory &amp; BFSI Domain · Process Improvement &amp; Quality Mindset</t>
        </is>
      </c>
      <c r="M77" s="12" t="inlineStr">
        <is>
          <t>Core 3 · Future-ready 3 · Functional 4 · Leadership 2</t>
        </is>
      </c>
      <c r="N77" s="12" t="inlineStr">
        <is>
          <t>Internal product certification</t>
        </is>
      </c>
      <c r="O77" s="12" t="inlineStr">
        <is>
          <t>None — only this department</t>
        </is>
      </c>
      <c r="P77" s="12" t="inlineStr">
        <is>
          <t>None — only CARBON</t>
        </is>
      </c>
    </row>
    <row r="78" ht="55" customHeight="1">
      <c r="A78" s="12" t="inlineStr">
        <is>
          <t>Support</t>
        </is>
      </c>
      <c r="B78" s="25" t="inlineStr">
        <is>
          <t>C · Principal / Head</t>
        </is>
      </c>
      <c r="C78" s="25" t="inlineStr">
        <is>
          <t>C1</t>
        </is>
      </c>
      <c r="D78" s="12" t="inlineStr">
        <is>
          <t>Associate Head</t>
        </is>
      </c>
      <c r="E78" s="12" t="inlineStr">
        <is>
          <t>Customer Success &amp; Support</t>
        </is>
      </c>
      <c r="F78" s="12" t="inlineStr">
        <is>
          <t>Customer Success Leadership</t>
        </is>
      </c>
      <c r="G78" s="12" t="inlineStr">
        <is>
          <t>Associate Head – Customer Success</t>
        </is>
      </c>
      <c r="H78" s="12" t="inlineStr">
        <is>
          <t>People Manager</t>
        </is>
      </c>
      <c r="I78" s="12" t="n">
        <v>1</v>
      </c>
      <c r="J78" s="12" t="inlineStr">
        <is>
          <r>
            <rPr>
              <rFont val="Calibri"/>
              <b val="1"/>
              <sz val="10"/>
            </rPr>
            <t>C1:</t>
          </r>
          <r>
            <rPr>
              <rFont val="Calibri"/>
              <sz val="10"/>
            </rPr>
            <t xml:space="preserve"> Associate Head – Customer Success</t>
          </r>
        </is>
      </c>
      <c r="K78" s="12" t="inlineStr">
        <is>
          <t>Product, Platform &amp; Domain Knowledge · Stakeholder &amp; Client Management</t>
        </is>
      </c>
      <c r="L78" s="12" t="inlineStr">
        <is>
          <t>Communication &amp; Presentation · Database, SQL &amp; Data Engineering · Regulatory &amp; BFSI Domain · Process Improvement &amp; Quality Mindset</t>
        </is>
      </c>
      <c r="M78" s="12" t="inlineStr">
        <is>
          <t>Core 4 · Future-ready 4 · Functional 4 · Leadership 4</t>
        </is>
      </c>
      <c r="N78" s="12" t="inlineStr">
        <is>
          <t>Internal product certification</t>
        </is>
      </c>
      <c r="O78" s="12" t="inlineStr">
        <is>
          <t>None — only this department</t>
        </is>
      </c>
      <c r="P78" s="12" t="inlineStr">
        <is>
          <t>None — only CARBON</t>
        </is>
      </c>
    </row>
    <row r="79" ht="81" customHeight="1">
      <c r="A79" s="12" t="inlineStr">
        <is>
          <t>Support</t>
        </is>
      </c>
      <c r="B79" s="37" t="inlineStr">
        <is>
          <t>X · Consultant</t>
        </is>
      </c>
      <c r="C79" s="37" t="inlineStr">
        <is>
          <t>X1</t>
        </is>
      </c>
      <c r="D79" s="12" t="inlineStr">
        <is>
          <t>Associate Consultant</t>
        </is>
      </c>
      <c r="E79" s="12" t="inlineStr">
        <is>
          <t>Customer Success &amp; Support</t>
        </is>
      </c>
      <c r="F79" s="12" t="inlineStr">
        <is>
          <t>Customer Success &amp; Account Management</t>
        </is>
      </c>
      <c r="G79" s="12" t="inlineStr">
        <is>
          <t>Associate Consultant – Customer Success &amp; Account Management</t>
        </is>
      </c>
      <c r="H79" s="12" t="inlineStr">
        <is>
          <t>Consultant</t>
        </is>
      </c>
      <c r="I79" s="12" t="n">
        <v>1</v>
      </c>
      <c r="J79" s="12" t="inlineStr">
        <is>
          <r>
            <rPr>
              <rFont val="Calibri"/>
              <b val="1"/>
              <sz val="10"/>
            </rPr>
            <t>A3:</t>
          </r>
          <r>
            <rPr>
              <rFont val="Calibri"/>
              <sz val="10"/>
            </rPr>
            <t xml:space="preserve"> Senior Customer Success Executive → B1: Senior Customer Success Specialist → B2: Customer Success Specialist / Senior Customer Success Specialist / Senior Customer Success Specialist – POD Lead → X1: Associate Consultant – Customer Success &amp; Account Management</t>
          </r>
        </is>
      </c>
      <c r="K79" s="12" t="inlineStr">
        <is>
          <t>Product, Platform &amp; Domain Knowledge · Stakeholder &amp; Client Management</t>
        </is>
      </c>
      <c r="L79" s="12" t="inlineStr">
        <is>
          <t>Communication &amp; Presentation · Database, SQL &amp; Data Engineering · Regulatory &amp; BFSI Domain · Process Improvement &amp; Quality Mindset</t>
        </is>
      </c>
      <c r="M79" s="12" t="inlineStr">
        <is>
          <t>Per statement of work</t>
        </is>
      </c>
      <c r="N79" s="12" t="inlineStr">
        <is>
          <t>Internal product certification</t>
        </is>
      </c>
      <c r="O79" s="12" t="inlineStr">
        <is>
          <t>None — only this department</t>
        </is>
      </c>
      <c r="P79" s="12" t="inlineStr">
        <is>
          <t>None — only CARBON</t>
        </is>
      </c>
    </row>
    <row r="80" ht="81" customHeight="1">
      <c r="A80" s="12" t="inlineStr">
        <is>
          <t>Technology</t>
        </is>
      </c>
      <c r="B80" s="17" t="inlineStr">
        <is>
          <t>A · Practitioner</t>
        </is>
      </c>
      <c r="C80" s="17" t="inlineStr">
        <is>
          <t>A1</t>
        </is>
      </c>
      <c r="D80" s="12" t="inlineStr">
        <is>
          <t>Intern / Trainee</t>
        </is>
      </c>
      <c r="E80" s="12" t="inlineStr">
        <is>
          <t>Engineering &amp; Development</t>
        </is>
      </c>
      <c r="F80" s="12" t="inlineStr">
        <is>
          <t>Backend Development</t>
        </is>
      </c>
      <c r="G80" s="12" t="inlineStr">
        <is>
          <t>Trainee Software Engineer</t>
        </is>
      </c>
      <c r="H80" s="12" t="inlineStr">
        <is>
          <t>IC</t>
        </is>
      </c>
      <c r="I80" s="12" t="n">
        <v>1</v>
      </c>
      <c r="J80" s="12"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80" s="12" t="inlineStr">
        <is>
          <t>Programming &amp; Tech-Stack Depth · System Design &amp; Architecture</t>
        </is>
      </c>
      <c r="L80" s="12" t="inlineStr">
        <is>
          <t>Database, SQL &amp; Data Engineering · Cloud, DevOps &amp; CI/CD · AI, GenAI &amp; Prompt Engineering · Product, Platform &amp; Domain Knowledge</t>
        </is>
      </c>
      <c r="M80" s="12" t="inlineStr">
        <is>
          <t>Core 1 · Future-ready 1 · Functional 1 · Leadership —</t>
        </is>
      </c>
      <c r="N80" s="12" t="inlineStr">
        <is>
          <t>Cloud / language certifications · optional; AWS / Azure architect · optional</t>
        </is>
      </c>
      <c r="O80" s="12" t="inlineStr">
        <is>
          <t>None — only this department</t>
        </is>
      </c>
      <c r="P80" s="17" t="inlineStr">
        <is>
          <r>
            <rPr>
              <rFont val="Calibri"/>
              <sz val="10"/>
            </rPr>
            <t xml:space="preserve">iFile 2 · iDEAL 1
</t>
          </r>
          <r>
            <rPr>
              <rFont val="Calibri"/>
              <b val="1"/>
              <sz val="10"/>
            </rPr>
            <t>Titled there:</t>
          </r>
          <r>
            <rPr>
              <rFont val="Calibri"/>
              <sz val="10"/>
            </rPr>
            <t xml:space="preserve"> Intern – Software Development / Trainee Software Engineer</t>
          </r>
        </is>
      </c>
    </row>
    <row r="81" ht="55" customHeight="1">
      <c r="A81" s="12" t="inlineStr">
        <is>
          <t>Technology</t>
        </is>
      </c>
      <c r="B81" s="17" t="inlineStr">
        <is>
          <t>A · Practitioner</t>
        </is>
      </c>
      <c r="C81" s="17" t="inlineStr">
        <is>
          <t>A1</t>
        </is>
      </c>
      <c r="D81" s="12" t="inlineStr">
        <is>
          <t>Intern / Trainee</t>
        </is>
      </c>
      <c r="E81" s="12" t="inlineStr">
        <is>
          <t>Engineering &amp; Development</t>
        </is>
      </c>
      <c r="F81" s="12" t="inlineStr">
        <is>
          <t>Full-Stack Development</t>
        </is>
      </c>
      <c r="G81" s="12" t="inlineStr">
        <is>
          <t>Trainee Software Engineer</t>
        </is>
      </c>
      <c r="H81" s="12" t="inlineStr">
        <is>
          <t>IC</t>
        </is>
      </c>
      <c r="I81" s="12" t="n">
        <v>1</v>
      </c>
      <c r="J81" s="12" t="inlineStr">
        <is>
          <r>
            <rPr>
              <rFont val="Calibri"/>
              <b val="1"/>
              <sz val="10"/>
            </rPr>
            <t>A1:</t>
          </r>
          <r>
            <rPr>
              <rFont val="Calibri"/>
              <sz val="10"/>
            </rPr>
            <t xml:space="preserve"> Trainee Software Engineer → A3: Senior Software Engineer → B2: Lead Software Engineer – POD Lead</t>
          </r>
        </is>
      </c>
      <c r="K81" s="12" t="inlineStr">
        <is>
          <t>Programming &amp; Tech-Stack Depth · System Design &amp; Architecture</t>
        </is>
      </c>
      <c r="L81" s="12" t="inlineStr">
        <is>
          <t>Database, SQL &amp; Data Engineering · Cloud, DevOps &amp; CI/CD · AI, GenAI &amp; Prompt Engineering · Product, Platform &amp; Domain Knowledge</t>
        </is>
      </c>
      <c r="M81" s="12" t="inlineStr">
        <is>
          <t>Core 1 · Future-ready 1 · Functional 1 · Leadership —</t>
        </is>
      </c>
      <c r="N81" s="12" t="inlineStr">
        <is>
          <t>Cloud / language certifications · optional; AWS / Azure architect · optional</t>
        </is>
      </c>
      <c r="O81" s="12" t="inlineStr">
        <is>
          <t>None — only this department</t>
        </is>
      </c>
      <c r="P81" s="17" t="inlineStr">
        <is>
          <t>iFile 2 · iDEAL 1
Same title</t>
        </is>
      </c>
    </row>
    <row r="82" ht="55" customHeight="1">
      <c r="A82" s="12" t="inlineStr">
        <is>
          <t>Technology</t>
        </is>
      </c>
      <c r="B82" s="17" t="inlineStr">
        <is>
          <t>A · Practitioner</t>
        </is>
      </c>
      <c r="C82" s="17" t="inlineStr">
        <is>
          <t>A2</t>
        </is>
      </c>
      <c r="D82" s="12" t="inlineStr">
        <is>
          <t>Associate</t>
        </is>
      </c>
      <c r="E82" s="12" t="inlineStr">
        <is>
          <t>Business Analysis</t>
        </is>
      </c>
      <c r="F82" s="12" t="inlineStr">
        <is>
          <t>Business Analysis</t>
        </is>
      </c>
      <c r="G82" s="12" t="inlineStr">
        <is>
          <t>Business Analyst</t>
        </is>
      </c>
      <c r="H82" s="12" t="inlineStr">
        <is>
          <t>IC</t>
        </is>
      </c>
      <c r="I82" s="12" t="n">
        <v>1</v>
      </c>
      <c r="J82" s="12" t="inlineStr">
        <is>
          <r>
            <rPr>
              <rFont val="Calibri"/>
              <b val="1"/>
              <sz val="10"/>
            </rPr>
            <t>A2:</t>
          </r>
          <r>
            <rPr>
              <rFont val="Calibri"/>
              <sz val="10"/>
            </rPr>
            <t xml:space="preserve"> Business Analyst → B1: Business Analysis Specialist → B2: Senior Business Analysis Specialist – POD Lead</t>
          </r>
        </is>
      </c>
      <c r="K82" s="12" t="inlineStr">
        <is>
          <t>Business Analysis &amp; Requirements Engineering · Regulatory &amp; BFSI Domain</t>
        </is>
      </c>
      <c r="L82" s="12" t="inlineStr">
        <is>
          <t>Product, Platform &amp; Domain Knowledge · Database, SQL &amp; Data Engineering · Stakeholder &amp; Client Management · Communication &amp; Presentation</t>
        </is>
      </c>
      <c r="M82" s="12" t="inlineStr">
        <is>
          <t>Core 2 · Future-ready 2 · Functional 2 · Leadership —</t>
        </is>
      </c>
      <c r="N82" s="12" t="inlineStr">
        <is>
          <t>CBAP / CCBA · optional; Domain certifications · optional</t>
        </is>
      </c>
      <c r="O82" s="12" t="inlineStr">
        <is>
          <t>None — only this department</t>
        </is>
      </c>
      <c r="P82" s="17" t="inlineStr">
        <is>
          <t>iFile 1
Same title</t>
        </is>
      </c>
    </row>
    <row r="83" ht="55" customHeight="1">
      <c r="A83" s="12" t="inlineStr">
        <is>
          <t>Technology</t>
        </is>
      </c>
      <c r="B83" s="17" t="inlineStr">
        <is>
          <t>A · Practitioner</t>
        </is>
      </c>
      <c r="C83" s="17" t="inlineStr">
        <is>
          <t>A2</t>
        </is>
      </c>
      <c r="D83" s="12" t="inlineStr">
        <is>
          <t>Associate</t>
        </is>
      </c>
      <c r="E83" s="12" t="inlineStr">
        <is>
          <t>Engineering &amp; Development</t>
        </is>
      </c>
      <c r="F83" s="12" t="inlineStr">
        <is>
          <t>AI / ML &amp; GenAI Engineering</t>
        </is>
      </c>
      <c r="G83" s="12" t="inlineStr">
        <is>
          <t>AI/ML Engineer</t>
        </is>
      </c>
      <c r="H83" s="12" t="inlineStr">
        <is>
          <t>IC</t>
        </is>
      </c>
      <c r="I83" s="12" t="n">
        <v>2</v>
      </c>
      <c r="J83" s="12" t="inlineStr">
        <is>
          <r>
            <rPr>
              <rFont val="Calibri"/>
              <b val="1"/>
              <sz val="10"/>
            </rPr>
            <t>A2:</t>
          </r>
          <r>
            <rPr>
              <rFont val="Calibri"/>
              <sz val="10"/>
            </rPr>
            <t xml:space="preserve"> AI/ML Engineer → A3: Senior AI/ML Engineer → B1: AI/ML Specialist – POD Lead</t>
          </r>
        </is>
      </c>
      <c r="K83" s="12" t="inlineStr">
        <is>
          <t>Programming &amp; Tech-Stack Depth · System Design &amp; Architecture</t>
        </is>
      </c>
      <c r="L83" s="12" t="inlineStr">
        <is>
          <t>Database, SQL &amp; Data Engineering · Cloud, DevOps &amp; CI/CD · AI, GenAI &amp; Prompt Engineering · Product, Platform &amp; Domain Knowledge</t>
        </is>
      </c>
      <c r="M83" s="12" t="inlineStr">
        <is>
          <t>Core 2 · Future-ready 2 · Functional 2 · Leadership —</t>
        </is>
      </c>
      <c r="N83" s="12" t="inlineStr">
        <is>
          <t>Cloud / language certifications · optional; AWS / Azure architect · optional</t>
        </is>
      </c>
      <c r="O83" s="12" t="inlineStr">
        <is>
          <t>None — only this department</t>
        </is>
      </c>
      <c r="P83" s="17" t="inlineStr">
        <is>
          <t>iFile 1
Same title</t>
        </is>
      </c>
    </row>
    <row r="84" ht="81" customHeight="1">
      <c r="A84" s="12" t="inlineStr">
        <is>
          <t>Technology</t>
        </is>
      </c>
      <c r="B84" s="17" t="inlineStr">
        <is>
          <t>A · Practitioner</t>
        </is>
      </c>
      <c r="C84" s="17" t="inlineStr">
        <is>
          <t>A2</t>
        </is>
      </c>
      <c r="D84" s="12" t="inlineStr">
        <is>
          <t>Associate</t>
        </is>
      </c>
      <c r="E84" s="12" t="inlineStr">
        <is>
          <t>Engineering &amp; Development</t>
        </is>
      </c>
      <c r="F84" s="12" t="inlineStr">
        <is>
          <t>Backend Development</t>
        </is>
      </c>
      <c r="G84" s="12" t="inlineStr">
        <is>
          <t>Software Engineer</t>
        </is>
      </c>
      <c r="H84" s="12" t="inlineStr">
        <is>
          <t>IC</t>
        </is>
      </c>
      <c r="I84" s="12" t="n">
        <v>1</v>
      </c>
      <c r="J84" s="12"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84" s="12" t="inlineStr">
        <is>
          <t>Programming &amp; Tech-Stack Depth · System Design &amp; Architecture</t>
        </is>
      </c>
      <c r="L84" s="12" t="inlineStr">
        <is>
          <t>Database, SQL &amp; Data Engineering · Cloud, DevOps &amp; CI/CD · AI, GenAI &amp; Prompt Engineering · Product, Platform &amp; Domain Knowledge</t>
        </is>
      </c>
      <c r="M84" s="12" t="inlineStr">
        <is>
          <t>Core 2 · Future-ready 2 · Functional 2 · Leadership —</t>
        </is>
      </c>
      <c r="N84" s="12" t="inlineStr">
        <is>
          <t>Cloud / language certifications · optional; AWS / Azure architect · optional</t>
        </is>
      </c>
      <c r="O84" s="12" t="inlineStr">
        <is>
          <t>None — only this department</t>
        </is>
      </c>
      <c r="P84" s="17" t="inlineStr">
        <is>
          <t>iFile 3 · iDEAL 2 · Datatech 1
Same title</t>
        </is>
      </c>
    </row>
    <row r="85" ht="55" customHeight="1">
      <c r="A85" s="12" t="inlineStr">
        <is>
          <t>Technology</t>
        </is>
      </c>
      <c r="B85" s="17" t="inlineStr">
        <is>
          <t>A · Practitioner</t>
        </is>
      </c>
      <c r="C85" s="17" t="inlineStr">
        <is>
          <t>A2</t>
        </is>
      </c>
      <c r="D85" s="12" t="inlineStr">
        <is>
          <t>Associate</t>
        </is>
      </c>
      <c r="E85" s="12" t="inlineStr">
        <is>
          <t>Engineering &amp; Development</t>
        </is>
      </c>
      <c r="F85" s="12" t="inlineStr">
        <is>
          <t>Front-End / UI Development</t>
        </is>
      </c>
      <c r="G85" s="12" t="inlineStr">
        <is>
          <t>UI Developer</t>
        </is>
      </c>
      <c r="H85" s="12" t="inlineStr">
        <is>
          <t>IC</t>
        </is>
      </c>
      <c r="I85" s="12" t="n">
        <v>1</v>
      </c>
      <c r="J85" s="12" t="inlineStr">
        <is>
          <r>
            <rPr>
              <rFont val="Calibri"/>
              <b val="1"/>
              <sz val="10"/>
            </rPr>
            <t>A2:</t>
          </r>
          <r>
            <rPr>
              <rFont val="Calibri"/>
              <sz val="10"/>
            </rPr>
            <t xml:space="preserve"> UI Developer → A3: Senior UI Developer</t>
          </r>
        </is>
      </c>
      <c r="K85" s="12" t="inlineStr">
        <is>
          <t>Programming &amp; Tech-Stack Depth · System Design &amp; Architecture</t>
        </is>
      </c>
      <c r="L85" s="12" t="inlineStr">
        <is>
          <t>Database, SQL &amp; Data Engineering · Cloud, DevOps &amp; CI/CD · AI, GenAI &amp; Prompt Engineering · Product, Platform &amp; Domain Knowledge</t>
        </is>
      </c>
      <c r="M85" s="12" t="inlineStr">
        <is>
          <t>Core 2 · Future-ready 2 · Functional 2 · Leadership —</t>
        </is>
      </c>
      <c r="N85" s="12" t="inlineStr">
        <is>
          <t>Cloud / language certifications · optional; AWS / Azure architect · optional</t>
        </is>
      </c>
      <c r="O85" s="12" t="inlineStr">
        <is>
          <t>None — only this department</t>
        </is>
      </c>
      <c r="P85" s="17" t="inlineStr">
        <is>
          <t>iFile 5
Same title</t>
        </is>
      </c>
    </row>
    <row r="86" ht="68" customHeight="1">
      <c r="A86" s="12" t="inlineStr">
        <is>
          <t>Technology</t>
        </is>
      </c>
      <c r="B86" s="17" t="inlineStr">
        <is>
          <t>A · Practitioner</t>
        </is>
      </c>
      <c r="C86" s="17" t="inlineStr">
        <is>
          <t>A3</t>
        </is>
      </c>
      <c r="D86" s="12" t="inlineStr">
        <is>
          <t>Senior Associate</t>
        </is>
      </c>
      <c r="E86" s="12" t="inlineStr">
        <is>
          <t>Design &amp; Creative</t>
        </is>
      </c>
      <c r="F86" s="12" t="inlineStr">
        <is>
          <t>UX / UI Design</t>
        </is>
      </c>
      <c r="G86" s="12" t="inlineStr">
        <is>
          <t>Senior Product Designer</t>
        </is>
      </c>
      <c r="H86" s="12" t="inlineStr">
        <is>
          <t>IC</t>
        </is>
      </c>
      <c r="I86" s="12" t="n">
        <v>1</v>
      </c>
      <c r="J86" s="12" t="inlineStr">
        <is>
          <r>
            <rPr>
              <rFont val="Calibri"/>
              <b val="1"/>
              <sz val="10"/>
            </rPr>
            <t>A3:</t>
          </r>
          <r>
            <rPr>
              <rFont val="Calibri"/>
              <sz val="10"/>
            </rPr>
            <t xml:space="preserve"> Senior Product Designer</t>
          </r>
        </is>
      </c>
      <c r="K86" s="12" t="inlineStr">
        <is>
          <t>Product, Platform &amp; Domain Knowledge · Communication &amp; Presentation</t>
        </is>
      </c>
      <c r="L86" s="12" t="inlineStr">
        <is>
          <t>Marketing Tech &amp; Digital Marketing · Process Improvement &amp; Quality Mindset · AI, GenAI &amp; Prompt Engineering · Stakeholder &amp; Client Management</t>
        </is>
      </c>
      <c r="M86" s="12" t="inlineStr">
        <is>
          <t>Core 2 · Future-ready 2 · Functional 3 · Leadership —</t>
        </is>
      </c>
      <c r="N86" s="12" t="inlineStr">
        <is>
          <t>Internal product certification</t>
        </is>
      </c>
      <c r="O86" s="12" t="inlineStr">
        <is>
          <t>None — only this department</t>
        </is>
      </c>
      <c r="P86" s="17" t="inlineStr">
        <is>
          <t>Datatech 1
Same title</t>
        </is>
      </c>
    </row>
    <row r="87" ht="55" customHeight="1">
      <c r="A87" s="12" t="inlineStr">
        <is>
          <t>Technology</t>
        </is>
      </c>
      <c r="B87" s="17" t="inlineStr">
        <is>
          <t>A · Practitioner</t>
        </is>
      </c>
      <c r="C87" s="17" t="inlineStr">
        <is>
          <t>A3</t>
        </is>
      </c>
      <c r="D87" s="12" t="inlineStr">
        <is>
          <t>Senior Associate</t>
        </is>
      </c>
      <c r="E87" s="12" t="inlineStr">
        <is>
          <t>Engineering &amp; Development</t>
        </is>
      </c>
      <c r="F87" s="12" t="inlineStr">
        <is>
          <t>AI / ML &amp; GenAI Engineering</t>
        </is>
      </c>
      <c r="G87" s="12" t="inlineStr">
        <is>
          <t>Senior AI/ML Engineer</t>
        </is>
      </c>
      <c r="H87" s="12" t="inlineStr">
        <is>
          <t>IC</t>
        </is>
      </c>
      <c r="I87" s="12" t="n">
        <v>4</v>
      </c>
      <c r="J87" s="12" t="inlineStr">
        <is>
          <r>
            <rPr>
              <rFont val="Calibri"/>
              <b val="1"/>
              <sz val="10"/>
            </rPr>
            <t>A2:</t>
          </r>
          <r>
            <rPr>
              <rFont val="Calibri"/>
              <sz val="10"/>
            </rPr>
            <t xml:space="preserve"> AI/ML Engineer → A3: Senior AI/ML Engineer → B1: AI/ML Specialist – POD Lead</t>
          </r>
        </is>
      </c>
      <c r="K87" s="12" t="inlineStr">
        <is>
          <t>Programming &amp; Tech-Stack Depth · System Design &amp; Architecture</t>
        </is>
      </c>
      <c r="L87" s="12" t="inlineStr">
        <is>
          <t>Database, SQL &amp; Data Engineering · Cloud, DevOps &amp; CI/CD · AI, GenAI &amp; Prompt Engineering · Product, Platform &amp; Domain Knowledge</t>
        </is>
      </c>
      <c r="M87" s="12" t="inlineStr">
        <is>
          <t>Core 2 · Future-ready 2 · Functional 3 · Leadership —</t>
        </is>
      </c>
      <c r="N87" s="12" t="inlineStr">
        <is>
          <t>Cloud / language certifications · optional; AWS / Azure architect · optional</t>
        </is>
      </c>
      <c r="O87" s="12" t="inlineStr">
        <is>
          <t>None — only this department</t>
        </is>
      </c>
      <c r="P87" s="17" t="inlineStr">
        <is>
          <t>iFile 2
Same title</t>
        </is>
      </c>
    </row>
    <row r="88" ht="81" customHeight="1">
      <c r="A88" s="12" t="inlineStr">
        <is>
          <t>Technology</t>
        </is>
      </c>
      <c r="B88" s="17" t="inlineStr">
        <is>
          <t>A · Practitioner</t>
        </is>
      </c>
      <c r="C88" s="17" t="inlineStr">
        <is>
          <t>A3</t>
        </is>
      </c>
      <c r="D88" s="12" t="inlineStr">
        <is>
          <t>Senior Associate</t>
        </is>
      </c>
      <c r="E88" s="12" t="inlineStr">
        <is>
          <t>Engineering &amp; Development</t>
        </is>
      </c>
      <c r="F88" s="12" t="inlineStr">
        <is>
          <t>Backend Development</t>
        </is>
      </c>
      <c r="G88" s="12" t="inlineStr">
        <is>
          <t>Senior Software Engineer</t>
        </is>
      </c>
      <c r="H88" s="12" t="inlineStr">
        <is>
          <t>IC</t>
        </is>
      </c>
      <c r="I88" s="12" t="n">
        <v>9</v>
      </c>
      <c r="J88" s="12"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88" s="12" t="inlineStr">
        <is>
          <t>Programming &amp; Tech-Stack Depth · System Design &amp; Architecture</t>
        </is>
      </c>
      <c r="L88" s="12" t="inlineStr">
        <is>
          <t>Database, SQL &amp; Data Engineering · Cloud, DevOps &amp; CI/CD · AI, GenAI &amp; Prompt Engineering · Product, Platform &amp; Domain Knowledge</t>
        </is>
      </c>
      <c r="M88" s="12" t="inlineStr">
        <is>
          <t>Core 2 · Future-ready 2 · Functional 3 · Leadership —</t>
        </is>
      </c>
      <c r="N88" s="12" t="inlineStr">
        <is>
          <t>Cloud / language certifications · optional; AWS / Azure architect · optional</t>
        </is>
      </c>
      <c r="O88" s="12" t="inlineStr">
        <is>
          <t>None — only this department</t>
        </is>
      </c>
      <c r="P88" s="17" t="inlineStr">
        <is>
          <r>
            <rPr>
              <rFont val="Calibri"/>
              <sz val="10"/>
            </rPr>
            <t xml:space="preserve">iFile 33 · iDEAL 5 · Datatech 2
</t>
          </r>
          <r>
            <rPr>
              <rFont val="Calibri"/>
              <b val="1"/>
              <sz val="10"/>
            </rPr>
            <t>Titled there:</t>
          </r>
          <r>
            <rPr>
              <rFont val="Calibri"/>
              <sz val="10"/>
            </rPr>
            <t xml:space="preserve"> Senior Software Engineer / Technical Specialist</t>
          </r>
        </is>
      </c>
    </row>
    <row r="89" ht="55" customHeight="1">
      <c r="A89" s="12" t="inlineStr">
        <is>
          <t>Technology</t>
        </is>
      </c>
      <c r="B89" s="17" t="inlineStr">
        <is>
          <t>A · Practitioner</t>
        </is>
      </c>
      <c r="C89" s="17" t="inlineStr">
        <is>
          <t>A3</t>
        </is>
      </c>
      <c r="D89" s="12" t="inlineStr">
        <is>
          <t>Senior Associate</t>
        </is>
      </c>
      <c r="E89" s="12" t="inlineStr">
        <is>
          <t>Engineering &amp; Development</t>
        </is>
      </c>
      <c r="F89" s="12" t="inlineStr">
        <is>
          <t>Front-End / UI Development</t>
        </is>
      </c>
      <c r="G89" s="12" t="inlineStr">
        <is>
          <t>Senior UI Developer</t>
        </is>
      </c>
      <c r="H89" s="12" t="inlineStr">
        <is>
          <t>IC</t>
        </is>
      </c>
      <c r="I89" s="12" t="n">
        <v>5</v>
      </c>
      <c r="J89" s="12" t="inlineStr">
        <is>
          <r>
            <rPr>
              <rFont val="Calibri"/>
              <b val="1"/>
              <sz val="10"/>
            </rPr>
            <t>A2:</t>
          </r>
          <r>
            <rPr>
              <rFont val="Calibri"/>
              <sz val="10"/>
            </rPr>
            <t xml:space="preserve"> UI Developer → A3: Senior UI Developer</t>
          </r>
        </is>
      </c>
      <c r="K89" s="12" t="inlineStr">
        <is>
          <t>Programming &amp; Tech-Stack Depth · System Design &amp; Architecture</t>
        </is>
      </c>
      <c r="L89" s="12" t="inlineStr">
        <is>
          <t>Database, SQL &amp; Data Engineering · Cloud, DevOps &amp; CI/CD · AI, GenAI &amp; Prompt Engineering · Product, Platform &amp; Domain Knowledge</t>
        </is>
      </c>
      <c r="M89" s="12" t="inlineStr">
        <is>
          <t>Core 2 · Future-ready 2 · Functional 3 · Leadership —</t>
        </is>
      </c>
      <c r="N89" s="12" t="inlineStr">
        <is>
          <t>Cloud / language certifications · optional; AWS / Azure architect · optional</t>
        </is>
      </c>
      <c r="O89" s="12" t="inlineStr">
        <is>
          <t>None — only this department</t>
        </is>
      </c>
      <c r="P89" s="17" t="inlineStr">
        <is>
          <t>iFile 5
Same title</t>
        </is>
      </c>
    </row>
    <row r="90" ht="55" customHeight="1">
      <c r="A90" s="12" t="inlineStr">
        <is>
          <t>Technology</t>
        </is>
      </c>
      <c r="B90" s="17" t="inlineStr">
        <is>
          <t>A · Practitioner</t>
        </is>
      </c>
      <c r="C90" s="17" t="inlineStr">
        <is>
          <t>A3</t>
        </is>
      </c>
      <c r="D90" s="12" t="inlineStr">
        <is>
          <t>Senior Associate</t>
        </is>
      </c>
      <c r="E90" s="12" t="inlineStr">
        <is>
          <t>Engineering &amp; Development</t>
        </is>
      </c>
      <c r="F90" s="12" t="inlineStr">
        <is>
          <t>Full-Stack Development</t>
        </is>
      </c>
      <c r="G90" s="12" t="inlineStr">
        <is>
          <t>Senior Software Engineer</t>
        </is>
      </c>
      <c r="H90" s="12" t="inlineStr">
        <is>
          <t>IC</t>
        </is>
      </c>
      <c r="I90" s="12" t="n">
        <v>10</v>
      </c>
      <c r="J90" s="12" t="inlineStr">
        <is>
          <r>
            <rPr>
              <rFont val="Calibri"/>
              <b val="1"/>
              <sz val="10"/>
            </rPr>
            <t>A1:</t>
          </r>
          <r>
            <rPr>
              <rFont val="Calibri"/>
              <sz val="10"/>
            </rPr>
            <t xml:space="preserve"> Trainee Software Engineer → A3: Senior Software Engineer → B2: Lead Software Engineer – POD Lead</t>
          </r>
        </is>
      </c>
      <c r="K90" s="12" t="inlineStr">
        <is>
          <t>Programming &amp; Tech-Stack Depth · System Design &amp; Architecture</t>
        </is>
      </c>
      <c r="L90" s="12" t="inlineStr">
        <is>
          <t>Database, SQL &amp; Data Engineering · Cloud, DevOps &amp; CI/CD · AI, GenAI &amp; Prompt Engineering · Product, Platform &amp; Domain Knowledge</t>
        </is>
      </c>
      <c r="M90" s="12" t="inlineStr">
        <is>
          <t>Core 2 · Future-ready 2 · Functional 3 · Leadership —</t>
        </is>
      </c>
      <c r="N90" s="12" t="inlineStr">
        <is>
          <t>Cloud / language certifications · optional; AWS / Azure architect · optional</t>
        </is>
      </c>
      <c r="O90" s="12" t="inlineStr">
        <is>
          <t>None — only this department</t>
        </is>
      </c>
      <c r="P90" s="17" t="inlineStr">
        <is>
          <r>
            <rPr>
              <rFont val="Calibri"/>
              <sz val="10"/>
            </rPr>
            <t xml:space="preserve">iFile 8 · iDEAL 1
</t>
          </r>
          <r>
            <rPr>
              <rFont val="Calibri"/>
              <b val="1"/>
              <sz val="10"/>
            </rPr>
            <t>Titled there:</t>
          </r>
          <r>
            <rPr>
              <rFont val="Calibri"/>
              <sz val="10"/>
            </rPr>
            <t xml:space="preserve"> Senior Software Engineer / Technical Specialist</t>
          </r>
        </is>
      </c>
    </row>
    <row r="91" ht="68" customHeight="1">
      <c r="A91" s="12" t="inlineStr">
        <is>
          <t>Technology</t>
        </is>
      </c>
      <c r="B91" s="21" t="inlineStr">
        <is>
          <t>B · Specialist / Manager</t>
        </is>
      </c>
      <c r="C91" s="21" t="inlineStr">
        <is>
          <t>B1</t>
        </is>
      </c>
      <c r="D91" s="12" t="inlineStr">
        <is>
          <t>Specialist</t>
        </is>
      </c>
      <c r="E91" s="12" t="inlineStr">
        <is>
          <t>Business Analysis</t>
        </is>
      </c>
      <c r="F91" s="12" t="inlineStr">
        <is>
          <t>Business Analysis</t>
        </is>
      </c>
      <c r="G91" s="12" t="inlineStr">
        <is>
          <t>Business Analysis Specialist</t>
        </is>
      </c>
      <c r="H91" s="12" t="inlineStr">
        <is>
          <t>IC</t>
        </is>
      </c>
      <c r="I91" s="12" t="n">
        <v>1</v>
      </c>
      <c r="J91" s="12" t="inlineStr">
        <is>
          <r>
            <rPr>
              <rFont val="Calibri"/>
              <b val="1"/>
              <sz val="10"/>
            </rPr>
            <t>A2:</t>
          </r>
          <r>
            <rPr>
              <rFont val="Calibri"/>
              <sz val="10"/>
            </rPr>
            <t xml:space="preserve"> Business Analyst → B1: Business Analysis Specialist → B2: Senior Business Analysis Specialist – POD Lead</t>
          </r>
        </is>
      </c>
      <c r="K91" s="12" t="inlineStr">
        <is>
          <t>Business Analysis &amp; Requirements Engineering · Regulatory &amp; BFSI Domain</t>
        </is>
      </c>
      <c r="L91" s="12" t="inlineStr">
        <is>
          <t>Product, Platform &amp; Domain Knowledge · Database, SQL &amp; Data Engineering · Stakeholder &amp; Client Management · Communication &amp; Presentation</t>
        </is>
      </c>
      <c r="M91" s="12" t="inlineStr">
        <is>
          <t>Core 3 · Future-ready 3 · Functional 3 · Leadership 1</t>
        </is>
      </c>
      <c r="N91" s="12" t="inlineStr">
        <is>
          <t>CBAP / CCBA · optional; Domain certifications · optional</t>
        </is>
      </c>
      <c r="O91" s="12" t="inlineStr">
        <is>
          <t>None — only this department</t>
        </is>
      </c>
      <c r="P91" s="17" t="inlineStr">
        <is>
          <r>
            <rPr>
              <rFont val="Calibri"/>
              <sz val="10"/>
            </rPr>
            <t xml:space="preserve">iDEAL 5 · iFile 3
</t>
          </r>
          <r>
            <rPr>
              <rFont val="Calibri"/>
              <b val="1"/>
              <sz val="10"/>
            </rPr>
            <t>Titled there:</t>
          </r>
          <r>
            <rPr>
              <rFont val="Calibri"/>
              <sz val="10"/>
            </rPr>
            <t xml:space="preserve"> Business Analysis Specialist / Business Analysis Specialist – POD Lead / Senior Business Analysis Specialist / Team Lead – Business Analysis</t>
          </r>
        </is>
      </c>
    </row>
    <row r="92" ht="55" customHeight="1">
      <c r="A92" s="12" t="inlineStr">
        <is>
          <t>Technology</t>
        </is>
      </c>
      <c r="B92" s="21" t="inlineStr">
        <is>
          <t>B · Specialist / Manager</t>
        </is>
      </c>
      <c r="C92" s="21" t="inlineStr">
        <is>
          <t>B1</t>
        </is>
      </c>
      <c r="D92" s="12" t="inlineStr">
        <is>
          <t>Specialist · POD Lead</t>
        </is>
      </c>
      <c r="E92" s="12" t="inlineStr">
        <is>
          <t>Engineering &amp; Development</t>
        </is>
      </c>
      <c r="F92" s="12" t="inlineStr">
        <is>
          <t>AI / ML &amp; GenAI Engineering</t>
        </is>
      </c>
      <c r="G92" s="12" t="inlineStr">
        <is>
          <t>AI/ML Specialist – POD Lead</t>
        </is>
      </c>
      <c r="H92" s="12" t="inlineStr">
        <is>
          <t>POD Lead</t>
        </is>
      </c>
      <c r="I92" s="12" t="n">
        <v>1</v>
      </c>
      <c r="J92" s="12" t="inlineStr">
        <is>
          <r>
            <rPr>
              <rFont val="Calibri"/>
              <b val="1"/>
              <sz val="10"/>
            </rPr>
            <t>A2:</t>
          </r>
          <r>
            <rPr>
              <rFont val="Calibri"/>
              <sz val="10"/>
            </rPr>
            <t xml:space="preserve"> AI/ML Engineer → A3: Senior AI/ML Engineer → B1: AI/ML Specialist – POD Lead</t>
          </r>
        </is>
      </c>
      <c r="K92" s="12" t="inlineStr">
        <is>
          <t>Programming &amp; Tech-Stack Depth · System Design &amp; Architecture</t>
        </is>
      </c>
      <c r="L92" s="12" t="inlineStr">
        <is>
          <t>Database, SQL &amp; Data Engineering · Cloud, DevOps &amp; CI/CD · AI, GenAI &amp; Prompt Engineering · Product, Platform &amp; Domain Knowledge</t>
        </is>
      </c>
      <c r="M92" s="12" t="inlineStr">
        <is>
          <t>Core 3 · Future-ready 3 · Functional 3 · Leadership 1</t>
        </is>
      </c>
      <c r="N92" s="12" t="inlineStr">
        <is>
          <t>Cloud / language certifications · optional; AWS / Azure architect · optional</t>
        </is>
      </c>
      <c r="O92" s="12" t="inlineStr">
        <is>
          <t>None — only this department</t>
        </is>
      </c>
      <c r="P92" s="17" t="inlineStr">
        <is>
          <t>iFile 1
Same title</t>
        </is>
      </c>
    </row>
    <row r="93" ht="81" customHeight="1">
      <c r="A93" s="12" t="inlineStr">
        <is>
          <t>Technology</t>
        </is>
      </c>
      <c r="B93" s="21" t="inlineStr">
        <is>
          <t>B · Specialist / Manager</t>
        </is>
      </c>
      <c r="C93" s="21" t="inlineStr">
        <is>
          <t>B1</t>
        </is>
      </c>
      <c r="D93" s="12" t="inlineStr">
        <is>
          <t>Specialist</t>
        </is>
      </c>
      <c r="E93" s="12" t="inlineStr">
        <is>
          <t>Engineering &amp; Development</t>
        </is>
      </c>
      <c r="F93" s="12" t="inlineStr">
        <is>
          <t>Backend Development</t>
        </is>
      </c>
      <c r="G93" s="12" t="inlineStr">
        <is>
          <t>Technical Specialist</t>
        </is>
      </c>
      <c r="H93" s="12" t="inlineStr">
        <is>
          <t>IC</t>
        </is>
      </c>
      <c r="I93" s="12" t="n">
        <v>1</v>
      </c>
      <c r="J93" s="12"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3" s="12" t="inlineStr">
        <is>
          <t>Programming &amp; Tech-Stack Depth · System Design &amp; Architecture</t>
        </is>
      </c>
      <c r="L93" s="12" t="inlineStr">
        <is>
          <t>Database, SQL &amp; Data Engineering · Cloud, DevOps &amp; CI/CD · AI, GenAI &amp; Prompt Engineering · Product, Platform &amp; Domain Knowledge</t>
        </is>
      </c>
      <c r="M93" s="12" t="inlineStr">
        <is>
          <t>Core 3 · Future-ready 3 · Functional 3 · Leadership 1</t>
        </is>
      </c>
      <c r="N93" s="12" t="inlineStr">
        <is>
          <t>Cloud / language certifications · optional; AWS / Azure architect · optional</t>
        </is>
      </c>
      <c r="O93" s="12" t="inlineStr">
        <is>
          <t>None — only this department</t>
        </is>
      </c>
      <c r="P93" s="17" t="inlineStr">
        <is>
          <r>
            <rPr>
              <rFont val="Calibri"/>
              <sz val="10"/>
            </rPr>
            <t xml:space="preserve">iFile 6
</t>
          </r>
          <r>
            <rPr>
              <rFont val="Calibri"/>
              <b val="1"/>
              <sz val="10"/>
            </rPr>
            <t>Titled there:</t>
          </r>
          <r>
            <rPr>
              <rFont val="Calibri"/>
              <sz val="10"/>
            </rPr>
            <t xml:space="preserve"> Senior Technical Specialist – POD Lead / Technical Specialist / Technical Specialist – POD Lead</t>
          </r>
        </is>
      </c>
    </row>
    <row r="94" ht="81" customHeight="1">
      <c r="A94" s="12" t="inlineStr">
        <is>
          <t>Technology</t>
        </is>
      </c>
      <c r="B94" s="21" t="inlineStr">
        <is>
          <t>B · Specialist / Manager</t>
        </is>
      </c>
      <c r="C94" s="21" t="inlineStr">
        <is>
          <t>B1</t>
        </is>
      </c>
      <c r="D94" s="12" t="inlineStr">
        <is>
          <t>Specialist · POD Lead</t>
        </is>
      </c>
      <c r="E94" s="12" t="inlineStr">
        <is>
          <t>Engineering &amp; Development</t>
        </is>
      </c>
      <c r="F94" s="12" t="inlineStr">
        <is>
          <t>Backend Development</t>
        </is>
      </c>
      <c r="G94" s="12" t="inlineStr">
        <is>
          <t>Technical Specialist – POD Lead</t>
        </is>
      </c>
      <c r="H94" s="12" t="inlineStr">
        <is>
          <t>POD Lead</t>
        </is>
      </c>
      <c r="I94" s="12" t="n">
        <v>1</v>
      </c>
      <c r="J94" s="12"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4" s="12" t="inlineStr">
        <is>
          <t>Programming &amp; Tech-Stack Depth · System Design &amp; Architecture</t>
        </is>
      </c>
      <c r="L94" s="12" t="inlineStr">
        <is>
          <t>Database, SQL &amp; Data Engineering · Cloud, DevOps &amp; CI/CD · AI, GenAI &amp; Prompt Engineering · Product, Platform &amp; Domain Knowledge</t>
        </is>
      </c>
      <c r="M94" s="12" t="inlineStr">
        <is>
          <t>Core 3 · Future-ready 3 · Functional 3 · Leadership 1</t>
        </is>
      </c>
      <c r="N94" s="12" t="inlineStr">
        <is>
          <t>Cloud / language certifications · optional; AWS / Azure architect · optional</t>
        </is>
      </c>
      <c r="O94" s="12" t="inlineStr">
        <is>
          <t>None — only this department</t>
        </is>
      </c>
      <c r="P94" s="17" t="inlineStr">
        <is>
          <r>
            <rPr>
              <rFont val="Calibri"/>
              <sz val="10"/>
            </rPr>
            <t xml:space="preserve">iFile 6
</t>
          </r>
          <r>
            <rPr>
              <rFont val="Calibri"/>
              <b val="1"/>
              <sz val="10"/>
            </rPr>
            <t>Titled there:</t>
          </r>
          <r>
            <rPr>
              <rFont val="Calibri"/>
              <sz val="10"/>
            </rPr>
            <t xml:space="preserve"> Senior Technical Specialist – POD Lead / Technical Specialist / Technical Specialist – POD Lead</t>
          </r>
        </is>
      </c>
    </row>
    <row r="95" ht="55" customHeight="1">
      <c r="A95" s="12" t="inlineStr">
        <is>
          <t>Technology</t>
        </is>
      </c>
      <c r="B95" s="21" t="inlineStr">
        <is>
          <t>B · Specialist / Manager</t>
        </is>
      </c>
      <c r="C95" s="21" t="inlineStr">
        <is>
          <t>B2</t>
        </is>
      </c>
      <c r="D95" s="12" t="inlineStr">
        <is>
          <t>Senior Specialist · POD Lead</t>
        </is>
      </c>
      <c r="E95" s="12" t="inlineStr">
        <is>
          <t>Business Analysis</t>
        </is>
      </c>
      <c r="F95" s="12" t="inlineStr">
        <is>
          <t>Business Analysis</t>
        </is>
      </c>
      <c r="G95" s="12" t="inlineStr">
        <is>
          <t>Senior Business Analysis Specialist – POD Lead</t>
        </is>
      </c>
      <c r="H95" s="12" t="inlineStr">
        <is>
          <t>POD Lead</t>
        </is>
      </c>
      <c r="I95" s="12" t="n">
        <v>1</v>
      </c>
      <c r="J95" s="12" t="inlineStr">
        <is>
          <r>
            <rPr>
              <rFont val="Calibri"/>
              <b val="1"/>
              <sz val="10"/>
            </rPr>
            <t>A2:</t>
          </r>
          <r>
            <rPr>
              <rFont val="Calibri"/>
              <sz val="10"/>
            </rPr>
            <t xml:space="preserve"> Business Analyst → B1: Business Analysis Specialist → B2: Senior Business Analysis Specialist – POD Lead</t>
          </r>
        </is>
      </c>
      <c r="K95" s="12" t="inlineStr">
        <is>
          <t>Business Analysis &amp; Requirements Engineering · Regulatory &amp; BFSI Domain</t>
        </is>
      </c>
      <c r="L95" s="12" t="inlineStr">
        <is>
          <t>Product, Platform &amp; Domain Knowledge · Database, SQL &amp; Data Engineering · Stakeholder &amp; Client Management · Communication &amp; Presentation</t>
        </is>
      </c>
      <c r="M95" s="12" t="inlineStr">
        <is>
          <t>Core 3 · Future-ready 3 · Functional 4 · Leadership 2</t>
        </is>
      </c>
      <c r="N95" s="12" t="inlineStr">
        <is>
          <t>CBAP / CCBA · optional; Domain certifications · optional</t>
        </is>
      </c>
      <c r="O95" s="12" t="inlineStr">
        <is>
          <t>None — only this department</t>
        </is>
      </c>
      <c r="P95" s="12" t="inlineStr">
        <is>
          <t>None — only CARBON</t>
        </is>
      </c>
    </row>
    <row r="96" ht="81" customHeight="1">
      <c r="A96" s="12" t="inlineStr">
        <is>
          <t>Technology</t>
        </is>
      </c>
      <c r="B96" s="21" t="inlineStr">
        <is>
          <t>B · Specialist / Manager</t>
        </is>
      </c>
      <c r="C96" s="21" t="inlineStr">
        <is>
          <t>B2</t>
        </is>
      </c>
      <c r="D96" s="12" t="inlineStr">
        <is>
          <t>Senior Specialist · POD Lead</t>
        </is>
      </c>
      <c r="E96" s="12" t="inlineStr">
        <is>
          <t>Engineering &amp; Development</t>
        </is>
      </c>
      <c r="F96" s="12" t="inlineStr">
        <is>
          <t>Backend Development</t>
        </is>
      </c>
      <c r="G96" s="12" t="inlineStr">
        <is>
          <t>Lead Software Engineer – POD Lead</t>
        </is>
      </c>
      <c r="H96" s="12" t="inlineStr">
        <is>
          <t>POD Lead</t>
        </is>
      </c>
      <c r="I96" s="12" t="n">
        <v>1</v>
      </c>
      <c r="J96" s="12"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6" s="12" t="inlineStr">
        <is>
          <t>Programming &amp; Tech-Stack Depth · System Design &amp; Architecture</t>
        </is>
      </c>
      <c r="L96" s="12" t="inlineStr">
        <is>
          <t>Database, SQL &amp; Data Engineering · Cloud, DevOps &amp; CI/CD · AI, GenAI &amp; Prompt Engineering · Product, Platform &amp; Domain Knowledge</t>
        </is>
      </c>
      <c r="M96" s="12" t="inlineStr">
        <is>
          <t>Core 3 · Future-ready 3 · Functional 4 · Leadership 2</t>
        </is>
      </c>
      <c r="N96" s="12" t="inlineStr">
        <is>
          <t>Cloud / language certifications · optional; AWS / Azure architect · optional</t>
        </is>
      </c>
      <c r="O96" s="12" t="inlineStr">
        <is>
          <t>None — only this department</t>
        </is>
      </c>
      <c r="P96" s="17" t="inlineStr">
        <is>
          <r>
            <rPr>
              <rFont val="Calibri"/>
              <sz val="10"/>
            </rPr>
            <t xml:space="preserve">iFile 6 · Datatech 1
</t>
          </r>
          <r>
            <rPr>
              <rFont val="Calibri"/>
              <b val="1"/>
              <sz val="10"/>
            </rPr>
            <t>Titled there:</t>
          </r>
          <r>
            <rPr>
              <rFont val="Calibri"/>
              <sz val="10"/>
            </rPr>
            <t xml:space="preserve"> Engineering Manager / Lead Software Engineer / Senior Technical Specialist / Senior Technical Specialist – POD Lead</t>
          </r>
        </is>
      </c>
    </row>
    <row r="97" ht="81" customHeight="1">
      <c r="A97" s="12" t="inlineStr">
        <is>
          <t>Technology</t>
        </is>
      </c>
      <c r="B97" s="21" t="inlineStr">
        <is>
          <t>B · Specialist / Manager</t>
        </is>
      </c>
      <c r="C97" s="21" t="inlineStr">
        <is>
          <t>B2</t>
        </is>
      </c>
      <c r="D97" s="12" t="inlineStr">
        <is>
          <t>Senior Specialist · POD Lead</t>
        </is>
      </c>
      <c r="E97" s="12" t="inlineStr">
        <is>
          <t>Engineering &amp; Development</t>
        </is>
      </c>
      <c r="F97" s="12" t="inlineStr">
        <is>
          <t>Backend Development</t>
        </is>
      </c>
      <c r="G97" s="12" t="inlineStr">
        <is>
          <t>Senior Technical Specialist – POD Lead</t>
        </is>
      </c>
      <c r="H97" s="12" t="inlineStr">
        <is>
          <t>POD Lead</t>
        </is>
      </c>
      <c r="I97" s="12" t="n">
        <v>1</v>
      </c>
      <c r="J97" s="12"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97" s="12" t="inlineStr">
        <is>
          <t>Programming &amp; Tech-Stack Depth · System Design &amp; Architecture</t>
        </is>
      </c>
      <c r="L97" s="12" t="inlineStr">
        <is>
          <t>Database, SQL &amp; Data Engineering · Cloud, DevOps &amp; CI/CD · AI, GenAI &amp; Prompt Engineering · Product, Platform &amp; Domain Knowledge</t>
        </is>
      </c>
      <c r="M97" s="12" t="inlineStr">
        <is>
          <t>Core 3 · Future-ready 3 · Functional 4 · Leadership 2</t>
        </is>
      </c>
      <c r="N97" s="12" t="inlineStr">
        <is>
          <t>Cloud / language certifications · optional; AWS / Azure architect · optional</t>
        </is>
      </c>
      <c r="O97" s="12" t="inlineStr">
        <is>
          <t>None — only this department</t>
        </is>
      </c>
      <c r="P97" s="17" t="inlineStr">
        <is>
          <r>
            <rPr>
              <rFont val="Calibri"/>
              <sz val="10"/>
            </rPr>
            <t xml:space="preserve">iFile 6 · Datatech 1
</t>
          </r>
          <r>
            <rPr>
              <rFont val="Calibri"/>
              <b val="1"/>
              <sz val="10"/>
            </rPr>
            <t>Titled there:</t>
          </r>
          <r>
            <rPr>
              <rFont val="Calibri"/>
              <sz val="10"/>
            </rPr>
            <t xml:space="preserve"> Engineering Manager / Lead Software Engineer / Senior Technical Specialist / Senior Technical Specialist – POD Lead</t>
          </r>
        </is>
      </c>
    </row>
    <row r="98" ht="55" customHeight="1">
      <c r="A98" s="12" t="inlineStr">
        <is>
          <t>Technology</t>
        </is>
      </c>
      <c r="B98" s="21" t="inlineStr">
        <is>
          <t>B · Specialist / Manager</t>
        </is>
      </c>
      <c r="C98" s="21" t="inlineStr">
        <is>
          <t>B2</t>
        </is>
      </c>
      <c r="D98" s="12" t="inlineStr">
        <is>
          <t>Senior Specialist · POD Lead</t>
        </is>
      </c>
      <c r="E98" s="12" t="inlineStr">
        <is>
          <t>Engineering &amp; Development</t>
        </is>
      </c>
      <c r="F98" s="12" t="inlineStr">
        <is>
          <t>Full-Stack Development</t>
        </is>
      </c>
      <c r="G98" s="12" t="inlineStr">
        <is>
          <t>Lead Software Engineer – POD Lead</t>
        </is>
      </c>
      <c r="H98" s="12" t="inlineStr">
        <is>
          <t>POD Lead</t>
        </is>
      </c>
      <c r="I98" s="12" t="n">
        <v>1</v>
      </c>
      <c r="J98" s="12" t="inlineStr">
        <is>
          <r>
            <rPr>
              <rFont val="Calibri"/>
              <b val="1"/>
              <sz val="10"/>
            </rPr>
            <t>A1:</t>
          </r>
          <r>
            <rPr>
              <rFont val="Calibri"/>
              <sz val="10"/>
            </rPr>
            <t xml:space="preserve"> Trainee Software Engineer → A3: Senior Software Engineer → B2: Lead Software Engineer – POD Lead</t>
          </r>
        </is>
      </c>
      <c r="K98" s="12" t="inlineStr">
        <is>
          <t>Programming &amp; Tech-Stack Depth · System Design &amp; Architecture</t>
        </is>
      </c>
      <c r="L98" s="12" t="inlineStr">
        <is>
          <t>Database, SQL &amp; Data Engineering · Cloud, DevOps &amp; CI/CD · AI, GenAI &amp; Prompt Engineering · Product, Platform &amp; Domain Knowledge</t>
        </is>
      </c>
      <c r="M98" s="12" t="inlineStr">
        <is>
          <t>Core 3 · Future-ready 3 · Functional 4 · Leadership 2</t>
        </is>
      </c>
      <c r="N98" s="12" t="inlineStr">
        <is>
          <t>Cloud / language certifications · optional; AWS / Azure architect · optional</t>
        </is>
      </c>
      <c r="O98" s="12" t="inlineStr">
        <is>
          <t>None — only this department</t>
        </is>
      </c>
      <c r="P98" s="17" t="inlineStr">
        <is>
          <r>
            <rPr>
              <rFont val="Calibri"/>
              <sz val="10"/>
            </rPr>
            <t xml:space="preserve">iFile 2
</t>
          </r>
          <r>
            <rPr>
              <rFont val="Calibri"/>
              <b val="1"/>
              <sz val="10"/>
            </rPr>
            <t>Titled there:</t>
          </r>
          <r>
            <rPr>
              <rFont val="Calibri"/>
              <sz val="10"/>
            </rPr>
            <t xml:space="preserve"> Engineering Manager / Senior Technical Specialist – POD Lead</t>
          </r>
        </is>
      </c>
    </row>
    <row r="99" ht="68" customHeight="1">
      <c r="A99" s="12" t="inlineStr">
        <is>
          <t>Technology</t>
        </is>
      </c>
      <c r="B99" s="21" t="inlineStr">
        <is>
          <t>B · Specialist / Manager</t>
        </is>
      </c>
      <c r="C99" s="21" t="inlineStr">
        <is>
          <t>B2</t>
        </is>
      </c>
      <c r="D99" s="12" t="inlineStr">
        <is>
          <t>Senior Specialist</t>
        </is>
      </c>
      <c r="E99" s="12" t="inlineStr">
        <is>
          <t>Project &amp; Program Management</t>
        </is>
      </c>
      <c r="F99" s="12" t="inlineStr">
        <is>
          <t>Project &amp; Program Delivery</t>
        </is>
      </c>
      <c r="G99" s="12" t="inlineStr">
        <is>
          <t>Project Manager</t>
        </is>
      </c>
      <c r="H99" s="12" t="inlineStr">
        <is>
          <t>IC</t>
        </is>
      </c>
      <c r="I99" s="12" t="n">
        <v>1</v>
      </c>
      <c r="J99" s="12" t="inlineStr">
        <is>
          <r>
            <rPr>
              <rFont val="Calibri"/>
              <b val="1"/>
              <sz val="10"/>
            </rPr>
            <t>B2:</t>
          </r>
          <r>
            <rPr>
              <rFont val="Calibri"/>
              <sz val="10"/>
            </rPr>
            <t xml:space="preserve"> Project Manager</t>
          </r>
        </is>
      </c>
      <c r="K99" s="12" t="inlineStr">
        <is>
          <t>Project, Program &amp; Agile Management · Stakeholder &amp; Client Management</t>
        </is>
      </c>
      <c r="L99" s="12" t="inlineStr">
        <is>
          <t>Communication &amp; Presentation · Process Improvement &amp; Quality Mindset · Strategic Thinking &amp; Business Acumen · Product, Platform &amp; Domain Knowledge</t>
        </is>
      </c>
      <c r="M99" s="12" t="inlineStr">
        <is>
          <t>Core 3 · Future-ready 3 · Functional 4 · Leadership 2</t>
        </is>
      </c>
      <c r="N99" s="12" t="inlineStr">
        <is>
          <t>PMP / PRINCE2 / CSM / SAFe</t>
        </is>
      </c>
      <c r="O99" s="12" t="inlineStr">
        <is>
          <t>None — only this department</t>
        </is>
      </c>
      <c r="P99" s="17" t="inlineStr">
        <is>
          <r>
            <rPr>
              <rFont val="Calibri"/>
              <sz val="10"/>
            </rPr>
            <t xml:space="preserve">iFile 7 · Consume 1
</t>
          </r>
          <r>
            <rPr>
              <rFont val="Calibri"/>
              <b val="1"/>
              <sz val="10"/>
            </rPr>
            <t>Titled there:</t>
          </r>
          <r>
            <rPr>
              <rFont val="Calibri"/>
              <sz val="10"/>
            </rPr>
            <t xml:space="preserve"> Delivery Manager / Project Manager</t>
          </r>
        </is>
      </c>
    </row>
    <row r="100" ht="81" customHeight="1">
      <c r="A100" s="12" t="inlineStr">
        <is>
          <t>Technology</t>
        </is>
      </c>
      <c r="B100" s="21" t="inlineStr">
        <is>
          <t>B · Specialist / Manager</t>
        </is>
      </c>
      <c r="C100" s="21" t="inlineStr">
        <is>
          <t>B3</t>
        </is>
      </c>
      <c r="D100" s="12" t="inlineStr">
        <is>
          <t>Senior Manager</t>
        </is>
      </c>
      <c r="E100" s="12" t="inlineStr">
        <is>
          <t>Engineering &amp; Development</t>
        </is>
      </c>
      <c r="F100" s="12" t="inlineStr">
        <is>
          <t>Backend Development</t>
        </is>
      </c>
      <c r="G100" s="12" t="inlineStr">
        <is>
          <t>Senior Engineering Manager</t>
        </is>
      </c>
      <c r="H100" s="12" t="inlineStr">
        <is>
          <t>People Manager</t>
        </is>
      </c>
      <c r="I100" s="12" t="n">
        <v>1</v>
      </c>
      <c r="J100" s="12" t="inlineStr">
        <is>
          <r>
            <rPr>
              <rFont val="Calibri"/>
              <b val="1"/>
              <sz val="10"/>
            </rPr>
            <t>A1:</t>
          </r>
          <r>
            <rPr>
              <rFont val="Calibri"/>
              <sz val="10"/>
            </rPr>
            <t xml:space="preserve"> Trainee Software Engineer → A2: Software Engineer → A3: Senior Software Engineer → B1: Technical Specialist / Technical Specialist – POD Lead → B2: Lead Software Engineer – POD Lead / Senior Technical Specialist – POD Lead → B3: Senior Engineering Manager</t>
          </r>
        </is>
      </c>
      <c r="K100" s="12" t="inlineStr">
        <is>
          <t>Programming &amp; Tech-Stack Depth · System Design &amp; Architecture</t>
        </is>
      </c>
      <c r="L100" s="12" t="inlineStr">
        <is>
          <t>Database, SQL &amp; Data Engineering · Cloud, DevOps &amp; CI/CD · AI, GenAI &amp; Prompt Engineering · Product, Platform &amp; Domain Knowledge</t>
        </is>
      </c>
      <c r="M100" s="12" t="inlineStr">
        <is>
          <t>Core 4 · Future-ready 3 · Functional 4 · Leadership 4</t>
        </is>
      </c>
      <c r="N100" s="12" t="inlineStr">
        <is>
          <t>Cloud / language certifications · optional; AWS / Azure architect · optional</t>
        </is>
      </c>
      <c r="O100" s="12" t="inlineStr">
        <is>
          <t>None — only this department</t>
        </is>
      </c>
      <c r="P100" s="17" t="inlineStr">
        <is>
          <r>
            <rPr>
              <rFont val="Calibri"/>
              <sz val="10"/>
            </rPr>
            <t xml:space="preserve">iFile 2 · iDEAL 1
</t>
          </r>
          <r>
            <rPr>
              <rFont val="Calibri"/>
              <b val="1"/>
              <sz val="10"/>
            </rPr>
            <t>Titled there:</t>
          </r>
          <r>
            <rPr>
              <rFont val="Calibri"/>
              <sz val="10"/>
            </rPr>
            <t xml:space="preserve"> Lead Software Engineer / Lead Software Engineer – POD Lead</t>
          </r>
        </is>
      </c>
    </row>
    <row r="101" ht="55" customHeight="1">
      <c r="A101" s="12" t="inlineStr">
        <is>
          <t>Technology</t>
        </is>
      </c>
      <c r="B101" s="25" t="inlineStr">
        <is>
          <t>C · Principal / Head</t>
        </is>
      </c>
      <c r="C101" s="25" t="inlineStr">
        <is>
          <t>C2</t>
        </is>
      </c>
      <c r="D101" s="12" t="inlineStr">
        <is>
          <t>Head of Function</t>
        </is>
      </c>
      <c r="E101" s="12" t="inlineStr">
        <is>
          <t>Engineering &amp; Development</t>
        </is>
      </c>
      <c r="F101" s="12" t="inlineStr">
        <is>
          <t>Engineering Leadership</t>
        </is>
      </c>
      <c r="G101" s="12" t="inlineStr">
        <is>
          <t>Head – Product Engineering</t>
        </is>
      </c>
      <c r="H101" s="12" t="inlineStr">
        <is>
          <t>People Manager</t>
        </is>
      </c>
      <c r="I101" s="12" t="n">
        <v>1</v>
      </c>
      <c r="J101" s="12" t="inlineStr">
        <is>
          <r>
            <rPr>
              <rFont val="Calibri"/>
              <b val="1"/>
              <sz val="10"/>
            </rPr>
            <t>C2:</t>
          </r>
          <r>
            <rPr>
              <rFont val="Calibri"/>
              <sz val="10"/>
            </rPr>
            <t xml:space="preserve"> Head – Product Engineering</t>
          </r>
        </is>
      </c>
      <c r="K101" s="12" t="inlineStr">
        <is>
          <t>Programming &amp; Tech-Stack Depth · System Design &amp; Architecture</t>
        </is>
      </c>
      <c r="L101" s="12" t="inlineStr">
        <is>
          <t>Database, SQL &amp; Data Engineering · Cloud, DevOps &amp; CI/CD · AI, GenAI &amp; Prompt Engineering · Product, Platform &amp; Domain Knowledge</t>
        </is>
      </c>
      <c r="M101" s="12" t="inlineStr">
        <is>
          <t>Core 4 · Future-ready 4 · Functional 5 · Leadership 4</t>
        </is>
      </c>
      <c r="N101" s="12" t="inlineStr">
        <is>
          <t>Cloud / language certifications · optional; AWS / Azure architect · optional</t>
        </is>
      </c>
      <c r="O101" s="12" t="inlineStr">
        <is>
          <t>None — only this department</t>
        </is>
      </c>
      <c r="P101" s="12" t="inlineStr">
        <is>
          <t>None — only CARBON</t>
        </is>
      </c>
    </row>
  </sheetData>
  <mergeCells count="3">
    <mergeCell ref="A1:P1"/>
    <mergeCell ref="A3:P3"/>
    <mergeCell ref="A2:P2"/>
  </mergeCells>
  <hyperlinks>
    <hyperlink xmlns:r="http://schemas.openxmlformats.org/officeDocument/2006/relationships" ref="Q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xl/worksheets/sheet7.xml><?xml version="1.0" encoding="utf-8"?>
<worksheet xmlns="http://schemas.openxmlformats.org/spreadsheetml/2006/main">
  <sheetPr>
    <tabColor rgb="002E75B6"/>
    <outlinePr summaryBelow="1" summaryRight="1"/>
    <pageSetUpPr fitToPage="1"/>
  </sheetPr>
  <dimension ref="A1:Z104"/>
  <sheetViews>
    <sheetView showGridLines="0" workbookViewId="0">
      <pane xSplit="4" ySplit="16" topLeftCell="E1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12" customWidth="1" min="2" max="2"/>
    <col width="24" customWidth="1" min="3" max="3"/>
    <col width="22" customWidth="1" min="4" max="4"/>
    <col width="8" customWidth="1" min="5" max="5"/>
    <col width="22" customWidth="1" min="6" max="6"/>
    <col width="11" customWidth="1" min="7" max="7"/>
    <col width="11" customWidth="1" min="8" max="8"/>
    <col width="11" customWidth="1" min="9" max="9"/>
    <col width="11" customWidth="1" min="10" max="10"/>
    <col width="11" customWidth="1" min="11" max="11"/>
    <col width="11" customWidth="1" min="12" max="12"/>
    <col width="10" customWidth="1" min="13" max="13"/>
    <col width="9" customWidth="1" min="14" max="14"/>
    <col width="9" customWidth="1" min="15" max="15"/>
    <col width="9" customWidth="1" min="16" max="16"/>
    <col width="9" customWidth="1" min="17" max="17"/>
    <col width="9" customWidth="1" min="18" max="18"/>
    <col width="9" customWidth="1" min="19" max="19"/>
    <col width="34" customWidth="1" min="20" max="20"/>
    <col hidden="1" width="13" customWidth="1" min="21" max="21"/>
    <col hidden="1" width="13" customWidth="1" min="22" max="22"/>
    <col hidden="1" width="13" customWidth="1" min="23" max="23"/>
    <col hidden="1" width="13" customWidth="1" min="24" max="24"/>
    <col hidden="1" width="13" customWidth="1" min="25" max="25"/>
    <col hidden="1" width="13" customWidth="1" min="26" max="26"/>
  </cols>
  <sheetData>
    <row r="1" ht="34" customHeight="1">
      <c r="A1" s="1" t="inlineStr">
        <is>
          <t>Weightage Matrix — how much each factor counts, by department and role group · editable</t>
        </is>
      </c>
      <c r="U1" s="104" t="inlineStr">
        <is>
          <t>◂ Start Here</t>
        </is>
      </c>
    </row>
    <row r="2" ht="30" customHeight="1">
      <c r="A2" s="3" t="inlineStr">
        <is>
          <t>6 · Leaders: change the yellow weights. Sheet 2 recalculates points, score and 'Level the score indicates' at once. Below the matrix: what each factor means, what a weight means, and what each rating means.</t>
        </is>
      </c>
    </row>
    <row r="3">
      <c r="A3" s="4" t="inlineStr">
        <is>
          <t>IRIS · Job Architecture &amp; Job Design · Final v1.12 · October 2026 · Internal — Confidential</t>
        </is>
      </c>
    </row>
    <row r="4"/>
    <row r="5" ht="20" customHeight="1">
      <c r="A5" s="6" t="inlineStr">
        <is>
          <t>SETTINGS — Experience &amp; Qualification weight · kept low by design; change it here for everyone</t>
        </is>
      </c>
    </row>
    <row r="6">
      <c r="A6" s="97" t="inlineStr">
        <is>
          <t>Experience &amp; Qualification weight — Bands A–B</t>
        </is>
      </c>
      <c r="B6" s="98" t="n">
        <v>10</v>
      </c>
      <c r="C6" s="40" t="inlineStr">
        <is>
          <t>Band A, Band B and B+ · Corporate functions rows add 5 for professional qualifications</t>
        </is>
      </c>
    </row>
    <row r="7">
      <c r="A7" s="97" t="inlineStr">
        <is>
          <t>Experience &amp; Qualification weight — Bands C–E</t>
        </is>
      </c>
      <c r="B7" s="98" t="n">
        <v>5</v>
      </c>
      <c r="C7" s="40" t="inlineStr">
        <is>
          <t>Band C, C+ and Bands D–E · Corporate functions rows add 5 for professional qualifications</t>
        </is>
      </c>
    </row>
    <row r="8">
      <c r="A8" s="40" t="inlineStr">
        <is>
          <r>
            <rPr>
              <rFont val="Calibri"/>
              <b val="1"/>
              <i val="1"/>
              <color rgb="00595959"/>
              <sz val="10"/>
            </rPr>
            <t>Why it is low:</t>
          </r>
          <r>
            <rPr>
              <rFont val="Calibri"/>
              <i val="1"/>
              <color rgb="00595959"/>
              <sz val="10"/>
            </rPr>
            <t xml:space="preserve"> Sources: S05, S49 Hay know-how includes experience however acquired · S04, S52 Mercer IPE knowledge · S07 WTW GGS · S58 McKinsey · S59 Deloitte · S60 WEF · S61 EY India, 2026 — skills over tenure. The 10% / 5% level is an IRIS leadership decision.</t>
          </r>
        </is>
      </c>
    </row>
    <row r="9"/>
    <row r="10" ht="20" customHeight="1">
      <c r="A10" s="6" t="inlineStr">
        <is>
          <t>HOW TO USE IT — in four steps</t>
        </is>
      </c>
    </row>
    <row r="11">
      <c r="A11" s="7" t="inlineStr">
        <is>
          <t>1. Find your department and role group in the matrix below · filter the Department column.</t>
        </is>
      </c>
    </row>
    <row r="12">
      <c r="A12" s="7" t="inlineStr">
        <is>
          <t>2. Change the yellow weights in steps of 5%. Each row should add up to about 100% — the 'Used' columns show the weights actually applied.</t>
        </is>
      </c>
    </row>
    <row r="13">
      <c r="A13" s="7" t="inlineStr">
        <is>
          <t>3. Look at sheet 2: points, the score and 'Level the score indicates' have already changed for everyone in that department and role group.</t>
        </is>
      </c>
    </row>
    <row r="14">
      <c r="A14" s="7" t="inlineStr">
        <is>
          <t>4. Write why you changed a row in the last column and send the file back; HR imports it and the final levels follow on the next run.</t>
        </is>
      </c>
    </row>
    <row r="15" ht="20" customHeight="1">
      <c r="A15" s="6" t="inlineStr">
        <is>
          <t>THE MATRIX — one row per department × role group in this file</t>
        </is>
      </c>
    </row>
    <row r="16" ht="32" customHeight="1">
      <c r="A16" s="74" t="inlineStr">
        <is>
          <t>Weight row</t>
        </is>
      </c>
      <c r="B16" s="74" t="inlineStr">
        <is>
          <t>Business</t>
        </is>
      </c>
      <c r="C16" s="74" t="inlineStr">
        <is>
          <t>Department</t>
        </is>
      </c>
      <c r="D16" s="74" t="inlineStr">
        <is>
          <t>Role group</t>
        </is>
      </c>
      <c r="E16" s="74" t="inlineStr">
        <is>
          <t>People</t>
        </is>
      </c>
      <c r="F16" s="74" t="inlineStr">
        <is>
          <t>Main type of work</t>
        </is>
      </c>
      <c r="G16" s="8" t="inlineStr">
        <is>
          <t>How hard %</t>
        </is>
      </c>
      <c r="H16" s="8" t="inlineStr">
        <is>
          <t>Decides alone %</t>
        </is>
      </c>
      <c r="I16" s="8" t="inlineStr">
        <is>
          <t>Answers for %</t>
        </is>
      </c>
      <c r="J16" s="8" t="inlineStr">
        <is>
          <t>Leads %</t>
        </is>
      </c>
      <c r="K16" s="8" t="inlineStr">
        <is>
          <t>Experience %</t>
        </is>
      </c>
      <c r="L16" s="8" t="inlineStr">
        <is>
          <t>Business impact %</t>
        </is>
      </c>
      <c r="M16" s="8" t="inlineStr">
        <is>
          <t>Entered total</t>
        </is>
      </c>
      <c r="N16" s="74" t="inlineStr">
        <is>
          <t>Used · How hard</t>
        </is>
      </c>
      <c r="O16" s="74" t="inlineStr">
        <is>
          <t>Used · Decides alone</t>
        </is>
      </c>
      <c r="P16" s="74" t="inlineStr">
        <is>
          <t>Used · Answers for</t>
        </is>
      </c>
      <c r="Q16" s="74" t="inlineStr">
        <is>
          <t>Used · Leads</t>
        </is>
      </c>
      <c r="R16" s="74" t="inlineStr">
        <is>
          <t>Used · Experience</t>
        </is>
      </c>
      <c r="S16" s="74" t="inlineStr">
        <is>
          <t>Used · Business impact</t>
        </is>
      </c>
      <c r="T16" s="74" t="inlineStr">
        <is>
          <t>Why changed · leader</t>
        </is>
      </c>
      <c r="U16" s="99" t="inlineStr">
        <is>
          <t>Default · How hard</t>
        </is>
      </c>
      <c r="V16" s="99" t="inlineStr">
        <is>
          <t>Default · Decides alone</t>
        </is>
      </c>
      <c r="W16" s="99" t="inlineStr">
        <is>
          <t>Default · Answers for</t>
        </is>
      </c>
      <c r="X16" s="99" t="inlineStr">
        <is>
          <t>Default · Leads</t>
        </is>
      </c>
      <c r="Y16" s="99" t="inlineStr">
        <is>
          <t>Default · Experience</t>
        </is>
      </c>
      <c r="Z16" s="99" t="inlineStr">
        <is>
          <t>Default · Business impact</t>
        </is>
      </c>
    </row>
    <row r="17" ht="30" customHeight="1">
      <c r="A17" s="12" t="inlineStr">
        <is>
          <t>CARBON · CARBON Business Head · Bands D–E · Leadership</t>
        </is>
      </c>
      <c r="B17" s="12" t="inlineStr">
        <is>
          <t>CARBON</t>
        </is>
      </c>
      <c r="C17" s="12" t="inlineStr">
        <is>
          <t>CARBON Business Head</t>
        </is>
      </c>
      <c r="D17" s="10" t="inlineStr">
        <is>
          <t>Bands D–E · Leadership</t>
        </is>
      </c>
      <c r="E17" s="42" t="n">
        <v>1</v>
      </c>
      <c r="F17" s="12" t="inlineStr">
        <is>
          <t>General management</t>
        </is>
      </c>
      <c r="G17" s="100" t="n">
        <v>37</v>
      </c>
      <c r="H17" s="100" t="n">
        <v>19</v>
      </c>
      <c r="I17" s="100" t="n">
        <v>11</v>
      </c>
      <c r="J17" s="100" t="n">
        <v>20</v>
      </c>
      <c r="K17" s="100">
        <f>WM_EXP_CE</f>
        <v>5</v>
      </c>
      <c r="L17" s="100" t="n">
        <v>8</v>
      </c>
      <c r="M17" s="101">
        <f>SUM(G17:L17)</f>
        <v>100</v>
      </c>
      <c r="N17" s="102">
        <f>IF((G17+H17+I17+J17+L17)=0,0,G17*(100-MAX(0,MIN(100,K17)))/(G17+H17+I17+J17+L17))/100</f>
        <v>0.37</v>
      </c>
      <c r="O17" s="102">
        <f>IF((G17+H17+I17+J17+L17)=0,0,H17*(100-MAX(0,MIN(100,K17)))/(G17+H17+I17+J17+L17))/100</f>
        <v>0.19</v>
      </c>
      <c r="P17" s="102">
        <f>IF((G17+H17+I17+J17+L17)=0,0,I17*(100-MAX(0,MIN(100,K17)))/(G17+H17+I17+J17+L17))/100</f>
        <v>0.11</v>
      </c>
      <c r="Q17" s="102">
        <f>IF((G17+H17+I17+J17+L17)=0,0,J17*(100-MAX(0,MIN(100,K17)))/(G17+H17+I17+J17+L17))/100</f>
        <v>0.2</v>
      </c>
      <c r="R17" s="102">
        <f>MAX(0,MIN(100,K17))/100</f>
        <v>0.05</v>
      </c>
      <c r="S17" s="102">
        <f>IF((G17+H17+I17+J17+L17)=0,0,L17*(100-MAX(0,MIN(100,K17)))/(G17+H17+I17+J17+L17))/100</f>
        <v>0.08</v>
      </c>
      <c r="T17" s="84" t="n"/>
      <c r="U17" s="103" t="n">
        <v>37</v>
      </c>
      <c r="V17" s="103" t="n">
        <v>19</v>
      </c>
      <c r="W17" s="103" t="n">
        <v>11</v>
      </c>
      <c r="X17" s="103" t="n">
        <v>20</v>
      </c>
      <c r="Y17" s="103" t="n">
        <v>5</v>
      </c>
      <c r="Z17" s="103" t="n">
        <v>8</v>
      </c>
    </row>
    <row r="18" ht="30" customHeight="1">
      <c r="A18" s="12" t="inlineStr">
        <is>
          <t>CARBON · CRO - Carbon · Bands D–E · Leadership</t>
        </is>
      </c>
      <c r="B18" s="12" t="inlineStr">
        <is>
          <t>CARBON</t>
        </is>
      </c>
      <c r="C18" s="12" t="inlineStr">
        <is>
          <t>CRO - Carbon</t>
        </is>
      </c>
      <c r="D18" s="10" t="inlineStr">
        <is>
          <t>Bands D–E · Leadership</t>
        </is>
      </c>
      <c r="E18" s="42" t="n">
        <v>1</v>
      </c>
      <c r="F18" s="12" t="inlineStr">
        <is>
          <t>Sales &amp; marketing</t>
        </is>
      </c>
      <c r="G18" s="100" t="n">
        <v>37</v>
      </c>
      <c r="H18" s="100" t="n">
        <v>19</v>
      </c>
      <c r="I18" s="100" t="n">
        <v>11</v>
      </c>
      <c r="J18" s="100" t="n">
        <v>20</v>
      </c>
      <c r="K18" s="100">
        <f>WM_EXP_CE</f>
        <v>5</v>
      </c>
      <c r="L18" s="100" t="n">
        <v>8</v>
      </c>
      <c r="M18" s="101">
        <f>SUM(G18:L18)</f>
        <v>100</v>
      </c>
      <c r="N18" s="102">
        <f>IF((G18+H18+I18+J18+L18)=0,0,G18*(100-MAX(0,MIN(100,K18)))/(G18+H18+I18+J18+L18))/100</f>
        <v>0.37</v>
      </c>
      <c r="O18" s="102">
        <f>IF((G18+H18+I18+J18+L18)=0,0,H18*(100-MAX(0,MIN(100,K18)))/(G18+H18+I18+J18+L18))/100</f>
        <v>0.19</v>
      </c>
      <c r="P18" s="102">
        <f>IF((G18+H18+I18+J18+L18)=0,0,I18*(100-MAX(0,MIN(100,K18)))/(G18+H18+I18+J18+L18))/100</f>
        <v>0.11</v>
      </c>
      <c r="Q18" s="102">
        <f>IF((G18+H18+I18+J18+L18)=0,0,J18*(100-MAX(0,MIN(100,K18)))/(G18+H18+I18+J18+L18))/100</f>
        <v>0.2</v>
      </c>
      <c r="R18" s="102">
        <f>MAX(0,MIN(100,K18))/100</f>
        <v>0.05</v>
      </c>
      <c r="S18" s="102">
        <f>IF((G18+H18+I18+J18+L18)=0,0,L18*(100-MAX(0,MIN(100,K18)))/(G18+H18+I18+J18+L18))/100</f>
        <v>0.08</v>
      </c>
      <c r="T18" s="84" t="n"/>
      <c r="U18" s="103" t="n">
        <v>37</v>
      </c>
      <c r="V18" s="103" t="n">
        <v>19</v>
      </c>
      <c r="W18" s="103" t="n">
        <v>11</v>
      </c>
      <c r="X18" s="103" t="n">
        <v>20</v>
      </c>
      <c r="Y18" s="103" t="n">
        <v>5</v>
      </c>
      <c r="Z18" s="103" t="n">
        <v>8</v>
      </c>
    </row>
    <row r="19" ht="30" customHeight="1">
      <c r="A19" s="12" t="inlineStr">
        <is>
          <t>CARBON · Customer Experience · Bands D–E · Leadership</t>
        </is>
      </c>
      <c r="B19" s="12" t="inlineStr">
        <is>
          <t>CARBON</t>
        </is>
      </c>
      <c r="C19" s="12" t="inlineStr">
        <is>
          <t>Customer Experience</t>
        </is>
      </c>
      <c r="D19" s="10" t="inlineStr">
        <is>
          <t>Bands D–E · Leadership</t>
        </is>
      </c>
      <c r="E19" s="42" t="n">
        <v>1</v>
      </c>
      <c r="F19" s="12" t="inlineStr">
        <is>
          <t>Customer support &amp; success</t>
        </is>
      </c>
      <c r="G19" s="100" t="n">
        <v>37</v>
      </c>
      <c r="H19" s="100" t="n">
        <v>19</v>
      </c>
      <c r="I19" s="100" t="n">
        <v>11</v>
      </c>
      <c r="J19" s="100" t="n">
        <v>20</v>
      </c>
      <c r="K19" s="100">
        <f>WM_EXP_CE</f>
        <v>5</v>
      </c>
      <c r="L19" s="100" t="n">
        <v>8</v>
      </c>
      <c r="M19" s="101">
        <f>SUM(G19:L19)</f>
        <v>100</v>
      </c>
      <c r="N19" s="102">
        <f>IF((G19+H19+I19+J19+L19)=0,0,G19*(100-MAX(0,MIN(100,K19)))/(G19+H19+I19+J19+L19))/100</f>
        <v>0.37</v>
      </c>
      <c r="O19" s="102">
        <f>IF((G19+H19+I19+J19+L19)=0,0,H19*(100-MAX(0,MIN(100,K19)))/(G19+H19+I19+J19+L19))/100</f>
        <v>0.19</v>
      </c>
      <c r="P19" s="102">
        <f>IF((G19+H19+I19+J19+L19)=0,0,I19*(100-MAX(0,MIN(100,K19)))/(G19+H19+I19+J19+L19))/100</f>
        <v>0.11</v>
      </c>
      <c r="Q19" s="102">
        <f>IF((G19+H19+I19+J19+L19)=0,0,J19*(100-MAX(0,MIN(100,K19)))/(G19+H19+I19+J19+L19))/100</f>
        <v>0.2</v>
      </c>
      <c r="R19" s="102">
        <f>MAX(0,MIN(100,K19))/100</f>
        <v>0.05</v>
      </c>
      <c r="S19" s="102">
        <f>IF((G19+H19+I19+J19+L19)=0,0,L19*(100-MAX(0,MIN(100,K19)))/(G19+H19+I19+J19+L19))/100</f>
        <v>0.08</v>
      </c>
      <c r="T19" s="84" t="n"/>
      <c r="U19" s="103" t="n">
        <v>37</v>
      </c>
      <c r="V19" s="103" t="n">
        <v>19</v>
      </c>
      <c r="W19" s="103" t="n">
        <v>11</v>
      </c>
      <c r="X19" s="103" t="n">
        <v>20</v>
      </c>
      <c r="Y19" s="103" t="n">
        <v>5</v>
      </c>
      <c r="Z19" s="103" t="n">
        <v>8</v>
      </c>
    </row>
    <row r="20" ht="30" customHeight="1">
      <c r="A20" s="12" t="inlineStr">
        <is>
          <t>CARBON · Digitizing · Band A · Early career</t>
        </is>
      </c>
      <c r="B20" s="12" t="inlineStr">
        <is>
          <t>CARBON</t>
        </is>
      </c>
      <c r="C20" s="12" t="inlineStr">
        <is>
          <t>Digitizing</t>
        </is>
      </c>
      <c r="D20" s="10" t="inlineStr">
        <is>
          <t>Band A · Early career</t>
        </is>
      </c>
      <c r="E20" s="42" t="n">
        <v>17</v>
      </c>
      <c r="F20" s="12" t="inlineStr">
        <is>
          <t>Service delivery &amp; data operations</t>
        </is>
      </c>
      <c r="G20" s="100" t="n">
        <v>54</v>
      </c>
      <c r="H20" s="100" t="n">
        <v>16</v>
      </c>
      <c r="I20" s="100" t="n">
        <v>14</v>
      </c>
      <c r="J20" s="100" t="n">
        <v>0</v>
      </c>
      <c r="K20" s="100">
        <f>WM_EXP_AB</f>
        <v>10</v>
      </c>
      <c r="L20" s="100" t="n">
        <v>6</v>
      </c>
      <c r="M20" s="101">
        <f>SUM(G20:L20)</f>
        <v>100</v>
      </c>
      <c r="N20" s="102">
        <f>IF((G20+H20+I20+J20+L20)=0,0,G20*(100-MAX(0,MIN(100,K20)))/(G20+H20+I20+J20+L20))/100</f>
        <v>0.54</v>
      </c>
      <c r="O20" s="102">
        <f>IF((G20+H20+I20+J20+L20)=0,0,H20*(100-MAX(0,MIN(100,K20)))/(G20+H20+I20+J20+L20))/100</f>
        <v>0.16</v>
      </c>
      <c r="P20" s="102">
        <f>IF((G20+H20+I20+J20+L20)=0,0,I20*(100-MAX(0,MIN(100,K20)))/(G20+H20+I20+J20+L20))/100</f>
        <v>0.14</v>
      </c>
      <c r="Q20" s="102">
        <f>IF((G20+H20+I20+J20+L20)=0,0,J20*(100-MAX(0,MIN(100,K20)))/(G20+H20+I20+J20+L20))/100</f>
        <v>0</v>
      </c>
      <c r="R20" s="102">
        <f>MAX(0,MIN(100,K20))/100</f>
        <v>0.1</v>
      </c>
      <c r="S20" s="102">
        <f>IF((G20+H20+I20+J20+L20)=0,0,L20*(100-MAX(0,MIN(100,K20)))/(G20+H20+I20+J20+L20))/100</f>
        <v>0.06</v>
      </c>
      <c r="T20" s="84" t="n"/>
      <c r="U20" s="103" t="n">
        <v>54</v>
      </c>
      <c r="V20" s="103" t="n">
        <v>16</v>
      </c>
      <c r="W20" s="103" t="n">
        <v>14</v>
      </c>
      <c r="X20" s="103" t="n">
        <v>0</v>
      </c>
      <c r="Y20" s="103" t="n">
        <v>10</v>
      </c>
      <c r="Z20" s="103" t="n">
        <v>6</v>
      </c>
    </row>
    <row r="21" ht="30" customHeight="1">
      <c r="A21" s="12" t="inlineStr">
        <is>
          <t>CARBON · Digitizing · Band B · Expert / POD Lead</t>
        </is>
      </c>
      <c r="B21" s="12" t="inlineStr">
        <is>
          <t>CARBON</t>
        </is>
      </c>
      <c r="C21" s="12" t="inlineStr">
        <is>
          <t>Digitizing</t>
        </is>
      </c>
      <c r="D21" s="10" t="inlineStr">
        <is>
          <t>Band B · Expert / POD Lead</t>
        </is>
      </c>
      <c r="E21" s="42" t="n">
        <v>4</v>
      </c>
      <c r="F21" s="12" t="inlineStr">
        <is>
          <t>Service delivery &amp; data operations</t>
        </is>
      </c>
      <c r="G21" s="100" t="n">
        <v>46</v>
      </c>
      <c r="H21" s="100" t="n">
        <v>17</v>
      </c>
      <c r="I21" s="100" t="n">
        <v>15</v>
      </c>
      <c r="J21" s="100" t="n">
        <v>5</v>
      </c>
      <c r="K21" s="100">
        <f>WM_EXP_AB</f>
        <v>10</v>
      </c>
      <c r="L21" s="100" t="n">
        <v>7</v>
      </c>
      <c r="M21" s="101">
        <f>SUM(G21:L21)</f>
        <v>100</v>
      </c>
      <c r="N21" s="102">
        <f>IF((G21+H21+I21+J21+L21)=0,0,G21*(100-MAX(0,MIN(100,K21)))/(G21+H21+I21+J21+L21))/100</f>
        <v>0.46</v>
      </c>
      <c r="O21" s="102">
        <f>IF((G21+H21+I21+J21+L21)=0,0,H21*(100-MAX(0,MIN(100,K21)))/(G21+H21+I21+J21+L21))/100</f>
        <v>0.17</v>
      </c>
      <c r="P21" s="102">
        <f>IF((G21+H21+I21+J21+L21)=0,0,I21*(100-MAX(0,MIN(100,K21)))/(G21+H21+I21+J21+L21))/100</f>
        <v>0.15</v>
      </c>
      <c r="Q21" s="102">
        <f>IF((G21+H21+I21+J21+L21)=0,0,J21*(100-MAX(0,MIN(100,K21)))/(G21+H21+I21+J21+L21))/100</f>
        <v>0.05</v>
      </c>
      <c r="R21" s="102">
        <f>MAX(0,MIN(100,K21))/100</f>
        <v>0.1</v>
      </c>
      <c r="S21" s="102">
        <f>IF((G21+H21+I21+J21+L21)=0,0,L21*(100-MAX(0,MIN(100,K21)))/(G21+H21+I21+J21+L21))/100</f>
        <v>0.07</v>
      </c>
      <c r="T21" s="84" t="n"/>
      <c r="U21" s="103" t="n">
        <v>46</v>
      </c>
      <c r="V21" s="103" t="n">
        <v>17</v>
      </c>
      <c r="W21" s="103" t="n">
        <v>15</v>
      </c>
      <c r="X21" s="103" t="n">
        <v>5</v>
      </c>
      <c r="Y21" s="103" t="n">
        <v>10</v>
      </c>
      <c r="Z21" s="103" t="n">
        <v>7</v>
      </c>
    </row>
    <row r="22" ht="30" customHeight="1">
      <c r="A22" s="12" t="inlineStr">
        <is>
          <t>CARBON · Digitizing · Band B · People Manager</t>
        </is>
      </c>
      <c r="B22" s="12" t="inlineStr">
        <is>
          <t>CARBON</t>
        </is>
      </c>
      <c r="C22" s="12" t="inlineStr">
        <is>
          <t>Digitizing</t>
        </is>
      </c>
      <c r="D22" s="10" t="inlineStr">
        <is>
          <t>Band B · People Manager</t>
        </is>
      </c>
      <c r="E22" s="42" t="n">
        <v>2</v>
      </c>
      <c r="F22" s="12" t="inlineStr">
        <is>
          <t>Service delivery &amp; data operations</t>
        </is>
      </c>
      <c r="G22" s="100" t="n">
        <v>32</v>
      </c>
      <c r="H22" s="100" t="n">
        <v>18</v>
      </c>
      <c r="I22" s="100" t="n">
        <v>16</v>
      </c>
      <c r="J22" s="100" t="n">
        <v>15</v>
      </c>
      <c r="K22" s="100">
        <f>WM_EXP_AB</f>
        <v>10</v>
      </c>
      <c r="L22" s="100" t="n">
        <v>9</v>
      </c>
      <c r="M22" s="101">
        <f>SUM(G22:L22)</f>
        <v>100</v>
      </c>
      <c r="N22" s="102">
        <f>IF((G22+H22+I22+J22+L22)=0,0,G22*(100-MAX(0,MIN(100,K22)))/(G22+H22+I22+J22+L22))/100</f>
        <v>0.32</v>
      </c>
      <c r="O22" s="102">
        <f>IF((G22+H22+I22+J22+L22)=0,0,H22*(100-MAX(0,MIN(100,K22)))/(G22+H22+I22+J22+L22))/100</f>
        <v>0.18</v>
      </c>
      <c r="P22" s="102">
        <f>IF((G22+H22+I22+J22+L22)=0,0,I22*(100-MAX(0,MIN(100,K22)))/(G22+H22+I22+J22+L22))/100</f>
        <v>0.16</v>
      </c>
      <c r="Q22" s="102">
        <f>IF((G22+H22+I22+J22+L22)=0,0,J22*(100-MAX(0,MIN(100,K22)))/(G22+H22+I22+J22+L22))/100</f>
        <v>0.15</v>
      </c>
      <c r="R22" s="102">
        <f>MAX(0,MIN(100,K22))/100</f>
        <v>0.1</v>
      </c>
      <c r="S22" s="102">
        <f>IF((G22+H22+I22+J22+L22)=0,0,L22*(100-MAX(0,MIN(100,K22)))/(G22+H22+I22+J22+L22))/100</f>
        <v>0.09</v>
      </c>
      <c r="T22" s="84" t="n"/>
      <c r="U22" s="103" t="n">
        <v>32</v>
      </c>
      <c r="V22" s="103" t="n">
        <v>18</v>
      </c>
      <c r="W22" s="103" t="n">
        <v>16</v>
      </c>
      <c r="X22" s="103" t="n">
        <v>15</v>
      </c>
      <c r="Y22" s="103" t="n">
        <v>10</v>
      </c>
      <c r="Z22" s="103" t="n">
        <v>9</v>
      </c>
    </row>
    <row r="23" ht="30" customHeight="1">
      <c r="A23" s="12" t="inlineStr">
        <is>
          <t>CARBON · Digitizing · Band C · Head / Manager</t>
        </is>
      </c>
      <c r="B23" s="12" t="inlineStr">
        <is>
          <t>CARBON</t>
        </is>
      </c>
      <c r="C23" s="12" t="inlineStr">
        <is>
          <t>Digitizing</t>
        </is>
      </c>
      <c r="D23" s="10" t="inlineStr">
        <is>
          <t>Band C · Head / Manager</t>
        </is>
      </c>
      <c r="E23" s="42" t="n">
        <v>1</v>
      </c>
      <c r="F23" s="12" t="inlineStr">
        <is>
          <t>Service delivery &amp; data operations</t>
        </is>
      </c>
      <c r="G23" s="100" t="n">
        <v>38</v>
      </c>
      <c r="H23" s="100" t="n">
        <v>18</v>
      </c>
      <c r="I23" s="100" t="n">
        <v>16</v>
      </c>
      <c r="J23" s="100" t="n">
        <v>15</v>
      </c>
      <c r="K23" s="100">
        <f>WM_EXP_CE</f>
        <v>5</v>
      </c>
      <c r="L23" s="100" t="n">
        <v>8</v>
      </c>
      <c r="M23" s="101">
        <f>SUM(G23:L23)</f>
        <v>100</v>
      </c>
      <c r="N23" s="102">
        <f>IF((G23+H23+I23+J23+L23)=0,0,G23*(100-MAX(0,MIN(100,K23)))/(G23+H23+I23+J23+L23))/100</f>
        <v>0.38</v>
      </c>
      <c r="O23" s="102">
        <f>IF((G23+H23+I23+J23+L23)=0,0,H23*(100-MAX(0,MIN(100,K23)))/(G23+H23+I23+J23+L23))/100</f>
        <v>0.18</v>
      </c>
      <c r="P23" s="102">
        <f>IF((G23+H23+I23+J23+L23)=0,0,I23*(100-MAX(0,MIN(100,K23)))/(G23+H23+I23+J23+L23))/100</f>
        <v>0.16</v>
      </c>
      <c r="Q23" s="102">
        <f>IF((G23+H23+I23+J23+L23)=0,0,J23*(100-MAX(0,MIN(100,K23)))/(G23+H23+I23+J23+L23))/100</f>
        <v>0.15</v>
      </c>
      <c r="R23" s="102">
        <f>MAX(0,MIN(100,K23))/100</f>
        <v>0.05</v>
      </c>
      <c r="S23" s="102">
        <f>IF((G23+H23+I23+J23+L23)=0,0,L23*(100-MAX(0,MIN(100,K23)))/(G23+H23+I23+J23+L23))/100</f>
        <v>0.08</v>
      </c>
      <c r="T23" s="84" t="n"/>
      <c r="U23" s="103" t="n">
        <v>38</v>
      </c>
      <c r="V23" s="103" t="n">
        <v>18</v>
      </c>
      <c r="W23" s="103" t="n">
        <v>16</v>
      </c>
      <c r="X23" s="103" t="n">
        <v>15</v>
      </c>
      <c r="Y23" s="103" t="n">
        <v>5</v>
      </c>
      <c r="Z23" s="103" t="n">
        <v>8</v>
      </c>
    </row>
    <row r="24" ht="30" customHeight="1">
      <c r="A24" s="12" t="inlineStr">
        <is>
          <t>CARBON · Functional · Band A · Early career</t>
        </is>
      </c>
      <c r="B24" s="12" t="inlineStr">
        <is>
          <t>CARBON</t>
        </is>
      </c>
      <c r="C24" s="12" t="inlineStr">
        <is>
          <t>Functional</t>
        </is>
      </c>
      <c r="D24" s="10" t="inlineStr">
        <is>
          <t>Band A · Early career</t>
        </is>
      </c>
      <c r="E24" s="42" t="n">
        <v>2</v>
      </c>
      <c r="F24" s="12" t="inlineStr">
        <is>
          <t>Regulatory &amp; domain consulting</t>
        </is>
      </c>
      <c r="G24" s="100" t="n">
        <v>59</v>
      </c>
      <c r="H24" s="100" t="n">
        <v>16</v>
      </c>
      <c r="I24" s="100" t="n">
        <v>9</v>
      </c>
      <c r="J24" s="100" t="n">
        <v>0</v>
      </c>
      <c r="K24" s="100">
        <f>WM_EXP_AB</f>
        <v>10</v>
      </c>
      <c r="L24" s="100" t="n">
        <v>6</v>
      </c>
      <c r="M24" s="101">
        <f>SUM(G24:L24)</f>
        <v>100</v>
      </c>
      <c r="N24" s="102">
        <f>IF((G24+H24+I24+J24+L24)=0,0,G24*(100-MAX(0,MIN(100,K24)))/(G24+H24+I24+J24+L24))/100</f>
        <v>0.59</v>
      </c>
      <c r="O24" s="102">
        <f>IF((G24+H24+I24+J24+L24)=0,0,H24*(100-MAX(0,MIN(100,K24)))/(G24+H24+I24+J24+L24))/100</f>
        <v>0.16</v>
      </c>
      <c r="P24" s="102">
        <f>IF((G24+H24+I24+J24+L24)=0,0,I24*(100-MAX(0,MIN(100,K24)))/(G24+H24+I24+J24+L24))/100</f>
        <v>0.09</v>
      </c>
      <c r="Q24" s="102">
        <f>IF((G24+H24+I24+J24+L24)=0,0,J24*(100-MAX(0,MIN(100,K24)))/(G24+H24+I24+J24+L24))/100</f>
        <v>0</v>
      </c>
      <c r="R24" s="102">
        <f>MAX(0,MIN(100,K24))/100</f>
        <v>0.1</v>
      </c>
      <c r="S24" s="102">
        <f>IF((G24+H24+I24+J24+L24)=0,0,L24*(100-MAX(0,MIN(100,K24)))/(G24+H24+I24+J24+L24))/100</f>
        <v>0.06</v>
      </c>
      <c r="T24" s="84" t="n"/>
      <c r="U24" s="103" t="n">
        <v>59</v>
      </c>
      <c r="V24" s="103" t="n">
        <v>16</v>
      </c>
      <c r="W24" s="103" t="n">
        <v>9</v>
      </c>
      <c r="X24" s="103" t="n">
        <v>0</v>
      </c>
      <c r="Y24" s="103" t="n">
        <v>10</v>
      </c>
      <c r="Z24" s="103" t="n">
        <v>6</v>
      </c>
    </row>
    <row r="25" ht="30" customHeight="1">
      <c r="A25" s="12" t="inlineStr">
        <is>
          <t>CARBON · Functional · Band B · Expert / POD Lead</t>
        </is>
      </c>
      <c r="B25" s="12" t="inlineStr">
        <is>
          <t>CARBON</t>
        </is>
      </c>
      <c r="C25" s="12" t="inlineStr">
        <is>
          <t>Functional</t>
        </is>
      </c>
      <c r="D25" s="10" t="inlineStr">
        <is>
          <t>Band B · Expert / POD Lead</t>
        </is>
      </c>
      <c r="E25" s="42" t="n">
        <v>11</v>
      </c>
      <c r="F25" s="12" t="inlineStr">
        <is>
          <t>Regulatory &amp; domain consulting</t>
        </is>
      </c>
      <c r="G25" s="100" t="n">
        <v>51</v>
      </c>
      <c r="H25" s="100" t="n">
        <v>17</v>
      </c>
      <c r="I25" s="100" t="n">
        <v>10</v>
      </c>
      <c r="J25" s="100" t="n">
        <v>5</v>
      </c>
      <c r="K25" s="100">
        <f>WM_EXP_AB</f>
        <v>10</v>
      </c>
      <c r="L25" s="100" t="n">
        <v>7</v>
      </c>
      <c r="M25" s="101">
        <f>SUM(G25:L25)</f>
        <v>100</v>
      </c>
      <c r="N25" s="102">
        <f>IF((G25+H25+I25+J25+L25)=0,0,G25*(100-MAX(0,MIN(100,K25)))/(G25+H25+I25+J25+L25))/100</f>
        <v>0.51</v>
      </c>
      <c r="O25" s="102">
        <f>IF((G25+H25+I25+J25+L25)=0,0,H25*(100-MAX(0,MIN(100,K25)))/(G25+H25+I25+J25+L25))/100</f>
        <v>0.17</v>
      </c>
      <c r="P25" s="102">
        <f>IF((G25+H25+I25+J25+L25)=0,0,I25*(100-MAX(0,MIN(100,K25)))/(G25+H25+I25+J25+L25))/100</f>
        <v>0.1</v>
      </c>
      <c r="Q25" s="102">
        <f>IF((G25+H25+I25+J25+L25)=0,0,J25*(100-MAX(0,MIN(100,K25)))/(G25+H25+I25+J25+L25))/100</f>
        <v>0.05</v>
      </c>
      <c r="R25" s="102">
        <f>MAX(0,MIN(100,K25))/100</f>
        <v>0.1</v>
      </c>
      <c r="S25" s="102">
        <f>IF((G25+H25+I25+J25+L25)=0,0,L25*(100-MAX(0,MIN(100,K25)))/(G25+H25+I25+J25+L25))/100</f>
        <v>0.07</v>
      </c>
      <c r="T25" s="84" t="n"/>
      <c r="U25" s="103" t="n">
        <v>51</v>
      </c>
      <c r="V25" s="103" t="n">
        <v>17</v>
      </c>
      <c r="W25" s="103" t="n">
        <v>10</v>
      </c>
      <c r="X25" s="103" t="n">
        <v>5</v>
      </c>
      <c r="Y25" s="103" t="n">
        <v>10</v>
      </c>
      <c r="Z25" s="103" t="n">
        <v>7</v>
      </c>
    </row>
    <row r="26" ht="30" customHeight="1">
      <c r="A26" s="12" t="inlineStr">
        <is>
          <t>CARBON · Functional · Band B · People Manager</t>
        </is>
      </c>
      <c r="B26" s="12" t="inlineStr">
        <is>
          <t>CARBON</t>
        </is>
      </c>
      <c r="C26" s="12" t="inlineStr">
        <is>
          <t>Functional</t>
        </is>
      </c>
      <c r="D26" s="10" t="inlineStr">
        <is>
          <t>Band B · People Manager</t>
        </is>
      </c>
      <c r="E26" s="42" t="n">
        <v>1</v>
      </c>
      <c r="F26" s="12" t="inlineStr">
        <is>
          <t>Regulatory &amp; domain consulting</t>
        </is>
      </c>
      <c r="G26" s="100" t="n">
        <v>37</v>
      </c>
      <c r="H26" s="100" t="n">
        <v>18</v>
      </c>
      <c r="I26" s="100" t="n">
        <v>11</v>
      </c>
      <c r="J26" s="100" t="n">
        <v>15</v>
      </c>
      <c r="K26" s="100">
        <f>WM_EXP_AB</f>
        <v>10</v>
      </c>
      <c r="L26" s="100" t="n">
        <v>9</v>
      </c>
      <c r="M26" s="101">
        <f>SUM(G26:L26)</f>
        <v>100</v>
      </c>
      <c r="N26" s="102">
        <f>IF((G26+H26+I26+J26+L26)=0,0,G26*(100-MAX(0,MIN(100,K26)))/(G26+H26+I26+J26+L26))/100</f>
        <v>0.37</v>
      </c>
      <c r="O26" s="102">
        <f>IF((G26+H26+I26+J26+L26)=0,0,H26*(100-MAX(0,MIN(100,K26)))/(G26+H26+I26+J26+L26))/100</f>
        <v>0.18</v>
      </c>
      <c r="P26" s="102">
        <f>IF((G26+H26+I26+J26+L26)=0,0,I26*(100-MAX(0,MIN(100,K26)))/(G26+H26+I26+J26+L26))/100</f>
        <v>0.11</v>
      </c>
      <c r="Q26" s="102">
        <f>IF((G26+H26+I26+J26+L26)=0,0,J26*(100-MAX(0,MIN(100,K26)))/(G26+H26+I26+J26+L26))/100</f>
        <v>0.15</v>
      </c>
      <c r="R26" s="102">
        <f>MAX(0,MIN(100,K26))/100</f>
        <v>0.1</v>
      </c>
      <c r="S26" s="102">
        <f>IF((G26+H26+I26+J26+L26)=0,0,L26*(100-MAX(0,MIN(100,K26)))/(G26+H26+I26+J26+L26))/100</f>
        <v>0.09</v>
      </c>
      <c r="T26" s="84" t="n"/>
      <c r="U26" s="103" t="n">
        <v>37</v>
      </c>
      <c r="V26" s="103" t="n">
        <v>18</v>
      </c>
      <c r="W26" s="103" t="n">
        <v>11</v>
      </c>
      <c r="X26" s="103" t="n">
        <v>15</v>
      </c>
      <c r="Y26" s="103" t="n">
        <v>10</v>
      </c>
      <c r="Z26" s="103" t="n">
        <v>9</v>
      </c>
    </row>
    <row r="27" ht="30" customHeight="1">
      <c r="A27" s="12" t="inlineStr">
        <is>
          <t>CARBON · Marketing · Band A · Early career</t>
        </is>
      </c>
      <c r="B27" s="12" t="inlineStr">
        <is>
          <t>CARBON</t>
        </is>
      </c>
      <c r="C27" s="12" t="inlineStr">
        <is>
          <t>Marketing</t>
        </is>
      </c>
      <c r="D27" s="10" t="inlineStr">
        <is>
          <t>Band A · Early career</t>
        </is>
      </c>
      <c r="E27" s="42" t="n">
        <v>20</v>
      </c>
      <c r="F27" s="12" t="inlineStr">
        <is>
          <t>Sales &amp; marketing</t>
        </is>
      </c>
      <c r="G27" s="100" t="n">
        <v>54</v>
      </c>
      <c r="H27" s="100" t="n">
        <v>21</v>
      </c>
      <c r="I27" s="100" t="n">
        <v>4</v>
      </c>
      <c r="J27" s="100" t="n">
        <v>0</v>
      </c>
      <c r="K27" s="100">
        <f>WM_EXP_AB</f>
        <v>10</v>
      </c>
      <c r="L27" s="100" t="n">
        <v>11</v>
      </c>
      <c r="M27" s="101">
        <f>SUM(G27:L27)</f>
        <v>100</v>
      </c>
      <c r="N27" s="102">
        <f>IF((G27+H27+I27+J27+L27)=0,0,G27*(100-MAX(0,MIN(100,K27)))/(G27+H27+I27+J27+L27))/100</f>
        <v>0.54</v>
      </c>
      <c r="O27" s="102">
        <f>IF((G27+H27+I27+J27+L27)=0,0,H27*(100-MAX(0,MIN(100,K27)))/(G27+H27+I27+J27+L27))/100</f>
        <v>0.21</v>
      </c>
      <c r="P27" s="102">
        <f>IF((G27+H27+I27+J27+L27)=0,0,I27*(100-MAX(0,MIN(100,K27)))/(G27+H27+I27+J27+L27))/100</f>
        <v>0.04</v>
      </c>
      <c r="Q27" s="102">
        <f>IF((G27+H27+I27+J27+L27)=0,0,J27*(100-MAX(0,MIN(100,K27)))/(G27+H27+I27+J27+L27))/100</f>
        <v>0</v>
      </c>
      <c r="R27" s="102">
        <f>MAX(0,MIN(100,K27))/100</f>
        <v>0.1</v>
      </c>
      <c r="S27" s="102">
        <f>IF((G27+H27+I27+J27+L27)=0,0,L27*(100-MAX(0,MIN(100,K27)))/(G27+H27+I27+J27+L27))/100</f>
        <v>0.11</v>
      </c>
      <c r="T27" s="84" t="n"/>
      <c r="U27" s="103" t="n">
        <v>54</v>
      </c>
      <c r="V27" s="103" t="n">
        <v>21</v>
      </c>
      <c r="W27" s="103" t="n">
        <v>4</v>
      </c>
      <c r="X27" s="103" t="n">
        <v>0</v>
      </c>
      <c r="Y27" s="103" t="n">
        <v>10</v>
      </c>
      <c r="Z27" s="103" t="n">
        <v>11</v>
      </c>
    </row>
    <row r="28" ht="30" customHeight="1">
      <c r="A28" s="12" t="inlineStr">
        <is>
          <t>CARBON · Marketing · Band B · Expert / POD Lead</t>
        </is>
      </c>
      <c r="B28" s="12" t="inlineStr">
        <is>
          <t>CARBON</t>
        </is>
      </c>
      <c r="C28" s="12" t="inlineStr">
        <is>
          <t>Marketing</t>
        </is>
      </c>
      <c r="D28" s="10" t="inlineStr">
        <is>
          <t>Band B · Expert / POD Lead</t>
        </is>
      </c>
      <c r="E28" s="42" t="n">
        <v>4</v>
      </c>
      <c r="F28" s="12" t="inlineStr">
        <is>
          <t>Sales &amp; marketing</t>
        </is>
      </c>
      <c r="G28" s="100" t="n">
        <v>46</v>
      </c>
      <c r="H28" s="100" t="n">
        <v>22</v>
      </c>
      <c r="I28" s="100" t="n">
        <v>5</v>
      </c>
      <c r="J28" s="100" t="n">
        <v>5</v>
      </c>
      <c r="K28" s="100">
        <f>WM_EXP_AB</f>
        <v>10</v>
      </c>
      <c r="L28" s="100" t="n">
        <v>12</v>
      </c>
      <c r="M28" s="101">
        <f>SUM(G28:L28)</f>
        <v>100</v>
      </c>
      <c r="N28" s="102">
        <f>IF((G28+H28+I28+J28+L28)=0,0,G28*(100-MAX(0,MIN(100,K28)))/(G28+H28+I28+J28+L28))/100</f>
        <v>0.46</v>
      </c>
      <c r="O28" s="102">
        <f>IF((G28+H28+I28+J28+L28)=0,0,H28*(100-MAX(0,MIN(100,K28)))/(G28+H28+I28+J28+L28))/100</f>
        <v>0.22</v>
      </c>
      <c r="P28" s="102">
        <f>IF((G28+H28+I28+J28+L28)=0,0,I28*(100-MAX(0,MIN(100,K28)))/(G28+H28+I28+J28+L28))/100</f>
        <v>0.05</v>
      </c>
      <c r="Q28" s="102">
        <f>IF((G28+H28+I28+J28+L28)=0,0,J28*(100-MAX(0,MIN(100,K28)))/(G28+H28+I28+J28+L28))/100</f>
        <v>0.05</v>
      </c>
      <c r="R28" s="102">
        <f>MAX(0,MIN(100,K28))/100</f>
        <v>0.1</v>
      </c>
      <c r="S28" s="102">
        <f>IF((G28+H28+I28+J28+L28)=0,0,L28*(100-MAX(0,MIN(100,K28)))/(G28+H28+I28+J28+L28))/100</f>
        <v>0.12</v>
      </c>
      <c r="T28" s="84" t="n"/>
      <c r="U28" s="103" t="n">
        <v>46</v>
      </c>
      <c r="V28" s="103" t="n">
        <v>22</v>
      </c>
      <c r="W28" s="103" t="n">
        <v>5</v>
      </c>
      <c r="X28" s="103" t="n">
        <v>5</v>
      </c>
      <c r="Y28" s="103" t="n">
        <v>10</v>
      </c>
      <c r="Z28" s="103" t="n">
        <v>12</v>
      </c>
    </row>
    <row r="29" ht="30" customHeight="1">
      <c r="A29" s="12" t="inlineStr">
        <is>
          <t>CARBON · Marketing · Band B · People Manager</t>
        </is>
      </c>
      <c r="B29" s="12" t="inlineStr">
        <is>
          <t>CARBON</t>
        </is>
      </c>
      <c r="C29" s="12" t="inlineStr">
        <is>
          <t>Marketing</t>
        </is>
      </c>
      <c r="D29" s="10" t="inlineStr">
        <is>
          <t>Band B · People Manager</t>
        </is>
      </c>
      <c r="E29" s="42" t="n">
        <v>4</v>
      </c>
      <c r="F29" s="12" t="inlineStr">
        <is>
          <t>Sales &amp; marketing</t>
        </is>
      </c>
      <c r="G29" s="100" t="n">
        <v>32</v>
      </c>
      <c r="H29" s="100" t="n">
        <v>23</v>
      </c>
      <c r="I29" s="100" t="n">
        <v>6</v>
      </c>
      <c r="J29" s="100" t="n">
        <v>15</v>
      </c>
      <c r="K29" s="100">
        <f>WM_EXP_AB</f>
        <v>10</v>
      </c>
      <c r="L29" s="100" t="n">
        <v>14</v>
      </c>
      <c r="M29" s="101">
        <f>SUM(G29:L29)</f>
        <v>100</v>
      </c>
      <c r="N29" s="102">
        <f>IF((G29+H29+I29+J29+L29)=0,0,G29*(100-MAX(0,MIN(100,K29)))/(G29+H29+I29+J29+L29))/100</f>
        <v>0.32</v>
      </c>
      <c r="O29" s="102">
        <f>IF((G29+H29+I29+J29+L29)=0,0,H29*(100-MAX(0,MIN(100,K29)))/(G29+H29+I29+J29+L29))/100</f>
        <v>0.23</v>
      </c>
      <c r="P29" s="102">
        <f>IF((G29+H29+I29+J29+L29)=0,0,I29*(100-MAX(0,MIN(100,K29)))/(G29+H29+I29+J29+L29))/100</f>
        <v>0.06</v>
      </c>
      <c r="Q29" s="102">
        <f>IF((G29+H29+I29+J29+L29)=0,0,J29*(100-MAX(0,MIN(100,K29)))/(G29+H29+I29+J29+L29))/100</f>
        <v>0.15</v>
      </c>
      <c r="R29" s="102">
        <f>MAX(0,MIN(100,K29))/100</f>
        <v>0.1</v>
      </c>
      <c r="S29" s="102">
        <f>IF((G29+H29+I29+J29+L29)=0,0,L29*(100-MAX(0,MIN(100,K29)))/(G29+H29+I29+J29+L29))/100</f>
        <v>0.14</v>
      </c>
      <c r="T29" s="84" t="n"/>
      <c r="U29" s="103" t="n">
        <v>32</v>
      </c>
      <c r="V29" s="103" t="n">
        <v>23</v>
      </c>
      <c r="W29" s="103" t="n">
        <v>6</v>
      </c>
      <c r="X29" s="103" t="n">
        <v>15</v>
      </c>
      <c r="Y29" s="103" t="n">
        <v>10</v>
      </c>
      <c r="Z29" s="103" t="n">
        <v>14</v>
      </c>
    </row>
    <row r="30" ht="30" customHeight="1">
      <c r="A30" s="12" t="inlineStr">
        <is>
          <t>CARBON · Quality Assurance · Band A · Early career</t>
        </is>
      </c>
      <c r="B30" s="12" t="inlineStr">
        <is>
          <t>CARBON</t>
        </is>
      </c>
      <c r="C30" s="12" t="inlineStr">
        <is>
          <t>Quality Assurance</t>
        </is>
      </c>
      <c r="D30" s="10" t="inlineStr">
        <is>
          <t>Band A · Early career</t>
        </is>
      </c>
      <c r="E30" s="42" t="n">
        <v>7</v>
      </c>
      <c r="F30" s="12" t="inlineStr">
        <is>
          <t>Technology &amp; engineering</t>
        </is>
      </c>
      <c r="G30" s="100" t="n">
        <v>64</v>
      </c>
      <c r="H30" s="100" t="n">
        <v>16</v>
      </c>
      <c r="I30" s="100" t="n">
        <v>4</v>
      </c>
      <c r="J30" s="100" t="n">
        <v>0</v>
      </c>
      <c r="K30" s="100">
        <f>WM_EXP_AB</f>
        <v>10</v>
      </c>
      <c r="L30" s="100" t="n">
        <v>6</v>
      </c>
      <c r="M30" s="101">
        <f>SUM(G30:L30)</f>
        <v>100</v>
      </c>
      <c r="N30" s="102">
        <f>IF((G30+H30+I30+J30+L30)=0,0,G30*(100-MAX(0,MIN(100,K30)))/(G30+H30+I30+J30+L30))/100</f>
        <v>0.64</v>
      </c>
      <c r="O30" s="102">
        <f>IF((G30+H30+I30+J30+L30)=0,0,H30*(100-MAX(0,MIN(100,K30)))/(G30+H30+I30+J30+L30))/100</f>
        <v>0.16</v>
      </c>
      <c r="P30" s="102">
        <f>IF((G30+H30+I30+J30+L30)=0,0,I30*(100-MAX(0,MIN(100,K30)))/(G30+H30+I30+J30+L30))/100</f>
        <v>0.04</v>
      </c>
      <c r="Q30" s="102">
        <f>IF((G30+H30+I30+J30+L30)=0,0,J30*(100-MAX(0,MIN(100,K30)))/(G30+H30+I30+J30+L30))/100</f>
        <v>0</v>
      </c>
      <c r="R30" s="102">
        <f>MAX(0,MIN(100,K30))/100</f>
        <v>0.1</v>
      </c>
      <c r="S30" s="102">
        <f>IF((G30+H30+I30+J30+L30)=0,0,L30*(100-MAX(0,MIN(100,K30)))/(G30+H30+I30+J30+L30))/100</f>
        <v>0.06</v>
      </c>
      <c r="T30" s="84" t="n"/>
      <c r="U30" s="103" t="n">
        <v>64</v>
      </c>
      <c r="V30" s="103" t="n">
        <v>16</v>
      </c>
      <c r="W30" s="103" t="n">
        <v>4</v>
      </c>
      <c r="X30" s="103" t="n">
        <v>0</v>
      </c>
      <c r="Y30" s="103" t="n">
        <v>10</v>
      </c>
      <c r="Z30" s="103" t="n">
        <v>6</v>
      </c>
    </row>
    <row r="31" ht="30" customHeight="1">
      <c r="A31" s="12" t="inlineStr">
        <is>
          <t>CARBON · Quality Assurance · Band B · People Manager</t>
        </is>
      </c>
      <c r="B31" s="12" t="inlineStr">
        <is>
          <t>CARBON</t>
        </is>
      </c>
      <c r="C31" s="12" t="inlineStr">
        <is>
          <t>Quality Assurance</t>
        </is>
      </c>
      <c r="D31" s="10" t="inlineStr">
        <is>
          <t>Band B · People Manager</t>
        </is>
      </c>
      <c r="E31" s="42" t="n">
        <v>1</v>
      </c>
      <c r="F31" s="12" t="inlineStr">
        <is>
          <t>Technology &amp; engineering</t>
        </is>
      </c>
      <c r="G31" s="100" t="n">
        <v>42</v>
      </c>
      <c r="H31" s="100" t="n">
        <v>18</v>
      </c>
      <c r="I31" s="100" t="n">
        <v>6</v>
      </c>
      <c r="J31" s="100" t="n">
        <v>15</v>
      </c>
      <c r="K31" s="100">
        <f>WM_EXP_AB</f>
        <v>10</v>
      </c>
      <c r="L31" s="100" t="n">
        <v>9</v>
      </c>
      <c r="M31" s="101">
        <f>SUM(G31:L31)</f>
        <v>100</v>
      </c>
      <c r="N31" s="102">
        <f>IF((G31+H31+I31+J31+L31)=0,0,G31*(100-MAX(0,MIN(100,K31)))/(G31+H31+I31+J31+L31))/100</f>
        <v>0.42</v>
      </c>
      <c r="O31" s="102">
        <f>IF((G31+H31+I31+J31+L31)=0,0,H31*(100-MAX(0,MIN(100,K31)))/(G31+H31+I31+J31+L31))/100</f>
        <v>0.18</v>
      </c>
      <c r="P31" s="102">
        <f>IF((G31+H31+I31+J31+L31)=0,0,I31*(100-MAX(0,MIN(100,K31)))/(G31+H31+I31+J31+L31))/100</f>
        <v>0.06</v>
      </c>
      <c r="Q31" s="102">
        <f>IF((G31+H31+I31+J31+L31)=0,0,J31*(100-MAX(0,MIN(100,K31)))/(G31+H31+I31+J31+L31))/100</f>
        <v>0.15</v>
      </c>
      <c r="R31" s="102">
        <f>MAX(0,MIN(100,K31))/100</f>
        <v>0.1</v>
      </c>
      <c r="S31" s="102">
        <f>IF((G31+H31+I31+J31+L31)=0,0,L31*(100-MAX(0,MIN(100,K31)))/(G31+H31+I31+J31+L31))/100</f>
        <v>0.09</v>
      </c>
      <c r="T31" s="84" t="n"/>
      <c r="U31" s="103" t="n">
        <v>42</v>
      </c>
      <c r="V31" s="103" t="n">
        <v>18</v>
      </c>
      <c r="W31" s="103" t="n">
        <v>6</v>
      </c>
      <c r="X31" s="103" t="n">
        <v>15</v>
      </c>
      <c r="Y31" s="103" t="n">
        <v>10</v>
      </c>
      <c r="Z31" s="103" t="n">
        <v>9</v>
      </c>
    </row>
    <row r="32" ht="30" customHeight="1">
      <c r="A32" s="12" t="inlineStr">
        <is>
          <t>CARBON · Sales · Band A · Early career</t>
        </is>
      </c>
      <c r="B32" s="12" t="inlineStr">
        <is>
          <t>CARBON</t>
        </is>
      </c>
      <c r="C32" s="12" t="inlineStr">
        <is>
          <t>Sales</t>
        </is>
      </c>
      <c r="D32" s="10" t="inlineStr">
        <is>
          <t>Band A · Early career</t>
        </is>
      </c>
      <c r="E32" s="42" t="n">
        <v>1</v>
      </c>
      <c r="F32" s="12" t="inlineStr">
        <is>
          <t>Sales &amp; marketing</t>
        </is>
      </c>
      <c r="G32" s="100" t="n">
        <v>54</v>
      </c>
      <c r="H32" s="100" t="n">
        <v>21</v>
      </c>
      <c r="I32" s="100" t="n">
        <v>4</v>
      </c>
      <c r="J32" s="100" t="n">
        <v>0</v>
      </c>
      <c r="K32" s="100">
        <f>WM_EXP_AB</f>
        <v>10</v>
      </c>
      <c r="L32" s="100" t="n">
        <v>11</v>
      </c>
      <c r="M32" s="101">
        <f>SUM(G32:L32)</f>
        <v>100</v>
      </c>
      <c r="N32" s="102">
        <f>IF((G32+H32+I32+J32+L32)=0,0,G32*(100-MAX(0,MIN(100,K32)))/(G32+H32+I32+J32+L32))/100</f>
        <v>0.54</v>
      </c>
      <c r="O32" s="102">
        <f>IF((G32+H32+I32+J32+L32)=0,0,H32*(100-MAX(0,MIN(100,K32)))/(G32+H32+I32+J32+L32))/100</f>
        <v>0.21</v>
      </c>
      <c r="P32" s="102">
        <f>IF((G32+H32+I32+J32+L32)=0,0,I32*(100-MAX(0,MIN(100,K32)))/(G32+H32+I32+J32+L32))/100</f>
        <v>0.04</v>
      </c>
      <c r="Q32" s="102">
        <f>IF((G32+H32+I32+J32+L32)=0,0,J32*(100-MAX(0,MIN(100,K32)))/(G32+H32+I32+J32+L32))/100</f>
        <v>0</v>
      </c>
      <c r="R32" s="102">
        <f>MAX(0,MIN(100,K32))/100</f>
        <v>0.1</v>
      </c>
      <c r="S32" s="102">
        <f>IF((G32+H32+I32+J32+L32)=0,0,L32*(100-MAX(0,MIN(100,K32)))/(G32+H32+I32+J32+L32))/100</f>
        <v>0.11</v>
      </c>
      <c r="T32" s="84" t="n"/>
      <c r="U32" s="103" t="n">
        <v>54</v>
      </c>
      <c r="V32" s="103" t="n">
        <v>21</v>
      </c>
      <c r="W32" s="103" t="n">
        <v>4</v>
      </c>
      <c r="X32" s="103" t="n">
        <v>0</v>
      </c>
      <c r="Y32" s="103" t="n">
        <v>10</v>
      </c>
      <c r="Z32" s="103" t="n">
        <v>11</v>
      </c>
    </row>
    <row r="33" ht="30" customHeight="1">
      <c r="A33" s="12" t="inlineStr">
        <is>
          <t>CARBON · Sales · Band B · Expert / POD Lead</t>
        </is>
      </c>
      <c r="B33" s="12" t="inlineStr">
        <is>
          <t>CARBON</t>
        </is>
      </c>
      <c r="C33" s="12" t="inlineStr">
        <is>
          <t>Sales</t>
        </is>
      </c>
      <c r="D33" s="10" t="inlineStr">
        <is>
          <t>Band B · Expert / POD Lead</t>
        </is>
      </c>
      <c r="E33" s="42" t="n">
        <v>3</v>
      </c>
      <c r="F33" s="12" t="inlineStr">
        <is>
          <t>Sales &amp; marketing</t>
        </is>
      </c>
      <c r="G33" s="100" t="n">
        <v>46</v>
      </c>
      <c r="H33" s="100" t="n">
        <v>22</v>
      </c>
      <c r="I33" s="100" t="n">
        <v>5</v>
      </c>
      <c r="J33" s="100" t="n">
        <v>5</v>
      </c>
      <c r="K33" s="100">
        <f>WM_EXP_AB</f>
        <v>10</v>
      </c>
      <c r="L33" s="100" t="n">
        <v>12</v>
      </c>
      <c r="M33" s="101">
        <f>SUM(G33:L33)</f>
        <v>100</v>
      </c>
      <c r="N33" s="102">
        <f>IF((G33+H33+I33+J33+L33)=0,0,G33*(100-MAX(0,MIN(100,K33)))/(G33+H33+I33+J33+L33))/100</f>
        <v>0.46</v>
      </c>
      <c r="O33" s="102">
        <f>IF((G33+H33+I33+J33+L33)=0,0,H33*(100-MAX(0,MIN(100,K33)))/(G33+H33+I33+J33+L33))/100</f>
        <v>0.22</v>
      </c>
      <c r="P33" s="102">
        <f>IF((G33+H33+I33+J33+L33)=0,0,I33*(100-MAX(0,MIN(100,K33)))/(G33+H33+I33+J33+L33))/100</f>
        <v>0.05</v>
      </c>
      <c r="Q33" s="102">
        <f>IF((G33+H33+I33+J33+L33)=0,0,J33*(100-MAX(0,MIN(100,K33)))/(G33+H33+I33+J33+L33))/100</f>
        <v>0.05</v>
      </c>
      <c r="R33" s="102">
        <f>MAX(0,MIN(100,K33))/100</f>
        <v>0.1</v>
      </c>
      <c r="S33" s="102">
        <f>IF((G33+H33+I33+J33+L33)=0,0,L33*(100-MAX(0,MIN(100,K33)))/(G33+H33+I33+J33+L33))/100</f>
        <v>0.12</v>
      </c>
      <c r="T33" s="84" t="n"/>
      <c r="U33" s="103" t="n">
        <v>46</v>
      </c>
      <c r="V33" s="103" t="n">
        <v>22</v>
      </c>
      <c r="W33" s="103" t="n">
        <v>5</v>
      </c>
      <c r="X33" s="103" t="n">
        <v>5</v>
      </c>
      <c r="Y33" s="103" t="n">
        <v>10</v>
      </c>
      <c r="Z33" s="103" t="n">
        <v>12</v>
      </c>
    </row>
    <row r="34" ht="30" customHeight="1">
      <c r="A34" s="12" t="inlineStr">
        <is>
          <t>CARBON · Sales · Band C · Principal expert</t>
        </is>
      </c>
      <c r="B34" s="12" t="inlineStr">
        <is>
          <t>CARBON</t>
        </is>
      </c>
      <c r="C34" s="12" t="inlineStr">
        <is>
          <t>Sales</t>
        </is>
      </c>
      <c r="D34" s="10" t="inlineStr">
        <is>
          <t>Band C · Principal expert</t>
        </is>
      </c>
      <c r="E34" s="42" t="n">
        <v>1</v>
      </c>
      <c r="F34" s="12" t="inlineStr">
        <is>
          <t>Sales &amp; marketing</t>
        </is>
      </c>
      <c r="G34" s="100" t="n">
        <v>49</v>
      </c>
      <c r="H34" s="100" t="n">
        <v>23</v>
      </c>
      <c r="I34" s="100" t="n">
        <v>5</v>
      </c>
      <c r="J34" s="100" t="n">
        <v>5</v>
      </c>
      <c r="K34" s="100">
        <f>WM_EXP_CE</f>
        <v>5</v>
      </c>
      <c r="L34" s="100" t="n">
        <v>13</v>
      </c>
      <c r="M34" s="101">
        <f>SUM(G34:L34)</f>
        <v>100</v>
      </c>
      <c r="N34" s="102">
        <f>IF((G34+H34+I34+J34+L34)=0,0,G34*(100-MAX(0,MIN(100,K34)))/(G34+H34+I34+J34+L34))/100</f>
        <v>0.49</v>
      </c>
      <c r="O34" s="102">
        <f>IF((G34+H34+I34+J34+L34)=0,0,H34*(100-MAX(0,MIN(100,K34)))/(G34+H34+I34+J34+L34))/100</f>
        <v>0.23</v>
      </c>
      <c r="P34" s="102">
        <f>IF((G34+H34+I34+J34+L34)=0,0,I34*(100-MAX(0,MIN(100,K34)))/(G34+H34+I34+J34+L34))/100</f>
        <v>0.05</v>
      </c>
      <c r="Q34" s="102">
        <f>IF((G34+H34+I34+J34+L34)=0,0,J34*(100-MAX(0,MIN(100,K34)))/(G34+H34+I34+J34+L34))/100</f>
        <v>0.05</v>
      </c>
      <c r="R34" s="102">
        <f>MAX(0,MIN(100,K34))/100</f>
        <v>0.05</v>
      </c>
      <c r="S34" s="102">
        <f>IF((G34+H34+I34+J34+L34)=0,0,L34*(100-MAX(0,MIN(100,K34)))/(G34+H34+I34+J34+L34))/100</f>
        <v>0.13</v>
      </c>
      <c r="T34" s="84" t="n"/>
      <c r="U34" s="103" t="n">
        <v>49</v>
      </c>
      <c r="V34" s="103" t="n">
        <v>23</v>
      </c>
      <c r="W34" s="103" t="n">
        <v>5</v>
      </c>
      <c r="X34" s="103" t="n">
        <v>5</v>
      </c>
      <c r="Y34" s="103" t="n">
        <v>5</v>
      </c>
      <c r="Z34" s="103" t="n">
        <v>13</v>
      </c>
    </row>
    <row r="35" ht="30" customHeight="1">
      <c r="A35" s="12" t="inlineStr">
        <is>
          <t>CARBON · Services · Band A · Early career</t>
        </is>
      </c>
      <c r="B35" s="12" t="inlineStr">
        <is>
          <t>CARBON</t>
        </is>
      </c>
      <c r="C35" s="12" t="inlineStr">
        <is>
          <t>Services</t>
        </is>
      </c>
      <c r="D35" s="10" t="inlineStr">
        <is>
          <t>Band A · Early career</t>
        </is>
      </c>
      <c r="E35" s="42" t="n">
        <v>38</v>
      </c>
      <c r="F35" s="12" t="inlineStr">
        <is>
          <t>Service delivery &amp; data operations</t>
        </is>
      </c>
      <c r="G35" s="100" t="n">
        <v>54</v>
      </c>
      <c r="H35" s="100" t="n">
        <v>16</v>
      </c>
      <c r="I35" s="100" t="n">
        <v>14</v>
      </c>
      <c r="J35" s="100" t="n">
        <v>0</v>
      </c>
      <c r="K35" s="100">
        <f>WM_EXP_AB</f>
        <v>10</v>
      </c>
      <c r="L35" s="100" t="n">
        <v>6</v>
      </c>
      <c r="M35" s="101">
        <f>SUM(G35:L35)</f>
        <v>100</v>
      </c>
      <c r="N35" s="102">
        <f>IF((G35+H35+I35+J35+L35)=0,0,G35*(100-MAX(0,MIN(100,K35)))/(G35+H35+I35+J35+L35))/100</f>
        <v>0.54</v>
      </c>
      <c r="O35" s="102">
        <f>IF((G35+H35+I35+J35+L35)=0,0,H35*(100-MAX(0,MIN(100,K35)))/(G35+H35+I35+J35+L35))/100</f>
        <v>0.16</v>
      </c>
      <c r="P35" s="102">
        <f>IF((G35+H35+I35+J35+L35)=0,0,I35*(100-MAX(0,MIN(100,K35)))/(G35+H35+I35+J35+L35))/100</f>
        <v>0.14</v>
      </c>
      <c r="Q35" s="102">
        <f>IF((G35+H35+I35+J35+L35)=0,0,J35*(100-MAX(0,MIN(100,K35)))/(G35+H35+I35+J35+L35))/100</f>
        <v>0</v>
      </c>
      <c r="R35" s="102">
        <f>MAX(0,MIN(100,K35))/100</f>
        <v>0.1</v>
      </c>
      <c r="S35" s="102">
        <f>IF((G35+H35+I35+J35+L35)=0,0,L35*(100-MAX(0,MIN(100,K35)))/(G35+H35+I35+J35+L35))/100</f>
        <v>0.06</v>
      </c>
      <c r="T35" s="84" t="n"/>
      <c r="U35" s="103" t="n">
        <v>54</v>
      </c>
      <c r="V35" s="103" t="n">
        <v>16</v>
      </c>
      <c r="W35" s="103" t="n">
        <v>14</v>
      </c>
      <c r="X35" s="103" t="n">
        <v>0</v>
      </c>
      <c r="Y35" s="103" t="n">
        <v>10</v>
      </c>
      <c r="Z35" s="103" t="n">
        <v>6</v>
      </c>
    </row>
    <row r="36" ht="30" customHeight="1">
      <c r="A36" s="12" t="inlineStr">
        <is>
          <t>CARBON · Services · Band B · Expert / POD Lead</t>
        </is>
      </c>
      <c r="B36" s="12" t="inlineStr">
        <is>
          <t>CARBON</t>
        </is>
      </c>
      <c r="C36" s="12" t="inlineStr">
        <is>
          <t>Services</t>
        </is>
      </c>
      <c r="D36" s="10" t="inlineStr">
        <is>
          <t>Band B · Expert / POD Lead</t>
        </is>
      </c>
      <c r="E36" s="42" t="n">
        <v>12</v>
      </c>
      <c r="F36" s="12" t="inlineStr">
        <is>
          <t>Service delivery &amp; data operations</t>
        </is>
      </c>
      <c r="G36" s="100" t="n">
        <v>46</v>
      </c>
      <c r="H36" s="100" t="n">
        <v>17</v>
      </c>
      <c r="I36" s="100" t="n">
        <v>15</v>
      </c>
      <c r="J36" s="100" t="n">
        <v>5</v>
      </c>
      <c r="K36" s="100">
        <f>WM_EXP_AB</f>
        <v>10</v>
      </c>
      <c r="L36" s="100" t="n">
        <v>7</v>
      </c>
      <c r="M36" s="101">
        <f>SUM(G36:L36)</f>
        <v>100</v>
      </c>
      <c r="N36" s="102">
        <f>IF((G36+H36+I36+J36+L36)=0,0,G36*(100-MAX(0,MIN(100,K36)))/(G36+H36+I36+J36+L36))/100</f>
        <v>0.46</v>
      </c>
      <c r="O36" s="102">
        <f>IF((G36+H36+I36+J36+L36)=0,0,H36*(100-MAX(0,MIN(100,K36)))/(G36+H36+I36+J36+L36))/100</f>
        <v>0.17</v>
      </c>
      <c r="P36" s="102">
        <f>IF((G36+H36+I36+J36+L36)=0,0,I36*(100-MAX(0,MIN(100,K36)))/(G36+H36+I36+J36+L36))/100</f>
        <v>0.15</v>
      </c>
      <c r="Q36" s="102">
        <f>IF((G36+H36+I36+J36+L36)=0,0,J36*(100-MAX(0,MIN(100,K36)))/(G36+H36+I36+J36+L36))/100</f>
        <v>0.05</v>
      </c>
      <c r="R36" s="102">
        <f>MAX(0,MIN(100,K36))/100</f>
        <v>0.1</v>
      </c>
      <c r="S36" s="102">
        <f>IF((G36+H36+I36+J36+L36)=0,0,L36*(100-MAX(0,MIN(100,K36)))/(G36+H36+I36+J36+L36))/100</f>
        <v>0.07</v>
      </c>
      <c r="T36" s="84" t="n"/>
      <c r="U36" s="103" t="n">
        <v>46</v>
      </c>
      <c r="V36" s="103" t="n">
        <v>17</v>
      </c>
      <c r="W36" s="103" t="n">
        <v>15</v>
      </c>
      <c r="X36" s="103" t="n">
        <v>5</v>
      </c>
      <c r="Y36" s="103" t="n">
        <v>10</v>
      </c>
      <c r="Z36" s="103" t="n">
        <v>7</v>
      </c>
    </row>
    <row r="37" ht="30" customHeight="1">
      <c r="A37" s="12" t="inlineStr">
        <is>
          <t>CARBON · Services · Band B · People Manager</t>
        </is>
      </c>
      <c r="B37" s="12" t="inlineStr">
        <is>
          <t>CARBON</t>
        </is>
      </c>
      <c r="C37" s="12" t="inlineStr">
        <is>
          <t>Services</t>
        </is>
      </c>
      <c r="D37" s="10" t="inlineStr">
        <is>
          <t>Band B · People Manager</t>
        </is>
      </c>
      <c r="E37" s="42" t="n">
        <v>8</v>
      </c>
      <c r="F37" s="12" t="inlineStr">
        <is>
          <t>Service delivery &amp; data operations</t>
        </is>
      </c>
      <c r="G37" s="100" t="n">
        <v>32</v>
      </c>
      <c r="H37" s="100" t="n">
        <v>18</v>
      </c>
      <c r="I37" s="100" t="n">
        <v>16</v>
      </c>
      <c r="J37" s="100" t="n">
        <v>15</v>
      </c>
      <c r="K37" s="100">
        <f>WM_EXP_AB</f>
        <v>10</v>
      </c>
      <c r="L37" s="100" t="n">
        <v>9</v>
      </c>
      <c r="M37" s="101">
        <f>SUM(G37:L37)</f>
        <v>100</v>
      </c>
      <c r="N37" s="102">
        <f>IF((G37+H37+I37+J37+L37)=0,0,G37*(100-MAX(0,MIN(100,K37)))/(G37+H37+I37+J37+L37))/100</f>
        <v>0.32</v>
      </c>
      <c r="O37" s="102">
        <f>IF((G37+H37+I37+J37+L37)=0,0,H37*(100-MAX(0,MIN(100,K37)))/(G37+H37+I37+J37+L37))/100</f>
        <v>0.18</v>
      </c>
      <c r="P37" s="102">
        <f>IF((G37+H37+I37+J37+L37)=0,0,I37*(100-MAX(0,MIN(100,K37)))/(G37+H37+I37+J37+L37))/100</f>
        <v>0.16</v>
      </c>
      <c r="Q37" s="102">
        <f>IF((G37+H37+I37+J37+L37)=0,0,J37*(100-MAX(0,MIN(100,K37)))/(G37+H37+I37+J37+L37))/100</f>
        <v>0.15</v>
      </c>
      <c r="R37" s="102">
        <f>MAX(0,MIN(100,K37))/100</f>
        <v>0.1</v>
      </c>
      <c r="S37" s="102">
        <f>IF((G37+H37+I37+J37+L37)=0,0,L37*(100-MAX(0,MIN(100,K37)))/(G37+H37+I37+J37+L37))/100</f>
        <v>0.09</v>
      </c>
      <c r="T37" s="84" t="n"/>
      <c r="U37" s="103" t="n">
        <v>32</v>
      </c>
      <c r="V37" s="103" t="n">
        <v>18</v>
      </c>
      <c r="W37" s="103" t="n">
        <v>16</v>
      </c>
      <c r="X37" s="103" t="n">
        <v>15</v>
      </c>
      <c r="Y37" s="103" t="n">
        <v>10</v>
      </c>
      <c r="Z37" s="103" t="n">
        <v>9</v>
      </c>
    </row>
    <row r="38" ht="30" customHeight="1">
      <c r="A38" s="12" t="inlineStr">
        <is>
          <t>CARBON · Services · Band C · Head / Manager</t>
        </is>
      </c>
      <c r="B38" s="12" t="inlineStr">
        <is>
          <t>CARBON</t>
        </is>
      </c>
      <c r="C38" s="12" t="inlineStr">
        <is>
          <t>Services</t>
        </is>
      </c>
      <c r="D38" s="10" t="inlineStr">
        <is>
          <t>Band C · Head / Manager</t>
        </is>
      </c>
      <c r="E38" s="42" t="n">
        <v>2</v>
      </c>
      <c r="F38" s="12" t="inlineStr">
        <is>
          <t>Service delivery &amp; data operations</t>
        </is>
      </c>
      <c r="G38" s="100" t="n">
        <v>38</v>
      </c>
      <c r="H38" s="100" t="n">
        <v>18</v>
      </c>
      <c r="I38" s="100" t="n">
        <v>16</v>
      </c>
      <c r="J38" s="100" t="n">
        <v>15</v>
      </c>
      <c r="K38" s="100">
        <f>WM_EXP_CE</f>
        <v>5</v>
      </c>
      <c r="L38" s="100" t="n">
        <v>8</v>
      </c>
      <c r="M38" s="101">
        <f>SUM(G38:L38)</f>
        <v>100</v>
      </c>
      <c r="N38" s="102">
        <f>IF((G38+H38+I38+J38+L38)=0,0,G38*(100-MAX(0,MIN(100,K38)))/(G38+H38+I38+J38+L38))/100</f>
        <v>0.38</v>
      </c>
      <c r="O38" s="102">
        <f>IF((G38+H38+I38+J38+L38)=0,0,H38*(100-MAX(0,MIN(100,K38)))/(G38+H38+I38+J38+L38))/100</f>
        <v>0.18</v>
      </c>
      <c r="P38" s="102">
        <f>IF((G38+H38+I38+J38+L38)=0,0,I38*(100-MAX(0,MIN(100,K38)))/(G38+H38+I38+J38+L38))/100</f>
        <v>0.16</v>
      </c>
      <c r="Q38" s="102">
        <f>IF((G38+H38+I38+J38+L38)=0,0,J38*(100-MAX(0,MIN(100,K38)))/(G38+H38+I38+J38+L38))/100</f>
        <v>0.15</v>
      </c>
      <c r="R38" s="102">
        <f>MAX(0,MIN(100,K38))/100</f>
        <v>0.05</v>
      </c>
      <c r="S38" s="102">
        <f>IF((G38+H38+I38+J38+L38)=0,0,L38*(100-MAX(0,MIN(100,K38)))/(G38+H38+I38+J38+L38))/100</f>
        <v>0.08</v>
      </c>
      <c r="T38" s="84" t="n"/>
      <c r="U38" s="103" t="n">
        <v>38</v>
      </c>
      <c r="V38" s="103" t="n">
        <v>18</v>
      </c>
      <c r="W38" s="103" t="n">
        <v>16</v>
      </c>
      <c r="X38" s="103" t="n">
        <v>15</v>
      </c>
      <c r="Y38" s="103" t="n">
        <v>5</v>
      </c>
      <c r="Z38" s="103" t="n">
        <v>8</v>
      </c>
    </row>
    <row r="39" ht="30" customHeight="1">
      <c r="A39" s="12" t="inlineStr">
        <is>
          <t>CARBON · Support · Band A · Early career</t>
        </is>
      </c>
      <c r="B39" s="12" t="inlineStr">
        <is>
          <t>CARBON</t>
        </is>
      </c>
      <c r="C39" s="12" t="inlineStr">
        <is>
          <t>Support</t>
        </is>
      </c>
      <c r="D39" s="10" t="inlineStr">
        <is>
          <t>Band A · Early career</t>
        </is>
      </c>
      <c r="E39" s="42" t="n">
        <v>12</v>
      </c>
      <c r="F39" s="12" t="inlineStr">
        <is>
          <t>Customer support &amp; success</t>
        </is>
      </c>
      <c r="G39" s="100" t="n">
        <v>54</v>
      </c>
      <c r="H39" s="100" t="n">
        <v>16</v>
      </c>
      <c r="I39" s="100" t="n">
        <v>9</v>
      </c>
      <c r="J39" s="100" t="n">
        <v>0</v>
      </c>
      <c r="K39" s="100">
        <f>WM_EXP_AB</f>
        <v>10</v>
      </c>
      <c r="L39" s="100" t="n">
        <v>11</v>
      </c>
      <c r="M39" s="101">
        <f>SUM(G39:L39)</f>
        <v>100</v>
      </c>
      <c r="N39" s="102">
        <f>IF((G39+H39+I39+J39+L39)=0,0,G39*(100-MAX(0,MIN(100,K39)))/(G39+H39+I39+J39+L39))/100</f>
        <v>0.54</v>
      </c>
      <c r="O39" s="102">
        <f>IF((G39+H39+I39+J39+L39)=0,0,H39*(100-MAX(0,MIN(100,K39)))/(G39+H39+I39+J39+L39))/100</f>
        <v>0.16</v>
      </c>
      <c r="P39" s="102">
        <f>IF((G39+H39+I39+J39+L39)=0,0,I39*(100-MAX(0,MIN(100,K39)))/(G39+H39+I39+J39+L39))/100</f>
        <v>0.09</v>
      </c>
      <c r="Q39" s="102">
        <f>IF((G39+H39+I39+J39+L39)=0,0,J39*(100-MAX(0,MIN(100,K39)))/(G39+H39+I39+J39+L39))/100</f>
        <v>0</v>
      </c>
      <c r="R39" s="102">
        <f>MAX(0,MIN(100,K39))/100</f>
        <v>0.1</v>
      </c>
      <c r="S39" s="102">
        <f>IF((G39+H39+I39+J39+L39)=0,0,L39*(100-MAX(0,MIN(100,K39)))/(G39+H39+I39+J39+L39))/100</f>
        <v>0.11</v>
      </c>
      <c r="T39" s="84" t="n"/>
      <c r="U39" s="103" t="n">
        <v>54</v>
      </c>
      <c r="V39" s="103" t="n">
        <v>16</v>
      </c>
      <c r="W39" s="103" t="n">
        <v>9</v>
      </c>
      <c r="X39" s="103" t="n">
        <v>0</v>
      </c>
      <c r="Y39" s="103" t="n">
        <v>10</v>
      </c>
      <c r="Z39" s="103" t="n">
        <v>11</v>
      </c>
    </row>
    <row r="40" ht="30" customHeight="1">
      <c r="A40" s="12" t="inlineStr">
        <is>
          <t>CARBON · Support · Band B · Expert / POD Lead</t>
        </is>
      </c>
      <c r="B40" s="12" t="inlineStr">
        <is>
          <t>CARBON</t>
        </is>
      </c>
      <c r="C40" s="12" t="inlineStr">
        <is>
          <t>Support</t>
        </is>
      </c>
      <c r="D40" s="10" t="inlineStr">
        <is>
          <t>Band B · Expert / POD Lead</t>
        </is>
      </c>
      <c r="E40" s="42" t="n">
        <v>7</v>
      </c>
      <c r="F40" s="12" t="inlineStr">
        <is>
          <t>Customer support &amp; success</t>
        </is>
      </c>
      <c r="G40" s="100" t="n">
        <v>46</v>
      </c>
      <c r="H40" s="100" t="n">
        <v>17</v>
      </c>
      <c r="I40" s="100" t="n">
        <v>10</v>
      </c>
      <c r="J40" s="100" t="n">
        <v>5</v>
      </c>
      <c r="K40" s="100">
        <f>WM_EXP_AB</f>
        <v>10</v>
      </c>
      <c r="L40" s="100" t="n">
        <v>12</v>
      </c>
      <c r="M40" s="101">
        <f>SUM(G40:L40)</f>
        <v>100</v>
      </c>
      <c r="N40" s="102">
        <f>IF((G40+H40+I40+J40+L40)=0,0,G40*(100-MAX(0,MIN(100,K40)))/(G40+H40+I40+J40+L40))/100</f>
        <v>0.46</v>
      </c>
      <c r="O40" s="102">
        <f>IF((G40+H40+I40+J40+L40)=0,0,H40*(100-MAX(0,MIN(100,K40)))/(G40+H40+I40+J40+L40))/100</f>
        <v>0.17</v>
      </c>
      <c r="P40" s="102">
        <f>IF((G40+H40+I40+J40+L40)=0,0,I40*(100-MAX(0,MIN(100,K40)))/(G40+H40+I40+J40+L40))/100</f>
        <v>0.1</v>
      </c>
      <c r="Q40" s="102">
        <f>IF((G40+H40+I40+J40+L40)=0,0,J40*(100-MAX(0,MIN(100,K40)))/(G40+H40+I40+J40+L40))/100</f>
        <v>0.05</v>
      </c>
      <c r="R40" s="102">
        <f>MAX(0,MIN(100,K40))/100</f>
        <v>0.1</v>
      </c>
      <c r="S40" s="102">
        <f>IF((G40+H40+I40+J40+L40)=0,0,L40*(100-MAX(0,MIN(100,K40)))/(G40+H40+I40+J40+L40))/100</f>
        <v>0.12</v>
      </c>
      <c r="T40" s="84" t="n"/>
      <c r="U40" s="103" t="n">
        <v>46</v>
      </c>
      <c r="V40" s="103" t="n">
        <v>17</v>
      </c>
      <c r="W40" s="103" t="n">
        <v>10</v>
      </c>
      <c r="X40" s="103" t="n">
        <v>5</v>
      </c>
      <c r="Y40" s="103" t="n">
        <v>10</v>
      </c>
      <c r="Z40" s="103" t="n">
        <v>12</v>
      </c>
    </row>
    <row r="41" ht="30" customHeight="1">
      <c r="A41" s="12" t="inlineStr">
        <is>
          <t>CARBON · Support · Band B · People Manager</t>
        </is>
      </c>
      <c r="B41" s="12" t="inlineStr">
        <is>
          <t>CARBON</t>
        </is>
      </c>
      <c r="C41" s="12" t="inlineStr">
        <is>
          <t>Support</t>
        </is>
      </c>
      <c r="D41" s="10" t="inlineStr">
        <is>
          <t>Band B · People Manager</t>
        </is>
      </c>
      <c r="E41" s="42" t="n">
        <v>1</v>
      </c>
      <c r="F41" s="12" t="inlineStr">
        <is>
          <t>Customer support &amp; success</t>
        </is>
      </c>
      <c r="G41" s="100" t="n">
        <v>32</v>
      </c>
      <c r="H41" s="100" t="n">
        <v>18</v>
      </c>
      <c r="I41" s="100" t="n">
        <v>11</v>
      </c>
      <c r="J41" s="100" t="n">
        <v>15</v>
      </c>
      <c r="K41" s="100">
        <f>WM_EXP_AB</f>
        <v>10</v>
      </c>
      <c r="L41" s="100" t="n">
        <v>14</v>
      </c>
      <c r="M41" s="101">
        <f>SUM(G41:L41)</f>
        <v>100</v>
      </c>
      <c r="N41" s="102">
        <f>IF((G41+H41+I41+J41+L41)=0,0,G41*(100-MAX(0,MIN(100,K41)))/(G41+H41+I41+J41+L41))/100</f>
        <v>0.32</v>
      </c>
      <c r="O41" s="102">
        <f>IF((G41+H41+I41+J41+L41)=0,0,H41*(100-MAX(0,MIN(100,K41)))/(G41+H41+I41+J41+L41))/100</f>
        <v>0.18</v>
      </c>
      <c r="P41" s="102">
        <f>IF((G41+H41+I41+J41+L41)=0,0,I41*(100-MAX(0,MIN(100,K41)))/(G41+H41+I41+J41+L41))/100</f>
        <v>0.11</v>
      </c>
      <c r="Q41" s="102">
        <f>IF((G41+H41+I41+J41+L41)=0,0,J41*(100-MAX(0,MIN(100,K41)))/(G41+H41+I41+J41+L41))/100</f>
        <v>0.15</v>
      </c>
      <c r="R41" s="102">
        <f>MAX(0,MIN(100,K41))/100</f>
        <v>0.1</v>
      </c>
      <c r="S41" s="102">
        <f>IF((G41+H41+I41+J41+L41)=0,0,L41*(100-MAX(0,MIN(100,K41)))/(G41+H41+I41+J41+L41))/100</f>
        <v>0.14</v>
      </c>
      <c r="T41" s="84" t="n"/>
      <c r="U41" s="103" t="n">
        <v>32</v>
      </c>
      <c r="V41" s="103" t="n">
        <v>18</v>
      </c>
      <c r="W41" s="103" t="n">
        <v>11</v>
      </c>
      <c r="X41" s="103" t="n">
        <v>15</v>
      </c>
      <c r="Y41" s="103" t="n">
        <v>10</v>
      </c>
      <c r="Z41" s="103" t="n">
        <v>14</v>
      </c>
    </row>
    <row r="42" ht="30" customHeight="1">
      <c r="A42" s="12" t="inlineStr">
        <is>
          <t>CARBON · Support · Band C · Head / Manager</t>
        </is>
      </c>
      <c r="B42" s="12" t="inlineStr">
        <is>
          <t>CARBON</t>
        </is>
      </c>
      <c r="C42" s="12" t="inlineStr">
        <is>
          <t>Support</t>
        </is>
      </c>
      <c r="D42" s="10" t="inlineStr">
        <is>
          <t>Band C · Head / Manager</t>
        </is>
      </c>
      <c r="E42" s="42" t="n">
        <v>1</v>
      </c>
      <c r="F42" s="12" t="inlineStr">
        <is>
          <t>Customer support &amp; success</t>
        </is>
      </c>
      <c r="G42" s="100" t="n">
        <v>38</v>
      </c>
      <c r="H42" s="100" t="n">
        <v>18</v>
      </c>
      <c r="I42" s="100" t="n">
        <v>11</v>
      </c>
      <c r="J42" s="100" t="n">
        <v>15</v>
      </c>
      <c r="K42" s="100">
        <f>WM_EXP_CE</f>
        <v>5</v>
      </c>
      <c r="L42" s="100" t="n">
        <v>13</v>
      </c>
      <c r="M42" s="101">
        <f>SUM(G42:L42)</f>
        <v>100</v>
      </c>
      <c r="N42" s="102">
        <f>IF((G42+H42+I42+J42+L42)=0,0,G42*(100-MAX(0,MIN(100,K42)))/(G42+H42+I42+J42+L42))/100</f>
        <v>0.38</v>
      </c>
      <c r="O42" s="102">
        <f>IF((G42+H42+I42+J42+L42)=0,0,H42*(100-MAX(0,MIN(100,K42)))/(G42+H42+I42+J42+L42))/100</f>
        <v>0.18</v>
      </c>
      <c r="P42" s="102">
        <f>IF((G42+H42+I42+J42+L42)=0,0,I42*(100-MAX(0,MIN(100,K42)))/(G42+H42+I42+J42+L42))/100</f>
        <v>0.11</v>
      </c>
      <c r="Q42" s="102">
        <f>IF((G42+H42+I42+J42+L42)=0,0,J42*(100-MAX(0,MIN(100,K42)))/(G42+H42+I42+J42+L42))/100</f>
        <v>0.15</v>
      </c>
      <c r="R42" s="102">
        <f>MAX(0,MIN(100,K42))/100</f>
        <v>0.05</v>
      </c>
      <c r="S42" s="102">
        <f>IF((G42+H42+I42+J42+L42)=0,0,L42*(100-MAX(0,MIN(100,K42)))/(G42+H42+I42+J42+L42))/100</f>
        <v>0.13</v>
      </c>
      <c r="T42" s="84" t="n"/>
      <c r="U42" s="103" t="n">
        <v>38</v>
      </c>
      <c r="V42" s="103" t="n">
        <v>18</v>
      </c>
      <c r="W42" s="103" t="n">
        <v>11</v>
      </c>
      <c r="X42" s="103" t="n">
        <v>15</v>
      </c>
      <c r="Y42" s="103" t="n">
        <v>5</v>
      </c>
      <c r="Z42" s="103" t="n">
        <v>13</v>
      </c>
    </row>
    <row r="43" ht="30" customHeight="1">
      <c r="A43" s="12" t="inlineStr">
        <is>
          <t>CARBON · Technology · Band A · Early career</t>
        </is>
      </c>
      <c r="B43" s="12" t="inlineStr">
        <is>
          <t>CARBON</t>
        </is>
      </c>
      <c r="C43" s="12" t="inlineStr">
        <is>
          <t>Technology</t>
        </is>
      </c>
      <c r="D43" s="10" t="inlineStr">
        <is>
          <t>Band A · Early career</t>
        </is>
      </c>
      <c r="E43" s="42" t="n">
        <v>34</v>
      </c>
      <c r="F43" s="12" t="inlineStr">
        <is>
          <t>Technology &amp; engineering</t>
        </is>
      </c>
      <c r="G43" s="100" t="n">
        <v>64</v>
      </c>
      <c r="H43" s="100" t="n">
        <v>16</v>
      </c>
      <c r="I43" s="100" t="n">
        <v>4</v>
      </c>
      <c r="J43" s="100" t="n">
        <v>0</v>
      </c>
      <c r="K43" s="100">
        <f>WM_EXP_AB</f>
        <v>10</v>
      </c>
      <c r="L43" s="100" t="n">
        <v>6</v>
      </c>
      <c r="M43" s="101">
        <f>SUM(G43:L43)</f>
        <v>100</v>
      </c>
      <c r="N43" s="102">
        <f>IF((G43+H43+I43+J43+L43)=0,0,G43*(100-MAX(0,MIN(100,K43)))/(G43+H43+I43+J43+L43))/100</f>
        <v>0.64</v>
      </c>
      <c r="O43" s="102">
        <f>IF((G43+H43+I43+J43+L43)=0,0,H43*(100-MAX(0,MIN(100,K43)))/(G43+H43+I43+J43+L43))/100</f>
        <v>0.16</v>
      </c>
      <c r="P43" s="102">
        <f>IF((G43+H43+I43+J43+L43)=0,0,I43*(100-MAX(0,MIN(100,K43)))/(G43+H43+I43+J43+L43))/100</f>
        <v>0.04</v>
      </c>
      <c r="Q43" s="102">
        <f>IF((G43+H43+I43+J43+L43)=0,0,J43*(100-MAX(0,MIN(100,K43)))/(G43+H43+I43+J43+L43))/100</f>
        <v>0</v>
      </c>
      <c r="R43" s="102">
        <f>MAX(0,MIN(100,K43))/100</f>
        <v>0.1</v>
      </c>
      <c r="S43" s="102">
        <f>IF((G43+H43+I43+J43+L43)=0,0,L43*(100-MAX(0,MIN(100,K43)))/(G43+H43+I43+J43+L43))/100</f>
        <v>0.06</v>
      </c>
      <c r="T43" s="84" t="n"/>
      <c r="U43" s="103" t="n">
        <v>64</v>
      </c>
      <c r="V43" s="103" t="n">
        <v>16</v>
      </c>
      <c r="W43" s="103" t="n">
        <v>4</v>
      </c>
      <c r="X43" s="103" t="n">
        <v>0</v>
      </c>
      <c r="Y43" s="103" t="n">
        <v>10</v>
      </c>
      <c r="Z43" s="103" t="n">
        <v>6</v>
      </c>
    </row>
    <row r="44" ht="30" customHeight="1">
      <c r="A44" s="12" t="inlineStr">
        <is>
          <t>CARBON · Technology · Band B · Expert / POD Lead</t>
        </is>
      </c>
      <c r="B44" s="12" t="inlineStr">
        <is>
          <t>CARBON</t>
        </is>
      </c>
      <c r="C44" s="12" t="inlineStr">
        <is>
          <t>Technology</t>
        </is>
      </c>
      <c r="D44" s="10" t="inlineStr">
        <is>
          <t>Band B · Expert / POD Lead</t>
        </is>
      </c>
      <c r="E44" s="42" t="n">
        <v>9</v>
      </c>
      <c r="F44" s="12" t="inlineStr">
        <is>
          <t>Technology &amp; engineering</t>
        </is>
      </c>
      <c r="G44" s="100" t="n">
        <v>56</v>
      </c>
      <c r="H44" s="100" t="n">
        <v>17</v>
      </c>
      <c r="I44" s="100" t="n">
        <v>5</v>
      </c>
      <c r="J44" s="100" t="n">
        <v>5</v>
      </c>
      <c r="K44" s="100">
        <f>WM_EXP_AB</f>
        <v>10</v>
      </c>
      <c r="L44" s="100" t="n">
        <v>7</v>
      </c>
      <c r="M44" s="101">
        <f>SUM(G44:L44)</f>
        <v>100</v>
      </c>
      <c r="N44" s="102">
        <f>IF((G44+H44+I44+J44+L44)=0,0,G44*(100-MAX(0,MIN(100,K44)))/(G44+H44+I44+J44+L44))/100</f>
        <v>0.56</v>
      </c>
      <c r="O44" s="102">
        <f>IF((G44+H44+I44+J44+L44)=0,0,H44*(100-MAX(0,MIN(100,K44)))/(G44+H44+I44+J44+L44))/100</f>
        <v>0.17</v>
      </c>
      <c r="P44" s="102">
        <f>IF((G44+H44+I44+J44+L44)=0,0,I44*(100-MAX(0,MIN(100,K44)))/(G44+H44+I44+J44+L44))/100</f>
        <v>0.05</v>
      </c>
      <c r="Q44" s="102">
        <f>IF((G44+H44+I44+J44+L44)=0,0,J44*(100-MAX(0,MIN(100,K44)))/(G44+H44+I44+J44+L44))/100</f>
        <v>0.05</v>
      </c>
      <c r="R44" s="102">
        <f>MAX(0,MIN(100,K44))/100</f>
        <v>0.1</v>
      </c>
      <c r="S44" s="102">
        <f>IF((G44+H44+I44+J44+L44)=0,0,L44*(100-MAX(0,MIN(100,K44)))/(G44+H44+I44+J44+L44))/100</f>
        <v>0.07</v>
      </c>
      <c r="T44" s="84" t="n"/>
      <c r="U44" s="103" t="n">
        <v>56</v>
      </c>
      <c r="V44" s="103" t="n">
        <v>17</v>
      </c>
      <c r="W44" s="103" t="n">
        <v>5</v>
      </c>
      <c r="X44" s="103" t="n">
        <v>5</v>
      </c>
      <c r="Y44" s="103" t="n">
        <v>10</v>
      </c>
      <c r="Z44" s="103" t="n">
        <v>7</v>
      </c>
    </row>
    <row r="45" ht="30" customHeight="1">
      <c r="A45" s="12" t="inlineStr">
        <is>
          <t>CARBON · Technology · Band B · People Manager</t>
        </is>
      </c>
      <c r="B45" s="12" t="inlineStr">
        <is>
          <t>CARBON</t>
        </is>
      </c>
      <c r="C45" s="12" t="inlineStr">
        <is>
          <t>Technology</t>
        </is>
      </c>
      <c r="D45" s="10" t="inlineStr">
        <is>
          <t>Band B · People Manager</t>
        </is>
      </c>
      <c r="E45" s="42" t="n">
        <v>1</v>
      </c>
      <c r="F45" s="12" t="inlineStr">
        <is>
          <t>Technology &amp; engineering</t>
        </is>
      </c>
      <c r="G45" s="100" t="n">
        <v>42</v>
      </c>
      <c r="H45" s="100" t="n">
        <v>18</v>
      </c>
      <c r="I45" s="100" t="n">
        <v>6</v>
      </c>
      <c r="J45" s="100" t="n">
        <v>15</v>
      </c>
      <c r="K45" s="100">
        <f>WM_EXP_AB</f>
        <v>10</v>
      </c>
      <c r="L45" s="100" t="n">
        <v>9</v>
      </c>
      <c r="M45" s="101">
        <f>SUM(G45:L45)</f>
        <v>100</v>
      </c>
      <c r="N45" s="102">
        <f>IF((G45+H45+I45+J45+L45)=0,0,G45*(100-MAX(0,MIN(100,K45)))/(G45+H45+I45+J45+L45))/100</f>
        <v>0.42</v>
      </c>
      <c r="O45" s="102">
        <f>IF((G45+H45+I45+J45+L45)=0,0,H45*(100-MAX(0,MIN(100,K45)))/(G45+H45+I45+J45+L45))/100</f>
        <v>0.18</v>
      </c>
      <c r="P45" s="102">
        <f>IF((G45+H45+I45+J45+L45)=0,0,I45*(100-MAX(0,MIN(100,K45)))/(G45+H45+I45+J45+L45))/100</f>
        <v>0.06</v>
      </c>
      <c r="Q45" s="102">
        <f>IF((G45+H45+I45+J45+L45)=0,0,J45*(100-MAX(0,MIN(100,K45)))/(G45+H45+I45+J45+L45))/100</f>
        <v>0.15</v>
      </c>
      <c r="R45" s="102">
        <f>MAX(0,MIN(100,K45))/100</f>
        <v>0.1</v>
      </c>
      <c r="S45" s="102">
        <f>IF((G45+H45+I45+J45+L45)=0,0,L45*(100-MAX(0,MIN(100,K45)))/(G45+H45+I45+J45+L45))/100</f>
        <v>0.09</v>
      </c>
      <c r="T45" s="84" t="n"/>
      <c r="U45" s="103" t="n">
        <v>42</v>
      </c>
      <c r="V45" s="103" t="n">
        <v>18</v>
      </c>
      <c r="W45" s="103" t="n">
        <v>6</v>
      </c>
      <c r="X45" s="103" t="n">
        <v>15</v>
      </c>
      <c r="Y45" s="103" t="n">
        <v>10</v>
      </c>
      <c r="Z45" s="103" t="n">
        <v>9</v>
      </c>
    </row>
    <row r="46" ht="30" customHeight="1">
      <c r="A46" s="12" t="inlineStr">
        <is>
          <t>CARBON · Technology · Band C · Head / Manager</t>
        </is>
      </c>
      <c r="B46" s="12" t="inlineStr">
        <is>
          <t>CARBON</t>
        </is>
      </c>
      <c r="C46" s="12" t="inlineStr">
        <is>
          <t>Technology</t>
        </is>
      </c>
      <c r="D46" s="10" t="inlineStr">
        <is>
          <t>Band C · Head / Manager</t>
        </is>
      </c>
      <c r="E46" s="42" t="n">
        <v>1</v>
      </c>
      <c r="F46" s="12" t="inlineStr">
        <is>
          <t>Technology &amp; engineering</t>
        </is>
      </c>
      <c r="G46" s="100" t="n">
        <v>48</v>
      </c>
      <c r="H46" s="100" t="n">
        <v>18</v>
      </c>
      <c r="I46" s="100" t="n">
        <v>6</v>
      </c>
      <c r="J46" s="100" t="n">
        <v>15</v>
      </c>
      <c r="K46" s="100">
        <f>WM_EXP_CE</f>
        <v>5</v>
      </c>
      <c r="L46" s="100" t="n">
        <v>8</v>
      </c>
      <c r="M46" s="101">
        <f>SUM(G46:L46)</f>
        <v>100</v>
      </c>
      <c r="N46" s="102">
        <f>IF((G46+H46+I46+J46+L46)=0,0,G46*(100-MAX(0,MIN(100,K46)))/(G46+H46+I46+J46+L46))/100</f>
        <v>0.48</v>
      </c>
      <c r="O46" s="102">
        <f>IF((G46+H46+I46+J46+L46)=0,0,H46*(100-MAX(0,MIN(100,K46)))/(G46+H46+I46+J46+L46))/100</f>
        <v>0.18</v>
      </c>
      <c r="P46" s="102">
        <f>IF((G46+H46+I46+J46+L46)=0,0,I46*(100-MAX(0,MIN(100,K46)))/(G46+H46+I46+J46+L46))/100</f>
        <v>0.06</v>
      </c>
      <c r="Q46" s="102">
        <f>IF((G46+H46+I46+J46+L46)=0,0,J46*(100-MAX(0,MIN(100,K46)))/(G46+H46+I46+J46+L46))/100</f>
        <v>0.15</v>
      </c>
      <c r="R46" s="102">
        <f>MAX(0,MIN(100,K46))/100</f>
        <v>0.05</v>
      </c>
      <c r="S46" s="102">
        <f>IF((G46+H46+I46+J46+L46)=0,0,L46*(100-MAX(0,MIN(100,K46)))/(G46+H46+I46+J46+L46))/100</f>
        <v>0.08</v>
      </c>
      <c r="T46" s="84" t="n"/>
      <c r="U46" s="103" t="n">
        <v>48</v>
      </c>
      <c r="V46" s="103" t="n">
        <v>18</v>
      </c>
      <c r="W46" s="103" t="n">
        <v>6</v>
      </c>
      <c r="X46" s="103" t="n">
        <v>15</v>
      </c>
      <c r="Y46" s="103" t="n">
        <v>5</v>
      </c>
      <c r="Z46" s="103" t="n">
        <v>8</v>
      </c>
    </row>
    <row r="47" ht="15" customHeight="1"/>
    <row r="48" ht="20" customHeight="1">
      <c r="A48" s="6" t="inlineStr">
        <is>
          <t>WHAT EACH FACTOR MEANS — and when to give it more weight</t>
        </is>
      </c>
    </row>
    <row r="49" ht="15" customHeight="1">
      <c r="A49" s="8" t="inlineStr">
        <is>
          <t>Factor</t>
        </is>
      </c>
      <c r="B49" s="93" t="n"/>
      <c r="C49" s="8" t="inlineStr">
        <is>
          <t>What it measures</t>
        </is>
      </c>
      <c r="D49" s="92" t="n"/>
      <c r="E49" s="92" t="n"/>
      <c r="F49" s="92" t="n"/>
      <c r="G49" s="92" t="n"/>
      <c r="H49" s="93" t="n"/>
      <c r="I49" s="8" t="inlineStr">
        <is>
          <t>Give it more weight when…</t>
        </is>
      </c>
      <c r="J49" s="92" t="n"/>
      <c r="K49" s="92" t="n"/>
      <c r="L49" s="92" t="n"/>
      <c r="M49" s="92" t="n"/>
      <c r="N49" s="92" t="n"/>
      <c r="O49" s="92" t="n"/>
      <c r="P49" s="92" t="n"/>
      <c r="Q49" s="92" t="n"/>
      <c r="R49" s="92" t="n"/>
      <c r="S49" s="92" t="n"/>
      <c r="T49" s="93" t="n"/>
    </row>
    <row r="50" ht="15" customHeight="1">
      <c r="A50" s="10" t="inlineStr">
        <is>
          <t>Complexity &amp; Expertise</t>
        </is>
      </c>
      <c r="B50" s="93" t="n"/>
      <c r="C50" s="12" t="inlineStr">
        <is>
          <t>How hard and how specialised the work is</t>
        </is>
      </c>
      <c r="D50" s="92" t="n"/>
      <c r="E50" s="92" t="n"/>
      <c r="F50" s="92" t="n"/>
      <c r="G50" s="92" t="n"/>
      <c r="H50" s="93" t="n"/>
      <c r="I50" s="12" t="inlineStr">
        <is>
          <r>
            <rPr>
              <rFont val="Calibri"/>
              <b val="1"/>
              <sz val="10"/>
            </rPr>
            <t>The job's value is deep expertise:</t>
          </r>
          <r>
            <rPr>
              <rFont val="Calibri"/>
              <sz val="10"/>
            </rPr>
            <t xml:space="preserve"> architecture, actuarial, taxonomy design</t>
          </r>
        </is>
      </c>
      <c r="J50" s="92" t="n"/>
      <c r="K50" s="92" t="n"/>
      <c r="L50" s="92" t="n"/>
      <c r="M50" s="92" t="n"/>
      <c r="N50" s="92" t="n"/>
      <c r="O50" s="92" t="n"/>
      <c r="P50" s="92" t="n"/>
      <c r="Q50" s="92" t="n"/>
      <c r="R50" s="92" t="n"/>
      <c r="S50" s="92" t="n"/>
      <c r="T50" s="93" t="n"/>
    </row>
    <row r="51" ht="15" customHeight="1">
      <c r="A51" s="10" t="inlineStr">
        <is>
          <t>Autonomy &amp; Decision</t>
        </is>
      </c>
      <c r="B51" s="93" t="n"/>
      <c r="C51" s="12" t="inlineStr">
        <is>
          <t>What the person decides without asking</t>
        </is>
      </c>
      <c r="D51" s="92" t="n"/>
      <c r="E51" s="92" t="n"/>
      <c r="F51" s="92" t="n"/>
      <c r="G51" s="92" t="n"/>
      <c r="H51" s="93" t="n"/>
      <c r="I51" s="12" t="inlineStr">
        <is>
          <r>
            <rPr>
              <rFont val="Calibri"/>
              <b val="1"/>
              <sz val="10"/>
            </rPr>
            <t>The job is trusted to act alone:</t>
          </r>
          <r>
            <rPr>
              <rFont val="Calibri"/>
              <sz val="10"/>
            </rPr>
            <t xml:space="preserve"> product calls, deals, client decisions</t>
          </r>
        </is>
      </c>
      <c r="J51" s="92" t="n"/>
      <c r="K51" s="92" t="n"/>
      <c r="L51" s="92" t="n"/>
      <c r="M51" s="92" t="n"/>
      <c r="N51" s="92" t="n"/>
      <c r="O51" s="92" t="n"/>
      <c r="P51" s="92" t="n"/>
      <c r="Q51" s="92" t="n"/>
      <c r="R51" s="92" t="n"/>
      <c r="S51" s="92" t="n"/>
      <c r="T51" s="93" t="n"/>
    </row>
    <row r="52" ht="15" customHeight="1">
      <c r="A52" s="10" t="inlineStr">
        <is>
          <t>Accountability &amp; Impact</t>
        </is>
      </c>
      <c r="B52" s="93" t="n"/>
      <c r="C52" s="12" t="inlineStr">
        <is>
          <t>What the job answers for — its scope</t>
        </is>
      </c>
      <c r="D52" s="92" t="n"/>
      <c r="E52" s="92" t="n"/>
      <c r="F52" s="92" t="n"/>
      <c r="G52" s="92" t="n"/>
      <c r="H52" s="93" t="n"/>
      <c r="I52" s="12" t="inlineStr">
        <is>
          <t>Results, risk or quality of an area rest on this job</t>
        </is>
      </c>
      <c r="J52" s="92" t="n"/>
      <c r="K52" s="92" t="n"/>
      <c r="L52" s="92" t="n"/>
      <c r="M52" s="92" t="n"/>
      <c r="N52" s="92" t="n"/>
      <c r="O52" s="92" t="n"/>
      <c r="P52" s="92" t="n"/>
      <c r="Q52" s="92" t="n"/>
      <c r="R52" s="92" t="n"/>
      <c r="S52" s="92" t="n"/>
      <c r="T52" s="93" t="n"/>
    </row>
    <row r="53" ht="15" customHeight="1">
      <c r="A53" s="10" t="inlineStr">
        <is>
          <t>Leadership &amp; Strategy</t>
        </is>
      </c>
      <c r="B53" s="93" t="n"/>
      <c r="C53" s="12" t="inlineStr">
        <is>
          <t>Leading people or setting direction</t>
        </is>
      </c>
      <c r="D53" s="92" t="n"/>
      <c r="E53" s="92" t="n"/>
      <c r="F53" s="92" t="n"/>
      <c r="G53" s="92" t="n"/>
      <c r="H53" s="93" t="n"/>
      <c r="I53" s="12" t="inlineStr">
        <is>
          <t>The job's results come through a team or through direction it sets</t>
        </is>
      </c>
      <c r="J53" s="92" t="n"/>
      <c r="K53" s="92" t="n"/>
      <c r="L53" s="92" t="n"/>
      <c r="M53" s="92" t="n"/>
      <c r="N53" s="92" t="n"/>
      <c r="O53" s="92" t="n"/>
      <c r="P53" s="92" t="n"/>
      <c r="Q53" s="92" t="n"/>
      <c r="R53" s="92" t="n"/>
      <c r="S53" s="92" t="n"/>
      <c r="T53" s="93" t="n"/>
    </row>
    <row r="54" ht="15" customHeight="1">
      <c r="A54" s="10" t="inlineStr">
        <is>
          <t>Experience &amp; Qualification</t>
        </is>
      </c>
      <c r="B54" s="93" t="n"/>
      <c r="C54" s="12" t="inlineStr">
        <is>
          <t>Years in the field and qualifications</t>
        </is>
      </c>
      <c r="D54" s="92" t="n"/>
      <c r="E54" s="92" t="n"/>
      <c r="F54" s="92" t="n"/>
      <c r="G54" s="92" t="n"/>
      <c r="H54" s="93" t="n"/>
      <c r="I54" s="12" t="inlineStr">
        <is>
          <t>A licence or long experience is itself the requirement — kept low by design</t>
        </is>
      </c>
      <c r="J54" s="92" t="n"/>
      <c r="K54" s="92" t="n"/>
      <c r="L54" s="92" t="n"/>
      <c r="M54" s="92" t="n"/>
      <c r="N54" s="92" t="n"/>
      <c r="O54" s="92" t="n"/>
      <c r="P54" s="92" t="n"/>
      <c r="Q54" s="92" t="n"/>
      <c r="R54" s="92" t="n"/>
      <c r="S54" s="92" t="n"/>
      <c r="T54" s="93" t="n"/>
    </row>
    <row r="55" ht="15" customHeight="1">
      <c r="A55" s="10" t="inlineStr">
        <is>
          <t>Business Impact</t>
        </is>
      </c>
      <c r="B55" s="93" t="n"/>
      <c r="C55" s="12" t="inlineStr">
        <is>
          <t>The difference the job makes to revenue, clients, compliance or cost</t>
        </is>
      </c>
      <c r="D55" s="92" t="n"/>
      <c r="E55" s="92" t="n"/>
      <c r="F55" s="92" t="n"/>
      <c r="G55" s="92" t="n"/>
      <c r="H55" s="93" t="n"/>
      <c r="I55" s="12" t="inlineStr">
        <is>
          <r>
            <rPr>
              <rFont val="Calibri"/>
              <b val="1"/>
              <sz val="10"/>
            </rPr>
            <t>Results are visible in business numbers:</t>
          </r>
          <r>
            <rPr>
              <rFont val="Calibri"/>
              <sz val="10"/>
            </rPr>
            <t xml:space="preserve"> sales, client retention, filings, savings</t>
          </r>
        </is>
      </c>
      <c r="J55" s="92" t="n"/>
      <c r="K55" s="92" t="n"/>
      <c r="L55" s="92" t="n"/>
      <c r="M55" s="92" t="n"/>
      <c r="N55" s="92" t="n"/>
      <c r="O55" s="92" t="n"/>
      <c r="P55" s="92" t="n"/>
      <c r="Q55" s="92" t="n"/>
      <c r="R55" s="92" t="n"/>
      <c r="S55" s="92" t="n"/>
      <c r="T55" s="93" t="n"/>
    </row>
    <row r="56" ht="15" customHeight="1"/>
    <row r="57" ht="15" customHeight="1">
      <c r="A57" s="40" t="inlineStr">
        <is>
          <r>
            <rPr>
              <rFont val="Calibri"/>
              <b val="1"/>
              <i val="1"/>
              <color rgb="00595959"/>
              <sz val="10"/>
            </rPr>
            <t>Leadership weights:</t>
          </r>
          <r>
            <rPr>
              <rFont val="Calibri"/>
              <i val="1"/>
              <color rgb="00595959"/>
              <sz val="10"/>
            </rPr>
            <t xml:space="preserve"> Sources: S05, S46, S47 Hay managerial know-how by level · S04 Mercer IPE communication · S09 McKinsey spans of control. The 0 / 5 / 10 / 15 / 20% steps by role group are an IRIS design rule.</t>
          </r>
        </is>
      </c>
    </row>
    <row r="58" ht="15" customHeight="1">
      <c r="A58" s="40" t="inlineStr">
        <is>
          <r>
            <rPr>
              <rFont val="Calibri"/>
              <b val="1"/>
              <i val="1"/>
              <color rgb="00595959"/>
              <sz val="10"/>
            </rPr>
            <t>Business Impact:</t>
          </r>
          <r>
            <rPr>
              <rFont val="Calibri"/>
              <i val="1"/>
              <color rgb="00595959"/>
              <sz val="10"/>
            </rPr>
            <t xml:space="preserve"> Sources: S05 Hay accountability, nature of impact · S04 Mercer IPE impact · S07 WTW GGS nature and area of impact · S53–S57 public plans' financial or consequences factor, 7–10% of points.</t>
          </r>
        </is>
      </c>
    </row>
    <row r="59" ht="15" customHeight="1">
      <c r="A59" s="40" t="inlineStr">
        <is>
          <r>
            <rPr>
              <rFont val="Calibri"/>
              <b val="1"/>
              <i val="1"/>
              <color rgb="00595959"/>
              <sz val="10"/>
            </rPr>
            <t>Type-of-work shift:</t>
          </r>
          <r>
            <rPr>
              <rFont val="Calibri"/>
              <i val="1"/>
              <color rgb="00595959"/>
              <sz val="10"/>
            </rPr>
            <t xml:space="preserve"> Basis: S06 Hay short profile — A-type delivery jobs weight accountability, P-type thinking jobs weight problem solving, L-type are balanced. The ±5 size is an IRIS design rule, kept small so the market defaults stay in control.</t>
          </r>
        </is>
      </c>
    </row>
    <row r="60" ht="20" customHeight="1">
      <c r="A60" s="6" t="inlineStr">
        <is>
          <t>WHAT A WEIGHT MEANS</t>
        </is>
      </c>
    </row>
    <row r="61" ht="15" customHeight="1">
      <c r="A61" s="8" t="inlineStr">
        <is>
          <t>Weight</t>
        </is>
      </c>
      <c r="B61" s="93" t="n"/>
      <c r="C61" s="8" t="inlineStr">
        <is>
          <t>What it means for the score</t>
        </is>
      </c>
      <c r="D61" s="92" t="n"/>
      <c r="E61" s="92" t="n"/>
      <c r="F61" s="92" t="n"/>
      <c r="G61" s="92" t="n"/>
      <c r="H61" s="92" t="n"/>
      <c r="I61" s="92" t="n"/>
      <c r="J61" s="92" t="n"/>
      <c r="K61" s="92" t="n"/>
      <c r="L61" s="92" t="n"/>
      <c r="M61" s="92" t="n"/>
      <c r="N61" s="92" t="n"/>
      <c r="O61" s="92" t="n"/>
      <c r="P61" s="92" t="n"/>
      <c r="Q61" s="92" t="n"/>
      <c r="R61" s="92" t="n"/>
      <c r="S61" s="92" t="n"/>
      <c r="T61" s="93" t="n"/>
    </row>
    <row r="62" ht="15" customHeight="1">
      <c r="A62" s="10" t="inlineStr">
        <is>
          <t>0%</t>
        </is>
      </c>
      <c r="B62" s="93" t="n"/>
      <c r="C62" s="12" t="inlineStr">
        <is>
          <t>Ignored for this role group — the rating does not count at all</t>
        </is>
      </c>
      <c r="D62" s="92" t="n"/>
      <c r="E62" s="92" t="n"/>
      <c r="F62" s="92" t="n"/>
      <c r="G62" s="92" t="n"/>
      <c r="H62" s="92" t="n"/>
      <c r="I62" s="92" t="n"/>
      <c r="J62" s="92" t="n"/>
      <c r="K62" s="92" t="n"/>
      <c r="L62" s="92" t="n"/>
      <c r="M62" s="92" t="n"/>
      <c r="N62" s="92" t="n"/>
      <c r="O62" s="92" t="n"/>
      <c r="P62" s="92" t="n"/>
      <c r="Q62" s="92" t="n"/>
      <c r="R62" s="92" t="n"/>
      <c r="S62" s="92" t="n"/>
      <c r="T62" s="93" t="n"/>
    </row>
    <row r="63" ht="15" customHeight="1">
      <c r="A63" s="10" t="inlineStr">
        <is>
          <t>5%</t>
        </is>
      </c>
      <c r="B63" s="93" t="n"/>
      <c r="C63" s="12" t="inlineStr">
        <is>
          <t>Minor — a tie-breaker; a 1-point change in the rating moves the score by 0.05</t>
        </is>
      </c>
      <c r="D63" s="92" t="n"/>
      <c r="E63" s="92" t="n"/>
      <c r="F63" s="92" t="n"/>
      <c r="G63" s="92" t="n"/>
      <c r="H63" s="92" t="n"/>
      <c r="I63" s="92" t="n"/>
      <c r="J63" s="92" t="n"/>
      <c r="K63" s="92" t="n"/>
      <c r="L63" s="92" t="n"/>
      <c r="M63" s="92" t="n"/>
      <c r="N63" s="92" t="n"/>
      <c r="O63" s="92" t="n"/>
      <c r="P63" s="92" t="n"/>
      <c r="Q63" s="92" t="n"/>
      <c r="R63" s="92" t="n"/>
      <c r="S63" s="92" t="n"/>
      <c r="T63" s="93" t="n"/>
    </row>
    <row r="64" ht="15" customHeight="1">
      <c r="A64" s="10" t="inlineStr">
        <is>
          <t>10%</t>
        </is>
      </c>
      <c r="B64" s="93" t="n"/>
      <c r="C64" s="12" t="inlineStr">
        <is>
          <t>Counts a little — a 1-point change moves the score by 0.10</t>
        </is>
      </c>
      <c r="D64" s="92" t="n"/>
      <c r="E64" s="92" t="n"/>
      <c r="F64" s="92" t="n"/>
      <c r="G64" s="92" t="n"/>
      <c r="H64" s="92" t="n"/>
      <c r="I64" s="92" t="n"/>
      <c r="J64" s="92" t="n"/>
      <c r="K64" s="92" t="n"/>
      <c r="L64" s="92" t="n"/>
      <c r="M64" s="92" t="n"/>
      <c r="N64" s="92" t="n"/>
      <c r="O64" s="92" t="n"/>
      <c r="P64" s="92" t="n"/>
      <c r="Q64" s="92" t="n"/>
      <c r="R64" s="92" t="n"/>
      <c r="S64" s="92" t="n"/>
      <c r="T64" s="93" t="n"/>
    </row>
    <row r="65" ht="15" customHeight="1">
      <c r="A65" s="10" t="inlineStr">
        <is>
          <t>15–20%</t>
        </is>
      </c>
      <c r="B65" s="93" t="n"/>
      <c r="C65" s="12" t="inlineStr">
        <is>
          <t>Important — one of the main things this role is judged on</t>
        </is>
      </c>
      <c r="D65" s="92" t="n"/>
      <c r="E65" s="92" t="n"/>
      <c r="F65" s="92" t="n"/>
      <c r="G65" s="92" t="n"/>
      <c r="H65" s="92" t="n"/>
      <c r="I65" s="92" t="n"/>
      <c r="J65" s="92" t="n"/>
      <c r="K65" s="92" t="n"/>
      <c r="L65" s="92" t="n"/>
      <c r="M65" s="92" t="n"/>
      <c r="N65" s="92" t="n"/>
      <c r="O65" s="92" t="n"/>
      <c r="P65" s="92" t="n"/>
      <c r="Q65" s="92" t="n"/>
      <c r="R65" s="92" t="n"/>
      <c r="S65" s="92" t="n"/>
      <c r="T65" s="93" t="n"/>
    </row>
    <row r="66" ht="15" customHeight="1">
      <c r="A66" s="10" t="inlineStr">
        <is>
          <t>25–30%</t>
        </is>
      </c>
      <c r="B66" s="93" t="n"/>
      <c r="C66" s="12" t="inlineStr">
        <is>
          <t>Leading factor — this is what the role is mostly about</t>
        </is>
      </c>
      <c r="D66" s="92" t="n"/>
      <c r="E66" s="92" t="n"/>
      <c r="F66" s="92" t="n"/>
      <c r="G66" s="92" t="n"/>
      <c r="H66" s="92" t="n"/>
      <c r="I66" s="92" t="n"/>
      <c r="J66" s="92" t="n"/>
      <c r="K66" s="92" t="n"/>
      <c r="L66" s="92" t="n"/>
      <c r="M66" s="92" t="n"/>
      <c r="N66" s="92" t="n"/>
      <c r="O66" s="92" t="n"/>
      <c r="P66" s="92" t="n"/>
      <c r="Q66" s="92" t="n"/>
      <c r="R66" s="92" t="n"/>
      <c r="S66" s="92" t="n"/>
      <c r="T66" s="93" t="n"/>
    </row>
    <row r="67" ht="15" customHeight="1">
      <c r="A67" s="10" t="inlineStr">
        <is>
          <t>35%+</t>
        </is>
      </c>
      <c r="B67" s="93" t="n"/>
      <c r="C67" s="12" t="inlineStr">
        <is>
          <t>Dominant — use rarely; one factor then decides most of the score</t>
        </is>
      </c>
      <c r="D67" s="92" t="n"/>
      <c r="E67" s="92" t="n"/>
      <c r="F67" s="92" t="n"/>
      <c r="G67" s="92" t="n"/>
      <c r="H67" s="92" t="n"/>
      <c r="I67" s="92" t="n"/>
      <c r="J67" s="92" t="n"/>
      <c r="K67" s="92" t="n"/>
      <c r="L67" s="92" t="n"/>
      <c r="M67" s="92" t="n"/>
      <c r="N67" s="92" t="n"/>
      <c r="O67" s="92" t="n"/>
      <c r="P67" s="92" t="n"/>
      <c r="Q67" s="92" t="n"/>
      <c r="R67" s="92" t="n"/>
      <c r="S67" s="92" t="n"/>
      <c r="T67" s="93" t="n"/>
    </row>
    <row r="68" ht="15" customHeight="1"/>
    <row r="69" ht="28" customHeight="1">
      <c r="A69" s="7" t="inlineStr">
        <is>
          <r>
            <rPr>
              <rFont val="Calibri"/>
              <b val="1"/>
              <sz val="10"/>
            </rPr>
            <t>How a weight works:</t>
          </r>
          <r>
            <rPr>
              <rFont val="Calibri"/>
              <sz val="10"/>
            </rPr>
            <t xml:space="preserve"> points = rating × weight, and the score is the sum of the six points. So a weight is simply how much one point of rating on that factor is worth. Moving 5% from one factor to another changes a person's score by 0.05 × the difference between their two ratings — usually less than 0.2, which is why small changes rarely move a level.</t>
          </r>
        </is>
      </c>
    </row>
    <row r="70" ht="20" customHeight="1">
      <c r="A70" s="6" t="inlineStr">
        <is>
          <t>RULES OF THUMB</t>
        </is>
      </c>
    </row>
    <row r="71" ht="15" customHeight="1">
      <c r="A71" s="7" t="inlineStr">
        <is>
          <t>• Start from the default row and change it in steps of 5%; small changes are safer than big ones.</t>
        </is>
      </c>
    </row>
    <row r="72" ht="15" customHeight="1">
      <c r="A72" s="7" t="inlineStr">
        <is>
          <t>• Keep each row's six weights adding up to about 100%. If they don't, the sheet scales the five non-Experience weights so they do — the 'Used' columns show the real weights.</t>
        </is>
      </c>
    </row>
    <row r="73" ht="15" customHeight="1">
      <c r="A73" s="7" t="inlineStr">
        <is>
          <t>• Experience &amp; Qualification is set once for everyone in the Settings block above · Bands A–B and Bands C–E. Change it there, not row by row; a number typed in a row's Experience cell overrides the setting for that row.</t>
        </is>
      </c>
    </row>
    <row r="74" ht="15" customHeight="1">
      <c r="A74" s="7" t="inlineStr">
        <is>
          <t>• Leaders of the same role group in different departments should differ only for a real reason · for example, sales roles count Business Impact more. Note the reason in the last column.</t>
        </is>
      </c>
    </row>
    <row r="75" ht="15" customHeight="1">
      <c r="A75" s="7" t="inlineStr">
        <is>
          <t>• Your edits change points, the score and 'Level the score indicates' on sheet 2 at once. The final level — with the fair-play checks — is confirmed when HR imports your edits and re-runs the model.</t>
        </is>
      </c>
    </row>
    <row r="76" ht="20" customHeight="1">
      <c r="A76" s="6" t="inlineStr">
        <is>
          <t>WHERE THE DEFAULT WEIGHTS COME FROM</t>
        </is>
      </c>
    </row>
    <row r="77" ht="28" customHeight="1">
      <c r="A77" s="40" t="inlineStr">
        <is>
          <t>Each role group's default row is the average of three published sources, given equal weight: Korn Ferry Hay, Mercer IPE and five public point-factor plans — NHS Agenda for Change, UK local-government 13-factor, GLPC, Scottish Joint Council, US OPM FES. Sources: S46–S51 Korn Ferry Hay evaluations · S04, S52 Mercer IPE · S53–S57 NHS, UK NJC/PSC, GLPC, SJC and US OPM point-factor plans. The per-source figures: HR Super Master sheet 1e, section 0. Full links: source register, HR Super Master sheet 11 and Framework Master M16.</t>
        </is>
      </c>
    </row>
    <row r="78" ht="15" customHeight="1">
      <c r="A78" s="8" t="inlineStr">
        <is>
          <t>Factor</t>
        </is>
      </c>
      <c r="B78" s="92" t="n"/>
      <c r="C78" s="92" t="n"/>
      <c r="D78" s="92" t="n"/>
      <c r="E78" s="92" t="n"/>
      <c r="F78" s="93" t="n"/>
      <c r="G78" s="8" t="inlineStr">
        <is>
          <t>This file — average of its scored roles</t>
        </is>
      </c>
      <c r="H78" s="92" t="n"/>
      <c r="I78" s="92" t="n"/>
      <c r="J78" s="93" t="n"/>
      <c r="K78" s="8" t="inlineStr">
        <is>
          <t>Published plans — average</t>
        </is>
      </c>
      <c r="L78" s="92" t="n"/>
      <c r="M78" s="92" t="n"/>
      <c r="N78" s="93" t="n"/>
      <c r="O78" s="8" t="inlineStr">
        <is>
          <t>Published plans — range</t>
        </is>
      </c>
      <c r="P78" s="92" t="n"/>
      <c r="Q78" s="92" t="n"/>
      <c r="R78" s="92" t="n"/>
      <c r="S78" s="92" t="n"/>
      <c r="T78" s="93" t="n"/>
    </row>
    <row r="79" ht="15" customHeight="1">
      <c r="A79" s="10" t="inlineStr">
        <is>
          <t>Complexity &amp; Expertise</t>
        </is>
      </c>
      <c r="B79" s="92" t="n"/>
      <c r="C79" s="92" t="n"/>
      <c r="D79" s="92" t="n"/>
      <c r="E79" s="92" t="n"/>
      <c r="F79" s="93" t="n"/>
      <c r="G79" s="12" t="inlineStr">
        <is>
          <t>52.4%</t>
        </is>
      </c>
      <c r="H79" s="92" t="n"/>
      <c r="I79" s="92" t="n"/>
      <c r="J79" s="93" t="n"/>
      <c r="K79" s="12" t="inlineStr">
        <is>
          <t>42.8%</t>
        </is>
      </c>
      <c r="L79" s="92" t="n"/>
      <c r="M79" s="92" t="n"/>
      <c r="N79" s="93" t="n"/>
      <c r="O79" s="12" t="inlineStr">
        <is>
          <t>38–52%</t>
        </is>
      </c>
      <c r="P79" s="92" t="n"/>
      <c r="Q79" s="92" t="n"/>
      <c r="R79" s="92" t="n"/>
      <c r="S79" s="92" t="n"/>
      <c r="T79" s="93" t="n"/>
    </row>
    <row r="80" ht="15" customHeight="1">
      <c r="A80" s="10" t="inlineStr">
        <is>
          <t>Autonomy &amp; Decision</t>
        </is>
      </c>
      <c r="B80" s="92" t="n"/>
      <c r="C80" s="92" t="n"/>
      <c r="D80" s="92" t="n"/>
      <c r="E80" s="92" t="n"/>
      <c r="F80" s="93" t="n"/>
      <c r="G80" s="12" t="inlineStr">
        <is>
          <t>17.3%</t>
        </is>
      </c>
      <c r="H80" s="92" t="n"/>
      <c r="I80" s="92" t="n"/>
      <c r="J80" s="93" t="n"/>
      <c r="K80" s="12" t="inlineStr">
        <is>
          <t>14.9%</t>
        </is>
      </c>
      <c r="L80" s="92" t="n"/>
      <c r="M80" s="92" t="n"/>
      <c r="N80" s="93" t="n"/>
      <c r="O80" s="12" t="inlineStr">
        <is>
          <t>7–30%</t>
        </is>
      </c>
      <c r="P80" s="92" t="n"/>
      <c r="Q80" s="92" t="n"/>
      <c r="R80" s="92" t="n"/>
      <c r="S80" s="92" t="n"/>
      <c r="T80" s="93" t="n"/>
    </row>
    <row r="81" ht="15" customHeight="1">
      <c r="A81" s="10" t="inlineStr">
        <is>
          <t>Accountability &amp; Impact</t>
        </is>
      </c>
      <c r="B81" s="92" t="n"/>
      <c r="C81" s="92" t="n"/>
      <c r="D81" s="92" t="n"/>
      <c r="E81" s="92" t="n"/>
      <c r="F81" s="93" t="n"/>
      <c r="G81" s="12" t="inlineStr">
        <is>
          <t>9.4%</t>
        </is>
      </c>
      <c r="H81" s="92" t="n"/>
      <c r="I81" s="92" t="n"/>
      <c r="J81" s="93" t="n"/>
      <c r="K81" s="12" t="inlineStr">
        <is>
          <t>15.1%</t>
        </is>
      </c>
      <c r="L81" s="92" t="n"/>
      <c r="M81" s="92" t="n"/>
      <c r="N81" s="93" t="n"/>
      <c r="O81" s="12" t="inlineStr">
        <is>
          <t>6–20%</t>
        </is>
      </c>
      <c r="P81" s="92" t="n"/>
      <c r="Q81" s="92" t="n"/>
      <c r="R81" s="92" t="n"/>
      <c r="S81" s="92" t="n"/>
      <c r="T81" s="93" t="n"/>
    </row>
    <row r="82" ht="15" customHeight="1">
      <c r="A82" s="10" t="inlineStr">
        <is>
          <t>Leadership &amp; Strategy</t>
        </is>
      </c>
      <c r="B82" s="92" t="n"/>
      <c r="C82" s="92" t="n"/>
      <c r="D82" s="92" t="n"/>
      <c r="E82" s="92" t="n"/>
      <c r="F82" s="93" t="n"/>
      <c r="G82" s="12" t="inlineStr">
        <is>
          <t>3.2%</t>
        </is>
      </c>
      <c r="H82" s="92" t="n"/>
      <c r="I82" s="92" t="n"/>
      <c r="J82" s="93" t="n"/>
      <c r="K82" s="12" t="inlineStr">
        <is>
          <t>20.6%</t>
        </is>
      </c>
      <c r="L82" s="92" t="n"/>
      <c r="M82" s="92" t="n"/>
      <c r="N82" s="93" t="n"/>
      <c r="O82" s="12" t="inlineStr">
        <is>
          <t>8–30%</t>
        </is>
      </c>
      <c r="P82" s="92" t="n"/>
      <c r="Q82" s="92" t="n"/>
      <c r="R82" s="92" t="n"/>
      <c r="S82" s="92" t="n"/>
      <c r="T82" s="93" t="n"/>
    </row>
    <row r="83" ht="15" customHeight="1">
      <c r="A83" s="10" t="inlineStr">
        <is>
          <t>Business Impact</t>
        </is>
      </c>
      <c r="B83" s="92" t="n"/>
      <c r="C83" s="92" t="n"/>
      <c r="D83" s="92" t="n"/>
      <c r="E83" s="92" t="n"/>
      <c r="F83" s="93" t="n"/>
      <c r="G83" s="12" t="inlineStr">
        <is>
          <t>7.9%</t>
        </is>
      </c>
      <c r="H83" s="92" t="n"/>
      <c r="I83" s="92" t="n"/>
      <c r="J83" s="93" t="n"/>
      <c r="K83" s="12" t="inlineStr">
        <is>
          <t>6.7%</t>
        </is>
      </c>
      <c r="L83" s="92" t="n"/>
      <c r="M83" s="92" t="n"/>
      <c r="N83" s="93" t="n"/>
      <c r="O83" s="12" t="inlineStr">
        <is>
          <t>0–10%</t>
        </is>
      </c>
      <c r="P83" s="92" t="n"/>
      <c r="Q83" s="92" t="n"/>
      <c r="R83" s="92" t="n"/>
      <c r="S83" s="92" t="n"/>
      <c r="T83" s="93" t="n"/>
    </row>
    <row r="84" ht="15" customHeight="1">
      <c r="A84" s="10" t="inlineStr">
        <is>
          <t>Experience &amp; Qualification</t>
        </is>
      </c>
      <c r="B84" s="92" t="n"/>
      <c r="C84" s="92" t="n"/>
      <c r="D84" s="92" t="n"/>
      <c r="E84" s="92" t="n"/>
      <c r="F84" s="93" t="n"/>
      <c r="G84" s="12" t="inlineStr">
        <is>
          <t>9.8%</t>
        </is>
      </c>
      <c r="H84" s="92" t="n"/>
      <c r="I84" s="92" t="n"/>
      <c r="J84" s="93" t="n"/>
      <c r="K84" s="12" t="inlineStr">
        <is>
          <t>not scored separately</t>
        </is>
      </c>
      <c r="L84" s="92" t="n"/>
      <c r="M84" s="92" t="n"/>
      <c r="N84" s="93" t="n"/>
      <c r="O84" s="12" t="inlineStr">
        <is>
          <t>Hay, Mercer IPE and WTW fold experience into knowledge</t>
        </is>
      </c>
      <c r="P84" s="92" t="n"/>
      <c r="Q84" s="92" t="n"/>
      <c r="R84" s="92" t="n"/>
      <c r="S84" s="92" t="n"/>
      <c r="T84" s="93" t="n"/>
    </row>
    <row r="85" ht="15" customHeight="1"/>
    <row r="86" ht="20" customHeight="1">
      <c r="A86" s="6" t="inlineStr">
        <is>
          <t>WHAT A RATING MEANS — the same 1-to-12 scale for every factor, every department, every band</t>
        </is>
      </c>
    </row>
    <row r="87" ht="15" customHeight="1">
      <c r="A87" s="40" t="inlineStr">
        <is>
          <t>A rating is the floor of the ladder that this side of the job looks like: 4 = B1-level, 8 = C2-level. Managers can change a person's Business Impact rating on sheet 2 · yellow; the other ratings are set from the evidence and changed through validation.</t>
        </is>
      </c>
    </row>
    <row r="88" ht="15" customHeight="1">
      <c r="A88" s="8" t="inlineStr">
        <is>
          <t>Rating · level</t>
        </is>
      </c>
      <c r="B88" s="93" t="n"/>
      <c r="C88" s="8" t="inlineStr">
        <is>
          <t>Complexity</t>
        </is>
      </c>
      <c r="D88" s="92" t="n"/>
      <c r="E88" s="93" t="n"/>
      <c r="F88" s="8" t="inlineStr">
        <is>
          <t>Autonomy</t>
        </is>
      </c>
      <c r="G88" s="92" t="n"/>
      <c r="H88" s="93" t="n"/>
      <c r="I88" s="8" t="inlineStr">
        <is>
          <t>Accountability</t>
        </is>
      </c>
      <c r="J88" s="92" t="n"/>
      <c r="K88" s="93" t="n"/>
      <c r="L88" s="8" t="inlineStr">
        <is>
          <t>Leadership</t>
        </is>
      </c>
      <c r="M88" s="92" t="n"/>
      <c r="N88" s="93" t="n"/>
      <c r="O88" s="8" t="inlineStr">
        <is>
          <t>Experience</t>
        </is>
      </c>
      <c r="P88" s="92" t="n"/>
      <c r="Q88" s="93" t="n"/>
      <c r="R88" s="8" t="inlineStr">
        <is>
          <t>Business impact</t>
        </is>
      </c>
      <c r="S88" s="92" t="n"/>
      <c r="T88" s="93" t="n"/>
    </row>
    <row r="89" ht="28" customHeight="1">
      <c r="A89" s="10" t="inlineStr">
        <is>
          <t>12 · E2</t>
        </is>
      </c>
      <c r="B89" s="93" t="n"/>
      <c r="C89" s="12" t="inlineStr">
        <is>
          <t>Enterprise-wide uncertainty, transformation and external forces</t>
        </is>
      </c>
      <c r="D89" s="92" t="n"/>
      <c r="E89" s="93" t="n"/>
      <c r="F89" s="12" t="inlineStr">
        <is>
          <t>Accountable to the board</t>
        </is>
      </c>
      <c r="G89" s="92" t="n"/>
      <c r="H89" s="93" t="n"/>
      <c r="I89" s="12" t="inlineStr">
        <is>
          <t>Enterprise results, risk, culture and long-term viability</t>
        </is>
      </c>
      <c r="J89" s="92" t="n"/>
      <c r="K89" s="93" t="n"/>
      <c r="L89" s="12" t="inlineStr">
        <is>
          <t>Sets enterprise strategy; leads the executive team</t>
        </is>
      </c>
      <c r="M89" s="92" t="n"/>
      <c r="N89" s="93" t="n"/>
      <c r="O89" s="12" t="inlineStr">
        <is>
          <t>About 28 yrs</t>
        </is>
      </c>
      <c r="P89" s="92" t="n"/>
      <c r="Q89" s="93" t="n"/>
      <c r="R89" s="12" t="inlineStr">
        <is>
          <t>Answers for the whole company's results and long-term value</t>
        </is>
      </c>
      <c r="S89" s="92" t="n"/>
      <c r="T89" s="93" t="n"/>
    </row>
    <row r="90" ht="28" customHeight="1">
      <c r="A90" s="10" t="inlineStr">
        <is>
          <t>11 · E1</t>
        </is>
      </c>
      <c r="B90" s="93" t="n"/>
      <c r="C90" s="12" t="inlineStr">
        <is>
          <t>Enterprise-level functional strategy</t>
        </is>
      </c>
      <c r="D90" s="92" t="n"/>
      <c r="E90" s="93" t="n"/>
      <c r="F90" s="12" t="inlineStr">
        <is>
          <t>Sets enterprise priorities for the function</t>
        </is>
      </c>
      <c r="G90" s="92" t="n"/>
      <c r="H90" s="93" t="n"/>
      <c r="I90" s="12" t="inlineStr">
        <is>
          <t>Enterprise-wide functional results</t>
        </is>
      </c>
      <c r="J90" s="92" t="n"/>
      <c r="K90" s="93" t="n"/>
      <c r="L90" s="12" t="inlineStr">
        <is>
          <t>Shapes enterprise strategy</t>
        </is>
      </c>
      <c r="M90" s="92" t="n"/>
      <c r="N90" s="93" t="n"/>
      <c r="O90" s="12" t="inlineStr">
        <is>
          <t>About 24 yrs</t>
        </is>
      </c>
      <c r="P90" s="92" t="n"/>
      <c r="Q90" s="93" t="n"/>
      <c r="R90" s="12" t="inlineStr">
        <is>
          <t>Shapes company-wide results through a function</t>
        </is>
      </c>
      <c r="S90" s="92" t="n"/>
      <c r="T90" s="93" t="n"/>
    </row>
    <row r="91" ht="28" customHeight="1">
      <c r="A91" s="10" t="inlineStr">
        <is>
          <t>10 · D2</t>
        </is>
      </c>
      <c r="B91" s="93" t="n"/>
      <c r="C91" s="12" t="inlineStr">
        <is>
          <t>Portfolio-level strategic, financial and regulatory trade-offs</t>
        </is>
      </c>
      <c r="D91" s="92" t="n"/>
      <c r="E91" s="93" t="n"/>
      <c r="F91" s="12" t="inlineStr">
        <is>
          <t>Sets direction across business lines</t>
        </is>
      </c>
      <c r="G91" s="92" t="n"/>
      <c r="H91" s="93" t="n"/>
      <c r="I91" s="12" t="inlineStr">
        <is>
          <t>Multi-business results</t>
        </is>
      </c>
      <c r="J91" s="92" t="n"/>
      <c r="K91" s="93" t="n"/>
      <c r="L91" s="12" t="inlineStr">
        <is>
          <t>Builds the leadership team across businesses</t>
        </is>
      </c>
      <c r="M91" s="92" t="n"/>
      <c r="N91" s="93" t="n"/>
      <c r="O91" s="12" t="inlineStr">
        <is>
          <t>About 21 yrs</t>
        </is>
      </c>
      <c r="P91" s="92" t="n"/>
      <c r="Q91" s="93" t="n"/>
      <c r="R91" s="12" t="inlineStr">
        <is>
          <t>Owns the results of several business lines</t>
        </is>
      </c>
      <c r="S91" s="92" t="n"/>
      <c r="T91" s="93" t="n"/>
    </row>
    <row r="92" ht="28" customHeight="1">
      <c r="A92" s="10" t="inlineStr">
        <is>
          <t>9 · D1</t>
        </is>
      </c>
      <c r="B92" s="93" t="n"/>
      <c r="C92" s="12" t="inlineStr">
        <is>
          <t>Competing strategic, financial and regulatory priorities</t>
        </is>
      </c>
      <c r="D92" s="92" t="n"/>
      <c r="E92" s="93" t="n"/>
      <c r="F92" s="12" t="inlineStr">
        <is>
          <t>Sets business-line direction, pricing and investment</t>
        </is>
      </c>
      <c r="G92" s="92" t="n"/>
      <c r="H92" s="93" t="n"/>
      <c r="I92" s="12" t="inlineStr">
        <is>
          <t>Business-line P&amp;L and market position</t>
        </is>
      </c>
      <c r="J92" s="92" t="n"/>
      <c r="K92" s="93" t="n"/>
      <c r="L92" s="12" t="inlineStr">
        <is>
          <t>Defines business strategy; builds the leadership bench</t>
        </is>
      </c>
      <c r="M92" s="92" t="n"/>
      <c r="N92" s="93" t="n"/>
      <c r="O92" s="12" t="inlineStr">
        <is>
          <t>About 17.5 yrs</t>
        </is>
      </c>
      <c r="P92" s="92" t="n"/>
      <c r="Q92" s="93" t="n"/>
      <c r="R92" s="12" t="inlineStr">
        <is>
          <t>Owns a business line's P&amp;L and growth, or a company-wide function</t>
        </is>
      </c>
      <c r="S92" s="92" t="n"/>
      <c r="T92" s="93" t="n"/>
    </row>
    <row r="93" ht="41" customHeight="1">
      <c r="A93" s="10" t="inlineStr">
        <is>
          <t>8.5 · C+</t>
        </is>
      </c>
      <c r="B93" s="93" t="n"/>
      <c r="C93" s="12" t="inlineStr">
        <is>
          <t>Function-wide and cross-product problems; personally handles the most critical client or technical work</t>
        </is>
      </c>
      <c r="D93" s="92" t="n"/>
      <c r="E93" s="93" t="n"/>
      <c r="F93" s="12" t="inlineStr">
        <is>
          <t>Sets direction for the function; business-line trade-offs go to the Business Head</t>
        </is>
      </c>
      <c r="G93" s="92" t="n"/>
      <c r="H93" s="93" t="n"/>
      <c r="I93" s="12" t="inlineStr">
        <is>
          <t>Function results, budget and key-client outcomes; carries own book or principal delivery</t>
        </is>
      </c>
      <c r="J93" s="92" t="n"/>
      <c r="K93" s="93" t="n"/>
      <c r="L93" s="12" t="inlineStr">
        <is>
          <t>Leads managers and leads and 10+ people in the function while staying hands-on</t>
        </is>
      </c>
      <c r="M93" s="92" t="n"/>
      <c r="N93" s="93" t="n"/>
      <c r="O93" s="12" t="inlineStr">
        <is>
          <t>About 16 yrs</t>
        </is>
      </c>
      <c r="P93" s="92" t="n"/>
      <c r="Q93" s="93" t="n"/>
      <c r="R93" s="12" t="inlineStr">
        <is>
          <t>Drives a function's results and personally wins or delivers key work</t>
        </is>
      </c>
      <c r="S93" s="92" t="n"/>
      <c r="T93" s="93" t="n"/>
    </row>
    <row r="94" ht="28" customHeight="1">
      <c r="A94" s="10" t="inlineStr">
        <is>
          <t>8 · C2</t>
        </is>
      </c>
      <c r="B94" s="93" t="n"/>
      <c r="C94" s="12" t="inlineStr">
        <is>
          <t>Function-wide or company-wide problems; creates methods and standards</t>
        </is>
      </c>
      <c r="D94" s="92" t="n"/>
      <c r="E94" s="93" t="n"/>
      <c r="F94" s="12" t="inlineStr">
        <is>
          <t>Sets direction for a function</t>
        </is>
      </c>
      <c r="G94" s="92" t="n"/>
      <c r="H94" s="93" t="n"/>
      <c r="I94" s="12" t="inlineStr">
        <is>
          <t>Function results, budget and risk</t>
        </is>
      </c>
      <c r="J94" s="92" t="n"/>
      <c r="K94" s="93" t="n"/>
      <c r="L94" s="12" t="inlineStr">
        <is>
          <t>Leads a function; shapes functional strategy</t>
        </is>
      </c>
      <c r="M94" s="92" t="n"/>
      <c r="N94" s="93" t="n"/>
      <c r="O94" s="12" t="inlineStr">
        <is>
          <t>About 14.5 yrs</t>
        </is>
      </c>
      <c r="P94" s="92" t="n"/>
      <c r="Q94" s="93" t="n"/>
      <c r="R94" s="12" t="inlineStr">
        <is>
          <t>Drives a function's or department's results and costs</t>
        </is>
      </c>
      <c r="S94" s="92" t="n"/>
      <c r="T94" s="93" t="n"/>
    </row>
    <row r="95" ht="28" customHeight="1">
      <c r="A95" s="10" t="inlineStr">
        <is>
          <t>7 · C1</t>
        </is>
      </c>
      <c r="B95" s="93" t="n"/>
      <c r="C95" s="12" t="inlineStr">
        <is>
          <t>Ambiguous, cross-product problems</t>
        </is>
      </c>
      <c r="D95" s="92" t="n"/>
      <c r="E95" s="93" t="n"/>
      <c r="F95" s="12" t="inlineStr">
        <is>
          <t>Sets direction for a sub-function or domain</t>
        </is>
      </c>
      <c r="G95" s="92" t="n"/>
      <c r="H95" s="93" t="n"/>
      <c r="I95" s="12" t="inlineStr">
        <is>
          <t>Sub-function results or domain quality across products</t>
        </is>
      </c>
      <c r="J95" s="92" t="n"/>
      <c r="K95" s="93" t="n"/>
      <c r="L95" s="12" t="inlineStr">
        <is>
          <t>Leads managers or a community of practice</t>
        </is>
      </c>
      <c r="M95" s="92" t="n"/>
      <c r="N95" s="93" t="n"/>
      <c r="O95" s="12" t="inlineStr">
        <is>
          <t>About 12 yrs</t>
        </is>
      </c>
      <c r="P95" s="92" t="n"/>
      <c r="Q95" s="93" t="n"/>
      <c r="R95" s="12" t="inlineStr">
        <is>
          <t>Changes results across a sub-function or across products</t>
        </is>
      </c>
      <c r="S95" s="92" t="n"/>
      <c r="T95" s="93" t="n"/>
    </row>
    <row r="96" ht="54" customHeight="1">
      <c r="A96" s="10" t="inlineStr">
        <is>
          <t>6.5 · B+</t>
        </is>
      </c>
      <c r="B96" s="93" t="n"/>
      <c r="C96" s="12" t="inlineStr">
        <is>
          <t>Principal-level problems in own domain; sets technical or quality standards and still builds</t>
        </is>
      </c>
      <c r="D96" s="92" t="n"/>
      <c r="E96" s="93" t="n"/>
      <c r="F96" s="12" t="inlineStr">
        <is>
          <t>Decides approach and priorities for the practice; escalates only cross-function trade-offs</t>
        </is>
      </c>
      <c r="G96" s="92" t="n"/>
      <c r="H96" s="93" t="n"/>
      <c r="I96" s="12" t="inlineStr">
        <is>
          <t>Practice outcomes plus own deliverables; quality and delivery of the team</t>
        </is>
      </c>
      <c r="J96" s="92" t="n"/>
      <c r="K96" s="93" t="n"/>
      <c r="L96" s="12" t="inlineStr">
        <is>
          <t>Leads 3–6 people · or a pod while remaining a hands-on expert; coaches, allocates, reviews</t>
        </is>
      </c>
      <c r="M96" s="92" t="n"/>
      <c r="N96" s="93" t="n"/>
      <c r="O96" s="12" t="inlineStr">
        <is>
          <t>About 11–12 yrs</t>
        </is>
      </c>
      <c r="P96" s="92" t="n"/>
      <c r="Q96" s="93" t="n"/>
      <c r="R96" s="12" t="inlineStr">
        <is>
          <t>Drives a practice's results while delivering the hardest work</t>
        </is>
      </c>
      <c r="S96" s="92" t="n"/>
      <c r="T96" s="93" t="n"/>
    </row>
    <row r="97" ht="41" customHeight="1">
      <c r="A97" s="10" t="inlineStr">
        <is>
          <t>6 · B3</t>
        </is>
      </c>
      <c r="B97" s="93" t="n"/>
      <c r="C97" s="12" t="inlineStr">
        <is>
          <t>Sets standards for a practice; cross-team problems</t>
        </is>
      </c>
      <c r="D97" s="92" t="n"/>
      <c r="E97" s="93" t="n"/>
      <c r="F97" s="12" t="inlineStr">
        <is>
          <t>Commercial / strategic calls for the unit</t>
        </is>
      </c>
      <c r="G97" s="92" t="n"/>
      <c r="H97" s="93" t="n"/>
      <c r="I97" s="12" t="inlineStr">
        <is>
          <t>Several teams or a practice</t>
        </is>
      </c>
      <c r="J97" s="92" t="n"/>
      <c r="K97" s="93" t="n"/>
      <c r="L97" s="12" t="inlineStr">
        <is>
          <r>
            <rPr>
              <rFont val="Calibri"/>
              <b val="1"/>
              <sz val="10"/>
            </rPr>
            <t>IC:</t>
          </r>
          <r>
            <rPr>
              <rFont val="Calibri"/>
              <sz val="10"/>
            </rPr>
            <t xml:space="preserve"> leads a practice · People: team leads / managers report in</t>
          </r>
        </is>
      </c>
      <c r="M97" s="92" t="n"/>
      <c r="N97" s="93" t="n"/>
      <c r="O97" s="12" t="inlineStr">
        <is>
          <t>About 10 yrs</t>
        </is>
      </c>
      <c r="P97" s="92" t="n"/>
      <c r="Q97" s="93" t="n"/>
      <c r="R97" s="12" t="inlineStr">
        <is>
          <t>Shapes the results of a practice or several teams</t>
        </is>
      </c>
      <c r="S97" s="92" t="n"/>
      <c r="T97" s="93" t="n"/>
    </row>
    <row r="98" ht="41" customHeight="1">
      <c r="A98" s="10" t="inlineStr">
        <is>
          <t>5 · B2</t>
        </is>
      </c>
      <c r="B98" s="93" t="n"/>
      <c r="C98" s="12" t="inlineStr">
        <is>
          <t>Hardest problems in the domain</t>
        </is>
      </c>
      <c r="D98" s="92" t="n"/>
      <c r="E98" s="93" t="n"/>
      <c r="F98" s="12" t="inlineStr">
        <is>
          <t>Allocates people and sets team priorities</t>
        </is>
      </c>
      <c r="G98" s="92" t="n"/>
      <c r="H98" s="93" t="n"/>
      <c r="I98" s="12" t="inlineStr">
        <is>
          <t>One team or a client portfolio</t>
        </is>
      </c>
      <c r="J98" s="92" t="n"/>
      <c r="K98" s="93" t="n"/>
      <c r="L98" s="12" t="inlineStr">
        <is>
          <r>
            <rPr>
              <rFont val="Calibri"/>
              <b val="1"/>
              <sz val="10"/>
            </rPr>
            <t>IC:</t>
          </r>
          <r>
            <rPr>
              <rFont val="Calibri"/>
              <sz val="10"/>
            </rPr>
            <t xml:space="preserve"> guides others in the domain · People: manages a team of 6+</t>
          </r>
        </is>
      </c>
      <c r="M98" s="92" t="n"/>
      <c r="N98" s="93" t="n"/>
      <c r="O98" s="12" t="inlineStr">
        <is>
          <t>About 7.5 yrs</t>
        </is>
      </c>
      <c r="P98" s="92" t="n"/>
      <c r="Q98" s="93" t="n"/>
      <c r="R98" s="12" t="inlineStr">
        <is>
          <t>Visible effect on a team's or client portfolio's revenue, quality or compliance</t>
        </is>
      </c>
      <c r="S98" s="92" t="n"/>
      <c r="T98" s="93" t="n"/>
    </row>
    <row r="99" ht="41" customHeight="1">
      <c r="A99" s="10" t="inlineStr">
        <is>
          <t>4 · B1</t>
        </is>
      </c>
      <c r="B99" s="93" t="n"/>
      <c r="C99" s="12" t="inlineStr">
        <is>
          <t>Domain specialist work</t>
        </is>
      </c>
      <c r="D99" s="92" t="n"/>
      <c r="E99" s="93" t="n"/>
      <c r="F99" s="12" t="inlineStr">
        <is>
          <t>Technical / QC / client calls for the domain</t>
        </is>
      </c>
      <c r="G99" s="92" t="n"/>
      <c r="H99" s="93" t="n"/>
      <c r="I99" s="12" t="inlineStr">
        <is>
          <t>A domain or a small team</t>
        </is>
      </c>
      <c r="J99" s="92" t="n"/>
      <c r="K99" s="93" t="n"/>
      <c r="L99" s="12" t="inlineStr">
        <is>
          <r>
            <rPr>
              <rFont val="Calibri"/>
              <b val="1"/>
              <sz val="10"/>
            </rPr>
            <t>IC:</t>
          </r>
          <r>
            <rPr>
              <rFont val="Calibri"/>
              <sz val="10"/>
            </rPr>
            <t xml:space="preserve"> mentors and reviews · People: hands-on team lead of 3–5</t>
          </r>
        </is>
      </c>
      <c r="M99" s="92" t="n"/>
      <c r="N99" s="93" t="n"/>
      <c r="O99" s="12" t="inlineStr">
        <is>
          <t>About 5.5 yrs</t>
        </is>
      </c>
      <c r="P99" s="92" t="n"/>
      <c r="Q99" s="93" t="n"/>
      <c r="R99" s="12" t="inlineStr">
        <is>
          <t>Moves a module's, product area's or client account's results</t>
        </is>
      </c>
      <c r="S99" s="92" t="n"/>
      <c r="T99" s="93" t="n"/>
    </row>
    <row r="100" ht="41" customHeight="1">
      <c r="A100" s="10" t="inlineStr">
        <is>
          <t>3 · A3</t>
        </is>
      </c>
      <c r="B100" s="93" t="n"/>
      <c r="C100" s="12" t="inlineStr">
        <is>
          <t>Varied and non-standard work; handles exceptions</t>
        </is>
      </c>
      <c r="D100" s="92" t="n"/>
      <c r="E100" s="93" t="n"/>
      <c r="F100" s="12" t="inlineStr">
        <is>
          <t>Technical / QC / client calls on own work</t>
        </is>
      </c>
      <c r="G100" s="92" t="n"/>
      <c r="H100" s="93" t="n"/>
      <c r="I100" s="12" t="inlineStr">
        <is>
          <t>A module / process, or work with client or regulatory consequences</t>
        </is>
      </c>
      <c r="J100" s="92" t="n"/>
      <c r="K100" s="93" t="n"/>
      <c r="L100" s="12" t="inlineStr">
        <is>
          <t>Not scored in Band A</t>
        </is>
      </c>
      <c r="M100" s="92" t="n"/>
      <c r="N100" s="93" t="n"/>
      <c r="O100" s="12" t="inlineStr">
        <is>
          <t>About 3 yrs</t>
        </is>
      </c>
      <c r="P100" s="92" t="n"/>
      <c r="Q100" s="93" t="n"/>
      <c r="R100" s="12" t="inlineStr">
        <is>
          <t>A process or client deliverable depends on this work</t>
        </is>
      </c>
      <c r="S100" s="92" t="n"/>
      <c r="T100" s="93" t="n"/>
    </row>
    <row r="101" ht="28" customHeight="1">
      <c r="A101" s="10" t="inlineStr">
        <is>
          <t>2 · A2</t>
        </is>
      </c>
      <c r="B101" s="93" t="n"/>
      <c r="C101" s="12" t="inlineStr">
        <is>
          <t>Standard work of the discipline</t>
        </is>
      </c>
      <c r="D101" s="92" t="n"/>
      <c r="E101" s="93" t="n"/>
      <c r="F101" s="12" t="inlineStr">
        <is>
          <t>Chooses own approach within standards</t>
        </is>
      </c>
      <c r="G101" s="92" t="n"/>
      <c r="H101" s="93" t="n"/>
      <c r="I101" s="12" t="inlineStr">
        <is>
          <t>Own deliverables · accuracy, TAT</t>
        </is>
      </c>
      <c r="J101" s="92" t="n"/>
      <c r="K101" s="93" t="n"/>
      <c r="L101" s="12" t="inlineStr">
        <is>
          <t>Not scored in Band A</t>
        </is>
      </c>
      <c r="M101" s="92" t="n"/>
      <c r="N101" s="93" t="n"/>
      <c r="O101" s="12" t="inlineStr">
        <is>
          <t>About 1 yr</t>
        </is>
      </c>
      <c r="P101" s="92" t="n"/>
      <c r="Q101" s="93" t="n"/>
      <c r="R101" s="12" t="inlineStr">
        <is>
          <t>Own deliverables feed a team's output and turnaround</t>
        </is>
      </c>
      <c r="S101" s="92" t="n"/>
      <c r="T101" s="93" t="n"/>
    </row>
    <row r="102" ht="28" customHeight="1">
      <c r="A102" s="10" t="inlineStr">
        <is>
          <t>1 · A1</t>
        </is>
      </c>
      <c r="B102" s="93" t="n"/>
      <c r="C102" s="12" t="inlineStr">
        <is>
          <t>Learning; follows worked examples</t>
        </is>
      </c>
      <c r="D102" s="92" t="n"/>
      <c r="E102" s="93" t="n"/>
      <c r="F102" s="12" t="inlineStr">
        <is>
          <t>Needs approval / close guidance</t>
        </is>
      </c>
      <c r="G102" s="92" t="n"/>
      <c r="H102" s="93" t="n"/>
      <c r="I102" s="12" t="inlineStr">
        <is>
          <t>Learning tasks</t>
        </is>
      </c>
      <c r="J102" s="92" t="n"/>
      <c r="K102" s="93" t="n"/>
      <c r="L102" s="12" t="inlineStr">
        <is>
          <t>Not scored in Band A</t>
        </is>
      </c>
      <c r="M102" s="92" t="n"/>
      <c r="N102" s="93" t="n"/>
      <c r="O102" s="12" t="inlineStr">
        <is>
          <t>No experience yet</t>
        </is>
      </c>
      <c r="P102" s="92" t="n"/>
      <c r="Q102" s="93" t="n"/>
      <c r="R102" s="12" t="inlineStr">
        <is>
          <t>Learning; little direct effect on business results yet</t>
        </is>
      </c>
      <c r="S102" s="92" t="n"/>
      <c r="T102" s="93" t="n"/>
    </row>
    <row r="103" ht="15" customHeight="1"/>
    <row r="104" ht="15" customHeight="1">
      <c r="A104" s="40" t="inlineStr">
        <is>
          <r>
            <rPr>
              <rFont val="Calibri"/>
              <b val="1"/>
              <i val="1"/>
              <color rgb="00595959"/>
              <sz val="10"/>
            </rPr>
            <t>The ladder scale:</t>
          </r>
          <r>
            <rPr>
              <rFont val="Calibri"/>
              <i val="1"/>
              <color rgb="00595959"/>
              <sz val="10"/>
            </rPr>
            <t xml:space="preserve"> Sources: S01, S02 Aon Radford and Pave level codes · S08 SFIA levels of responsibility. Full links: source register, HR Super Master sheet 11 and Framework Master M16.</t>
          </r>
        </is>
      </c>
    </row>
  </sheetData>
  <mergeCells count="198">
    <mergeCell ref="R99:T99"/>
    <mergeCell ref="L93:N93"/>
    <mergeCell ref="C55:H55"/>
    <mergeCell ref="A58:T58"/>
    <mergeCell ref="I54:T54"/>
    <mergeCell ref="A64:B64"/>
    <mergeCell ref="C63:T63"/>
    <mergeCell ref="A84:F84"/>
    <mergeCell ref="A51:B51"/>
    <mergeCell ref="I97:K97"/>
    <mergeCell ref="A98:B98"/>
    <mergeCell ref="A15:T15"/>
    <mergeCell ref="O84:T84"/>
    <mergeCell ref="A73:T73"/>
    <mergeCell ref="I96:K96"/>
    <mergeCell ref="A88:B88"/>
    <mergeCell ref="R101:T101"/>
    <mergeCell ref="F100:H100"/>
    <mergeCell ref="A60:T60"/>
    <mergeCell ref="R91:T91"/>
    <mergeCell ref="C95:E95"/>
    <mergeCell ref="R100:T100"/>
    <mergeCell ref="A54:B54"/>
    <mergeCell ref="I98:K98"/>
    <mergeCell ref="O80:T80"/>
    <mergeCell ref="A90:B90"/>
    <mergeCell ref="C52:H52"/>
    <mergeCell ref="F102:H102"/>
    <mergeCell ref="G81:J81"/>
    <mergeCell ref="A99:B99"/>
    <mergeCell ref="L100:N100"/>
    <mergeCell ref="I88:K88"/>
    <mergeCell ref="O79:T79"/>
    <mergeCell ref="C91:E91"/>
    <mergeCell ref="F92:H92"/>
    <mergeCell ref="A81:F81"/>
    <mergeCell ref="A101:B101"/>
    <mergeCell ref="O90:Q90"/>
    <mergeCell ref="C67:T67"/>
    <mergeCell ref="O81:T81"/>
    <mergeCell ref="I50:T50"/>
    <mergeCell ref="G82:J82"/>
    <mergeCell ref="C101:E101"/>
    <mergeCell ref="A2:T2"/>
    <mergeCell ref="L95:N95"/>
    <mergeCell ref="O78:T78"/>
    <mergeCell ref="O101:Q101"/>
    <mergeCell ref="A53:B53"/>
    <mergeCell ref="A62:B62"/>
    <mergeCell ref="A82:F82"/>
    <mergeCell ref="L97:N97"/>
    <mergeCell ref="C62:T62"/>
    <mergeCell ref="R88:T88"/>
    <mergeCell ref="F89:H89"/>
    <mergeCell ref="A72:T72"/>
    <mergeCell ref="I100:K100"/>
    <mergeCell ref="C64:T64"/>
    <mergeCell ref="C99:E99"/>
    <mergeCell ref="R90:T90"/>
    <mergeCell ref="C94:E94"/>
    <mergeCell ref="C50:H50"/>
    <mergeCell ref="A48:T48"/>
    <mergeCell ref="L89:N89"/>
    <mergeCell ref="I102:K102"/>
    <mergeCell ref="A59:T59"/>
    <mergeCell ref="F101:H101"/>
    <mergeCell ref="L88:N88"/>
    <mergeCell ref="A61:B61"/>
    <mergeCell ref="F91:H91"/>
    <mergeCell ref="I92:K92"/>
    <mergeCell ref="G84:J84"/>
    <mergeCell ref="O95:Q95"/>
    <mergeCell ref="A70:T70"/>
    <mergeCell ref="K78:N78"/>
    <mergeCell ref="O89:Q89"/>
    <mergeCell ref="F93:H93"/>
    <mergeCell ref="A89:B89"/>
    <mergeCell ref="A8:I8"/>
    <mergeCell ref="L99:N99"/>
    <mergeCell ref="K80:N80"/>
    <mergeCell ref="I51:T51"/>
    <mergeCell ref="A74:T74"/>
    <mergeCell ref="R102:T102"/>
    <mergeCell ref="K79:N79"/>
    <mergeCell ref="C66:T66"/>
    <mergeCell ref="R92:T92"/>
    <mergeCell ref="A71:T71"/>
    <mergeCell ref="A76:T76"/>
    <mergeCell ref="I90:K90"/>
    <mergeCell ref="A91:B91"/>
    <mergeCell ref="K81:N81"/>
    <mergeCell ref="A100:B100"/>
    <mergeCell ref="C6:H6"/>
    <mergeCell ref="C89:E89"/>
    <mergeCell ref="A52:B52"/>
    <mergeCell ref="L101:N101"/>
    <mergeCell ref="R94:T94"/>
    <mergeCell ref="A63:B63"/>
    <mergeCell ref="I49:T49"/>
    <mergeCell ref="A79:F79"/>
    <mergeCell ref="C88:E88"/>
    <mergeCell ref="A93:B93"/>
    <mergeCell ref="I101:K101"/>
    <mergeCell ref="A102:B102"/>
    <mergeCell ref="A10:T10"/>
    <mergeCell ref="I91:K91"/>
    <mergeCell ref="F95:H95"/>
    <mergeCell ref="A92:B92"/>
    <mergeCell ref="C54:H54"/>
    <mergeCell ref="C65:T65"/>
    <mergeCell ref="O93:Q93"/>
    <mergeCell ref="A49:B49"/>
    <mergeCell ref="R89:T89"/>
    <mergeCell ref="K82:N82"/>
    <mergeCell ref="O99:Q99"/>
    <mergeCell ref="I93:K93"/>
    <mergeCell ref="I53:T53"/>
    <mergeCell ref="F97:H97"/>
    <mergeCell ref="A94:B94"/>
    <mergeCell ref="A11:T11"/>
    <mergeCell ref="A1:T1"/>
    <mergeCell ref="F90:H90"/>
    <mergeCell ref="I55:T55"/>
    <mergeCell ref="A65:B65"/>
    <mergeCell ref="I52:T52"/>
    <mergeCell ref="K83:N83"/>
    <mergeCell ref="A87:T87"/>
    <mergeCell ref="O94:Q94"/>
    <mergeCell ref="L96:N96"/>
    <mergeCell ref="A55:B55"/>
    <mergeCell ref="L90:N90"/>
    <mergeCell ref="I94:K94"/>
    <mergeCell ref="O82:T82"/>
    <mergeCell ref="A12:T12"/>
    <mergeCell ref="R93:T93"/>
    <mergeCell ref="C53:H53"/>
    <mergeCell ref="C96:E96"/>
    <mergeCell ref="A57:T57"/>
    <mergeCell ref="A83:F83"/>
    <mergeCell ref="C92:E92"/>
    <mergeCell ref="O96:Q96"/>
    <mergeCell ref="A14:T14"/>
    <mergeCell ref="L91:N91"/>
    <mergeCell ref="I95:K95"/>
    <mergeCell ref="A96:B96"/>
    <mergeCell ref="I89:K89"/>
    <mergeCell ref="C98:E98"/>
    <mergeCell ref="G78:J78"/>
    <mergeCell ref="F99:H99"/>
    <mergeCell ref="O98:Q98"/>
    <mergeCell ref="O83:T83"/>
    <mergeCell ref="A78:F78"/>
    <mergeCell ref="A67:B67"/>
    <mergeCell ref="G80:J80"/>
    <mergeCell ref="G79:J79"/>
    <mergeCell ref="C93:E93"/>
    <mergeCell ref="F94:H94"/>
    <mergeCell ref="A80:F80"/>
    <mergeCell ref="O88:Q88"/>
    <mergeCell ref="A77:T77"/>
    <mergeCell ref="L92:N92"/>
    <mergeCell ref="C90:E90"/>
    <mergeCell ref="L102:N102"/>
    <mergeCell ref="R95:T95"/>
    <mergeCell ref="C51:H51"/>
    <mergeCell ref="L94:N94"/>
    <mergeCell ref="A69:T69"/>
    <mergeCell ref="R97:T97"/>
    <mergeCell ref="A66:B66"/>
    <mergeCell ref="F96:H96"/>
    <mergeCell ref="C61:T61"/>
    <mergeCell ref="O91:Q91"/>
    <mergeCell ref="C7:H7"/>
    <mergeCell ref="R96:T96"/>
    <mergeCell ref="A50:B50"/>
    <mergeCell ref="O100:Q100"/>
    <mergeCell ref="A75:T75"/>
    <mergeCell ref="F98:H98"/>
    <mergeCell ref="I99:K99"/>
    <mergeCell ref="A95:B95"/>
    <mergeCell ref="C102:E102"/>
    <mergeCell ref="A3:T3"/>
    <mergeCell ref="A86:T86"/>
    <mergeCell ref="R98:T98"/>
    <mergeCell ref="O102:Q102"/>
    <mergeCell ref="C49:H49"/>
    <mergeCell ref="F88:H88"/>
    <mergeCell ref="A104:T104"/>
    <mergeCell ref="A97:B97"/>
    <mergeCell ref="A5:T5"/>
    <mergeCell ref="L98:N98"/>
    <mergeCell ref="K84:N84"/>
    <mergeCell ref="G83:J83"/>
    <mergeCell ref="C97:E97"/>
    <mergeCell ref="O92:Q92"/>
    <mergeCell ref="O97:Q97"/>
    <mergeCell ref="C100:E100"/>
    <mergeCell ref="A13:T13"/>
  </mergeCells>
  <conditionalFormatting sqref="G17:G46">
    <cfRule type="colorScale" priority="1">
      <colorScale>
        <cfvo type="num" val="0"/>
        <cfvo type="num" val="40"/>
        <color rgb="00FFFFFF"/>
        <color rgb="00A9D08E"/>
      </colorScale>
    </cfRule>
  </conditionalFormatting>
  <conditionalFormatting sqref="H17:H46">
    <cfRule type="colorScale" priority="2">
      <colorScale>
        <cfvo type="num" val="0"/>
        <cfvo type="num" val="40"/>
        <color rgb="00FFFFFF"/>
        <color rgb="00A9D08E"/>
      </colorScale>
    </cfRule>
  </conditionalFormatting>
  <conditionalFormatting sqref="I17:I46">
    <cfRule type="colorScale" priority="3">
      <colorScale>
        <cfvo type="num" val="0"/>
        <cfvo type="num" val="40"/>
        <color rgb="00FFFFFF"/>
        <color rgb="00A9D08E"/>
      </colorScale>
    </cfRule>
  </conditionalFormatting>
  <conditionalFormatting sqref="J17:J46">
    <cfRule type="colorScale" priority="4">
      <colorScale>
        <cfvo type="num" val="0"/>
        <cfvo type="num" val="40"/>
        <color rgb="00FFFFFF"/>
        <color rgb="00A9D08E"/>
      </colorScale>
    </cfRule>
  </conditionalFormatting>
  <conditionalFormatting sqref="K17:K46">
    <cfRule type="colorScale" priority="5">
      <colorScale>
        <cfvo type="num" val="0"/>
        <cfvo type="num" val="40"/>
        <color rgb="00FFFFFF"/>
        <color rgb="00A9D08E"/>
      </colorScale>
    </cfRule>
  </conditionalFormatting>
  <conditionalFormatting sqref="L17:L46">
    <cfRule type="colorScale" priority="6">
      <colorScale>
        <cfvo type="num" val="0"/>
        <cfvo type="num" val="40"/>
        <color rgb="00FFFFFF"/>
        <color rgb="00A9D08E"/>
      </colorScale>
    </cfRule>
  </conditionalFormatting>
  <dataValidations count="2">
    <dataValidation sqref="G17:L46" showDropDown="0" showInputMessage="0" showErrorMessage="1" allowBlank="1" errorTitle="Weight" error="Enter a weight from 0 to 100 (%)." type="decimal" operator="between">
      <formula1>0</formula1>
      <formula2>100</formula2>
    </dataValidation>
    <dataValidation sqref="B6:B7" showDropDown="0" showInputMessage="0" showErrorMessage="1" allowBlank="0" errorTitle="Experience weight" error="Enter a weight from 0 to 50 (%)." type="decimal" operator="between">
      <formula1>0</formula1>
      <formula2>50</formula2>
    </dataValidation>
  </dataValidations>
  <hyperlinks>
    <hyperlink xmlns:r="http://schemas.openxmlformats.org/officeDocument/2006/relationships" ref="U1" r:id="rId1"/>
  </hyperlinks>
  <pageMargins left="0.4" right="0.4" top="0.5" bottom="0.5" header="0.5" footer="0.5"/>
  <pageSetup orientation="landscape" paperSize="8" fitToHeight="0" fitToWidth="1"/>
  <headerFooter>
    <oddHeader/>
    <oddFooter>&amp;LIRIS · Job Architecture &amp; Job Design · Final v1.12 · October 2026 · Internal — Confidential&amp;RPage &amp;P of &amp;N</oddFooter>
    <evenHeader/>
    <evenFooter/>
    <firstHeader/>
    <firstFooter/>
  </headerFooter>
  <legacyDrawing xmlns:r="http://schemas.openxmlformats.org/officeDocument/2006/relationships" r:id="anysvml"/>
  <tableParts count="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IRIS HR — Job Architecture &amp; Job Design</dc:creator>
  <dc:title xmlns:dc="http://purl.org/dc/elements/1.1/">IRIS Job Architecture — CARBON (simplified product edition)</dc:title>
  <dcterms:created xmlns:dcterms="http://purl.org/dc/terms/" xmlns:xsi="http://www.w3.org/2001/XMLSchema-instance" xsi:type="dcterms:W3CDTF">2026-10-12T06:11:34Z</dcterms:created>
  <dcterms:modified xmlns:dcterms="http://purl.org/dc/terms/" xmlns:xsi="http://www.w3.org/2001/XMLSchema-instance" xsi:type="dcterms:W3CDTF">2026-10-12T06:13:41Z</dcterms:modified>
</cp:coreProperties>
</file>