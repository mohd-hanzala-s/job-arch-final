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comments/comment1.xml" ContentType="application/vnd.openxmlformats-officedocument.spreadsheetml.comments+xml"/>
  <Override PartName="/xl/tables/table1.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omments/comment2.xml" ContentType="application/vnd.openxmlformats-officedocument.spreadsheetml.comments+xml"/>
  <Override PartName="/xl/tables/table2.xml" ContentType="application/vnd.openxmlformats-officedocument.spreadsheetml.table+xml"/>
  <Override PartName="/xl/worksheets/sheet7.xml" ContentType="application/vnd.openxmlformats-officedocument.spreadsheetml.worksheet+xml"/>
  <Override PartName="/xl/comments/comment3.xml" ContentType="application/vnd.openxmlformats-officedocument.spreadsheetml.comments+xml"/>
  <Override PartName="/xl/tables/table3.xml" ContentType="application/vnd.openxmlformats-officedocument.spreadsheetml.table+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 How It Works" sheetId="1" state="visible" r:id="rId1"/>
    <sheet xmlns:r="http://schemas.openxmlformats.org/officeDocument/2006/relationships" name="1. Start Here" sheetId="2" state="visible" r:id="rId2"/>
    <sheet xmlns:r="http://schemas.openxmlformats.org/officeDocument/2006/relationships" name="2. People &amp; Levels" sheetId="3" state="visible" r:id="rId3"/>
    <sheet xmlns:r="http://schemas.openxmlformats.org/officeDocument/2006/relationships" name="3. Roles" sheetId="4" state="visible" r:id="rId4"/>
    <sheet xmlns:r="http://schemas.openxmlformats.org/officeDocument/2006/relationships" name="4. Decisions &amp; Actions" sheetId="5" state="visible" r:id="rId5"/>
    <sheet xmlns:r="http://schemas.openxmlformats.org/officeDocument/2006/relationships" name="5. Career Ladder" sheetId="6" state="visible" r:id="rId6"/>
    <sheet xmlns:r="http://schemas.openxmlformats.org/officeDocument/2006/relationships" name="6. Weightage Matrix" sheetId="7" state="visible" r:id="rId7"/>
  </sheets>
  <definedNames>
    <definedName name="WM_EXP_AB">'6. Weightage Matrix'!$B$6</definedName>
    <definedName name="WM_EXP_CE">'6. Weightage Matrix'!$B$7</definedName>
    <definedName name="WM_C">'6. Weightage Matrix'!$N$17:$N$29</definedName>
    <definedName name="WM_AU">'6. Weightage Matrix'!$O$17:$O$29</definedName>
    <definedName name="WM_AC">'6. Weightage Matrix'!$P$17:$P$29</definedName>
    <definedName name="WM_L">'6. Weightage Matrix'!$Q$17:$Q$29</definedName>
    <definedName name="WM_E">'6. Weightage Matrix'!$R$17:$R$29</definedName>
    <definedName name="WM_BI">'6. Weightage Matrix'!$S$17:$S$29</definedName>
    <definedName name="WM_KEY">'6. Weightage Matrix'!$A$17:$A$29</definedName>
    <definedName name="_xlnm.Print_Titles" localSheetId="2">'2. People &amp; Levels'!$5:$6</definedName>
    <definedName name="_xlnm._FilterDatabase" localSheetId="3" hidden="1">'3. Roles'!$A$6:$V$41</definedName>
    <definedName name="_xlnm.Print_Titles" localSheetId="3">'3. Roles'!$5:$6</definedName>
    <definedName name="_xlnm.Print_Titles" localSheetId="5">'5. Career Ladder'!$5:$6</definedName>
    <definedName name="_xlnm.Print_Titles" localSheetId="6">'6. Weightage Matrix'!$15:$16</definedName>
  </definedNames>
  <calcPr calcId="124519" fullCalcOnLoad="1"/>
</workbook>
</file>

<file path=xl/styles.xml><?xml version="1.0" encoding="utf-8"?>
<styleSheet xmlns="http://schemas.openxmlformats.org/spreadsheetml/2006/main">
  <numFmts count="1">
    <numFmt numFmtId="164" formatCode="0.0"/>
  </numFmts>
  <fonts count="31">
    <font>
      <name val="Calibri"/>
      <family val="2"/>
      <color theme="1"/>
      <sz val="11"/>
      <scheme val="minor"/>
    </font>
    <font>
      <name val="Calibri"/>
      <b val="1"/>
      <color rgb="00FFFFFF"/>
      <sz val="18"/>
    </font>
    <font>
      <name val="Calibri"/>
      <i val="1"/>
      <color rgb="00404040"/>
      <sz val="10"/>
    </font>
    <font>
      <name val="Calibri"/>
      <color rgb="007F7F7F"/>
      <sz val="8"/>
    </font>
    <font>
      <name val="Calibri"/>
      <b val="1"/>
      <color rgb="00FFFFFF"/>
      <sz val="12"/>
    </font>
    <font>
      <name val="Calibri"/>
      <sz val="10"/>
    </font>
    <font>
      <name val="Calibri"/>
      <b val="1"/>
      <color rgb="00FFFFFF"/>
      <sz val="10"/>
    </font>
    <font>
      <name val="Calibri"/>
      <b val="1"/>
      <sz val="10"/>
    </font>
    <font>
      <name val="Calibri"/>
      <b val="1"/>
      <color rgb="00FFFFFF"/>
      <sz val="9"/>
    </font>
    <font>
      <name val="Calibri"/>
      <b val="1"/>
      <color rgb="001F3864"/>
      <sz val="18"/>
    </font>
    <font>
      <name val="Calibri"/>
      <i val="1"/>
      <color rgb="00595959"/>
      <sz val="10"/>
    </font>
    <font>
      <name val="Calibri"/>
      <b val="1"/>
      <color rgb="00833C0B"/>
      <sz val="10"/>
    </font>
    <font>
      <name val="Calibri"/>
      <b val="1"/>
      <color rgb="00006100"/>
      <sz val="10"/>
    </font>
    <font>
      <name val="Calibri"/>
      <b val="1"/>
      <color rgb="009C5700"/>
      <sz val="10"/>
    </font>
    <font>
      <name val="Calibri"/>
      <b val="1"/>
      <color rgb="001F4E79"/>
      <sz val="10"/>
    </font>
    <font>
      <name val="Calibri"/>
      <b val="1"/>
      <color rgb="00375623"/>
      <sz val="10"/>
    </font>
    <font>
      <name val="Calibri"/>
      <b val="1"/>
      <color rgb="009C0006"/>
      <sz val="10"/>
    </font>
    <font>
      <name val="Calibri"/>
      <b val="1"/>
      <color rgb="007F6000"/>
      <sz val="10"/>
    </font>
    <font>
      <name val="Calibri"/>
      <b val="1"/>
      <color rgb="00404040"/>
      <sz val="10"/>
    </font>
    <font>
      <name val="Calibri"/>
      <color rgb="009C5700"/>
      <sz val="10"/>
    </font>
    <font>
      <name val="Calibri"/>
      <color rgb="009C0006"/>
      <sz val="10"/>
    </font>
    <font>
      <name val="Calibri"/>
      <b val="1"/>
      <color rgb="001F3864"/>
      <sz val="9"/>
    </font>
    <font>
      <name val="Calibri"/>
      <b val="1"/>
      <color rgb="00833C0B"/>
      <sz val="9"/>
    </font>
    <font>
      <name val="Calibri"/>
      <b val="1"/>
      <color rgb="00006100"/>
      <sz val="9"/>
    </font>
    <font>
      <name val="Calibri"/>
      <b val="1"/>
      <color rgb="009C5700"/>
      <sz val="9"/>
    </font>
    <font>
      <name val="Calibri"/>
      <b val="1"/>
      <color rgb="001F4E79"/>
      <sz val="9"/>
    </font>
    <font>
      <name val="Calibri"/>
      <b val="1"/>
      <color rgb="00375623"/>
      <sz val="9"/>
    </font>
    <font>
      <name val="Calibri"/>
      <b val="1"/>
      <color rgb="009C0006"/>
      <sz val="9"/>
    </font>
    <font>
      <name val="Calibri"/>
      <b val="1"/>
      <color rgb="007F6000"/>
      <sz val="9"/>
    </font>
    <font>
      <name val="Calibri"/>
      <b val="1"/>
      <sz val="12"/>
    </font>
    <font>
      <name val="Calibri"/>
      <b val="1"/>
      <color rgb="000563C1"/>
      <sz val="10"/>
      <u val="single"/>
    </font>
  </fonts>
  <fills count="22">
    <fill>
      <patternFill/>
    </fill>
    <fill>
      <patternFill patternType="gray125"/>
    </fill>
    <fill>
      <patternFill patternType="solid">
        <fgColor rgb="001F3864"/>
      </patternFill>
    </fill>
    <fill>
      <patternFill patternType="solid">
        <fgColor rgb="00D9E1F2"/>
      </patternFill>
    </fill>
    <fill>
      <patternFill patternType="solid">
        <fgColor rgb="002E75B6"/>
      </patternFill>
    </fill>
    <fill>
      <patternFill patternType="solid">
        <fgColor rgb="00F2F2F2"/>
      </patternFill>
    </fill>
    <fill>
      <patternFill patternType="solid">
        <fgColor rgb="00DDEBF7"/>
      </patternFill>
    </fill>
    <fill>
      <patternFill patternType="solid">
        <fgColor rgb="00E2EFDA"/>
      </patternFill>
    </fill>
    <fill>
      <patternFill patternType="solid">
        <fgColor rgb="00D0E8E5"/>
      </patternFill>
    </fill>
    <fill>
      <patternFill patternType="solid">
        <fgColor rgb="00E4DFEC"/>
      </patternFill>
    </fill>
    <fill>
      <patternFill patternType="solid">
        <fgColor rgb="00EDEDED"/>
      </patternFill>
    </fill>
    <fill>
      <patternFill patternType="solid">
        <fgColor rgb="00F8CBAD"/>
      </patternFill>
    </fill>
    <fill>
      <patternFill patternType="solid">
        <fgColor rgb="00C6EFCE"/>
      </patternFill>
    </fill>
    <fill>
      <patternFill patternType="solid">
        <fgColor rgb="00FFEB9C"/>
      </patternFill>
    </fill>
    <fill>
      <patternFill patternType="solid">
        <fgColor rgb="00C6E0B4"/>
      </patternFill>
    </fill>
    <fill>
      <patternFill patternType="solid">
        <fgColor rgb="00FFC7CE"/>
      </patternFill>
    </fill>
    <fill>
      <patternFill patternType="solid">
        <fgColor rgb="00FFF2CC"/>
      </patternFill>
    </fill>
    <fill>
      <patternFill patternType="solid">
        <fgColor rgb="00548235"/>
      </patternFill>
    </fill>
    <fill>
      <patternFill patternType="solid">
        <fgColor rgb="007030A0"/>
      </patternFill>
    </fill>
    <fill>
      <patternFill patternType="solid">
        <fgColor rgb="00C55A11"/>
      </patternFill>
    </fill>
    <fill>
      <patternFill patternType="solid">
        <fgColor rgb="00806000"/>
      </patternFill>
    </fill>
    <fill>
      <patternFill patternType="solid">
        <fgColor rgb="00808080"/>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style="thin">
        <color rgb="00BFBFBF"/>
      </right>
      <top style="thin">
        <color rgb="00BFBFBF"/>
      </top>
      <bottom style="thin">
        <color rgb="00BFBFBF"/>
      </bottom>
      <diagonal/>
    </border>
    <border>
      <left/>
      <right/>
      <top style="thin">
        <color rgb="00BFBFBF"/>
      </top>
      <bottom style="thin">
        <color rgb="00BFBFBF"/>
      </bottom>
      <diagonal/>
    </border>
  </borders>
  <cellStyleXfs count="1">
    <xf numFmtId="0" fontId="0" fillId="0" borderId="0"/>
  </cellStyleXfs>
  <cellXfs count="101">
    <xf numFmtId="0" fontId="0" fillId="0" borderId="0" pivotButton="0" quotePrefix="0" xfId="0"/>
    <xf numFmtId="0" fontId="1" fillId="2" borderId="0" applyAlignment="1" pivotButton="0" quotePrefix="0" xfId="0">
      <alignment vertical="center" indent="1"/>
    </xf>
    <xf numFmtId="0" fontId="0" fillId="2" borderId="0" pivotButton="0" quotePrefix="0" xfId="0"/>
    <xf numFmtId="0" fontId="2" fillId="0" borderId="0" applyAlignment="1" pivotButton="0" quotePrefix="0" xfId="0">
      <alignment vertical="top" wrapText="1" indent="1"/>
    </xf>
    <xf numFmtId="0" fontId="3" fillId="3" borderId="0" applyAlignment="1" pivotButton="0" quotePrefix="0" xfId="0">
      <alignment indent="1"/>
    </xf>
    <xf numFmtId="0" fontId="0" fillId="3" borderId="0" pivotButton="0" quotePrefix="0" xfId="0"/>
    <xf numFmtId="0" fontId="4" fillId="2" borderId="0" applyAlignment="1" pivotButton="0" quotePrefix="0" xfId="0">
      <alignment vertical="center"/>
    </xf>
    <xf numFmtId="0" fontId="5" fillId="0" borderId="0" applyAlignment="1" pivotButton="0" quotePrefix="0" xfId="0">
      <alignment vertical="top" wrapText="1"/>
    </xf>
    <xf numFmtId="0" fontId="6" fillId="4" borderId="1" applyAlignment="1" pivotButton="0" quotePrefix="0" xfId="0">
      <alignment horizontal="center" vertical="top" wrapText="1"/>
    </xf>
    <xf numFmtId="0" fontId="0" fillId="4" borderId="1" pivotButton="0" quotePrefix="0" xfId="0"/>
    <xf numFmtId="0" fontId="7" fillId="0" borderId="1" applyAlignment="1" pivotButton="0" quotePrefix="0" xfId="0">
      <alignment vertical="top" wrapText="1"/>
    </xf>
    <xf numFmtId="0" fontId="0" fillId="0" borderId="1" pivotButton="0" quotePrefix="0" xfId="0"/>
    <xf numFmtId="0" fontId="5" fillId="0" borderId="1" applyAlignment="1" pivotButton="0" quotePrefix="0" xfId="0">
      <alignment vertical="top" wrapText="1"/>
    </xf>
    <xf numFmtId="0" fontId="8" fillId="4" borderId="1" applyAlignment="1" pivotButton="0" quotePrefix="0" xfId="0">
      <alignment horizontal="center" vertical="top" wrapText="1"/>
    </xf>
    <xf numFmtId="0" fontId="9" fillId="5" borderId="1" applyAlignment="1" pivotButton="0" quotePrefix="0" xfId="0">
      <alignment horizontal="center" vertical="top" wrapText="1"/>
    </xf>
    <xf numFmtId="0" fontId="0" fillId="5" borderId="1" pivotButton="0" quotePrefix="0" xfId="0"/>
    <xf numFmtId="0" fontId="7" fillId="6" borderId="1" applyAlignment="1" pivotButton="0" quotePrefix="0" xfId="0">
      <alignment horizontal="center" vertical="top" wrapText="1"/>
    </xf>
    <xf numFmtId="0" fontId="5" fillId="6" borderId="1" applyAlignment="1" pivotButton="0" quotePrefix="0" xfId="0">
      <alignment vertical="top" wrapText="1"/>
    </xf>
    <xf numFmtId="0" fontId="0" fillId="6" borderId="1" pivotButton="0" quotePrefix="0" xfId="0"/>
    <xf numFmtId="0" fontId="5" fillId="6" borderId="1" applyAlignment="1" pivotButton="0" quotePrefix="0" xfId="0">
      <alignment horizontal="center" vertical="top" wrapText="1"/>
    </xf>
    <xf numFmtId="0" fontId="7" fillId="7" borderId="1" applyAlignment="1" pivotButton="0" quotePrefix="0" xfId="0">
      <alignment horizontal="center" vertical="top" wrapText="1"/>
    </xf>
    <xf numFmtId="0" fontId="5" fillId="7" borderId="1" applyAlignment="1" pivotButton="0" quotePrefix="0" xfId="0">
      <alignment vertical="top" wrapText="1"/>
    </xf>
    <xf numFmtId="0" fontId="0" fillId="7" borderId="1" pivotButton="0" quotePrefix="0" xfId="0"/>
    <xf numFmtId="0" fontId="5" fillId="7" borderId="1" applyAlignment="1" pivotButton="0" quotePrefix="0" xfId="0">
      <alignment horizontal="center" vertical="top" wrapText="1"/>
    </xf>
    <xf numFmtId="0" fontId="7" fillId="8" borderId="1" applyAlignment="1" pivotButton="0" quotePrefix="0" xfId="0">
      <alignment horizontal="center" vertical="top" wrapText="1"/>
    </xf>
    <xf numFmtId="0" fontId="5" fillId="8" borderId="1" applyAlignment="1" pivotButton="0" quotePrefix="0" xfId="0">
      <alignment vertical="top" wrapText="1"/>
    </xf>
    <xf numFmtId="0" fontId="0" fillId="8" borderId="1" pivotButton="0" quotePrefix="0" xfId="0"/>
    <xf numFmtId="0" fontId="5" fillId="8" borderId="1" applyAlignment="1" pivotButton="0" quotePrefix="0" xfId="0">
      <alignment horizontal="center" vertical="top" wrapText="1"/>
    </xf>
    <xf numFmtId="0" fontId="7" fillId="9" borderId="1" applyAlignment="1" pivotButton="0" quotePrefix="0" xfId="0">
      <alignment horizontal="center" vertical="top" wrapText="1"/>
    </xf>
    <xf numFmtId="0" fontId="5" fillId="9" borderId="1" applyAlignment="1" pivotButton="0" quotePrefix="0" xfId="0">
      <alignment vertical="top" wrapText="1"/>
    </xf>
    <xf numFmtId="0" fontId="0" fillId="9" borderId="1" pivotButton="0" quotePrefix="0" xfId="0"/>
    <xf numFmtId="0" fontId="5" fillId="9" borderId="1" applyAlignment="1" pivotButton="0" quotePrefix="0" xfId="0">
      <alignment horizontal="center" vertical="top" wrapText="1"/>
    </xf>
    <xf numFmtId="0" fontId="7" fillId="10" borderId="1" applyAlignment="1" pivotButton="0" quotePrefix="0" xfId="0">
      <alignment horizontal="center" vertical="top" wrapText="1"/>
    </xf>
    <xf numFmtId="0" fontId="5" fillId="10" borderId="1" applyAlignment="1" pivotButton="0" quotePrefix="0" xfId="0">
      <alignment vertical="top" wrapText="1"/>
    </xf>
    <xf numFmtId="0" fontId="0" fillId="10" borderId="1" pivotButton="0" quotePrefix="0" xfId="0"/>
    <xf numFmtId="0" fontId="5" fillId="10" borderId="1" applyAlignment="1" pivotButton="0" quotePrefix="0" xfId="0">
      <alignment horizontal="center" vertical="top" wrapText="1"/>
    </xf>
    <xf numFmtId="0" fontId="10" fillId="0" borderId="0" applyAlignment="1" pivotButton="0" quotePrefix="0" xfId="0">
      <alignment vertical="top" wrapText="1"/>
    </xf>
    <xf numFmtId="0" fontId="7" fillId="0" borderId="0" applyAlignment="1" pivotButton="0" quotePrefix="0" xfId="0">
      <alignment vertical="top" wrapText="1"/>
    </xf>
    <xf numFmtId="0" fontId="5" fillId="0" borderId="1" applyAlignment="1" pivotButton="0" quotePrefix="0" xfId="0">
      <alignment horizontal="center" vertical="top" wrapText="1"/>
    </xf>
    <xf numFmtId="0" fontId="11" fillId="11" borderId="1" applyAlignment="1" pivotButton="0" quotePrefix="0" xfId="0">
      <alignment vertical="center" indent="1"/>
    </xf>
    <xf numFmtId="0" fontId="0" fillId="11" borderId="1" pivotButton="0" quotePrefix="0" xfId="0"/>
    <xf numFmtId="0" fontId="12" fillId="12" borderId="1" applyAlignment="1" pivotButton="0" quotePrefix="0" xfId="0">
      <alignment vertical="center" indent="1"/>
    </xf>
    <xf numFmtId="0" fontId="0" fillId="12" borderId="1" pivotButton="0" quotePrefix="0" xfId="0"/>
    <xf numFmtId="0" fontId="13" fillId="13" borderId="1" applyAlignment="1" pivotButton="0" quotePrefix="0" xfId="0">
      <alignment vertical="center" indent="1"/>
    </xf>
    <xf numFmtId="0" fontId="0" fillId="13" borderId="1" pivotButton="0" quotePrefix="0" xfId="0"/>
    <xf numFmtId="0" fontId="14" fillId="6" borderId="1" applyAlignment="1" pivotButton="0" quotePrefix="0" xfId="0">
      <alignment vertical="center" indent="1"/>
    </xf>
    <xf numFmtId="0" fontId="15" fillId="14" borderId="1" applyAlignment="1" pivotButton="0" quotePrefix="0" xfId="0">
      <alignment vertical="center" indent="1"/>
    </xf>
    <xf numFmtId="0" fontId="0" fillId="14" borderId="1" pivotButton="0" quotePrefix="0" xfId="0"/>
    <xf numFmtId="0" fontId="16" fillId="15" borderId="1" applyAlignment="1" pivotButton="0" quotePrefix="0" xfId="0">
      <alignment vertical="center" indent="1"/>
    </xf>
    <xf numFmtId="0" fontId="0" fillId="15" borderId="1" pivotButton="0" quotePrefix="0" xfId="0"/>
    <xf numFmtId="0" fontId="17" fillId="16" borderId="1" applyAlignment="1" pivotButton="0" quotePrefix="0" xfId="0">
      <alignment vertical="center" indent="1"/>
    </xf>
    <xf numFmtId="0" fontId="0" fillId="16" borderId="1" pivotButton="0" quotePrefix="0" xfId="0"/>
    <xf numFmtId="0" fontId="21" fillId="3" borderId="0" applyAlignment="1" pivotButton="0" quotePrefix="0" xfId="0">
      <alignment horizontal="center" vertical="center" wrapText="1"/>
    </xf>
    <xf numFmtId="0" fontId="22" fillId="11" borderId="0" applyAlignment="1" pivotButton="0" quotePrefix="0" xfId="0">
      <alignment horizontal="center" vertical="center" wrapText="1"/>
    </xf>
    <xf numFmtId="0" fontId="23" fillId="12" borderId="0" applyAlignment="1" pivotButton="0" quotePrefix="0" xfId="0">
      <alignment horizontal="center" vertical="center" wrapText="1"/>
    </xf>
    <xf numFmtId="0" fontId="24" fillId="13" borderId="0" applyAlignment="1" pivotButton="0" quotePrefix="0" xfId="0">
      <alignment horizontal="center" vertical="center" wrapText="1"/>
    </xf>
    <xf numFmtId="0" fontId="25" fillId="6" borderId="0" applyAlignment="1" pivotButton="0" quotePrefix="0" xfId="0">
      <alignment horizontal="center" vertical="center" wrapText="1"/>
    </xf>
    <xf numFmtId="0" fontId="0" fillId="6" borderId="0" pivotButton="0" quotePrefix="0" xfId="0"/>
    <xf numFmtId="0" fontId="26" fillId="14" borderId="0" applyAlignment="1" pivotButton="0" quotePrefix="0" xfId="0">
      <alignment horizontal="center" vertical="center" wrapText="1"/>
    </xf>
    <xf numFmtId="0" fontId="0" fillId="14" borderId="0" pivotButton="0" quotePrefix="0" xfId="0"/>
    <xf numFmtId="0" fontId="27" fillId="15" borderId="0" applyAlignment="1" pivotButton="0" quotePrefix="0" xfId="0">
      <alignment horizontal="center" vertical="center" wrapText="1"/>
    </xf>
    <xf numFmtId="0" fontId="0" fillId="15" borderId="0" pivotButton="0" quotePrefix="0" xfId="0"/>
    <xf numFmtId="0" fontId="28" fillId="16" borderId="0" applyAlignment="1" pivotButton="0" quotePrefix="0" xfId="0">
      <alignment horizontal="center" vertical="center" wrapText="1"/>
    </xf>
    <xf numFmtId="0" fontId="0" fillId="16" borderId="0" pivotButton="0" quotePrefix="0" xfId="0"/>
    <xf numFmtId="0" fontId="4" fillId="2" borderId="0" applyAlignment="1" pivotButton="0" quotePrefix="0" xfId="0">
      <alignment vertical="center" wrapText="1"/>
    </xf>
    <xf numFmtId="0" fontId="4" fillId="4" borderId="0" applyAlignment="1" pivotButton="0" quotePrefix="0" xfId="0">
      <alignment vertical="center" wrapText="1"/>
    </xf>
    <xf numFmtId="0" fontId="4" fillId="17" borderId="0" applyAlignment="1" pivotButton="0" quotePrefix="0" xfId="0">
      <alignment vertical="center" wrapText="1"/>
    </xf>
    <xf numFmtId="0" fontId="4" fillId="18" borderId="0" applyAlignment="1" pivotButton="0" quotePrefix="0" xfId="0">
      <alignment vertical="center" wrapText="1"/>
    </xf>
    <xf numFmtId="0" fontId="4" fillId="19" borderId="0" applyAlignment="1" pivotButton="0" quotePrefix="0" xfId="0">
      <alignment vertical="center" wrapText="1"/>
    </xf>
    <xf numFmtId="0" fontId="4" fillId="20" borderId="0" applyAlignment="1" pivotButton="0" quotePrefix="0" xfId="0">
      <alignment vertical="center" wrapText="1"/>
    </xf>
    <xf numFmtId="0" fontId="6" fillId="2" borderId="1" applyAlignment="1" pivotButton="0" quotePrefix="0" xfId="0">
      <alignment horizontal="center" vertical="top" wrapText="1"/>
    </xf>
    <xf numFmtId="0" fontId="6" fillId="17" borderId="1" applyAlignment="1" pivotButton="0" quotePrefix="0" xfId="0">
      <alignment horizontal="center" vertical="top" wrapText="1"/>
    </xf>
    <xf numFmtId="0" fontId="6" fillId="18" borderId="1" applyAlignment="1" pivotButton="0" quotePrefix="0" xfId="0">
      <alignment horizontal="center" vertical="top" wrapText="1"/>
    </xf>
    <xf numFmtId="0" fontId="6" fillId="19" borderId="1" applyAlignment="1" pivotButton="0" quotePrefix="0" xfId="0">
      <alignment horizontal="center" vertical="top" wrapText="1"/>
    </xf>
    <xf numFmtId="0" fontId="6" fillId="20" borderId="1" applyAlignment="1" pivotButton="0" quotePrefix="0" xfId="0">
      <alignment horizontal="center" vertical="top" wrapText="1"/>
    </xf>
    <xf numFmtId="0" fontId="11" fillId="11" borderId="1" applyAlignment="1" pivotButton="0" quotePrefix="0" xfId="0">
      <alignment vertical="top" wrapText="1"/>
    </xf>
    <xf numFmtId="0" fontId="18" fillId="5" borderId="1" applyAlignment="1" pivotButton="0" quotePrefix="0" xfId="0">
      <alignment vertical="top" wrapText="1"/>
    </xf>
    <xf numFmtId="0" fontId="5" fillId="16" borderId="1" applyAlignment="1" pivotButton="0" quotePrefix="0" xfId="0">
      <alignment horizontal="center" vertical="top" wrapText="1"/>
    </xf>
    <xf numFmtId="2" fontId="5" fillId="0" borderId="1" applyAlignment="1" pivotButton="0" quotePrefix="0" xfId="0">
      <alignment horizontal="center" vertical="top" wrapText="1"/>
    </xf>
    <xf numFmtId="0" fontId="5" fillId="16" borderId="1" applyAlignment="1" pivotButton="0" quotePrefix="0" xfId="0">
      <alignment vertical="top" wrapText="1"/>
    </xf>
    <xf numFmtId="0" fontId="13" fillId="13" borderId="1" applyAlignment="1" pivotButton="0" quotePrefix="0" xfId="0">
      <alignment vertical="top" wrapText="1"/>
    </xf>
    <xf numFmtId="0" fontId="19" fillId="13" borderId="1" applyAlignment="1" pivotButton="0" quotePrefix="0" xfId="0">
      <alignment vertical="top" wrapText="1"/>
    </xf>
    <xf numFmtId="0" fontId="12" fillId="12" borderId="1" applyAlignment="1" pivotButton="0" quotePrefix="0" xfId="0">
      <alignment vertical="top" wrapText="1"/>
    </xf>
    <xf numFmtId="0" fontId="14" fillId="6" borderId="1" applyAlignment="1" pivotButton="0" quotePrefix="0" xfId="0">
      <alignment vertical="top" wrapText="1"/>
    </xf>
    <xf numFmtId="0" fontId="20" fillId="15" borderId="1" applyAlignment="1" pivotButton="0" quotePrefix="0" xfId="0">
      <alignment vertical="top" wrapText="1"/>
    </xf>
    <xf numFmtId="0" fontId="4" fillId="4" borderId="0" pivotButton="0" quotePrefix="0" xfId="0"/>
    <xf numFmtId="0" fontId="7" fillId="0" borderId="1" applyAlignment="1" pivotButton="0" quotePrefix="0" xfId="0">
      <alignment horizontal="center" vertical="top" wrapText="1"/>
    </xf>
    <xf numFmtId="0" fontId="6" fillId="4" borderId="1" applyAlignment="1" pivotButton="0" quotePrefix="0" xfId="0">
      <alignment vertical="top" wrapText="1"/>
    </xf>
    <xf numFmtId="0" fontId="0" fillId="0" borderId="5" pivotButton="0" quotePrefix="0" xfId="0"/>
    <xf numFmtId="0" fontId="0" fillId="0" borderId="4" pivotButton="0" quotePrefix="0" xfId="0"/>
    <xf numFmtId="0" fontId="7" fillId="3" borderId="1" applyAlignment="1" pivotButton="0" quotePrefix="0" xfId="0">
      <alignment vertical="top" wrapText="1"/>
    </xf>
    <xf numFmtId="0" fontId="5" fillId="3" borderId="1" applyAlignment="1" pivotButton="0" quotePrefix="0" xfId="0">
      <alignment horizontal="center" vertical="top" wrapText="1"/>
    </xf>
    <xf numFmtId="0" fontId="7" fillId="5" borderId="1" applyAlignment="1" pivotButton="0" quotePrefix="0" xfId="0">
      <alignment vertical="top" wrapText="1"/>
    </xf>
    <xf numFmtId="0" fontId="29" fillId="16" borderId="1" applyAlignment="1" pivotButton="0" quotePrefix="0" xfId="0">
      <alignment horizontal="center" vertical="top" wrapText="1"/>
    </xf>
    <xf numFmtId="0" fontId="6" fillId="21" borderId="1" applyAlignment="1" pivotButton="0" quotePrefix="0" xfId="0">
      <alignment horizontal="center" vertical="top" wrapText="1"/>
    </xf>
    <xf numFmtId="164" fontId="5" fillId="16" borderId="1" applyAlignment="1" pivotButton="0" quotePrefix="0" xfId="0">
      <alignment horizontal="center" vertical="top" wrapText="1"/>
    </xf>
    <xf numFmtId="164" fontId="7" fillId="0" borderId="1" applyAlignment="1" pivotButton="0" quotePrefix="0" xfId="0">
      <alignment horizontal="center" vertical="top" wrapText="1"/>
    </xf>
    <xf numFmtId="9" fontId="5" fillId="10" borderId="1" applyAlignment="1" pivotButton="0" quotePrefix="0" xfId="0">
      <alignment horizontal="center" vertical="top" wrapText="1"/>
    </xf>
    <xf numFmtId="164" fontId="5" fillId="0" borderId="1" applyAlignment="1" pivotButton="0" quotePrefix="0" xfId="0">
      <alignment vertical="top" wrapText="1"/>
    </xf>
    <xf numFmtId="0" fontId="30" fillId="0" borderId="0" applyAlignment="1" pivotButton="0" quotePrefix="0" xfId="0">
      <alignment vertical="center"/>
    </xf>
    <xf numFmtId="0" fontId="3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People by level</a:t>
            </a:r>
          </a:p>
        </rich>
      </tx>
    </title>
    <plotArea>
      <barChart>
        <barDir val="col"/>
        <grouping val="clustered"/>
        <ser>
          <idx val="0"/>
          <order val="0"/>
          <tx>
            <strRef>
              <f>'1. Start Here'!B101</f>
            </strRef>
          </tx>
          <spPr>
            <a:solidFill xmlns:a="http://schemas.openxmlformats.org/drawingml/2006/main">
              <a:srgbClr val="2E75B6"/>
            </a:solidFill>
            <a:ln xmlns:a="http://schemas.openxmlformats.org/drawingml/2006/main">
              <a:solidFill>
                <a:srgbClr val="2E75B6"/>
              </a:solidFill>
              <a:prstDash val="solid"/>
            </a:ln>
          </spPr>
          <cat>
            <numRef>
              <f>'1. Start Here'!$A$102:$A$108</f>
            </numRef>
          </cat>
          <val>
            <numRef>
              <f>'1. Start Here'!$B$102:$B$108</f>
            </numRef>
          </val>
        </ser>
        <dLbls>
          <showLegendKey val="0"/>
          <showVal val="1"/>
          <showCatName val="0"/>
          <showSerName val="0"/>
        </dLbls>
        <gapWidth val="150"/>
        <axId val="10"/>
        <axId val="100"/>
      </barChart>
      <catAx>
        <axId val="10"/>
        <scaling>
          <orientation val="minMax"/>
        </scaling>
        <delete val="0"/>
        <axPos val="l"/>
        <majorTickMark val="none"/>
        <minorTickMark val="none"/>
        <crossAx val="100"/>
        <lblOffset val="100"/>
      </catAx>
      <valAx>
        <axId val="100"/>
        <scaling>
          <orientation val="minMax"/>
        </scaling>
        <delete val="0"/>
        <axPos val="l"/>
        <majorTickMark val="none"/>
        <minorTickMark val="none"/>
        <crossAx val="10"/>
      </valAx>
    </plotArea>
    <plotVisOnly val="1"/>
    <dispBlanksAs val="gap"/>
  </chart>
</chartSpace>
</file>

<file path=xl/comments/comment1.xml><?xml version="1.0" encoding="utf-8"?>
<comments xmlns="http://schemas.openxmlformats.org/spreadsheetml/2006/main">
  <authors>
    <author>IRIS HR</author>
  </authors>
  <commentList>
    <comment ref="A6" authorId="0" shapeId="0">
      <text>
        <t>Employee ID from the HRIS · Employee Master.</t>
      </text>
    </comment>
    <comment ref="B6" authorId="0" shapeId="0">
      <text>
        <t>As in the Employee Master.</t>
      </text>
    </comment>
    <comment ref="C6" authorId="0" shapeId="0">
      <text>
        <t>Department in the Employee Master.</t>
      </text>
    </comment>
    <comment ref="D6" authorId="0" shapeId="0">
      <text>
        <t>Title held today · Employee Master.</t>
      </text>
    </comment>
    <comment ref="E6" authorId="0" shapeId="0">
      <text>
        <t>New title: level marker + role noun · title rules N1–N5.</t>
      </text>
    </comment>
    <comment ref="F6" authorId="0" shapeId="0">
      <text>
        <t>The discipline, the same across businesses.</t>
      </text>
    </comment>
    <comment ref="H6" authorId="0" shapeId="0">
      <text>
        <t>Individual Contributor, POD Lead, People Manager, Player-Coach or Consultant.</t>
      </text>
    </comment>
    <comment ref="I6" authorId="0" shapeId="0">
      <text>
        <t>Level in the current structure, or 'Not in current mapping files'.</t>
      </text>
    </comment>
    <comment ref="J6" authorId="0" shapeId="0">
      <text>
        <t>Level on the new ladder after the rules.</t>
      </text>
    </comment>
    <comment ref="K6" authorId="0" shapeId="0">
      <text>
        <t>The generic title of the level on the person's track.</t>
      </text>
    </comment>
    <comment ref="L6" authorId="0" shapeId="0">
      <text>
        <t>Up, same, down · pay and title protected for one cycle or newly mapped.</t>
      </text>
    </comment>
    <comment ref="T6" authorId="0" shapeId="0">
      <text>
        <t>Weighted score = Σ rating × weight, on the 1–12 level scale. Not performance, not pay.</t>
      </text>
    </comment>
    <comment ref="U6" authorId="0" shapeId="0">
      <text>
        <t>The score rounded to the nearest level ·.5 rounds up, before the rules.</t>
      </text>
    </comment>
    <comment ref="AC6" authorId="0" shapeId="0">
      <text>
        <t>Agree / Change / Discuss — your view of this placement.</t>
      </text>
    </comment>
  </commentList>
</comments>
</file>

<file path=xl/comments/comment2.xml><?xml version="1.0" encoding="utf-8"?>
<comments xmlns="http://schemas.openxmlformats.org/spreadsheetml/2006/main">
  <authors>
    <author>IRIS HR</author>
  </authors>
  <commentList>
    <comment ref="A6" authorId="0" shapeId="0">
      <text>
        <t>Department in the Employee Master.</t>
      </text>
    </comment>
    <comment ref="B6" authorId="0" shapeId="0">
      <text>
        <t>A practitioner · B specialist / manager · C principal / head · D business leadership · E enterprise leadership.</t>
      </text>
    </comment>
    <comment ref="D6" authorId="0" shapeId="0">
      <text>
        <t>The generic title of the level on the person's track.</t>
      </text>
    </comment>
    <comment ref="E6" authorId="0" shapeId="0">
      <text>
        <t>The discipline, the same across businesses.</t>
      </text>
    </comment>
    <comment ref="H6" authorId="0" shapeId="0">
      <text>
        <t>Individual Contributor, POD Lead, People Manager, Player-Coach or Consultant.</t>
      </text>
    </comment>
  </commentList>
</comments>
</file>

<file path=xl/comments/comment3.xml><?xml version="1.0" encoding="utf-8"?>
<comments xmlns="http://schemas.openxmlformats.org/spreadsheetml/2006/main">
  <authors>
    <author>IRIS HR</author>
  </authors>
  <commentList>
    <comment ref="B16" authorId="0" shapeId="0">
      <text>
        <t>Business line: CARBON, iFile, iDEAL, Datatech, Consume or Corporate.</t>
      </text>
    </comment>
    <comment ref="C16" authorId="0" shapeId="0">
      <text>
        <t>Department in the Employee Master.</t>
      </text>
    </comment>
  </commentList>
</comments>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3</col>
      <colOff>0</colOff>
      <row>100</row>
      <rowOff>0</rowOff>
    </from>
    <ext cx="648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ables/table1.xml><?xml version="1.0" encoding="utf-8"?>
<table xmlns="http://schemas.openxmlformats.org/spreadsheetml/2006/main" id="1" name="T_2__People___Levels" displayName="T_2__People___Levels" ref="A6:AF40" headerRowCount="1">
  <autoFilter ref="A6:AF40"/>
  <tableColumns count="32">
    <tableColumn id="1" name="Emp ID"/>
    <tableColumn id="2" name="Employee name"/>
    <tableColumn id="3" name="Department"/>
    <tableColumn id="4" name="Current designation"/>
    <tableColumn id="5" name="New designation"/>
    <tableColumn id="6" name="Job family"/>
    <tableColumn id="7" name="Sub-family"/>
    <tableColumn id="8" name="Track"/>
    <tableColumn id="9" name="Current level"/>
    <tableColumn id="10" name="NEW LEVEL"/>
    <tableColumn id="11" name="Level title"/>
    <tableColumn id="12" name="Change vs current"/>
    <tableColumn id="13" name="Weight row — Weightage Matrix"/>
    <tableColumn id="14" name="Complexity rating"/>
    <tableColumn id="15" name="Autonomy rating"/>
    <tableColumn id="16" name="Accountab. rating"/>
    <tableColumn id="17" name="Leadership rating"/>
    <tableColumn id="18" name="Exp + Qual rating"/>
    <tableColumn id="19" name="Bus. Impact rating"/>
    <tableColumn id="20" name="Score"/>
    <tableColumn id="21" name="Level the score indicates"/>
    <tableColumn id="22" name="Why this level"/>
    <tableColumn id="23" name="How each factor was rated · rating of 12 — starting point and evidence"/>
    <tableColumn id="24" name="Market comparison"/>
    <tableColumn id="25" name="Data behind the placement"/>
    <tableColumn id="26" name="Points for your attention"/>
    <tableColumn id="27" name="Input still needed — and who provides it"/>
    <tableColumn id="28" name="Business impact — from survey and data"/>
    <tableColumn id="29" name="Your view"/>
    <tableColumn id="30" name="If change: proposed level / designation, and why"/>
    <tableColumn id="31" name="Business impact of this person — your view"/>
    <tableColumn id="32" name="Bus. Impact — model start"/>
  </tableColumns>
  <tableStyleInfo name="TableStyleLight1" showRowStripes="1" showColumnStripes="0"/>
</table>
</file>

<file path=xl/tables/table2.xml><?xml version="1.0" encoding="utf-8"?>
<table xmlns="http://schemas.openxmlformats.org/spreadsheetml/2006/main" id="2" name="T_5__Career_Ladder" displayName="T_5__Career_Ladder" ref="A6:P31" headerRowCount="1">
  <autoFilter ref="A6:P31"/>
  <tableColumns count="16">
    <tableColumn id="1" name="Department"/>
    <tableColumn id="2" name="Band"/>
    <tableColumn id="3" name="Level"/>
    <tableColumn id="4" name="Level title"/>
    <tableColumn id="5" name="Job family"/>
    <tableColumn id="6" name="Sub-family"/>
    <tableColumn id="7" name="Designation"/>
    <tableColumn id="8" name="Track"/>
    <tableColumn id="9" name="Holders"/>
    <tableColumn id="10" name="Ladder in this sub-family here · level: designation"/>
    <tableColumn id="11" name="★ Must-have competencies"/>
    <tableColumn id="12" name="Other functional competencies"/>
    <tableColumn id="13" name="Proficiency needed"/>
    <tableColumn id="14" name="Credentials"/>
    <tableColumn id="15" name="Overlap within Datatech · same work in other departments"/>
    <tableColumn id="16" name="Overlap across IRIS · same work in other products"/>
  </tableColumns>
  <tableStyleInfo name="TableStyleLight1" showRowStripes="1" showColumnStripes="0"/>
</table>
</file>

<file path=xl/tables/table3.xml><?xml version="1.0" encoding="utf-8"?>
<table xmlns="http://schemas.openxmlformats.org/spreadsheetml/2006/main" id="3" name="T_6__Weightage_Matrix" displayName="T_6__Weightage_Matrix" ref="A16:T29" headerRowCount="1">
  <autoFilter ref="A16:T29"/>
  <tableColumns count="20">
    <tableColumn id="1" name="Weight row"/>
    <tableColumn id="2" name="Business"/>
    <tableColumn id="3" name="Department"/>
    <tableColumn id="4" name="Role group"/>
    <tableColumn id="5" name="People"/>
    <tableColumn id="6" name="Main type of work"/>
    <tableColumn id="7" name="How hard %"/>
    <tableColumn id="8" name="Decides alone %"/>
    <tableColumn id="9" name="Answers for %"/>
    <tableColumn id="10" name="Leads %"/>
    <tableColumn id="11" name="Experience %"/>
    <tableColumn id="12" name="Business impact %"/>
    <tableColumn id="13" name="Entered total"/>
    <tableColumn id="14" name="Used · How hard"/>
    <tableColumn id="15" name="Used · Decides alone"/>
    <tableColumn id="16" name="Used · Answers for"/>
    <tableColumn id="17" name="Used · Leads"/>
    <tableColumn id="18" name="Used · Experience"/>
    <tableColumn id="19" name="Used · Business impact"/>
    <tableColumn id="20" name="Why changed · leader"/>
  </tableColumns>
  <tableStyleInfo name="TableStyleLight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1. Start Here'!A1" TargetMode="External" Id="rId1"/></Relationships>
</file>

<file path=xl/worksheets/_rels/sheet2.xml.rels><Relationships xmlns="http://schemas.openxmlformats.org/package/2006/relationships"><Relationship Type="http://schemas.openxmlformats.org/officeDocument/2006/relationships/hyperlink" Target="#'2. People &amp; Levels'!A1" TargetMode="External" Id="rId1"/><Relationship Type="http://schemas.openxmlformats.org/officeDocument/2006/relationships/hyperlink" Target="#'3. Roles'!A1" TargetMode="External" Id="rId2"/><Relationship Type="http://schemas.openxmlformats.org/officeDocument/2006/relationships/hyperlink" Target="#'4. Decisions &amp; Actions'!A1" TargetMode="External" Id="rId3"/><Relationship Type="http://schemas.openxmlformats.org/officeDocument/2006/relationships/hyperlink" Target="#'5. Career Ladder'!A1" TargetMode="External" Id="rId4"/><Relationship Type="http://schemas.openxmlformats.org/officeDocument/2006/relationships/hyperlink" Target="#'6. Weightage Matrix'!A1" TargetMode="External" Id="rId5"/><Relationship Type="http://schemas.openxmlformats.org/officeDocument/2006/relationships/drawing" Target="/xl/drawings/drawing1.xml" Id="rId6"/></Relationships>
</file>

<file path=xl/worksheets/_rels/sheet3.xml.rels><Relationships xmlns="http://schemas.openxmlformats.org/package/2006/relationships"><Relationship Type="http://schemas.openxmlformats.org/officeDocument/2006/relationships/hyperlink" Target="#'1. Start Here'!A1" TargetMode="External" Id="rId1"/><Relationship Type="http://schemas.openxmlformats.org/officeDocument/2006/relationships/table" Target="/xl/tables/table1.xml" Id="rId2"/><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hyperlink" Target="#'1. Start Here'!A1" TargetMode="External" Id="rId1"/></Relationships>
</file>

<file path=xl/worksheets/_rels/sheet5.xml.rels><Relationships xmlns="http://schemas.openxmlformats.org/package/2006/relationships"><Relationship Type="http://schemas.openxmlformats.org/officeDocument/2006/relationships/hyperlink" Target="#'1. Start Here'!A1" TargetMode="External" Id="rId1"/></Relationships>
</file>

<file path=xl/worksheets/_rels/sheet6.xml.rels><Relationships xmlns="http://schemas.openxmlformats.org/package/2006/relationships"><Relationship Type="http://schemas.openxmlformats.org/officeDocument/2006/relationships/hyperlink" Target="#'1. Start Here'!A1" TargetMode="External" Id="rId1"/><Relationship Type="http://schemas.openxmlformats.org/officeDocument/2006/relationships/table" Target="/xl/tables/table2.xml" Id="rId2"/><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7.xml.rels><Relationships xmlns="http://schemas.openxmlformats.org/package/2006/relationships"><Relationship Type="http://schemas.openxmlformats.org/officeDocument/2006/relationships/hyperlink" Target="#'1. Start Here'!A1" TargetMode="External" Id="rId1"/><Relationship Type="http://schemas.openxmlformats.org/officeDocument/2006/relationships/table" Target="/xl/tables/table3.xml" Id="rId2"/><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sheet1.xml><?xml version="1.0" encoding="utf-8"?>
<worksheet xmlns="http://schemas.openxmlformats.org/spreadsheetml/2006/main">
  <sheetPr>
    <tabColor rgb="001F3864"/>
    <outlinePr summaryBelow="1" summaryRight="1"/>
    <pageSetUpPr fitToPage="1"/>
  </sheetPr>
  <dimension ref="A1:E87"/>
  <sheetViews>
    <sheetView showGridLines="0" workbookViewId="0">
      <pane ySplit="4" topLeftCell="A5" activePane="bottomLeft" state="frozen"/>
      <selection pane="bottomLeft" activeCell="A1" sqref="A1"/>
    </sheetView>
  </sheetViews>
  <sheetFormatPr baseColWidth="8" defaultRowHeight="15"/>
  <cols>
    <col width="6" customWidth="1" min="1" max="1"/>
    <col width="30" customWidth="1" min="2" max="2"/>
    <col width="70" customWidth="1" min="3" max="3"/>
    <col width="44" customWidth="1" min="4" max="4"/>
    <col width="13" customWidth="1" min="5" max="5"/>
  </cols>
  <sheetData>
    <row r="1" ht="34" customHeight="1">
      <c r="A1" s="1" t="inlineStr">
        <is>
          <t>How this exercise works — from a base framework to the final job architecture</t>
        </is>
      </c>
      <c r="B1" s="2" t="n"/>
      <c r="C1" s="2" t="n"/>
      <c r="D1" s="2" t="n"/>
      <c r="E1" s="99" t="inlineStr">
        <is>
          <t>◂ Start Here</t>
        </is>
      </c>
    </row>
    <row r="2" ht="46" customHeight="1">
      <c r="A2" s="3" t="inlineStr">
        <is>
          <r>
            <rPr>
              <rFont val="Calibri"/>
              <b val="1"/>
              <i val="1"/>
              <color rgb="00404040"/>
              <sz val="10"/>
            </rPr>
            <t>Read this first:</t>
          </r>
          <r>
            <rPr>
              <rFont val="Calibri"/>
              <i val="1"/>
              <color rgb="00404040"/>
              <sz val="10"/>
            </rPr>
            <t xml:space="preserve"> what we did step by step, what is happening now, how the model works, what it produced, the impact — then our framework, the Job Architecture process and the Job Design process. The same page opens every file. The business head's edition for one product: the numbers, every placement, the roles, the decisions and the career ladder.</t>
          </r>
        </is>
      </c>
    </row>
    <row r="3">
      <c r="A3" s="4" t="inlineStr">
        <is>
          <t>IRIS · Job Architecture &amp; Job Design · Final v1.12 · October 2026 · Internal — Confidential</t>
        </is>
      </c>
      <c r="B3" s="5" t="n"/>
      <c r="C3" s="5" t="n"/>
      <c r="D3" s="5" t="n"/>
    </row>
    <row r="4"/>
    <row r="5" ht="20" customHeight="1">
      <c r="A5" s="6" t="inlineStr">
        <is>
          <t>1. What we did — step by step</t>
        </is>
      </c>
      <c r="B5" s="2" t="n"/>
      <c r="C5" s="2" t="n"/>
      <c r="D5" s="2" t="n"/>
    </row>
    <row r="6" ht="15" customHeight="1">
      <c r="A6" s="8" t="inlineStr">
        <is>
          <t>#</t>
        </is>
      </c>
      <c r="B6" s="8" t="inlineStr">
        <is>
          <t>Step</t>
        </is>
      </c>
      <c r="C6" s="8" t="inlineStr">
        <is>
          <t>What we did</t>
        </is>
      </c>
      <c r="D6" s="8" t="inlineStr">
        <is>
          <t>What came out of it</t>
        </is>
      </c>
    </row>
    <row r="7" ht="54" customHeight="1">
      <c r="A7" s="38" t="n">
        <v>1</v>
      </c>
      <c r="B7" s="12" t="inlineStr">
        <is>
          <t>Created a base framework</t>
        </is>
      </c>
      <c r="C7" s="12" t="inlineStr">
        <is>
          <t>Built IRIS's job architecture from established market methods — Aon Radford / Mercer career levels, Korn Ferry Hay factors, WTW banding and SFIA — with job families anchored to the ILO occupation standard.</t>
        </is>
      </c>
      <c r="D7" s="12" t="inlineStr">
        <is>
          <t>19 job families, 61 sub-families, a 12-level ladder plus two Player-Coach steps · B+, C+, six factors, individual-contributor and manager tracks</t>
        </is>
      </c>
    </row>
    <row r="8" ht="54" customHeight="1">
      <c r="A8" s="38" t="n">
        <v>2</v>
      </c>
      <c r="B8" s="12" t="inlineStr">
        <is>
          <t>Designed a survey around it</t>
        </is>
      </c>
      <c r="C8" s="12" t="inlineStr">
        <is>
          <r>
            <rPr>
              <rFont val="Calibri"/>
              <b val="1"/>
              <sz val="10"/>
            </rPr>
            <t>The 'How We Grow' survey:</t>
          </r>
          <r>
            <rPr>
              <rFont val="Calibri"/>
              <sz val="10"/>
            </rPr>
            <t xml:space="preserve"> 20 questions, each tied to the framework's factors — purpose of the role, what it delivers, what it is accountable for, what it can decide, the skills and tools it needs, and learning needs.</t>
          </r>
        </is>
      </c>
      <c r="D8" s="12" t="inlineStr">
        <is>
          <t>One evidence form for every role, so each rating can be traced to an answer</t>
        </is>
      </c>
    </row>
    <row r="9" ht="41" customHeight="1">
      <c r="A9" s="38" t="n">
        <v>3</v>
      </c>
      <c r="B9" s="12" t="inlineStr">
        <is>
          <t>Conducted 60–65 workshops</t>
        </is>
      </c>
      <c r="C9" s="12" t="inlineStr">
        <is>
          <t>Ran 60–65 workshops with teams across the six products and Corporate: explained the framework, walked through the questions and collected answers in the room.</t>
        </is>
      </c>
      <c r="D9" s="12" t="inlineStr">
        <is>
          <t>Survey responses from 520 people</t>
        </is>
      </c>
    </row>
    <row r="10" ht="41" customHeight="1">
      <c r="A10" s="38" t="n">
        <v>4</v>
      </c>
      <c r="B10" s="12" t="inlineStr">
        <is>
          <t>Gathered the data</t>
        </is>
      </c>
      <c r="C10" s="12" t="inlineStr">
        <is>
          <t>Combined the survey with the HRIS employee master, KRAs · self and manager-set, the managers' talent mapping · rating, potential, 9-box and the reporting lines.</t>
        </is>
      </c>
      <c r="D10" s="12" t="inlineStr">
        <is>
          <t>One record per person — 586 people; KRAs on file for 453</t>
        </is>
      </c>
    </row>
    <row r="11" ht="41" customHeight="1">
      <c r="A11" s="38" t="n">
        <v>5</v>
      </c>
      <c r="B11" s="12" t="inlineStr">
        <is>
          <t>Cleaned and protected it</t>
        </is>
      </c>
      <c r="C11" s="12" t="inlineStr">
        <is>
          <t>Matched responses to people · with consent where needed, removed personal data, and showed survey content only where three or more role-holders answered — never one person's words against a name.</t>
        </is>
      </c>
      <c r="D11" s="12" t="inlineStr">
        <is>
          <t>Privacy-safe evidence</t>
        </is>
      </c>
    </row>
    <row r="12" ht="28" customHeight="1">
      <c r="A12" s="38" t="n">
        <v>6</v>
      </c>
      <c r="B12" s="12" t="inlineStr">
        <is>
          <t>Mapped every role</t>
        </is>
      </c>
      <c r="C12" s="12" t="inlineStr">
        <is>
          <t>Placed each person in a job family, a sub-family · the work they actually do and a track.</t>
        </is>
      </c>
      <c r="D12" s="12" t="inlineStr">
        <is>
          <t>267 distinct employee roles; one IRIS-wide role catalogue</t>
        </is>
      </c>
    </row>
    <row r="13" ht="54" customHeight="1">
      <c r="A13" s="38" t="n">
        <v>7</v>
      </c>
      <c r="B13" s="12" t="inlineStr">
        <is>
          <t>Rated and scored</t>
        </is>
      </c>
      <c r="C13" s="12" t="inlineStr">
        <is>
          <t>Rated six factors — Complexity, Autonomy, Accountability, Leadership, Experience &amp; Qualification, Business Impact — on the ladder scale from the evidence; rating × weight = points; points add up to a score; the score points to a level.</t>
        </is>
      </c>
      <c r="D13" s="12" t="inlineStr">
        <is>
          <t>A score and an indicated level for 540 employees</t>
        </is>
      </c>
    </row>
    <row r="14" ht="41" customHeight="1">
      <c r="A14" s="38" t="n">
        <v>8</v>
      </c>
      <c r="B14" s="12" t="inlineStr">
        <is>
          <t>Applied the rules</t>
        </is>
      </c>
      <c r="C14" s="12" t="inlineStr">
        <is>
          <t>Gates, limits and Player-Coach steps where the evidence calls for them, and leadership decisions for the top bands — each one written down with its numbers.</t>
        </is>
      </c>
      <c r="D14" s="12" t="inlineStr">
        <is>
          <t>A final level and designation for everyone, every move explained</t>
        </is>
      </c>
    </row>
    <row r="15" ht="41" customHeight="1">
      <c r="A15" s="38" t="n">
        <v>9</v>
      </c>
      <c r="B15" s="12" t="inlineStr">
        <is>
          <t>Benchmarked to the market</t>
        </is>
      </c>
      <c r="C15" s="12" t="inlineStr">
        <is>
          <t>Matched every level to Aon Radford / Mercer codes and SFIA, and to competitor, regtech and SaaS ladders; every source re-read and corrected.</t>
        </is>
      </c>
      <c r="D15" s="12" t="inlineStr">
        <is>
          <t>A market code and a typical market title for every level</t>
        </is>
      </c>
    </row>
    <row r="16" ht="54" customHeight="1">
      <c r="A16" s="38" t="n">
        <v>10</v>
      </c>
      <c r="B16" s="12" t="inlineStr">
        <is>
          <t>Built the file set</t>
        </is>
      </c>
      <c r="C16" s="12" t="inlineStr">
        <is>
          <t>One build produces every file from the same data, so they always agree: the HR Super Master, product masters and simplified editions, the framework &amp; model master, the calibration panel pack, the ladder master and draft letters.</t>
        </is>
      </c>
      <c r="D16" s="12" t="inlineStr">
        <is>
          <t>Files by audience, rebuilt and re-checked in minutes</t>
        </is>
      </c>
    </row>
    <row r="17" ht="28" customHeight="1">
      <c r="A17" s="38" t="n">
        <v>11</v>
      </c>
      <c r="B17" s="12" t="inlineStr">
        <is>
          <t>Reviewed and corrected</t>
        </is>
      </c>
      <c r="C17" s="12" t="inlineStr">
        <is>
          <t>Business-head review, independent reviews, and 100+ automated checks on every build · placements, privacy, formulas, links, counts.</t>
        </is>
      </c>
      <c r="D17" s="12" t="inlineStr">
        <is>
          <t>Corrections fed back as validated inputs, never as hand edits</t>
        </is>
      </c>
    </row>
    <row r="18" ht="15" customHeight="1"/>
    <row r="19" ht="20" customHeight="1">
      <c r="A19" s="6" t="inlineStr">
        <is>
          <t>2. What we are doing now</t>
        </is>
      </c>
      <c r="B19" s="2" t="n"/>
      <c r="C19" s="2" t="n"/>
      <c r="D19" s="2" t="n"/>
    </row>
    <row r="20" ht="15" customHeight="1">
      <c r="A20" s="8" t="inlineStr">
        <is>
          <t>Now</t>
        </is>
      </c>
      <c r="B20" s="9" t="n"/>
      <c r="C20" s="8" t="inlineStr">
        <is>
          <t>What happens</t>
        </is>
      </c>
      <c r="D20" s="8" t="inlineStr">
        <is>
          <t>Who</t>
        </is>
      </c>
    </row>
    <row r="21" ht="28" customHeight="1">
      <c r="A21" s="10" t="inlineStr">
        <is>
          <t>Calibration</t>
        </is>
      </c>
      <c r="B21" s="11" t="n"/>
      <c r="C21" s="12" t="inlineStr">
        <is>
          <t>The panel rates anchor roles blind and compares them with the model; close calls and moves down are decided.</t>
        </is>
      </c>
      <c r="D21" s="12" t="inlineStr">
        <is>
          <t>Calibration panel</t>
        </is>
      </c>
    </row>
    <row r="22" ht="28" customHeight="1">
      <c r="A22" s="10" t="inlineStr">
        <is>
          <t>Decisions and data</t>
        </is>
      </c>
      <c r="B22" s="11" t="n"/>
      <c r="C22" s="12" t="inlineStr">
        <is>
          <t>Open decisions and critical data requests are worked in the HR Super Master's tracker.</t>
        </is>
      </c>
      <c r="D22" s="12" t="inlineStr">
        <is>
          <t>HR, managers, business heads</t>
        </is>
      </c>
    </row>
    <row r="23" ht="28" customHeight="1">
      <c r="A23" s="10" t="inlineStr">
        <is>
          <t>Business-head review</t>
        </is>
      </c>
      <c r="B23" s="11" t="n"/>
      <c r="C23" s="12" t="inlineStr">
        <is>
          <t>Each business head marks Agree / Change / Discuss in their simplified edition; responses are imported and tracked.</t>
        </is>
      </c>
      <c r="D23" s="12" t="inlineStr">
        <is>
          <t>Business heads</t>
        </is>
      </c>
    </row>
    <row r="24" ht="28" customHeight="1">
      <c r="A24" s="10" t="inlineStr">
        <is>
          <t>Sign-off</t>
        </is>
      </c>
      <c r="B24" s="11" t="n"/>
      <c r="C24" s="12" t="inlineStr">
        <is>
          <t>The executive sponsor approves the structure; then the draft letters are issued.</t>
        </is>
      </c>
      <c r="D24" s="12" t="inlineStr">
        <is>
          <t>Executive sponsor, HR</t>
        </is>
      </c>
    </row>
    <row r="25" ht="28" customHeight="1">
      <c r="A25" s="10" t="inlineStr">
        <is>
          <t>Pay · later</t>
        </is>
      </c>
      <c r="B25" s="11" t="n"/>
      <c r="C25" s="12" t="inlineStr">
        <is>
          <t>Buy one India pay survey and price each level; pay columns stay blank until then.</t>
        </is>
      </c>
      <c r="D25" s="12" t="inlineStr">
        <is>
          <t>HR, Finance</t>
        </is>
      </c>
    </row>
    <row r="26" ht="15" customHeight="1"/>
    <row r="27" ht="20" customHeight="1">
      <c r="A27" s="6" t="inlineStr">
        <is>
          <t>3. How it works — in one minute</t>
        </is>
      </c>
      <c r="B27" s="2" t="n"/>
      <c r="C27" s="2" t="n"/>
      <c r="D27" s="2" t="n"/>
    </row>
    <row r="28" ht="15" customHeight="1">
      <c r="A28" s="8" t="inlineStr">
        <is>
          <t>Step</t>
        </is>
      </c>
      <c r="B28" s="9" t="n"/>
      <c r="C28" s="8" t="inlineStr">
        <is>
          <t>In plain words</t>
        </is>
      </c>
      <c r="D28" s="9" t="n"/>
    </row>
    <row r="29" ht="28" customHeight="1">
      <c r="A29" s="10" t="inlineStr">
        <is>
          <t>1 · A building with 12 floors</t>
        </is>
      </c>
      <c r="B29" s="11" t="n"/>
      <c r="C29" s="12" t="inlineStr">
        <is>
          <r>
            <rPr>
              <rFont val="Calibri"/>
              <b val="1"/>
              <sz val="10"/>
            </rPr>
            <t>IRIS is a building:</t>
          </r>
          <r>
            <rPr>
              <rFont val="Calibri"/>
              <sz val="10"/>
            </rPr>
            <t xml:space="preserve"> floor 1 = first job, floor 12 = CEO; two half floors · B+, C+ for player-coaches. Every job lives on one floor.</t>
          </r>
        </is>
      </c>
      <c r="D29" s="11" t="n"/>
    </row>
    <row r="30" ht="28" customHeight="1">
      <c r="A30" s="10" t="inlineStr">
        <is>
          <t>2 · Six judges</t>
        </is>
      </c>
      <c r="B30" s="11" t="n"/>
      <c r="C30" s="12" t="inlineStr">
        <is>
          <t>Six judges look at the job — How hard? Decides alone? Answers for? Leads? Experience? Business impact? — and each holds up a floor number · the rating, using the evidence: survey, KRAs, HRIS, reporting line.</t>
        </is>
      </c>
      <c r="D30" s="11" t="n"/>
    </row>
    <row r="31" ht="28" customHeight="1">
      <c r="A31" s="10" t="inlineStr">
        <is>
          <t>3 · Some count more</t>
        </is>
      </c>
      <c r="B31" s="11" t="n"/>
      <c r="C31" s="12" t="inlineStr">
        <is>
          <t>Starting out, the quality of the work counts most; for leaders, results, leading and business impact count most. Experience counts little. All six add to 100%, and leaders can edit them on the Weightage Matrix.</t>
        </is>
      </c>
      <c r="D31" s="11" t="n"/>
    </row>
    <row r="32" ht="28" customHeight="1">
      <c r="A32" s="10" t="inlineStr">
        <is>
          <t>4 · Add up = the floor</t>
        </is>
      </c>
      <c r="B32" s="11" t="n"/>
      <c r="C32" s="12" t="inlineStr">
        <is>
          <t>Card × how much it counts = points; add the points = the score; round it = the floor · 5.05 → 5 → B2. Fair-play checks can hold it — each one written down.</t>
        </is>
      </c>
      <c r="D32" s="11" t="n"/>
    </row>
    <row r="33" ht="15" customHeight="1"/>
    <row r="34" ht="15" customHeight="1">
      <c r="A34" s="36" t="inlineStr">
        <is>
          <t>The HR Super Master's sheet '1c. Scoring Made Simple' and the Process Explainer tell this story in full, with three worked examples.</t>
        </is>
      </c>
    </row>
    <row r="35" ht="20" customHeight="1">
      <c r="A35" s="6" t="inlineStr">
        <is>
          <t>4. What it produced — the output</t>
        </is>
      </c>
      <c r="B35" s="2" t="n"/>
      <c r="C35" s="2" t="n"/>
      <c r="D35" s="2" t="n"/>
    </row>
    <row r="36" ht="15" customHeight="1">
      <c r="A36" s="8" t="inlineStr">
        <is>
          <t>Output</t>
        </is>
      </c>
      <c r="B36" s="9" t="n"/>
      <c r="C36" s="9" t="n"/>
      <c r="D36" s="8" t="inlineStr">
        <is>
          <t>Count</t>
        </is>
      </c>
    </row>
    <row r="37" ht="15" customHeight="1">
      <c r="A37" s="10" t="inlineStr">
        <is>
          <t>People mapped · employees + consultants</t>
        </is>
      </c>
      <c r="B37" s="11" t="n"/>
      <c r="C37" s="11" t="n"/>
      <c r="D37" s="38" t="inlineStr">
        <is>
          <t>586</t>
        </is>
      </c>
    </row>
    <row r="38" ht="15" customHeight="1">
      <c r="A38" s="10" t="inlineStr">
        <is>
          <t>Job families · sub-families</t>
        </is>
      </c>
      <c r="B38" s="11" t="n"/>
      <c r="C38" s="11" t="n"/>
      <c r="D38" s="38" t="inlineStr">
        <is>
          <t>19 · 61</t>
        </is>
      </c>
    </row>
    <row r="39" ht="15" customHeight="1">
      <c r="A39" s="10" t="inlineStr">
        <is>
          <t>Ladder steps in use · employees</t>
        </is>
      </c>
      <c r="B39" s="11" t="n"/>
      <c r="C39" s="11" t="n"/>
      <c r="D39" s="38" t="n">
        <v>13</v>
      </c>
    </row>
    <row r="40" ht="15" customHeight="1">
      <c r="A40" s="10" t="inlineStr">
        <is>
          <t>Designations on the new ladder · employees</t>
        </is>
      </c>
      <c r="B40" s="11" t="n"/>
      <c r="C40" s="11" t="n"/>
      <c r="D40" s="38" t="n">
        <v>184</v>
      </c>
    </row>
    <row r="41" ht="15" customHeight="1">
      <c r="A41" s="10" t="inlineStr">
        <is>
          <t>Distinct employee roles</t>
        </is>
      </c>
      <c r="B41" s="11" t="n"/>
      <c r="C41" s="11" t="n"/>
      <c r="D41" s="38" t="n">
        <v>267</v>
      </c>
    </row>
    <row r="42" ht="15" customHeight="1">
      <c r="A42" s="10" t="inlineStr">
        <is>
          <t>Products and Corporate</t>
        </is>
      </c>
      <c r="B42" s="11" t="n"/>
      <c r="C42" s="11" t="n"/>
      <c r="D42" s="38" t="n">
        <v>6</v>
      </c>
    </row>
    <row r="43" ht="15" customHeight="1">
      <c r="A43" s="10" t="inlineStr">
        <is>
          <t>People in leadership bands D–E</t>
        </is>
      </c>
      <c r="B43" s="11" t="n"/>
      <c r="C43" s="11" t="n"/>
      <c r="D43" s="38" t="n">
        <v>11</v>
      </c>
    </row>
    <row r="44" ht="15" customHeight="1"/>
    <row r="45" ht="20" customHeight="1">
      <c r="A45" s="6" t="inlineStr">
        <is>
          <t>5. The impact</t>
        </is>
      </c>
      <c r="B45" s="2" t="n"/>
      <c r="C45" s="2" t="n"/>
      <c r="D45" s="2" t="n"/>
    </row>
    <row r="46" ht="15" customHeight="1">
      <c r="A46" s="8" t="inlineStr">
        <is>
          <t>Impact</t>
        </is>
      </c>
      <c r="B46" s="9" t="n"/>
      <c r="C46" s="8" t="inlineStr">
        <is>
          <t>What it means</t>
        </is>
      </c>
      <c r="D46" s="9" t="n"/>
    </row>
    <row r="47" ht="28" customHeight="1">
      <c r="A47" s="10" t="inlineStr">
        <is>
          <t>One architecture for all of IRIS</t>
        </is>
      </c>
      <c r="B47" s="11" t="n"/>
      <c r="C47" s="12" t="inlineStr">
        <is>
          <t>The same families, the same ladder and the same method in every product — titles mean the same thing everywhere.</t>
        </is>
      </c>
      <c r="D47" s="11" t="n"/>
    </row>
    <row r="48" ht="15" customHeight="1">
      <c r="A48" s="10" t="inlineStr">
        <is>
          <t>Transparent, explainable levels</t>
        </is>
      </c>
      <c r="B48" s="11" t="n"/>
      <c r="C48" s="12" t="inlineStr">
        <is>
          <t>Every level traces to evidence, ratings, weights and named rules; anyone can see why a role sits where it does.</t>
        </is>
      </c>
      <c r="D48" s="11" t="n"/>
    </row>
    <row r="49" ht="28" customHeight="1">
      <c r="A49" s="10" t="inlineStr">
        <is>
          <t>Clear career paths</t>
        </is>
      </c>
      <c r="B49" s="11" t="n"/>
      <c r="C49" s="12" t="inlineStr">
        <is>
          <t>Individual-contributor and manager tracks with a ladder in every sub-family, and the competencies needed for the next step.</t>
        </is>
      </c>
      <c r="D49" s="11" t="n"/>
    </row>
    <row r="50" ht="28" customHeight="1">
      <c r="A50" s="10" t="inlineStr">
        <is>
          <t>Duplication made visible</t>
        </is>
      </c>
      <c r="B50" s="11" t="n"/>
      <c r="C50" s="12" t="inlineStr">
        <is>
          <t>53 family × sub-family × level combinations are held in more than one product — candidates for common role definitions and shared pools.</t>
        </is>
      </c>
      <c r="D50" s="11" t="n"/>
    </row>
    <row r="51" ht="28" customHeight="1">
      <c r="A51" s="10" t="inlineStr">
        <is>
          <t>Leadership consistency</t>
        </is>
      </c>
      <c r="B51" s="11" t="n"/>
      <c r="C51" s="12" t="inlineStr">
        <is>
          <t>No one in Bands D–E sits above their reporting manager, anyone in Band D reporting to an E1 / E2 sits at D2, and leadership levels are set by approved decisions.</t>
        </is>
      </c>
      <c r="D51" s="11" t="n"/>
    </row>
    <row r="52" ht="15" customHeight="1">
      <c r="A52" s="10" t="inlineStr">
        <is>
          <t>Ready for pay and planning</t>
        </is>
      </c>
      <c r="B52" s="11" t="n"/>
      <c r="C52" s="12" t="inlineStr">
        <is>
          <t>Each level carries a market code, so pay ranges, succession and workforce planning can be built on it.</t>
        </is>
      </c>
      <c r="D52" s="11" t="n"/>
    </row>
    <row r="53" ht="15" customHeight="1"/>
    <row r="54" ht="20" customHeight="1">
      <c r="A54" s="6" t="inlineStr">
        <is>
          <t>6. Our framework at a glance</t>
        </is>
      </c>
      <c r="B54" s="2" t="n"/>
      <c r="C54" s="2" t="n"/>
      <c r="D54" s="2" t="n"/>
    </row>
    <row r="55" ht="28" customHeight="1">
      <c r="A55" s="8" t="inlineStr">
        <is>
          <t>Element</t>
        </is>
      </c>
      <c r="B55" s="8" t="inlineStr">
        <is>
          <t>What it is</t>
        </is>
      </c>
      <c r="C55" s="9" t="n"/>
      <c r="D55" s="9" t="n"/>
    </row>
    <row r="56" ht="41" customHeight="1">
      <c r="A56" s="10" t="inlineStr">
        <is>
          <t>Job families</t>
        </is>
      </c>
      <c r="B56" s="12" t="inlineStr">
        <is>
          <t>19 families of work, each anchored to the ILO occupation standard — the same in every product.</t>
        </is>
      </c>
      <c r="C56" s="11" t="n"/>
      <c r="D56" s="11" t="n"/>
    </row>
    <row r="57" ht="41" customHeight="1">
      <c r="A57" s="10" t="inlineStr">
        <is>
          <t>Sub-families</t>
        </is>
      </c>
      <c r="B57" s="12" t="inlineStr">
        <is>
          <t>61 sub-families: the work a person actually does inside a family. One definition each, used everywhere.</t>
        </is>
      </c>
      <c r="C57" s="11" t="n"/>
      <c r="D57" s="11" t="n"/>
    </row>
    <row r="58" ht="41" customHeight="1">
      <c r="A58" s="10" t="inlineStr">
        <is>
          <t>Career ladder</t>
        </is>
      </c>
      <c r="B58" s="12" t="inlineStr">
        <is>
          <r>
            <rPr>
              <rFont val="Calibri"/>
              <b val="1"/>
              <sz val="10"/>
            </rPr>
            <t>One ladder from intern to CEO:</t>
          </r>
          <r>
            <rPr>
              <rFont val="Calibri"/>
              <sz val="10"/>
            </rPr>
            <t xml:space="preserve"> A1–A3 practitioner · B1–B3 specialist / manager · B+ Player-Coach · C1–C2 principal / head · C+ Player-Coach · D1–D2 business leadership · E1–E2 enterprise leadership; X1–X3 for consultants · outside the ladder.</t>
          </r>
        </is>
      </c>
      <c r="C58" s="11" t="n"/>
      <c r="D58" s="11" t="n"/>
    </row>
    <row r="59" ht="28" customHeight="1">
      <c r="A59" s="10" t="inlineStr">
        <is>
          <t>Tracks</t>
        </is>
      </c>
      <c r="B59" s="12" t="inlineStr">
        <is>
          <t>Individual contributor, POD Lead · leads 1–3 while doing the work, Player-Coach · leads and delivers, People Manager, Consultant — experts progress without having to manage.</t>
        </is>
      </c>
      <c r="C59" s="11" t="n"/>
      <c r="D59" s="11" t="n"/>
    </row>
    <row r="60" ht="28" customHeight="1">
      <c r="A60" s="10" t="inlineStr">
        <is>
          <t>Six factors</t>
        </is>
      </c>
      <c r="B60" s="12" t="inlineStr">
        <is>
          <t>Complexity &amp; Expertise · Autonomy &amp; Decision · Accountability &amp; Impact · Leadership &amp; Strategy · Experience &amp; Qualification · Business Impact — each gets a rating: the floor of the ladder that part of the job looks like.</t>
        </is>
      </c>
      <c r="C60" s="11" t="n"/>
      <c r="D60" s="11" t="n"/>
    </row>
    <row r="61" ht="28" customHeight="1">
      <c r="A61" s="10" t="inlineStr">
        <is>
          <t>Weights</t>
        </is>
      </c>
      <c r="B61" s="12" t="inlineStr">
        <is>
          <t>How much each factor counts, by band and track · junior roles: skill and experience; senior roles: accountability and leadership, fine-tuned ±5 by type of work.</t>
        </is>
      </c>
      <c r="C61" s="11" t="n"/>
      <c r="D61" s="11" t="n"/>
    </row>
    <row r="62" ht="28" customHeight="1">
      <c r="A62" s="10" t="inlineStr">
        <is>
          <t>Rules</t>
        </is>
      </c>
      <c r="B62" s="12" t="inlineStr">
        <is>
          <t>R1–R13: category rules, provisional holds, work-substance and structure gates, experience limits, track minimums, Player-Coach steps, leadership decisions and the D–E reporting-line rules — each written on the person's row with its numbers.</t>
        </is>
      </c>
      <c r="C62" s="11" t="n"/>
      <c r="D62" s="11" t="n"/>
    </row>
    <row r="63" ht="28" customHeight="1">
      <c r="A63" s="10" t="inlineStr">
        <is>
          <t>Titles</t>
        </is>
      </c>
      <c r="B63" s="12" t="inlineStr">
        <is>
          <t>Level marker + role noun; market titles where the market has its own ladder · Product Manager, Account Executive.</t>
        </is>
      </c>
      <c r="C63" s="11" t="n"/>
      <c r="D63" s="11" t="n"/>
    </row>
    <row r="64" ht="41" customHeight="1">
      <c r="A64" s="10" t="inlineStr">
        <is>
          <t>Competencies</t>
        </is>
      </c>
      <c r="B64" s="12" t="inlineStr">
        <is>
          <t>6 core and 4 future-ready for everyone, 4 leadership for leaders, and functional competencies for each family — each with a 1–5 skill level required at every career level.</t>
        </is>
      </c>
      <c r="C64" s="11" t="n"/>
      <c r="D64" s="11" t="n"/>
    </row>
    <row r="65" ht="28" customHeight="1">
      <c r="A65" s="10" t="inlineStr">
        <is>
          <t>Market link</t>
        </is>
      </c>
      <c r="B65" s="12" t="inlineStr">
        <is>
          <t>Every level maps to Aon Radford / Mercer codes and SFIA, with competitor, regtech and SaaS equivalents — the base for pay ranges later.</t>
        </is>
      </c>
      <c r="C65" s="11" t="n"/>
      <c r="D65" s="11" t="n"/>
    </row>
    <row r="66" ht="15" customHeight="1"/>
    <row r="67" ht="20" customHeight="1">
      <c r="A67" s="6" t="inlineStr">
        <is>
          <t>7. The Job Architecture process — how the structure was built</t>
        </is>
      </c>
      <c r="B67" s="2" t="n"/>
      <c r="C67" s="2" t="n"/>
      <c r="D67" s="2" t="n"/>
    </row>
    <row r="68" ht="15" customHeight="1">
      <c r="A68" s="8" t="inlineStr">
        <is>
          <t>#</t>
        </is>
      </c>
      <c r="B68" s="8" t="inlineStr">
        <is>
          <t>Step</t>
        </is>
      </c>
      <c r="C68" s="8" t="inlineStr">
        <is>
          <t>What happens</t>
        </is>
      </c>
      <c r="D68" s="9" t="n"/>
    </row>
    <row r="69" ht="15" customHeight="1">
      <c r="A69" s="38" t="n">
        <v>1</v>
      </c>
      <c r="B69" s="12" t="inlineStr">
        <is>
          <t>Define families</t>
        </is>
      </c>
      <c r="C69" s="12" t="inlineStr">
        <is>
          <t>Group all work into job families anchored to ISCO-08, so the same work has the same name everywhere.</t>
        </is>
      </c>
      <c r="D69" s="11" t="n"/>
    </row>
    <row r="70" ht="15" customHeight="1">
      <c r="A70" s="38" t="n">
        <v>2</v>
      </c>
      <c r="B70" s="12" t="inlineStr">
        <is>
          <t>Define sub-families</t>
        </is>
      </c>
      <c r="C70" s="12" t="inlineStr">
        <is>
          <t>Split each family into the distinct kinds of work people do, from the survey and role data.</t>
        </is>
      </c>
      <c r="D70" s="11" t="n"/>
    </row>
    <row r="71" ht="28" customHeight="1">
      <c r="A71" s="38" t="n">
        <v>3</v>
      </c>
      <c r="B71" s="12" t="inlineStr">
        <is>
          <t>Set the ladder and bands</t>
        </is>
      </c>
      <c r="C71" s="12" t="inlineStr">
        <is>
          <t>One 12-level ladder with five bands and two Player-Coach steps; what each level owns, its experience range and span.</t>
        </is>
      </c>
      <c r="D71" s="11" t="n"/>
    </row>
    <row r="72" ht="28" customHeight="1">
      <c r="A72" s="38" t="n">
        <v>4</v>
      </c>
      <c r="B72" s="12" t="inlineStr">
        <is>
          <t>Set the tracks</t>
        </is>
      </c>
      <c r="C72" s="12" t="inlineStr">
        <is>
          <t>IC, POD Lead, Player-Coach, People Manager, Consultant — and the rules for each.</t>
        </is>
      </c>
      <c r="D72" s="11" t="n"/>
    </row>
    <row r="73" ht="15" customHeight="1">
      <c r="A73" s="38" t="n">
        <v>5</v>
      </c>
      <c r="B73" s="12" t="inlineStr">
        <is>
          <t>Level every role</t>
        </is>
      </c>
      <c r="C73" s="12" t="inlineStr">
        <is>
          <t>Six ratings × weights → score → level, then the rules; leadership levels by approved decision.</t>
        </is>
      </c>
      <c r="D73" s="11" t="n"/>
    </row>
    <row r="74" ht="15" customHeight="1">
      <c r="A74" s="38" t="n">
        <v>6</v>
      </c>
      <c r="B74" s="12" t="inlineStr">
        <is>
          <t>Name every role</t>
        </is>
      </c>
      <c r="C74" s="12" t="inlineStr">
        <is>
          <t>Designation = level marker + role noun; title protection for anyone moving down.</t>
        </is>
      </c>
      <c r="D74" s="11" t="n"/>
    </row>
    <row r="75" ht="15" customHeight="1">
      <c r="A75" s="38" t="n">
        <v>7</v>
      </c>
      <c r="B75" s="12" t="inlineStr">
        <is>
          <t>Benchmark</t>
        </is>
      </c>
      <c r="C75" s="12" t="inlineStr">
        <is>
          <t>Crosswalk every level to Radford / Mercer and SFIA; compare with competitor and peer ladders.</t>
        </is>
      </c>
      <c r="D75" s="11" t="n"/>
    </row>
    <row r="76" ht="15" customHeight="1">
      <c r="A76" s="38" t="n">
        <v>8</v>
      </c>
      <c r="B76" s="12" t="inlineStr">
        <is>
          <t>Govern</t>
        </is>
      </c>
      <c r="C76" s="12" t="inlineStr">
        <is>
          <t>Calibration panel, business-head review, a decision tracker and change rules · who can change a level, and how.</t>
        </is>
      </c>
      <c r="D76" s="11" t="n"/>
    </row>
    <row r="77" ht="15" customHeight="1"/>
    <row r="78" ht="20" customHeight="1">
      <c r="A78" s="6" t="inlineStr">
        <is>
          <t>8. The Job Design process — how each role is described</t>
        </is>
      </c>
      <c r="B78" s="2" t="n"/>
      <c r="C78" s="2" t="n"/>
      <c r="D78" s="2" t="n"/>
    </row>
    <row r="79" ht="15" customHeight="1">
      <c r="A79" s="8" t="inlineStr">
        <is>
          <t>#</t>
        </is>
      </c>
      <c r="B79" s="8" t="inlineStr">
        <is>
          <t>Step</t>
        </is>
      </c>
      <c r="C79" s="8" t="inlineStr">
        <is>
          <t>What happens</t>
        </is>
      </c>
      <c r="D79" s="9" t="n"/>
    </row>
    <row r="80" ht="15" customHeight="1">
      <c r="A80" s="38" t="n">
        <v>1</v>
      </c>
      <c r="B80" s="12" t="inlineStr">
        <is>
          <t>Purpose</t>
        </is>
      </c>
      <c r="C80" s="12" t="inlineStr">
        <is>
          <t>Why the role exists — from the sub-family definition and the level standard.</t>
        </is>
      </c>
      <c r="D80" s="11" t="n"/>
    </row>
    <row r="81" ht="28" customHeight="1">
      <c r="A81" s="38" t="n">
        <v>2</v>
      </c>
      <c r="B81" s="12" t="inlineStr">
        <is>
          <t>Responsibilities and deliverables</t>
        </is>
      </c>
      <c r="C81" s="12" t="inlineStr">
        <is>
          <t>What the role does and produces — from role-holders' survey answers · as counted themes and KRAs.</t>
        </is>
      </c>
      <c r="D81" s="11" t="n"/>
    </row>
    <row r="82" ht="28" customHeight="1">
      <c r="A82" s="38" t="n">
        <v>3</v>
      </c>
      <c r="B82" s="12" t="inlineStr">
        <is>
          <t>Accountability and decision rights</t>
        </is>
      </c>
      <c r="C82" s="12" t="inlineStr">
        <is>
          <t>What the role answers for, what it can decide alone, and what happens if the work is missed.</t>
        </is>
      </c>
      <c r="D82" s="11" t="n"/>
    </row>
    <row r="83" ht="15" customHeight="1">
      <c r="A83" s="38" t="n">
        <v>4</v>
      </c>
      <c r="B83" s="12" t="inlineStr">
        <is>
          <t>Measures</t>
        </is>
      </c>
      <c r="C83" s="12" t="inlineStr">
        <is>
          <r>
            <rPr>
              <rFont val="Calibri"/>
              <b val="1"/>
              <sz val="10"/>
            </rPr>
            <t>Manager-set KRAs:</t>
          </r>
          <r>
            <rPr>
              <rFont val="Calibri"/>
              <sz val="10"/>
            </rPr>
            <t xml:space="preserve"> how the role is judged.</t>
          </r>
        </is>
      </c>
      <c r="D83" s="11" t="n"/>
    </row>
    <row r="84" ht="15" customHeight="1">
      <c r="A84" s="38" t="n">
        <v>5</v>
      </c>
      <c r="B84" s="12" t="inlineStr">
        <is>
          <t>Competencies and skill level</t>
        </is>
      </c>
      <c r="C84" s="12" t="inlineStr">
        <is>
          <t>The core, future-ready, functional and leadership competencies the role needs, each at a 1–5 level.</t>
        </is>
      </c>
      <c r="D84" s="11" t="n"/>
    </row>
    <row r="85" ht="15" customHeight="1">
      <c r="A85" s="38" t="n">
        <v>6</v>
      </c>
      <c r="B85" s="12" t="inlineStr">
        <is>
          <t>Role profile and catalogue</t>
        </is>
      </c>
      <c r="C85" s="12" t="inlineStr">
        <is>
          <t>One IRIS-wide catalogue entry per family × sub-family × level × track — the shared description of the job.</t>
        </is>
      </c>
      <c r="D85" s="11" t="n"/>
    </row>
    <row r="86" ht="15" customHeight="1">
      <c r="A86" s="38" t="n">
        <v>7</v>
      </c>
      <c r="B86" s="12" t="inlineStr">
        <is>
          <t>Career ladder</t>
        </is>
      </c>
      <c r="C86" s="12" t="inlineStr">
        <is>
          <t>Where the role sits in its sub-family's ladder, the next step and what it takes.</t>
        </is>
      </c>
      <c r="D86" s="11" t="n"/>
    </row>
    <row r="87" ht="28" customHeight="1">
      <c r="A87" s="38" t="n">
        <v>8</v>
      </c>
      <c r="B87" s="12" t="inlineStr">
        <is>
          <t>Recruitment profile</t>
        </is>
      </c>
      <c r="C87" s="12" t="inlineStr">
        <is>
          <t>The hire equivalent in the market, the competencies to hire for and the interview questions — on every person card.</t>
        </is>
      </c>
      <c r="D87" s="11" t="n"/>
    </row>
  </sheetData>
  <mergeCells count="79">
    <mergeCell ref="A5:D5"/>
    <mergeCell ref="B60:D60"/>
    <mergeCell ref="A37:C37"/>
    <mergeCell ref="B57:D57"/>
    <mergeCell ref="A51:B51"/>
    <mergeCell ref="C79:D79"/>
    <mergeCell ref="C73:D73"/>
    <mergeCell ref="C50:D50"/>
    <mergeCell ref="A43:C43"/>
    <mergeCell ref="C76:D76"/>
    <mergeCell ref="A54:D54"/>
    <mergeCell ref="B62:D62"/>
    <mergeCell ref="A22:B22"/>
    <mergeCell ref="A27:D27"/>
    <mergeCell ref="A28:B28"/>
    <mergeCell ref="B56:D56"/>
    <mergeCell ref="C28:D28"/>
    <mergeCell ref="A2:D2"/>
    <mergeCell ref="C69:D69"/>
    <mergeCell ref="C83:D83"/>
    <mergeCell ref="A48:B48"/>
    <mergeCell ref="A30:B30"/>
    <mergeCell ref="C30:D30"/>
    <mergeCell ref="A35:D35"/>
    <mergeCell ref="A19:D19"/>
    <mergeCell ref="C47:D47"/>
    <mergeCell ref="A46:B46"/>
    <mergeCell ref="A38:C38"/>
    <mergeCell ref="C71:D71"/>
    <mergeCell ref="A40:C40"/>
    <mergeCell ref="B59:D59"/>
    <mergeCell ref="A52:B52"/>
    <mergeCell ref="C82:D82"/>
    <mergeCell ref="C86:D86"/>
    <mergeCell ref="C68:D68"/>
    <mergeCell ref="A49:B49"/>
    <mergeCell ref="A42:C42"/>
    <mergeCell ref="C29:D29"/>
    <mergeCell ref="C85:D85"/>
    <mergeCell ref="A34:D34"/>
    <mergeCell ref="C75:D75"/>
    <mergeCell ref="C84:D84"/>
    <mergeCell ref="B65:D65"/>
    <mergeCell ref="C31:D31"/>
    <mergeCell ref="C80:D80"/>
    <mergeCell ref="A1:D1"/>
    <mergeCell ref="A45:D45"/>
    <mergeCell ref="A21:B21"/>
    <mergeCell ref="C46:D46"/>
    <mergeCell ref="B63:D63"/>
    <mergeCell ref="C51:D51"/>
    <mergeCell ref="A78:D78"/>
    <mergeCell ref="A32:B32"/>
    <mergeCell ref="A23:B23"/>
    <mergeCell ref="C70:D70"/>
    <mergeCell ref="C48:D48"/>
    <mergeCell ref="C32:D32"/>
    <mergeCell ref="C49:D49"/>
    <mergeCell ref="A24:B24"/>
    <mergeCell ref="A41:C41"/>
    <mergeCell ref="B61:D61"/>
    <mergeCell ref="C74:D74"/>
    <mergeCell ref="A67:D67"/>
    <mergeCell ref="A25:B25"/>
    <mergeCell ref="B55:D55"/>
    <mergeCell ref="B64:D64"/>
    <mergeCell ref="A50:B50"/>
    <mergeCell ref="A47:B47"/>
    <mergeCell ref="A39:C39"/>
    <mergeCell ref="C52:D52"/>
    <mergeCell ref="A20:B20"/>
    <mergeCell ref="A36:C36"/>
    <mergeCell ref="A29:B29"/>
    <mergeCell ref="C72:D72"/>
    <mergeCell ref="C81:D81"/>
    <mergeCell ref="A3:D3"/>
    <mergeCell ref="B58:D58"/>
    <mergeCell ref="A31:B31"/>
    <mergeCell ref="C87:D87"/>
  </mergeCells>
  <hyperlinks>
    <hyperlink xmlns:r="http://schemas.openxmlformats.org/officeDocument/2006/relationships" ref="E1" r:id="rId1"/>
  </hyperlinks>
  <pageMargins left="0.4" right="0.4" top="0.5" bottom="0.5" header="0.5" footer="0.5"/>
  <pageSetup orientation="landscape" paperSize="8" fitToHeight="0" fitToWidth="1"/>
  <headerFooter>
    <oddHeader/>
    <oddFooter>&amp;LIRIS · Job Architecture &amp; Job Design · Final v1.12 · October 2026 · Internal — Confidential&amp;RPage &amp;P of &amp;N</oddFooter>
    <evenHeader/>
    <evenFooter/>
    <firstHeader/>
    <firstFooter/>
  </headerFooter>
</worksheet>
</file>

<file path=xl/worksheets/sheet2.xml><?xml version="1.0" encoding="utf-8"?>
<worksheet xmlns="http://schemas.openxmlformats.org/spreadsheetml/2006/main">
  <sheetPr>
    <tabColor rgb="001F3864"/>
    <outlinePr summaryBelow="1" summaryRight="1"/>
    <pageSetUpPr fitToPage="1"/>
  </sheetPr>
  <dimension ref="A1:N126"/>
  <sheetViews>
    <sheetView showGridLines="0" workbookViewId="0">
      <pane ySplit="4" topLeftCell="A5" activePane="bottomLeft" state="frozen"/>
      <selection pane="bottomLeft" activeCell="A1" sqref="A1"/>
    </sheetView>
  </sheetViews>
  <sheetFormatPr baseColWidth="8" defaultRowHeight="15"/>
  <cols>
    <col width="26"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s>
  <sheetData>
    <row r="1" ht="34" customHeight="1">
      <c r="A1" s="1" t="inlineStr">
        <is>
          <t>Datatech — Job Architecture: simplified product edition · for the business head</t>
        </is>
      </c>
    </row>
    <row r="2" ht="32" customHeight="1">
      <c r="A2" s="3" t="inlineStr">
        <is>
          <r>
            <rPr>
              <rFont val="Calibri"/>
              <b val="1"/>
              <i val="1"/>
              <color rgb="00404040"/>
              <sz val="10"/>
            </rPr>
            <t>Six sheets after the Start page, complete in themselves:</t>
          </r>
          <r>
            <rPr>
              <rFont val="Calibri"/>
              <i val="1"/>
              <color rgb="00404040"/>
              <sz val="10"/>
            </rPr>
            <t xml:space="preserve"> who sits where and exactly why, what each role is, what we need you to decide, the career ladder and the weightage matrix you can edit. Read this page first; every term and colour used in the workbook is explained here.</t>
          </r>
        </is>
      </c>
    </row>
    <row r="3">
      <c r="A3" s="4" t="inlineStr">
        <is>
          <t>IRIS · Job Architecture &amp; Job Design · Final v1.12 · October 2026 · Internal — Confidential</t>
        </is>
      </c>
    </row>
    <row r="4" ht="15" customHeight="1"/>
    <row r="5" ht="20" customHeight="1">
      <c r="A5" s="6" t="inlineStr">
        <is>
          <t>1. What this is, and what we ask of you</t>
        </is>
      </c>
    </row>
    <row r="6" ht="41" customHeight="1">
      <c r="A6" s="7" t="inlineStr">
        <is>
          <t>Every one of the 34 people in Datatech has been placed on IRIS's new career ladder: a job family and sub-family · the work they do, a level · the size of the role and a designation · level marker + role noun. Each placement follows one published model — the same for every business — and every number behind it is shown on sheet 2. Nothing here changes pay: pay is set later, and any move down is protected for one cycle.</t>
        </is>
      </c>
    </row>
    <row r="7" ht="15" customHeight="1">
      <c r="A7" s="8" t="inlineStr">
        <is>
          <t>Sheet</t>
        </is>
      </c>
      <c r="B7" s="88" t="n"/>
      <c r="C7" s="89" t="n"/>
      <c r="D7" s="8" t="inlineStr">
        <is>
          <t>What it gives you</t>
        </is>
      </c>
      <c r="E7" s="88" t="n"/>
      <c r="F7" s="88" t="n"/>
      <c r="G7" s="88" t="n"/>
      <c r="H7" s="88" t="n"/>
      <c r="I7" s="88" t="n"/>
      <c r="J7" s="89" t="n"/>
      <c r="K7" s="8" t="inlineStr">
        <is>
          <t>What to do</t>
        </is>
      </c>
      <c r="L7" s="88" t="n"/>
      <c r="M7" s="88" t="n"/>
      <c r="N7" s="89" t="n"/>
    </row>
    <row r="8" ht="28" customHeight="1">
      <c r="A8" s="10" t="inlineStr">
        <is>
          <t>1. Start Here</t>
        </is>
      </c>
      <c r="B8" s="88" t="n"/>
      <c r="C8" s="89" t="n"/>
      <c r="D8" s="12" t="inlineStr">
        <is>
          <r>
            <rPr>
              <rFont val="Calibri"/>
              <b val="1"/>
              <sz val="10"/>
            </rPr>
            <t>This page:</t>
          </r>
          <r>
            <rPr>
              <rFont val="Calibri"/>
              <sz val="10"/>
            </rPr>
            <t xml:space="preserve"> the numbers, the ladder, how a level is worked out, the rules, colours and terms</t>
          </r>
        </is>
      </c>
      <c r="E8" s="88" t="n"/>
      <c r="F8" s="88" t="n"/>
      <c r="G8" s="88" t="n"/>
      <c r="H8" s="88" t="n"/>
      <c r="I8" s="88" t="n"/>
      <c r="J8" s="89" t="n"/>
      <c r="K8" s="12" t="inlineStr">
        <is>
          <t>Read first</t>
        </is>
      </c>
      <c r="L8" s="88" t="n"/>
      <c r="M8" s="88" t="n"/>
      <c r="N8" s="89" t="n"/>
    </row>
    <row r="9" ht="41" customHeight="1">
      <c r="A9" s="100" t="inlineStr">
        <is>
          <t>2. People &amp; Levels</t>
        </is>
      </c>
      <c r="B9" s="88" t="n"/>
      <c r="C9" s="89" t="n"/>
      <c r="D9" s="12" t="inlineStr">
        <is>
          <r>
            <rPr>
              <rFont val="Calibri"/>
              <b val="1"/>
              <sz val="10"/>
            </rPr>
            <t>Every person:</t>
          </r>
          <r>
            <rPr>
              <rFont val="Calibri"/>
              <sz val="10"/>
            </rPr>
            <t xml:space="preserve"> role before → after, score, the full reason for the level, each factor's rating and why, the market comparison, the data behind it, points for attention, inputs still needed</t>
          </r>
        </is>
      </c>
      <c r="E9" s="88" t="n"/>
      <c r="F9" s="88" t="n"/>
      <c r="G9" s="88" t="n"/>
      <c r="H9" s="88" t="n"/>
      <c r="I9" s="88" t="n"/>
      <c r="J9" s="89" t="n"/>
      <c r="K9" s="12" t="inlineStr">
        <is>
          <t>For each person, mark Agree / Change / Discuss in the yellow column; give the reason for any change</t>
        </is>
      </c>
      <c r="L9" s="88" t="n"/>
      <c r="M9" s="88" t="n"/>
      <c r="N9" s="89" t="n"/>
    </row>
    <row r="10" ht="41" customHeight="1">
      <c r="A10" s="100" t="inlineStr">
        <is>
          <t>3. Roles</t>
        </is>
      </c>
      <c r="B10" s="88" t="n"/>
      <c r="C10" s="89" t="n"/>
      <c r="D10" s="12" t="inlineStr">
        <is>
          <r>
            <rPr>
              <rFont val="Calibri"/>
              <b val="1"/>
              <sz val="10"/>
            </rPr>
            <t>Every role held here, as defined once for all of IRIS:</t>
          </r>
          <r>
            <rPr>
              <rFont val="Calibri"/>
              <sz val="10"/>
            </rPr>
            <t xml:space="preserve"> purpose, responsibilities, decisions, KRAs, skills, what the level requires, competencies, market, next step</t>
          </r>
        </is>
      </c>
      <c r="E10" s="88" t="n"/>
      <c r="F10" s="88" t="n"/>
      <c r="G10" s="88" t="n"/>
      <c r="H10" s="88" t="n"/>
      <c r="I10" s="88" t="n"/>
      <c r="J10" s="89" t="n"/>
      <c r="K10" s="12" t="inlineStr">
        <is>
          <t>Check the role descriptions match the work</t>
        </is>
      </c>
      <c r="L10" s="88" t="n"/>
      <c r="M10" s="88" t="n"/>
      <c r="N10" s="89" t="n"/>
    </row>
    <row r="11" ht="28" customHeight="1">
      <c r="A11" s="100" t="inlineStr">
        <is>
          <t>4. Decisions &amp; Actions</t>
        </is>
      </c>
      <c r="B11" s="88" t="n"/>
      <c r="C11" s="89" t="n"/>
      <c r="D11" s="12" t="inlineStr">
        <is>
          <t>Placements that need a decision, inputs still needed by owner, how the structure changed, what happens next</t>
        </is>
      </c>
      <c r="E11" s="88" t="n"/>
      <c r="F11" s="88" t="n"/>
      <c r="G11" s="88" t="n"/>
      <c r="H11" s="88" t="n"/>
      <c r="I11" s="88" t="n"/>
      <c r="J11" s="89" t="n"/>
      <c r="K11" s="12" t="inlineStr">
        <is>
          <t>Decide or supply what is marked red</t>
        </is>
      </c>
      <c r="L11" s="88" t="n"/>
      <c r="M11" s="88" t="n"/>
      <c r="N11" s="89" t="n"/>
    </row>
    <row r="12" ht="41" customHeight="1">
      <c r="A12" s="100" t="inlineStr">
        <is>
          <t>5. Career Ladder</t>
        </is>
      </c>
      <c r="B12" s="88" t="n"/>
      <c r="C12" s="89" t="n"/>
      <c r="D12" s="12" t="inlineStr">
        <is>
          <t>Department → band → level by job family, sub-family and designation: the ladder in each sub-family, the competencies each role requires, and where the same work sits in other departments or other products</t>
        </is>
      </c>
      <c r="E12" s="88" t="n"/>
      <c r="F12" s="88" t="n"/>
      <c r="G12" s="88" t="n"/>
      <c r="H12" s="88" t="n"/>
      <c r="I12" s="88" t="n"/>
      <c r="J12" s="89" t="n"/>
      <c r="K12" s="12" t="inlineStr">
        <is>
          <t>Check the ladder and titles; note duplicated roles</t>
        </is>
      </c>
      <c r="L12" s="88" t="n"/>
      <c r="M12" s="88" t="n"/>
      <c r="N12" s="89" t="n"/>
    </row>
    <row r="13" ht="41" customHeight="1">
      <c r="A13" s="100" t="inlineStr">
        <is>
          <t>6. Weightage Matrix</t>
        </is>
      </c>
      <c r="B13" s="88" t="n"/>
      <c r="C13" s="89" t="n"/>
      <c r="D13" s="12" t="inlineStr">
        <is>
          <t>How much each of the six factors counts, by department and role group, with a guide to weighting and rating. Sheet 2 scores recalculate when you edit it</t>
        </is>
      </c>
      <c r="E13" s="88" t="n"/>
      <c r="F13" s="88" t="n"/>
      <c r="G13" s="88" t="n"/>
      <c r="H13" s="88" t="n"/>
      <c r="I13" s="88" t="n"/>
      <c r="J13" s="89" t="n"/>
      <c r="K13" s="12" t="inlineStr">
        <is>
          <t>Adjust the yellow weights where your department judges roles differently; say why</t>
        </is>
      </c>
      <c r="L13" s="88" t="n"/>
      <c r="M13" s="88" t="n"/>
      <c r="N13" s="89" t="n"/>
    </row>
    <row r="14" ht="15" customHeight="1"/>
    <row r="15" ht="20" customHeight="1">
      <c r="A15" s="6" t="inlineStr">
        <is>
          <t>2. The numbers</t>
        </is>
      </c>
    </row>
    <row r="16" ht="15" customHeight="1">
      <c r="A16" s="13" t="inlineStr">
        <is>
          <t>People</t>
        </is>
      </c>
      <c r="B16" s="89" t="n"/>
      <c r="C16" s="13" t="inlineStr">
        <is>
          <t>Departments</t>
        </is>
      </c>
      <c r="D16" s="89" t="n"/>
      <c r="E16" s="13" t="inlineStr">
        <is>
          <t>Roles</t>
        </is>
      </c>
      <c r="F16" s="89" t="n"/>
      <c r="G16" s="13" t="inlineStr">
        <is>
          <t>Levels in use</t>
        </is>
      </c>
      <c r="H16" s="89" t="n"/>
      <c r="I16" s="13" t="inlineStr">
        <is>
          <t>Level up</t>
        </is>
      </c>
      <c r="J16" s="89" t="n"/>
      <c r="K16" s="13" t="inlineStr">
        <is>
          <t>Same level</t>
        </is>
      </c>
      <c r="L16" s="89" t="n"/>
      <c r="M16" s="13" t="inlineStr">
        <is>
          <t>Level down · protected</t>
        </is>
      </c>
      <c r="N16" s="89" t="n"/>
    </row>
    <row r="17" ht="30" customHeight="1">
      <c r="A17" s="14" t="n">
        <v>34</v>
      </c>
      <c r="B17" s="89" t="n"/>
      <c r="C17" s="14" t="n">
        <v>8</v>
      </c>
      <c r="D17" s="89" t="n"/>
      <c r="E17" s="14" t="n">
        <v>25</v>
      </c>
      <c r="F17" s="89" t="n"/>
      <c r="G17" s="14" t="n">
        <v>8</v>
      </c>
      <c r="H17" s="89" t="n"/>
      <c r="I17" s="14" t="n">
        <v>9</v>
      </c>
      <c r="J17" s="89" t="n"/>
      <c r="K17" s="14" t="n">
        <v>12</v>
      </c>
      <c r="L17" s="89" t="n"/>
      <c r="M17" s="14" t="n">
        <v>3</v>
      </c>
      <c r="N17" s="89" t="n"/>
    </row>
    <row r="18" ht="15" customHeight="1">
      <c r="A18" s="13" t="inlineStr">
        <is>
          <t>Newly mapped</t>
        </is>
      </c>
      <c r="B18" s="89" t="n"/>
      <c r="C18" s="13" t="inlineStr">
        <is>
          <t>Player-Coaches</t>
        </is>
      </c>
      <c r="D18" s="89" t="n"/>
      <c r="E18" s="13" t="inlineStr">
        <is>
          <t>Close calls</t>
        </is>
      </c>
      <c r="F18" s="89" t="n"/>
      <c r="G18" s="13" t="inlineStr">
        <is>
          <t>Near a gate</t>
        </is>
      </c>
      <c r="H18" s="89" t="n"/>
      <c r="I18" s="13" t="inlineStr">
        <is>
          <t>People needing an input</t>
        </is>
      </c>
      <c r="J18" s="89" t="n"/>
      <c r="K18" s="13" t="inlineStr">
        <is>
          <t>Consultants</t>
        </is>
      </c>
      <c r="L18" s="89" t="n"/>
    </row>
    <row r="19" ht="30" customHeight="1">
      <c r="A19" s="14" t="n">
        <v>10</v>
      </c>
      <c r="B19" s="89" t="n"/>
      <c r="C19" s="14" t="n">
        <v>0</v>
      </c>
      <c r="D19" s="89" t="n"/>
      <c r="E19" s="14" t="n">
        <v>0</v>
      </c>
      <c r="F19" s="89" t="n"/>
      <c r="G19" s="14" t="n">
        <v>0</v>
      </c>
      <c r="H19" s="89" t="n"/>
      <c r="I19" s="14" t="n">
        <v>10</v>
      </c>
      <c r="J19" s="89" t="n"/>
      <c r="K19" s="14" t="n">
        <v>6</v>
      </c>
      <c r="L19" s="89" t="n"/>
    </row>
    <row r="20" ht="15" customHeight="1"/>
    <row r="21" ht="20" customHeight="1">
      <c r="A21" s="6" t="inlineStr">
        <is>
          <t>3. The career ladder — what each level means · bottom to top</t>
        </is>
      </c>
    </row>
    <row r="22" ht="28" customHeight="1">
      <c r="A22" s="8" t="inlineStr">
        <is>
          <t>Level</t>
        </is>
      </c>
      <c r="B22" s="8" t="inlineStr">
        <is>
          <t>IC title</t>
        </is>
      </c>
      <c r="C22" s="89" t="n"/>
      <c r="D22" s="8" t="inlineStr">
        <is>
          <t>Manager title</t>
        </is>
      </c>
      <c r="E22" s="89" t="n"/>
      <c r="F22" s="8" t="inlineStr">
        <is>
          <t>What a role at this level owns</t>
        </is>
      </c>
      <c r="G22" s="88" t="n"/>
      <c r="H22" s="88" t="n"/>
      <c r="I22" s="88" t="n"/>
      <c r="J22" s="88" t="n"/>
      <c r="K22" s="89" t="n"/>
      <c r="L22" s="8" t="inlineStr">
        <is>
          <t>Typical experience</t>
        </is>
      </c>
      <c r="M22" s="89" t="n"/>
      <c r="N22" s="8" t="inlineStr">
        <is>
          <t>People here</t>
        </is>
      </c>
    </row>
    <row r="23" ht="28" customHeight="1">
      <c r="A23" s="16" t="inlineStr">
        <is>
          <t>A1</t>
        </is>
      </c>
      <c r="B23" s="17" t="inlineStr">
        <is>
          <t>Intern / Trainee</t>
        </is>
      </c>
      <c r="C23" s="89" t="n"/>
      <c r="D23" s="17" t="inlineStr">
        <is>
          <t>Same path</t>
        </is>
      </c>
      <c r="E23" s="89" t="n"/>
      <c r="F23" s="17" t="inlineStr">
        <is>
          <t>Learning the role; all work reviewed</t>
        </is>
      </c>
      <c r="G23" s="88" t="n"/>
      <c r="H23" s="88" t="n"/>
      <c r="I23" s="88" t="n"/>
      <c r="J23" s="88" t="n"/>
      <c r="K23" s="89" t="n"/>
      <c r="L23" s="19" t="inlineStr">
        <is>
          <t>0 yrs · fresher / intern</t>
        </is>
      </c>
      <c r="M23" s="89" t="n"/>
      <c r="N23" s="19" t="n">
        <v>1</v>
      </c>
    </row>
    <row r="24" ht="15" customHeight="1">
      <c r="A24" s="16" t="inlineStr">
        <is>
          <t>A2</t>
        </is>
      </c>
      <c r="B24" s="17" t="inlineStr">
        <is>
          <t>Associate</t>
        </is>
      </c>
      <c r="C24" s="89" t="n"/>
      <c r="D24" s="17" t="inlineStr">
        <is>
          <t>Same path</t>
        </is>
      </c>
      <c r="E24" s="89" t="n"/>
      <c r="F24" s="17" t="inlineStr">
        <is>
          <t>Standard work delivered independently</t>
        </is>
      </c>
      <c r="G24" s="88" t="n"/>
      <c r="H24" s="88" t="n"/>
      <c r="I24" s="88" t="n"/>
      <c r="J24" s="88" t="n"/>
      <c r="K24" s="89" t="n"/>
      <c r="L24" s="19" t="inlineStr">
        <is>
          <t>0–2 yrs</t>
        </is>
      </c>
      <c r="M24" s="89" t="n"/>
      <c r="N24" s="19" t="n">
        <v>5</v>
      </c>
    </row>
    <row r="25" ht="15" customHeight="1">
      <c r="A25" s="16" t="inlineStr">
        <is>
          <t>A3</t>
        </is>
      </c>
      <c r="B25" s="17" t="inlineStr">
        <is>
          <t>Senior Associate</t>
        </is>
      </c>
      <c r="C25" s="89" t="n"/>
      <c r="D25" s="17" t="inlineStr">
        <is>
          <t>Same path</t>
        </is>
      </c>
      <c r="E25" s="89" t="n"/>
      <c r="F25" s="17" t="inlineStr">
        <is>
          <t>Varied work; reviews juniors; go-to for a process</t>
        </is>
      </c>
      <c r="G25" s="88" t="n"/>
      <c r="H25" s="88" t="n"/>
      <c r="I25" s="88" t="n"/>
      <c r="J25" s="88" t="n"/>
      <c r="K25" s="89" t="n"/>
      <c r="L25" s="19" t="inlineStr">
        <is>
          <t>2–4 yrs</t>
        </is>
      </c>
      <c r="M25" s="89" t="n"/>
      <c r="N25" s="19" t="n">
        <v>10</v>
      </c>
    </row>
    <row r="26" ht="15" customHeight="1">
      <c r="A26" s="20" t="inlineStr">
        <is>
          <t>B1</t>
        </is>
      </c>
      <c r="B26" s="21" t="inlineStr">
        <is>
          <t>Specialist</t>
        </is>
      </c>
      <c r="C26" s="89" t="n"/>
      <c r="D26" s="21" t="inlineStr">
        <is>
          <t>Team Lead</t>
        </is>
      </c>
      <c r="E26" s="89" t="n"/>
      <c r="F26" s="21" t="inlineStr">
        <is>
          <t>A domain / module, or a small team</t>
        </is>
      </c>
      <c r="G26" s="88" t="n"/>
      <c r="H26" s="88" t="n"/>
      <c r="I26" s="88" t="n"/>
      <c r="J26" s="88" t="n"/>
      <c r="K26" s="89" t="n"/>
      <c r="L26" s="23" t="inlineStr">
        <is>
          <t>4–7 yrs</t>
        </is>
      </c>
      <c r="M26" s="89" t="n"/>
      <c r="N26" s="23" t="n">
        <v>2</v>
      </c>
    </row>
    <row r="27" ht="15" customHeight="1">
      <c r="A27" s="20" t="inlineStr">
        <is>
          <t>B2</t>
        </is>
      </c>
      <c r="B27" s="21" t="inlineStr">
        <is>
          <t>Senior Specialist</t>
        </is>
      </c>
      <c r="C27" s="89" t="n"/>
      <c r="D27" s="21" t="inlineStr">
        <is>
          <t>Manager</t>
        </is>
      </c>
      <c r="E27" s="89" t="n"/>
      <c r="F27" s="21" t="inlineStr">
        <is>
          <t>Deep domain expertise, or one team</t>
        </is>
      </c>
      <c r="G27" s="88" t="n"/>
      <c r="H27" s="88" t="n"/>
      <c r="I27" s="88" t="n"/>
      <c r="J27" s="88" t="n"/>
      <c r="K27" s="89" t="n"/>
      <c r="L27" s="23" t="inlineStr">
        <is>
          <t>6–9 yrs</t>
        </is>
      </c>
      <c r="M27" s="89" t="n"/>
      <c r="N27" s="23" t="n">
        <v>7</v>
      </c>
    </row>
    <row r="28" ht="15" customHeight="1">
      <c r="A28" s="24" t="inlineStr">
        <is>
          <t>C1</t>
        </is>
      </c>
      <c r="B28" s="25" t="inlineStr">
        <is>
          <t>Principal</t>
        </is>
      </c>
      <c r="C28" s="89" t="n"/>
      <c r="D28" s="25" t="inlineStr">
        <is>
          <t>Associate Head</t>
        </is>
      </c>
      <c r="E28" s="89" t="n"/>
      <c r="F28" s="25" t="inlineStr">
        <is>
          <t>A sub-function, or principal authority across products</t>
        </is>
      </c>
      <c r="G28" s="88" t="n"/>
      <c r="H28" s="88" t="n"/>
      <c r="I28" s="88" t="n"/>
      <c r="J28" s="88" t="n"/>
      <c r="K28" s="89" t="n"/>
      <c r="L28" s="27" t="inlineStr">
        <is>
          <t>10–14 yrs</t>
        </is>
      </c>
      <c r="M28" s="89" t="n"/>
      <c r="N28" s="27" t="n">
        <v>2</v>
      </c>
    </row>
    <row r="29" ht="15" customHeight="1">
      <c r="A29" s="28" t="inlineStr">
        <is>
          <t>D2</t>
        </is>
      </c>
      <c r="B29" s="29" t="inlineStr">
        <is>
          <t>—</t>
        </is>
      </c>
      <c r="C29" s="89" t="n"/>
      <c r="D29" s="29" t="inlineStr">
        <is>
          <t>Vice President</t>
        </is>
      </c>
      <c r="E29" s="89" t="n"/>
      <c r="F29" s="29" t="inlineStr">
        <is>
          <t>Several business lines or an executive-scope enterprise function</t>
        </is>
      </c>
      <c r="G29" s="88" t="n"/>
      <c r="H29" s="88" t="n"/>
      <c r="I29" s="88" t="n"/>
      <c r="J29" s="88" t="n"/>
      <c r="K29" s="89" t="n"/>
      <c r="L29" s="31" t="inlineStr">
        <is>
          <t>18–24 yrs</t>
        </is>
      </c>
      <c r="M29" s="89" t="n"/>
      <c r="N29" s="31" t="n">
        <v>1</v>
      </c>
    </row>
    <row r="30" ht="28" customHeight="1">
      <c r="A30" s="32" t="inlineStr">
        <is>
          <t>X1</t>
        </is>
      </c>
      <c r="B30" s="33" t="inlineStr">
        <is>
          <t>Associate Consultant</t>
        </is>
      </c>
      <c r="C30" s="89" t="n"/>
      <c r="D30" s="33" t="inlineStr">
        <is>
          <t>Outside the employee ladder</t>
        </is>
      </c>
      <c r="E30" s="89" t="n"/>
      <c r="F30" s="33" t="inlineStr">
        <is>
          <t>Defined deliverables under a statement of work · ≈ A2–A3</t>
        </is>
      </c>
      <c r="G30" s="88" t="n"/>
      <c r="H30" s="88" t="n"/>
      <c r="I30" s="88" t="n"/>
      <c r="J30" s="88" t="n"/>
      <c r="K30" s="89" t="n"/>
      <c r="L30" s="35" t="inlineStr">
        <is>
          <t>0–5 yrs</t>
        </is>
      </c>
      <c r="M30" s="89" t="n"/>
      <c r="N30" s="35" t="n">
        <v>6</v>
      </c>
    </row>
    <row r="31" ht="15" customHeight="1"/>
    <row r="32" ht="28" customHeight="1">
      <c r="A32" s="36" t="inlineStr">
        <is>
          <r>
            <rPr>
              <rFont val="Calibri"/>
              <b val="1"/>
              <i val="1"/>
              <color rgb="00595959"/>
              <sz val="10"/>
            </rPr>
            <t>Bands:</t>
          </r>
          <r>
            <rPr>
              <rFont val="Calibri"/>
              <i val="1"/>
              <color rgb="00595959"/>
              <sz val="10"/>
            </rPr>
            <t xml:space="preserve"> A practitioner · B specialist / manager · C principal / head · D business leadership · E enterprise leadership. B+ and C+ are the Player-Coach transition steps · between B3 and C1, and between C2 and D1, for people who lead a team and still do the hardest hands-on work. X1–X3 are consultants outside the ladder.</t>
          </r>
        </is>
      </c>
    </row>
    <row r="33" ht="15" customHeight="1"/>
    <row r="34" ht="20" customHeight="1">
      <c r="A34" s="6" t="inlineStr">
        <is>
          <t>3b. Top specialist title at D1 — decision for the heads</t>
        </is>
      </c>
    </row>
    <row r="35" ht="15" customHeight="1">
      <c r="A35" s="36" t="inlineStr">
        <is>
          <t>IRIS uses no 'Fellow' and no 'Director'. Status: Not decided yet — both options are shown as 'Chief Specialist / Distinguished Principal' until the heads choose.</t>
        </is>
      </c>
    </row>
    <row r="36" ht="15" customHeight="1">
      <c r="A36" s="8" t="inlineStr">
        <is>
          <t>Option</t>
        </is>
      </c>
      <c r="B36" s="89" t="n"/>
      <c r="C36" s="8" t="inlineStr">
        <is>
          <t>What it means</t>
        </is>
      </c>
      <c r="D36" s="88" t="n"/>
      <c r="E36" s="88" t="n"/>
      <c r="F36" s="88" t="n"/>
      <c r="G36" s="88" t="n"/>
      <c r="H36" s="88" t="n"/>
      <c r="I36" s="88" t="n"/>
      <c r="J36" s="88" t="n"/>
      <c r="K36" s="88" t="n"/>
      <c r="L36" s="88" t="n"/>
      <c r="M36" s="88" t="n"/>
      <c r="N36" s="89" t="n"/>
    </row>
    <row r="37" ht="93" customHeight="1">
      <c r="A37" s="10" t="inlineStr">
        <is>
          <t>Option A · Chief Specialist</t>
        </is>
      </c>
      <c r="B37" s="89" t="n"/>
      <c r="C37" s="12" t="inlineStr">
        <is>
          <r>
            <rPr>
              <rFont val="Calibri"/>
              <b val="1"/>
              <sz val="10"/>
            </rPr>
            <t>Discipline forms:</t>
          </r>
          <r>
            <rPr>
              <rFont val="Calibri"/>
              <sz val="10"/>
            </rPr>
            <t xml:space="preserve"> Chief Architect · Chief Consultant · Chief Product Specialist · Chief Compliance Specialist · Chief Data Scientist
</t>
          </r>
          <r>
            <rPr>
              <rFont val="Calibri"/>
              <b val="1"/>
              <sz val="10"/>
            </rPr>
            <t>Why:</t>
          </r>
          <r>
            <rPr>
              <rFont val="Calibri"/>
              <sz val="10"/>
            </rPr>
            <t xml:space="preserve"> A recognised senior title in the Indian market: PayScale India tracks Chief Architect, IT as a late-career role, and Indian IT services ladders such as Infosys stop at Principal Technology Architect before AVP, so 'Chief' marks the step above Principal. Takes the discipline word for every job family. Sources: S72 PayScale India · S33 Infosys job levels.
</t>
          </r>
          <r>
            <rPr>
              <rFont val="Calibri"/>
              <b val="1"/>
              <sz val="10"/>
            </rPr>
            <t>Watch-out:</t>
          </r>
          <r>
            <rPr>
              <rFont val="Calibri"/>
              <sz val="10"/>
            </rPr>
            <t xml:space="preserve"> The CXO level also uses 'Chief'. Job documents state that this is a specialist role with no team, not an executive or KMP role.</t>
          </r>
        </is>
      </c>
      <c r="D37" s="88" t="n"/>
      <c r="E37" s="88" t="n"/>
      <c r="F37" s="88" t="n"/>
      <c r="G37" s="88" t="n"/>
      <c r="H37" s="88" t="n"/>
      <c r="I37" s="88" t="n"/>
      <c r="J37" s="88" t="n"/>
      <c r="K37" s="88" t="n"/>
      <c r="L37" s="88" t="n"/>
      <c r="M37" s="88" t="n"/>
      <c r="N37" s="89" t="n"/>
    </row>
    <row r="38" ht="67" customHeight="1">
      <c r="A38" s="10" t="inlineStr">
        <is>
          <t>Option B · Distinguished Principal</t>
        </is>
      </c>
      <c r="B38" s="89" t="n"/>
      <c r="C38" s="12" t="inlineStr">
        <is>
          <r>
            <rPr>
              <rFont val="Calibri"/>
              <b val="1"/>
              <sz val="10"/>
            </rPr>
            <t>Discipline forms:</t>
          </r>
          <r>
            <rPr>
              <rFont val="Calibri"/>
              <sz val="10"/>
            </rPr>
            <t xml:space="preserve"> Distinguished Architect · Distinguished Engineer · Distinguished Consultant · Distinguished Designer
</t>
          </r>
          <r>
            <rPr>
              <rFont val="Calibri"/>
              <b val="1"/>
              <sz val="10"/>
            </rPr>
            <t>Why:</t>
          </r>
          <r>
            <rPr>
              <rFont val="Calibri"/>
              <sz val="10"/>
            </rPr>
            <t xml:space="preserve"> Most common globally: the standard top-specialist title at Google, Microsoft, Salesforce and, in India, Wipro. Continues the Principal line: Principal → Senior Principal → Distinguished Principal. Sources: S65 Wipro · S66 Salesforce · S67 LeadDev · S32 Google, Microsoft, Amazon levels.
</t>
          </r>
          <r>
            <rPr>
              <rFont val="Calibri"/>
              <b val="1"/>
              <sz val="10"/>
            </rPr>
            <t>Watch-out:</t>
          </r>
          <r>
            <rPr>
              <rFont val="Calibri"/>
              <sz val="10"/>
            </rPr>
            <t xml:space="preserve"> Less familiar in the Indian job market and outside technology roles.</t>
          </r>
        </is>
      </c>
      <c r="D38" s="88" t="n"/>
      <c r="E38" s="88" t="n"/>
      <c r="F38" s="88" t="n"/>
      <c r="G38" s="88" t="n"/>
      <c r="H38" s="88" t="n"/>
      <c r="I38" s="88" t="n"/>
      <c r="J38" s="88" t="n"/>
      <c r="K38" s="88" t="n"/>
      <c r="L38" s="88" t="n"/>
      <c r="M38" s="88" t="n"/>
      <c r="N38" s="89" t="n"/>
    </row>
    <row r="39" ht="15" customHeight="1"/>
    <row r="40" ht="28" customHeight="1">
      <c r="A40" s="36" t="inlineStr">
        <is>
          <r>
            <rPr>
              <rFont val="Calibri"/>
              <b val="1"/>
              <i val="1"/>
              <color rgb="00595959"/>
              <sz val="10"/>
            </rPr>
            <t>How to apply the decision:</t>
          </r>
          <r>
            <rPr>
              <rFont val="Calibri"/>
              <i val="1"/>
              <color rgb="00595959"/>
              <sz val="10"/>
            </rPr>
            <t xml:space="preserve"> Heads choose one option. HR then sets the value in inputs/title_settings.csv to 'Chief Specialist' or 'Distinguished Principal' and rebuilds; every ladder, level table and designation updates. Leave it as 'Both' until the decision is made.</t>
          </r>
        </is>
      </c>
    </row>
    <row r="41" ht="15" customHeight="1"/>
    <row r="42" ht="20" customHeight="1">
      <c r="A42" s="6" t="inlineStr">
        <is>
          <t>4. How a role's level is worked out — in four steps</t>
        </is>
      </c>
    </row>
    <row r="43" ht="28" customHeight="1">
      <c r="A43" s="36" t="inlineStr">
        <is>
          <t>The score measures the size of the role, not how well the person performs, and it is not linked to pay. It uses the same scale as the ladder · A1 = 1, A2 = 2 … B1 = 4 … E2 = 12, so a score reads as a level.</t>
        </is>
      </c>
    </row>
    <row r="44" ht="15" customHeight="1">
      <c r="A44" s="8" t="inlineStr">
        <is>
          <t>Step</t>
        </is>
      </c>
      <c r="B44" s="8" t="inlineStr">
        <is>
          <t>What happens</t>
        </is>
      </c>
      <c r="C44" s="88" t="n"/>
      <c r="D44" s="88" t="n"/>
      <c r="E44" s="88" t="n"/>
      <c r="F44" s="88" t="n"/>
      <c r="G44" s="89" t="n"/>
      <c r="H44" s="8" t="inlineStr">
        <is>
          <t>In plain words</t>
        </is>
      </c>
      <c r="I44" s="88" t="n"/>
      <c r="J44" s="88" t="n"/>
      <c r="K44" s="88" t="n"/>
      <c r="L44" s="88" t="n"/>
      <c r="M44" s="88" t="n"/>
      <c r="N44" s="89" t="n"/>
    </row>
    <row r="45" ht="54" customHeight="1">
      <c r="A45" s="10" t="inlineStr">
        <is>
          <t>1 · Rate</t>
        </is>
      </c>
      <c r="B45" s="12" t="inlineStr">
        <is>
          <r>
            <rPr>
              <rFont val="Calibri"/>
              <b val="1"/>
              <sz val="10"/>
            </rPr>
            <t>Six factors are each rated:</t>
          </r>
          <r>
            <rPr>
              <rFont val="Calibri"/>
              <sz val="10"/>
            </rPr>
            <t xml:space="preserve"> Complexity, Autonomy, Accountability, Leadership, Experience &amp; Qualification, Business Impact. Each rating starts from the designation and reporting line; survey or KRA evidence can move it by up to one level.</t>
          </r>
        </is>
      </c>
      <c r="C45" s="88" t="n"/>
      <c r="D45" s="88" t="n"/>
      <c r="E45" s="88" t="n"/>
      <c r="F45" s="88" t="n"/>
      <c r="G45" s="89" t="n"/>
      <c r="H45" s="12" t="inlineStr">
        <is>
          <t>How hard the work is, how freely the person decides, what the role answers for, how much it leads others, the experience it needs and its impact on the business.</t>
        </is>
      </c>
      <c r="I45" s="88" t="n"/>
      <c r="J45" s="88" t="n"/>
      <c r="K45" s="88" t="n"/>
      <c r="L45" s="88" t="n"/>
      <c r="M45" s="88" t="n"/>
      <c r="N45" s="89" t="n"/>
    </row>
    <row r="46" ht="41" customHeight="1">
      <c r="A46" s="10" t="inlineStr">
        <is>
          <t>2 · Weigh</t>
        </is>
      </c>
      <c r="B46" s="12" t="inlineStr">
        <is>
          <t>Each factor has a weight; the six weights add to 100%. They depend on the band and track and the department's type of work, and leaders can edit them on the Weightage Matrix.</t>
        </is>
      </c>
      <c r="C46" s="88" t="n"/>
      <c r="D46" s="88" t="n"/>
      <c r="E46" s="88" t="n"/>
      <c r="F46" s="88" t="n"/>
      <c r="G46" s="89" t="n"/>
      <c r="H46" s="12" t="inlineStr">
        <is>
          <t>Junior roles count the work itself most · Leadership counts 0% in Band A. Senior roles count accountability, leadership and business impact most. Experience counts little.</t>
        </is>
      </c>
      <c r="I46" s="88" t="n"/>
      <c r="J46" s="88" t="n"/>
      <c r="K46" s="88" t="n"/>
      <c r="L46" s="88" t="n"/>
      <c r="M46" s="88" t="n"/>
      <c r="N46" s="89" t="n"/>
    </row>
    <row r="47" ht="41" customHeight="1">
      <c r="A47" s="10" t="inlineStr">
        <is>
          <t>3 · Score</t>
        </is>
      </c>
      <c r="B47" s="12" t="inlineStr">
        <is>
          <t>Score = the six ratings × their weights, added up. Rounded to the nearest whole number ·.5 rounds up, it gives the indicated level.</t>
        </is>
      </c>
      <c r="C47" s="88" t="n"/>
      <c r="D47" s="88" t="n"/>
      <c r="E47" s="88" t="n"/>
      <c r="F47" s="88" t="n"/>
      <c r="G47" s="89" t="n"/>
      <c r="H47" s="12" t="inlineStr">
        <is>
          <t>A weighted average rating — so 4.73 means 'between B1 and B2, nearer B2', which rounds to B2.</t>
        </is>
      </c>
      <c r="I47" s="88" t="n"/>
      <c r="J47" s="88" t="n"/>
      <c r="K47" s="88" t="n"/>
      <c r="L47" s="88" t="n"/>
      <c r="M47" s="88" t="n"/>
      <c r="N47" s="89" t="n"/>
    </row>
    <row r="48" ht="67" customHeight="1">
      <c r="A48" s="10" t="inlineStr">
        <is>
          <t>4 · Check</t>
        </is>
      </c>
      <c r="B48" s="12" t="inlineStr">
        <is>
          <r>
            <rPr>
              <rFont val="Calibri"/>
              <b val="1"/>
              <sz val="10"/>
            </rPr>
            <t>Rules confirm or adjust the indicated level:</t>
          </r>
          <r>
            <rPr>
              <rFont val="Calibri"/>
              <sz val="10"/>
            </rPr>
            <t xml:space="preserve"> the work itself must support it, senior levels need the structure in the org chart, experience limits apply in Bands A–B, POD Leads and managers start at B1, and Player-Coaches can sit on a Player-Coach transition step.</t>
          </r>
        </is>
      </c>
      <c r="C48" s="88" t="n"/>
      <c r="D48" s="88" t="n"/>
      <c r="E48" s="88" t="n"/>
      <c r="F48" s="88" t="n"/>
      <c r="G48" s="89" t="n"/>
      <c r="H48" s="12" t="inlineStr">
        <is>
          <t>The score proposes; the rules make sure the role really carries that level. Any change is named, with its numbers, on sheet 2 of this workbook.</t>
        </is>
      </c>
      <c r="I48" s="88" t="n"/>
      <c r="J48" s="88" t="n"/>
      <c r="K48" s="88" t="n"/>
      <c r="L48" s="88" t="n"/>
      <c r="M48" s="88" t="n"/>
      <c r="N48" s="89" t="n"/>
    </row>
    <row r="49" ht="15" customHeight="1"/>
    <row r="50" ht="15" customHeight="1">
      <c r="A50" s="37" t="inlineStr">
        <is>
          <t>Worked example · invented numbers — a Band B individual contributor doing technology work:</t>
        </is>
      </c>
    </row>
    <row r="51" ht="15" customHeight="1">
      <c r="A51" s="8" t="inlineStr">
        <is>
          <t>Factor</t>
        </is>
      </c>
      <c r="B51" s="8" t="inlineStr">
        <is>
          <t>Complexity</t>
        </is>
      </c>
      <c r="C51" s="89" t="n"/>
      <c r="D51" s="8" t="inlineStr">
        <is>
          <t>Autonomy</t>
        </is>
      </c>
      <c r="E51" s="89" t="n"/>
      <c r="F51" s="8" t="inlineStr">
        <is>
          <t>Accountability</t>
        </is>
      </c>
      <c r="G51" s="89" t="n"/>
      <c r="H51" s="8" t="inlineStr">
        <is>
          <t>Leadership</t>
        </is>
      </c>
      <c r="I51" s="89" t="n"/>
      <c r="J51" s="8" t="inlineStr">
        <is>
          <t>Experience</t>
        </is>
      </c>
      <c r="K51" s="89" t="n"/>
      <c r="L51" s="8" t="inlineStr">
        <is>
          <t>Bus. Impact</t>
        </is>
      </c>
      <c r="M51" s="89" t="n"/>
      <c r="N51" s="8" t="inlineStr">
        <is>
          <t>Score</t>
        </is>
      </c>
    </row>
    <row r="52" ht="15" customHeight="1">
      <c r="A52" s="10" t="inlineStr">
        <is>
          <t>Rating</t>
        </is>
      </c>
      <c r="B52" s="38" t="inlineStr">
        <is>
          <t>5</t>
        </is>
      </c>
      <c r="C52" s="89" t="n"/>
      <c r="D52" s="38" t="inlineStr">
        <is>
          <t>4</t>
        </is>
      </c>
      <c r="E52" s="89" t="n"/>
      <c r="F52" s="38" t="inlineStr">
        <is>
          <t>5</t>
        </is>
      </c>
      <c r="G52" s="89" t="n"/>
      <c r="H52" s="38" t="inlineStr">
        <is>
          <t>3</t>
        </is>
      </c>
      <c r="I52" s="89" t="n"/>
      <c r="J52" s="38" t="inlineStr">
        <is>
          <t>5</t>
        </is>
      </c>
      <c r="K52" s="89" t="n"/>
      <c r="L52" s="38" t="inlineStr">
        <is>
          <t>5</t>
        </is>
      </c>
      <c r="M52" s="89" t="n"/>
      <c r="N52" s="38" t="inlineStr"/>
    </row>
    <row r="53" ht="15" customHeight="1">
      <c r="A53" s="10" t="inlineStr">
        <is>
          <t>Weight</t>
        </is>
      </c>
      <c r="B53" s="38" t="inlineStr">
        <is>
          <t>56%</t>
        </is>
      </c>
      <c r="C53" s="89" t="n"/>
      <c r="D53" s="38" t="inlineStr">
        <is>
          <t>17%</t>
        </is>
      </c>
      <c r="E53" s="89" t="n"/>
      <c r="F53" s="38" t="inlineStr">
        <is>
          <t>5%</t>
        </is>
      </c>
      <c r="G53" s="89" t="n"/>
      <c r="H53" s="38" t="inlineStr">
        <is>
          <t>5%</t>
        </is>
      </c>
      <c r="I53" s="89" t="n"/>
      <c r="J53" s="38" t="inlineStr">
        <is>
          <t>10%</t>
        </is>
      </c>
      <c r="K53" s="89" t="n"/>
      <c r="L53" s="38" t="inlineStr">
        <is>
          <t>7%</t>
        </is>
      </c>
      <c r="M53" s="89" t="n"/>
      <c r="N53" s="38" t="inlineStr">
        <is>
          <t>100%</t>
        </is>
      </c>
    </row>
    <row r="54" ht="15" customHeight="1">
      <c r="A54" s="10" t="inlineStr">
        <is>
          <t>Rating × weight</t>
        </is>
      </c>
      <c r="B54" s="38" t="inlineStr">
        <is>
          <t>2.80</t>
        </is>
      </c>
      <c r="C54" s="89" t="n"/>
      <c r="D54" s="38" t="inlineStr">
        <is>
          <t>0.68</t>
        </is>
      </c>
      <c r="E54" s="89" t="n"/>
      <c r="F54" s="38" t="inlineStr">
        <is>
          <t>0.25</t>
        </is>
      </c>
      <c r="G54" s="89" t="n"/>
      <c r="H54" s="38" t="inlineStr">
        <is>
          <t>0.15</t>
        </is>
      </c>
      <c r="I54" s="89" t="n"/>
      <c r="J54" s="38" t="inlineStr">
        <is>
          <t>0.50</t>
        </is>
      </c>
      <c r="K54" s="89" t="n"/>
      <c r="L54" s="38" t="inlineStr">
        <is>
          <t>0.35</t>
        </is>
      </c>
      <c r="M54" s="89" t="n"/>
      <c r="N54" s="38" t="inlineStr">
        <is>
          <t>4.73 → B2</t>
        </is>
      </c>
    </row>
    <row r="55" ht="15" customHeight="1"/>
    <row r="56" ht="15" customHeight="1">
      <c r="A56" s="37" t="inlineStr">
        <is>
          <t>What the numbers mean — Datatech</t>
        </is>
      </c>
    </row>
    <row r="57" ht="15" customHeight="1">
      <c r="A57" s="8" t="inlineStr">
        <is>
          <t>Term</t>
        </is>
      </c>
      <c r="B57" s="8" t="inlineStr">
        <is>
          <t>Meaning</t>
        </is>
      </c>
      <c r="C57" s="88" t="n"/>
      <c r="D57" s="88" t="n"/>
      <c r="E57" s="88" t="n"/>
      <c r="F57" s="88" t="n"/>
      <c r="G57" s="88" t="n"/>
      <c r="H57" s="88" t="n"/>
      <c r="I57" s="88" t="n"/>
      <c r="J57" s="88" t="n"/>
      <c r="K57" s="88" t="n"/>
      <c r="L57" s="89" t="n"/>
      <c r="M57" s="8" t="inlineStr">
        <is>
          <t>People</t>
        </is>
      </c>
      <c r="N57" s="89" t="n"/>
    </row>
    <row r="58" ht="15" customHeight="1">
      <c r="A58" s="10" t="inlineStr">
        <is>
          <t>Score</t>
        </is>
      </c>
      <c r="B58" s="12" t="inlineStr">
        <is>
          <t>The size of the role in level units. Not performance, not pay.</t>
        </is>
      </c>
      <c r="C58" s="88" t="n"/>
      <c r="D58" s="88" t="n"/>
      <c r="E58" s="88" t="n"/>
      <c r="F58" s="88" t="n"/>
      <c r="G58" s="88" t="n"/>
      <c r="H58" s="88" t="n"/>
      <c r="I58" s="88" t="n"/>
      <c r="J58" s="88" t="n"/>
      <c r="K58" s="88" t="n"/>
      <c r="L58" s="89" t="n"/>
      <c r="M58" s="38" t="n">
        <v>27</v>
      </c>
      <c r="N58" s="89" t="n"/>
    </row>
    <row r="59" ht="15" customHeight="1">
      <c r="A59" s="10" t="inlineStr">
        <is>
          <t>Indicated level</t>
        </is>
      </c>
      <c r="B59" s="12" t="inlineStr">
        <is>
          <t>The score rounded to the nearest level.</t>
        </is>
      </c>
      <c r="C59" s="88" t="n"/>
      <c r="D59" s="88" t="n"/>
      <c r="E59" s="88" t="n"/>
      <c r="F59" s="88" t="n"/>
      <c r="G59" s="88" t="n"/>
      <c r="H59" s="88" t="n"/>
      <c r="I59" s="88" t="n"/>
      <c r="J59" s="88" t="n"/>
      <c r="K59" s="88" t="n"/>
      <c r="L59" s="89" t="n"/>
      <c r="M59" s="38" t="n">
        <v>27</v>
      </c>
      <c r="N59" s="89" t="n"/>
    </row>
    <row r="60" ht="15" customHeight="1">
      <c r="A60" s="10" t="inlineStr">
        <is>
          <t>Final level</t>
        </is>
      </c>
      <c r="B60" s="12" t="inlineStr">
        <is>
          <t>The level after the rules. Where it differs from the indicated level, a rule moved it and the reason is recorded.</t>
        </is>
      </c>
      <c r="C60" s="88" t="n"/>
      <c r="D60" s="88" t="n"/>
      <c r="E60" s="88" t="n"/>
      <c r="F60" s="88" t="n"/>
      <c r="G60" s="88" t="n"/>
      <c r="H60" s="88" t="n"/>
      <c r="I60" s="88" t="n"/>
      <c r="J60" s="88" t="n"/>
      <c r="K60" s="88" t="n"/>
      <c r="L60" s="89" t="n"/>
      <c r="M60" s="38" t="inlineStr">
        <is>
          <t>10 differ</t>
        </is>
      </c>
      <c r="N60" s="89" t="n"/>
    </row>
    <row r="61" ht="15" customHeight="1">
      <c r="A61" s="10" t="inlineStr">
        <is>
          <t>Close call</t>
        </is>
      </c>
      <c r="B61" s="12" t="inlineStr">
        <is>
          <t>The score decided the level and sits within ±0.05 of a rounding point. Sent to the calibration panel.</t>
        </is>
      </c>
      <c r="C61" s="88" t="n"/>
      <c r="D61" s="88" t="n"/>
      <c r="E61" s="88" t="n"/>
      <c r="F61" s="88" t="n"/>
      <c r="G61" s="88" t="n"/>
      <c r="H61" s="88" t="n"/>
      <c r="I61" s="88" t="n"/>
      <c r="J61" s="88" t="n"/>
      <c r="K61" s="88" t="n"/>
      <c r="L61" s="89" t="n"/>
      <c r="M61" s="38" t="n">
        <v>0</v>
      </c>
      <c r="N61" s="89" t="n"/>
    </row>
    <row r="62" ht="28" customHeight="1">
      <c r="A62" s="10" t="inlineStr">
        <is>
          <t>Near a gate</t>
        </is>
      </c>
      <c r="B62" s="12" t="inlineStr">
        <is>
          <t>A rule set the level, and the number behind that rule is within a quarter-point of flipping it. Sent to the calibration panel.</t>
        </is>
      </c>
      <c r="C62" s="88" t="n"/>
      <c r="D62" s="88" t="n"/>
      <c r="E62" s="88" t="n"/>
      <c r="F62" s="88" t="n"/>
      <c r="G62" s="88" t="n"/>
      <c r="H62" s="88" t="n"/>
      <c r="I62" s="88" t="n"/>
      <c r="J62" s="88" t="n"/>
      <c r="K62" s="88" t="n"/>
      <c r="L62" s="89" t="n"/>
      <c r="M62" s="38" t="n">
        <v>0</v>
      </c>
      <c r="N62" s="89" t="n"/>
    </row>
    <row r="63" ht="15" customHeight="1">
      <c r="A63" s="10" t="inlineStr">
        <is>
          <t>Not scored</t>
        </is>
      </c>
      <c r="B63" s="12" t="inlineStr">
        <is>
          <t>Interns and first-year trainees, consultants and anyone with incomplete ratings are placed by rule.</t>
        </is>
      </c>
      <c r="C63" s="88" t="n"/>
      <c r="D63" s="88" t="n"/>
      <c r="E63" s="88" t="n"/>
      <c r="F63" s="88" t="n"/>
      <c r="G63" s="88" t="n"/>
      <c r="H63" s="88" t="n"/>
      <c r="I63" s="88" t="n"/>
      <c r="J63" s="88" t="n"/>
      <c r="K63" s="88" t="n"/>
      <c r="L63" s="89" t="n"/>
      <c r="M63" s="38" t="n">
        <v>7</v>
      </c>
      <c r="N63" s="89" t="n"/>
    </row>
    <row r="64" ht="15" customHeight="1"/>
    <row r="65" ht="80" customHeight="1">
      <c r="A65" s="36" t="inlineStr">
        <is>
          <r>
            <rPr>
              <rFont val="Calibri"/>
              <b val="1"/>
              <i val="1"/>
              <color rgb="00595959"/>
              <sz val="10"/>
            </rPr>
            <t>Where the weights come from:</t>
          </r>
          <r>
            <rPr>
              <rFont val="Calibri"/>
              <i val="1"/>
              <color rgb="00595959"/>
              <sz val="10"/>
            </rPr>
            <t xml:space="preserve"> each role group's default is the average of Korn Ferry Hay, Mercer IPE and five public point-factor plans. Sources: S46–S51 Korn Ferry Hay evaluations · S04, S52 Mercer IPE · S53–S57 NHS, UK NJC/PSC, GLPC, SJC and US OPM point-factor plans. Experience kept low: Sources: S05, S49 Hay know-how includes experience however acquired · S04, S52 Mercer IPE knowledge · S07 WTW GGS · S58 McKinsey · S59 Deloitte · S60 WEF · S61 EY India, 2026 — skills over tenure. The 10% / 5% level is an IRIS leadership decision. Type-of-work shift: Basis: S06 Hay short profile — A-type delivery jobs weight accountability, P-type thinking jobs weight problem solving, L-type are balanced. The ±5 size is an IRIS design rule, kept small so the market defaults stay in control. Full links: source register, HR Super Master sheet 11 and Framework Master M16.</t>
          </r>
        </is>
      </c>
    </row>
    <row r="66" ht="20" customHeight="1">
      <c r="A66" s="6" t="inlineStr">
        <is>
          <t>5. The ten rules, in plain English</t>
        </is>
      </c>
    </row>
    <row r="67" ht="15" customHeight="1">
      <c r="A67" s="8" t="inlineStr">
        <is>
          <t>Rule</t>
        </is>
      </c>
      <c r="B67" s="88" t="n"/>
      <c r="C67" s="89" t="n"/>
      <c r="D67" s="8" t="inlineStr">
        <is>
          <t>What it says</t>
        </is>
      </c>
      <c r="E67" s="88" t="n"/>
      <c r="F67" s="88" t="n"/>
      <c r="G67" s="88" t="n"/>
      <c r="H67" s="88" t="n"/>
      <c r="I67" s="88" t="n"/>
      <c r="J67" s="88" t="n"/>
      <c r="K67" s="88" t="n"/>
      <c r="L67" s="88" t="n"/>
      <c r="M67" s="88" t="n"/>
      <c r="N67" s="89" t="n"/>
    </row>
    <row r="68" ht="15" customHeight="1">
      <c r="A68" s="10" t="inlineStr">
        <is>
          <t>R1 · Category</t>
        </is>
      </c>
      <c r="B68" s="88" t="n"/>
      <c r="C68" s="89" t="n"/>
      <c r="D68" s="12" t="inlineStr">
        <is>
          <t>Interns and first-year trainees start at A1; consultants sit outside the ladder at X1–X3.</t>
        </is>
      </c>
      <c r="E68" s="88" t="n"/>
      <c r="F68" s="88" t="n"/>
      <c r="G68" s="88" t="n"/>
      <c r="H68" s="88" t="n"/>
      <c r="I68" s="88" t="n"/>
      <c r="J68" s="88" t="n"/>
      <c r="K68" s="88" t="n"/>
      <c r="L68" s="88" t="n"/>
      <c r="M68" s="88" t="n"/>
      <c r="N68" s="89" t="n"/>
    </row>
    <row r="69" ht="15" customHeight="1">
      <c r="A69" s="10" t="inlineStr">
        <is>
          <t>R2 · Provisional</t>
        </is>
      </c>
      <c r="B69" s="88" t="n"/>
      <c r="C69" s="89" t="n"/>
      <c r="D69" s="12" t="inlineStr">
        <is>
          <t>Where the experience record looks incomplete, the level is kept until HR confirms it.</t>
        </is>
      </c>
      <c r="E69" s="88" t="n"/>
      <c r="F69" s="88" t="n"/>
      <c r="G69" s="88" t="n"/>
      <c r="H69" s="88" t="n"/>
      <c r="I69" s="88" t="n"/>
      <c r="J69" s="88" t="n"/>
      <c r="K69" s="88" t="n"/>
      <c r="L69" s="88" t="n"/>
      <c r="M69" s="88" t="n"/>
      <c r="N69" s="89" t="n"/>
    </row>
    <row r="70" ht="28" customHeight="1">
      <c r="A70" s="10" t="inlineStr">
        <is>
          <t>R3 · Score</t>
        </is>
      </c>
      <c r="B70" s="88" t="n"/>
      <c r="C70" s="89" t="n"/>
      <c r="D70" s="12" t="inlineStr">
        <is>
          <t>The weighted score points to a level; each band is checked on its own weights and the person sits in the highest band where it holds.</t>
        </is>
      </c>
      <c r="E70" s="88" t="n"/>
      <c r="F70" s="88" t="n"/>
      <c r="G70" s="88" t="n"/>
      <c r="H70" s="88" t="n"/>
      <c r="I70" s="88" t="n"/>
      <c r="J70" s="88" t="n"/>
      <c r="K70" s="88" t="n"/>
      <c r="L70" s="88" t="n"/>
      <c r="M70" s="88" t="n"/>
      <c r="N70" s="89" t="n"/>
    </row>
    <row r="71" ht="28" customHeight="1">
      <c r="A71" s="10" t="inlineStr">
        <is>
          <t>R4 · Role substance</t>
        </is>
      </c>
      <c r="B71" s="88" t="n"/>
      <c r="C71" s="89" t="n"/>
      <c r="D71" s="12" t="inlineStr">
        <is>
          <t>For individual contributors, the level can be at most one above what the complexity and accountability of the work show.</t>
        </is>
      </c>
      <c r="E71" s="88" t="n"/>
      <c r="F71" s="88" t="n"/>
      <c r="G71" s="88" t="n"/>
      <c r="H71" s="88" t="n"/>
      <c r="I71" s="88" t="n"/>
      <c r="J71" s="88" t="n"/>
      <c r="K71" s="88" t="n"/>
      <c r="L71" s="88" t="n"/>
      <c r="M71" s="88" t="n"/>
      <c r="N71" s="89" t="n"/>
    </row>
    <row r="72" ht="28" customHeight="1">
      <c r="A72" s="10" t="inlineStr">
        <is>
          <t>R5 · Structure</t>
        </is>
      </c>
      <c r="B72" s="88" t="n"/>
      <c r="C72" s="89" t="n"/>
      <c r="D72" s="12" t="inlineStr">
        <is>
          <t>C1 and above need the matching structure in the org chart · a sub-function, a function, a business line; a B3 manager needs team leads or 10+ people.</t>
        </is>
      </c>
      <c r="E72" s="88" t="n"/>
      <c r="F72" s="88" t="n"/>
      <c r="G72" s="88" t="n"/>
      <c r="H72" s="88" t="n"/>
      <c r="I72" s="88" t="n"/>
      <c r="J72" s="88" t="n"/>
      <c r="K72" s="88" t="n"/>
      <c r="L72" s="88" t="n"/>
      <c r="M72" s="88" t="n"/>
      <c r="N72" s="89" t="n"/>
    </row>
    <row r="73" ht="15" customHeight="1">
      <c r="A73" s="10" t="inlineStr">
        <is>
          <t>R6 · Top of band</t>
        </is>
      </c>
      <c r="B73" s="88" t="n"/>
      <c r="C73" s="89" t="n"/>
      <c r="D73" s="12" t="inlineStr">
        <is>
          <t>To enter the next band the score must reach its entry point on that band's own weights.</t>
        </is>
      </c>
      <c r="E73" s="88" t="n"/>
      <c r="F73" s="88" t="n"/>
      <c r="G73" s="88" t="n"/>
      <c r="H73" s="88" t="n"/>
      <c r="I73" s="88" t="n"/>
      <c r="J73" s="88" t="n"/>
      <c r="K73" s="88" t="n"/>
      <c r="L73" s="88" t="n"/>
      <c r="M73" s="88" t="n"/>
      <c r="N73" s="89" t="n"/>
    </row>
    <row r="74" ht="15" customHeight="1">
      <c r="A74" s="10" t="inlineStr">
        <is>
          <t>R7 · Band A experience</t>
        </is>
      </c>
      <c r="B74" s="88" t="n"/>
      <c r="C74" s="89" t="n"/>
      <c r="D74" s="12" t="inlineStr">
        <is>
          <r>
            <rPr>
              <rFont val="Calibri"/>
              <b val="1"/>
              <sz val="10"/>
            </rPr>
            <t>Under 1 year:</t>
          </r>
          <r>
            <rPr>
              <rFont val="Calibri"/>
              <sz val="10"/>
            </rPr>
            <t xml:space="preserve"> A2 at most; 2+ years: A3.</t>
          </r>
        </is>
      </c>
      <c r="E74" s="88" t="n"/>
      <c r="F74" s="88" t="n"/>
      <c r="G74" s="88" t="n"/>
      <c r="H74" s="88" t="n"/>
      <c r="I74" s="88" t="n"/>
      <c r="J74" s="88" t="n"/>
      <c r="K74" s="88" t="n"/>
      <c r="L74" s="88" t="n"/>
      <c r="M74" s="88" t="n"/>
      <c r="N74" s="89" t="n"/>
    </row>
    <row r="75" ht="15" customHeight="1">
      <c r="A75" s="10" t="inlineStr">
        <is>
          <t>R8 · Experience limit</t>
        </is>
      </c>
      <c r="B75" s="88" t="n"/>
      <c r="C75" s="89" t="n"/>
      <c r="D75" s="12" t="inlineStr">
        <is>
          <t>In Bands A–B a role sits at most one level above the level its experience fits · managers exempt.</t>
        </is>
      </c>
      <c r="E75" s="88" t="n"/>
      <c r="F75" s="88" t="n"/>
      <c r="G75" s="88" t="n"/>
      <c r="H75" s="88" t="n"/>
      <c r="I75" s="88" t="n"/>
      <c r="J75" s="88" t="n"/>
      <c r="K75" s="88" t="n"/>
      <c r="L75" s="88" t="n"/>
      <c r="M75" s="88" t="n"/>
      <c r="N75" s="89" t="n"/>
    </row>
    <row r="76" ht="15" customHeight="1">
      <c r="A76" s="10" t="inlineStr">
        <is>
          <t>R9 · Track minimum</t>
        </is>
      </c>
      <c r="B76" s="88" t="n"/>
      <c r="C76" s="89" t="n"/>
      <c r="D76" s="12" t="inlineStr">
        <is>
          <t>POD Leads and People Managers start at B1.</t>
        </is>
      </c>
      <c r="E76" s="88" t="n"/>
      <c r="F76" s="88" t="n"/>
      <c r="G76" s="88" t="n"/>
      <c r="H76" s="88" t="n"/>
      <c r="I76" s="88" t="n"/>
      <c r="J76" s="88" t="n"/>
      <c r="K76" s="88" t="n"/>
      <c r="L76" s="88" t="n"/>
      <c r="M76" s="88" t="n"/>
      <c r="N76" s="89" t="n"/>
    </row>
    <row r="77" ht="28" customHeight="1">
      <c r="A77" s="10" t="inlineStr">
        <is>
          <t>R10 · Player-Coach</t>
        </is>
      </c>
      <c r="B77" s="88" t="n"/>
      <c r="C77" s="89" t="n"/>
      <c r="D77" s="12" t="inlineStr">
        <is>
          <t>At B3 or C2, someone who leads people and still does hands-on work moves to the step above · B+ or C+ if the Player-Coach score and the substance reach the threshold; a shortfall of up to 0.15 is accepted and confirmed in calibration.</t>
        </is>
      </c>
      <c r="E77" s="88" t="n"/>
      <c r="F77" s="88" t="n"/>
      <c r="G77" s="88" t="n"/>
      <c r="H77" s="88" t="n"/>
      <c r="I77" s="88" t="n"/>
      <c r="J77" s="88" t="n"/>
      <c r="K77" s="88" t="n"/>
      <c r="L77" s="88" t="n"/>
      <c r="M77" s="88" t="n"/>
      <c r="N77" s="89" t="n"/>
    </row>
    <row r="78" ht="15" customHeight="1"/>
    <row r="79" ht="20" customHeight="1">
      <c r="A79" s="6" t="inlineStr">
        <is>
          <t>6. Colours and terms</t>
        </is>
      </c>
    </row>
    <row r="80" ht="15" customHeight="1">
      <c r="A80" s="39" t="inlineStr">
        <is>
          <t>Changed vs current · designation or level</t>
        </is>
      </c>
      <c r="B80" s="88" t="n"/>
      <c r="C80" s="88" t="n"/>
      <c r="D80" s="88" t="n"/>
      <c r="E80" s="88" t="n"/>
      <c r="F80" s="88" t="n"/>
      <c r="G80" s="88" t="n"/>
      <c r="H80" s="88" t="n"/>
      <c r="I80" s="88" t="n"/>
      <c r="J80" s="88" t="n"/>
      <c r="K80" s="88" t="n"/>
      <c r="L80" s="88" t="n"/>
      <c r="M80" s="88" t="n"/>
      <c r="N80" s="89" t="n"/>
    </row>
    <row r="81" ht="15" customHeight="1">
      <c r="A81" s="41" t="inlineStr">
        <is>
          <t>Level up</t>
        </is>
      </c>
      <c r="B81" s="88" t="n"/>
      <c r="C81" s="88" t="n"/>
      <c r="D81" s="88" t="n"/>
      <c r="E81" s="88" t="n"/>
      <c r="F81" s="88" t="n"/>
      <c r="G81" s="88" t="n"/>
      <c r="H81" s="88" t="n"/>
      <c r="I81" s="88" t="n"/>
      <c r="J81" s="88" t="n"/>
      <c r="K81" s="88" t="n"/>
      <c r="L81" s="88" t="n"/>
      <c r="M81" s="88" t="n"/>
      <c r="N81" s="89" t="n"/>
    </row>
    <row r="82" ht="15" customHeight="1">
      <c r="A82" s="43" t="inlineStr">
        <is>
          <t>Level down — pay &amp; title protected</t>
        </is>
      </c>
      <c r="B82" s="88" t="n"/>
      <c r="C82" s="88" t="n"/>
      <c r="D82" s="88" t="n"/>
      <c r="E82" s="88" t="n"/>
      <c r="F82" s="88" t="n"/>
      <c r="G82" s="88" t="n"/>
      <c r="H82" s="88" t="n"/>
      <c r="I82" s="88" t="n"/>
      <c r="J82" s="88" t="n"/>
      <c r="K82" s="88" t="n"/>
      <c r="L82" s="88" t="n"/>
      <c r="M82" s="88" t="n"/>
      <c r="N82" s="89" t="n"/>
    </row>
    <row r="83" ht="15" customHeight="1">
      <c r="A83" s="45" t="inlineStr">
        <is>
          <t>Newly mapped</t>
        </is>
      </c>
      <c r="B83" s="88" t="n"/>
      <c r="C83" s="88" t="n"/>
      <c r="D83" s="88" t="n"/>
      <c r="E83" s="88" t="n"/>
      <c r="F83" s="88" t="n"/>
      <c r="G83" s="88" t="n"/>
      <c r="H83" s="88" t="n"/>
      <c r="I83" s="88" t="n"/>
      <c r="J83" s="88" t="n"/>
      <c r="K83" s="88" t="n"/>
      <c r="L83" s="88" t="n"/>
      <c r="M83" s="88" t="n"/>
      <c r="N83" s="89" t="n"/>
    </row>
    <row r="84" ht="15" customHeight="1">
      <c r="A84" s="46" t="inlineStr">
        <is>
          <t>Player-Coach · B+ · C+</t>
        </is>
      </c>
      <c r="B84" s="88" t="n"/>
      <c r="C84" s="88" t="n"/>
      <c r="D84" s="88" t="n"/>
      <c r="E84" s="88" t="n"/>
      <c r="F84" s="88" t="n"/>
      <c r="G84" s="88" t="n"/>
      <c r="H84" s="88" t="n"/>
      <c r="I84" s="88" t="n"/>
      <c r="J84" s="88" t="n"/>
      <c r="K84" s="88" t="n"/>
      <c r="L84" s="88" t="n"/>
      <c r="M84" s="88" t="n"/>
      <c r="N84" s="89" t="n"/>
    </row>
    <row r="85" ht="15" customHeight="1">
      <c r="A85" s="48" t="inlineStr">
        <is>
          <t>RED = critical input needed · could change or confirm the level</t>
        </is>
      </c>
      <c r="B85" s="88" t="n"/>
      <c r="C85" s="88" t="n"/>
      <c r="D85" s="88" t="n"/>
      <c r="E85" s="88" t="n"/>
      <c r="F85" s="88" t="n"/>
      <c r="G85" s="88" t="n"/>
      <c r="H85" s="88" t="n"/>
      <c r="I85" s="88" t="n"/>
      <c r="J85" s="88" t="n"/>
      <c r="K85" s="88" t="n"/>
      <c r="L85" s="88" t="n"/>
      <c r="M85" s="88" t="n"/>
      <c r="N85" s="89" t="n"/>
    </row>
    <row r="86" ht="15" customHeight="1">
      <c r="A86" s="50" t="inlineStr">
        <is>
          <t>YELLOW = to complete in validation</t>
        </is>
      </c>
      <c r="B86" s="88" t="n"/>
      <c r="C86" s="88" t="n"/>
      <c r="D86" s="88" t="n"/>
      <c r="E86" s="88" t="n"/>
      <c r="F86" s="88" t="n"/>
      <c r="G86" s="88" t="n"/>
      <c r="H86" s="88" t="n"/>
      <c r="I86" s="88" t="n"/>
      <c r="J86" s="88" t="n"/>
      <c r="K86" s="88" t="n"/>
      <c r="L86" s="88" t="n"/>
      <c r="M86" s="88" t="n"/>
      <c r="N86" s="89" t="n"/>
    </row>
    <row r="87" ht="15" customHeight="1"/>
    <row r="88" ht="15" customHeight="1">
      <c r="A88" s="8" t="inlineStr">
        <is>
          <t>Term</t>
        </is>
      </c>
      <c r="B88" s="88" t="n"/>
      <c r="C88" s="89" t="n"/>
      <c r="D88" s="8" t="inlineStr">
        <is>
          <t>Meaning</t>
        </is>
      </c>
      <c r="E88" s="88" t="n"/>
      <c r="F88" s="88" t="n"/>
      <c r="G88" s="88" t="n"/>
      <c r="H88" s="88" t="n"/>
      <c r="I88" s="88" t="n"/>
      <c r="J88" s="88" t="n"/>
      <c r="K88" s="88" t="n"/>
      <c r="L88" s="88" t="n"/>
      <c r="M88" s="88" t="n"/>
      <c r="N88" s="89" t="n"/>
    </row>
    <row r="89" ht="15" customHeight="1">
      <c r="A89" s="10" t="inlineStr">
        <is>
          <t>Job family / sub-family</t>
        </is>
      </c>
      <c r="B89" s="88" t="n"/>
      <c r="C89" s="89" t="n"/>
      <c r="D89" s="12" t="inlineStr">
        <is>
          <t>The discipline, and the actual work done inside it</t>
        </is>
      </c>
      <c r="E89" s="88" t="n"/>
      <c r="F89" s="88" t="n"/>
      <c r="G89" s="88" t="n"/>
      <c r="H89" s="88" t="n"/>
      <c r="I89" s="88" t="n"/>
      <c r="J89" s="88" t="n"/>
      <c r="K89" s="88" t="n"/>
      <c r="L89" s="88" t="n"/>
      <c r="M89" s="88" t="n"/>
      <c r="N89" s="89" t="n"/>
    </row>
    <row r="90" ht="15" customHeight="1">
      <c r="A90" s="10" t="inlineStr">
        <is>
          <t>Track</t>
        </is>
      </c>
      <c r="B90" s="88" t="n"/>
      <c r="C90" s="89" t="n"/>
      <c r="D90" s="12" t="inlineStr">
        <is>
          <t>Individual contributor · IC, POD Lead · leads 1–3 while mainly IC, People Manager, Player-Coach, Consultant</t>
        </is>
      </c>
      <c r="E90" s="88" t="n"/>
      <c r="F90" s="88" t="n"/>
      <c r="G90" s="88" t="n"/>
      <c r="H90" s="88" t="n"/>
      <c r="I90" s="88" t="n"/>
      <c r="J90" s="88" t="n"/>
      <c r="K90" s="88" t="n"/>
      <c r="L90" s="88" t="n"/>
      <c r="M90" s="88" t="n"/>
      <c r="N90" s="89" t="n"/>
    </row>
    <row r="91" ht="15" customHeight="1">
      <c r="A91" s="10" t="inlineStr">
        <is>
          <t>Weights</t>
        </is>
      </c>
      <c r="B91" s="88" t="n"/>
      <c r="C91" s="89" t="n"/>
      <c r="D91" s="12" t="inlineStr">
        <is>
          <t>How much each of the six factors counts for this kind of role; they always add up to 100%. Edit them on sheet 6</t>
        </is>
      </c>
      <c r="E91" s="88" t="n"/>
      <c r="F91" s="88" t="n"/>
      <c r="G91" s="88" t="n"/>
      <c r="H91" s="88" t="n"/>
      <c r="I91" s="88" t="n"/>
      <c r="J91" s="88" t="n"/>
      <c r="K91" s="88" t="n"/>
      <c r="L91" s="88" t="n"/>
      <c r="M91" s="88" t="n"/>
      <c r="N91" s="89" t="n"/>
    </row>
    <row r="92" ht="15" customHeight="1">
      <c r="A92" s="10" t="inlineStr">
        <is>
          <t>Score / indicated level</t>
        </is>
      </c>
      <c r="B92" s="88" t="n"/>
      <c r="C92" s="89" t="n"/>
      <c r="D92" s="12" t="inlineStr">
        <is>
          <t>The weighted average of the six ratings on the ladder scale, and the level it rounds to</t>
        </is>
      </c>
      <c r="E92" s="88" t="n"/>
      <c r="F92" s="88" t="n"/>
      <c r="G92" s="88" t="n"/>
      <c r="H92" s="88" t="n"/>
      <c r="I92" s="88" t="n"/>
      <c r="J92" s="88" t="n"/>
      <c r="K92" s="88" t="n"/>
      <c r="L92" s="88" t="n"/>
      <c r="M92" s="88" t="n"/>
      <c r="N92" s="89" t="n"/>
    </row>
    <row r="93" ht="15" customHeight="1">
      <c r="A93" s="10" t="inlineStr">
        <is>
          <t>Close call</t>
        </is>
      </c>
      <c r="B93" s="88" t="n"/>
      <c r="C93" s="89" t="n"/>
      <c r="D93" s="12" t="inlineStr">
        <is>
          <t>The score decided the level and is within 0.05 of a rounding point</t>
        </is>
      </c>
      <c r="E93" s="88" t="n"/>
      <c r="F93" s="88" t="n"/>
      <c r="G93" s="88" t="n"/>
      <c r="H93" s="88" t="n"/>
      <c r="I93" s="88" t="n"/>
      <c r="J93" s="88" t="n"/>
      <c r="K93" s="88" t="n"/>
      <c r="L93" s="88" t="n"/>
      <c r="M93" s="88" t="n"/>
      <c r="N93" s="89" t="n"/>
    </row>
    <row r="94" ht="15" customHeight="1">
      <c r="A94" s="10" t="inlineStr">
        <is>
          <t>Near a gate</t>
        </is>
      </c>
      <c r="B94" s="88" t="n"/>
      <c r="C94" s="89" t="n"/>
      <c r="D94" s="12" t="inlineStr">
        <is>
          <t>A rule set the level and the number behind it is within a quarter-point of changing it</t>
        </is>
      </c>
      <c r="E94" s="88" t="n"/>
      <c r="F94" s="88" t="n"/>
      <c r="G94" s="88" t="n"/>
      <c r="H94" s="88" t="n"/>
      <c r="I94" s="88" t="n"/>
      <c r="J94" s="88" t="n"/>
      <c r="K94" s="88" t="n"/>
      <c r="L94" s="88" t="n"/>
      <c r="M94" s="88" t="n"/>
      <c r="N94" s="89" t="n"/>
    </row>
    <row r="95" ht="15" customHeight="1">
      <c r="A95" s="10" t="inlineStr">
        <is>
          <t>Provisional</t>
        </is>
      </c>
      <c r="B95" s="88" t="n"/>
      <c r="C95" s="89" t="n"/>
      <c r="D95" s="12" t="inlineStr">
        <is>
          <t>The level is kept until HR confirms the experience record</t>
        </is>
      </c>
      <c r="E95" s="88" t="n"/>
      <c r="F95" s="88" t="n"/>
      <c r="G95" s="88" t="n"/>
      <c r="H95" s="88" t="n"/>
      <c r="I95" s="88" t="n"/>
      <c r="J95" s="88" t="n"/>
      <c r="K95" s="88" t="n"/>
      <c r="L95" s="88" t="n"/>
      <c r="M95" s="88" t="n"/>
      <c r="N95" s="89" t="n"/>
    </row>
    <row r="96" ht="15" customHeight="1">
      <c r="A96" s="10" t="inlineStr">
        <is>
          <t>Protected</t>
        </is>
      </c>
      <c r="B96" s="88" t="n"/>
      <c r="C96" s="89" t="n"/>
      <c r="D96" s="12" t="inlineStr">
        <is>
          <t>A move down keeps current pay and title for one cycle, with a review date</t>
        </is>
      </c>
      <c r="E96" s="88" t="n"/>
      <c r="F96" s="88" t="n"/>
      <c r="G96" s="88" t="n"/>
      <c r="H96" s="88" t="n"/>
      <c r="I96" s="88" t="n"/>
      <c r="J96" s="88" t="n"/>
      <c r="K96" s="88" t="n"/>
      <c r="L96" s="88" t="n"/>
      <c r="M96" s="88" t="n"/>
      <c r="N96" s="89" t="n"/>
    </row>
    <row r="97" ht="15" customHeight="1">
      <c r="A97" s="10" t="inlineStr">
        <is>
          <t>Radford / Mercer code</t>
        </is>
      </c>
      <c r="B97" s="88" t="n"/>
      <c r="C97" s="89" t="n"/>
      <c r="D97" s="12" t="inlineStr">
        <is>
          <t>The market survey level used to price the role once pay data is bought</t>
        </is>
      </c>
      <c r="E97" s="88" t="n"/>
      <c r="F97" s="88" t="n"/>
      <c r="G97" s="88" t="n"/>
      <c r="H97" s="88" t="n"/>
      <c r="I97" s="88" t="n"/>
      <c r="J97" s="88" t="n"/>
      <c r="K97" s="88" t="n"/>
      <c r="L97" s="88" t="n"/>
      <c r="M97" s="88" t="n"/>
      <c r="N97" s="89" t="n"/>
    </row>
    <row r="98"/>
    <row r="99" ht="20" customHeight="1">
      <c r="A99" s="6" t="inlineStr">
        <is>
          <t>5. Charts — the shape of this population</t>
        </is>
      </c>
    </row>
    <row r="100">
      <c r="A100" s="36" t="inlineStr">
        <is>
          <t>People at each level, and how levels moved from the current structure. Built from the tables beside them.</t>
        </is>
      </c>
    </row>
    <row r="101">
      <c r="A101" s="8" t="inlineStr">
        <is>
          <t>Level</t>
        </is>
      </c>
      <c r="B101" s="8" t="inlineStr">
        <is>
          <t>People</t>
        </is>
      </c>
    </row>
    <row r="102">
      <c r="A102" s="10" t="inlineStr">
        <is>
          <t>A1</t>
        </is>
      </c>
      <c r="B102" s="38" t="n">
        <v>1</v>
      </c>
    </row>
    <row r="103">
      <c r="A103" s="10" t="inlineStr">
        <is>
          <t>A2</t>
        </is>
      </c>
      <c r="B103" s="38" t="n">
        <v>5</v>
      </c>
    </row>
    <row r="104">
      <c r="A104" s="10" t="inlineStr">
        <is>
          <t>A3</t>
        </is>
      </c>
      <c r="B104" s="38" t="n">
        <v>10</v>
      </c>
    </row>
    <row r="105">
      <c r="A105" s="10" t="inlineStr">
        <is>
          <t>B1</t>
        </is>
      </c>
      <c r="B105" s="38" t="n">
        <v>2</v>
      </c>
    </row>
    <row r="106">
      <c r="A106" s="10" t="inlineStr">
        <is>
          <t>B2</t>
        </is>
      </c>
      <c r="B106" s="38" t="n">
        <v>7</v>
      </c>
    </row>
    <row r="107">
      <c r="A107" s="10" t="inlineStr">
        <is>
          <t>C1</t>
        </is>
      </c>
      <c r="B107" s="38" t="n">
        <v>2</v>
      </c>
    </row>
    <row r="108">
      <c r="A108" s="10" t="inlineStr">
        <is>
          <t>D2</t>
        </is>
      </c>
      <c r="B108" s="38" t="n">
        <v>1</v>
      </c>
    </row>
    <row r="109"/>
    <row r="110"/>
    <row r="111"/>
    <row r="112"/>
    <row r="113"/>
    <row r="114"/>
    <row r="115"/>
    <row r="116"/>
    <row r="117"/>
    <row r="118"/>
    <row r="119"/>
    <row r="120">
      <c r="A120" s="8" t="inlineStr">
        <is>
          <t>Current ↓ / New →</t>
        </is>
      </c>
      <c r="B120" s="8" t="inlineStr">
        <is>
          <t>A1</t>
        </is>
      </c>
      <c r="C120" s="8" t="inlineStr">
        <is>
          <t>A2</t>
        </is>
      </c>
      <c r="D120" s="8" t="inlineStr">
        <is>
          <t>A3</t>
        </is>
      </c>
      <c r="E120" s="8" t="inlineStr">
        <is>
          <t>B1</t>
        </is>
      </c>
      <c r="F120" s="8" t="inlineStr">
        <is>
          <t>B2</t>
        </is>
      </c>
      <c r="G120" s="8" t="inlineStr">
        <is>
          <t>C1</t>
        </is>
      </c>
      <c r="H120" s="8" t="inlineStr">
        <is>
          <t>D2</t>
        </is>
      </c>
      <c r="I120" s="8" t="inlineStr">
        <is>
          <t>Total</t>
        </is>
      </c>
    </row>
    <row r="121">
      <c r="A121" s="10" t="inlineStr">
        <is>
          <t>L2</t>
        </is>
      </c>
      <c r="B121" s="38" t="n"/>
      <c r="C121" s="38" t="n"/>
      <c r="D121" s="38" t="n">
        <v>1</v>
      </c>
      <c r="E121" s="38" t="n"/>
      <c r="F121" s="38" t="n"/>
      <c r="G121" s="38" t="n"/>
      <c r="H121" s="38" t="n"/>
      <c r="I121" s="38" t="n">
        <v>1</v>
      </c>
    </row>
    <row r="122">
      <c r="A122" s="10" t="inlineStr">
        <is>
          <t>L3</t>
        </is>
      </c>
      <c r="B122" s="38" t="n"/>
      <c r="C122" s="38" t="n">
        <v>3</v>
      </c>
      <c r="D122" s="38" t="n">
        <v>6</v>
      </c>
      <c r="E122" s="38" t="n"/>
      <c r="F122" s="38" t="n"/>
      <c r="G122" s="38" t="n">
        <v>1</v>
      </c>
      <c r="H122" s="38" t="n"/>
      <c r="I122" s="38" t="n">
        <v>10</v>
      </c>
    </row>
    <row r="123">
      <c r="A123" s="10" t="inlineStr">
        <is>
          <t>L5</t>
        </is>
      </c>
      <c r="B123" s="38" t="n"/>
      <c r="C123" s="38" t="n"/>
      <c r="D123" s="38" t="n"/>
      <c r="E123" s="38" t="n"/>
      <c r="F123" s="38" t="n">
        <v>6</v>
      </c>
      <c r="G123" s="38" t="n"/>
      <c r="H123" s="38" t="n"/>
      <c r="I123" s="38" t="n">
        <v>6</v>
      </c>
    </row>
    <row r="124">
      <c r="A124" s="10" t="inlineStr">
        <is>
          <t>L7</t>
        </is>
      </c>
      <c r="B124" s="38" t="n"/>
      <c r="C124" s="38" t="n"/>
      <c r="D124" s="38" t="n"/>
      <c r="E124" s="38" t="n"/>
      <c r="F124" s="38" t="n"/>
      <c r="G124" s="38" t="n"/>
      <c r="H124" s="38" t="n">
        <v>1</v>
      </c>
      <c r="I124" s="38" t="n">
        <v>1</v>
      </c>
    </row>
    <row r="125">
      <c r="A125" s="10" t="inlineStr">
        <is>
          <t>Not mapped</t>
        </is>
      </c>
      <c r="B125" s="38" t="n">
        <v>1</v>
      </c>
      <c r="C125" s="38" t="n">
        <v>2</v>
      </c>
      <c r="D125" s="38" t="n">
        <v>3</v>
      </c>
      <c r="E125" s="38" t="n">
        <v>2</v>
      </c>
      <c r="F125" s="38" t="n">
        <v>1</v>
      </c>
      <c r="G125" s="38" t="n">
        <v>1</v>
      </c>
      <c r="H125" s="38" t="n"/>
      <c r="I125" s="38" t="n">
        <v>10</v>
      </c>
    </row>
    <row r="126">
      <c r="A126" s="90" t="inlineStr">
        <is>
          <t>Total</t>
        </is>
      </c>
      <c r="B126" s="91" t="n">
        <v>1</v>
      </c>
      <c r="C126" s="91" t="n">
        <v>5</v>
      </c>
      <c r="D126" s="91" t="n">
        <v>10</v>
      </c>
      <c r="E126" s="91" t="n">
        <v>2</v>
      </c>
      <c r="F126" s="91" t="n">
        <v>7</v>
      </c>
      <c r="G126" s="91" t="n">
        <v>2</v>
      </c>
      <c r="H126" s="91" t="n">
        <v>1</v>
      </c>
      <c r="I126" s="91" t="n">
        <v>28</v>
      </c>
    </row>
  </sheetData>
  <mergeCells count="206">
    <mergeCell ref="H53:I53"/>
    <mergeCell ref="M59:N59"/>
    <mergeCell ref="A89:C89"/>
    <mergeCell ref="F26:K26"/>
    <mergeCell ref="B22:C22"/>
    <mergeCell ref="K7:N7"/>
    <mergeCell ref="D22:E22"/>
    <mergeCell ref="L53:M53"/>
    <mergeCell ref="L28:M28"/>
    <mergeCell ref="A79:N79"/>
    <mergeCell ref="M60:N60"/>
    <mergeCell ref="A71:C71"/>
    <mergeCell ref="I16:J16"/>
    <mergeCell ref="J53:K53"/>
    <mergeCell ref="F27:K27"/>
    <mergeCell ref="D95:N95"/>
    <mergeCell ref="D10:J10"/>
    <mergeCell ref="A91:C91"/>
    <mergeCell ref="G18:H18"/>
    <mergeCell ref="H52:I52"/>
    <mergeCell ref="I18:J18"/>
    <mergeCell ref="D70:N70"/>
    <mergeCell ref="M16:N16"/>
    <mergeCell ref="D97:N97"/>
    <mergeCell ref="L29:M29"/>
    <mergeCell ref="A93:C93"/>
    <mergeCell ref="B45:G45"/>
    <mergeCell ref="D72:N72"/>
    <mergeCell ref="A77:C77"/>
    <mergeCell ref="A17:B17"/>
    <mergeCell ref="D11:J11"/>
    <mergeCell ref="C17:D17"/>
    <mergeCell ref="D71:N71"/>
    <mergeCell ref="F29:K29"/>
    <mergeCell ref="M17:N17"/>
    <mergeCell ref="B47:G47"/>
    <mergeCell ref="B24:C24"/>
    <mergeCell ref="F25:K25"/>
    <mergeCell ref="D24:E24"/>
    <mergeCell ref="M62:N62"/>
    <mergeCell ref="A19:B19"/>
    <mergeCell ref="B51:C51"/>
    <mergeCell ref="A100:N100"/>
    <mergeCell ref="C19:D19"/>
    <mergeCell ref="D51:E51"/>
    <mergeCell ref="D73:N73"/>
    <mergeCell ref="B26:C26"/>
    <mergeCell ref="A69:C69"/>
    <mergeCell ref="D26:E26"/>
    <mergeCell ref="B63:L63"/>
    <mergeCell ref="F24:K24"/>
    <mergeCell ref="A34:N34"/>
    <mergeCell ref="B25:C25"/>
    <mergeCell ref="D9:J9"/>
    <mergeCell ref="F54:G54"/>
    <mergeCell ref="A75:C75"/>
    <mergeCell ref="H54:I54"/>
    <mergeCell ref="A83:N83"/>
    <mergeCell ref="D90:N90"/>
    <mergeCell ref="A12:C12"/>
    <mergeCell ref="B27:C27"/>
    <mergeCell ref="H48:N48"/>
    <mergeCell ref="A95:C95"/>
    <mergeCell ref="A1:N1"/>
    <mergeCell ref="K13:N13"/>
    <mergeCell ref="F23:K23"/>
    <mergeCell ref="D77:N77"/>
    <mergeCell ref="A37:B37"/>
    <mergeCell ref="A65:N65"/>
    <mergeCell ref="A97:C97"/>
    <mergeCell ref="B53:C53"/>
    <mergeCell ref="B61:L61"/>
    <mergeCell ref="A96:C96"/>
    <mergeCell ref="L30:M30"/>
    <mergeCell ref="D53:E53"/>
    <mergeCell ref="A80:N80"/>
    <mergeCell ref="D75:N75"/>
    <mergeCell ref="A3:N3"/>
    <mergeCell ref="A13:C13"/>
    <mergeCell ref="B29:C29"/>
    <mergeCell ref="C38:N38"/>
    <mergeCell ref="A21:N21"/>
    <mergeCell ref="A67:C67"/>
    <mergeCell ref="A5:N5"/>
    <mergeCell ref="A32:N32"/>
    <mergeCell ref="I17:J17"/>
    <mergeCell ref="L22:M22"/>
    <mergeCell ref="A73:C73"/>
    <mergeCell ref="K17:L17"/>
    <mergeCell ref="E16:F16"/>
    <mergeCell ref="G16:H16"/>
    <mergeCell ref="D29:E29"/>
    <mergeCell ref="I19:J19"/>
    <mergeCell ref="D23:E23"/>
    <mergeCell ref="J51:K51"/>
    <mergeCell ref="K19:L19"/>
    <mergeCell ref="A43:N43"/>
    <mergeCell ref="M63:N63"/>
    <mergeCell ref="C18:D18"/>
    <mergeCell ref="D89:N89"/>
    <mergeCell ref="A7:C7"/>
    <mergeCell ref="E18:F18"/>
    <mergeCell ref="F30:K30"/>
    <mergeCell ref="K16:L16"/>
    <mergeCell ref="A40:N40"/>
    <mergeCell ref="B54:C54"/>
    <mergeCell ref="D88:N88"/>
    <mergeCell ref="D12:J12"/>
    <mergeCell ref="A82:N82"/>
    <mergeCell ref="A36:B36"/>
    <mergeCell ref="K10:N10"/>
    <mergeCell ref="B52:C52"/>
    <mergeCell ref="B58:L58"/>
    <mergeCell ref="A6:N6"/>
    <mergeCell ref="D52:E52"/>
    <mergeCell ref="F28:K28"/>
    <mergeCell ref="L24:M24"/>
    <mergeCell ref="D27:E27"/>
    <mergeCell ref="B60:L60"/>
    <mergeCell ref="D76:N76"/>
    <mergeCell ref="A84:N84"/>
    <mergeCell ref="K9:N9"/>
    <mergeCell ref="A66:N66"/>
    <mergeCell ref="B57:L57"/>
    <mergeCell ref="A72:C72"/>
    <mergeCell ref="L26:M26"/>
    <mergeCell ref="D91:N91"/>
    <mergeCell ref="H44:N44"/>
    <mergeCell ref="A50:N50"/>
    <mergeCell ref="A2:N2"/>
    <mergeCell ref="C37:N37"/>
    <mergeCell ref="K11:N11"/>
    <mergeCell ref="B28:C28"/>
    <mergeCell ref="A86:N86"/>
    <mergeCell ref="L25:M25"/>
    <mergeCell ref="D28:E28"/>
    <mergeCell ref="D93:N93"/>
    <mergeCell ref="H46:N46"/>
    <mergeCell ref="D25:E25"/>
    <mergeCell ref="B30:C30"/>
    <mergeCell ref="A38:B38"/>
    <mergeCell ref="L52:M52"/>
    <mergeCell ref="D30:E30"/>
    <mergeCell ref="D92:N92"/>
    <mergeCell ref="D7:J7"/>
    <mergeCell ref="A88:C88"/>
    <mergeCell ref="D67:N67"/>
    <mergeCell ref="A70:C70"/>
    <mergeCell ref="H45:N45"/>
    <mergeCell ref="K8:N8"/>
    <mergeCell ref="A81:N81"/>
    <mergeCell ref="D54:E54"/>
    <mergeCell ref="J52:K52"/>
    <mergeCell ref="K18:L18"/>
    <mergeCell ref="D94:N94"/>
    <mergeCell ref="M58:N58"/>
    <mergeCell ref="A90:C90"/>
    <mergeCell ref="D69:N69"/>
    <mergeCell ref="H47:N47"/>
    <mergeCell ref="B62:L62"/>
    <mergeCell ref="D8:J8"/>
    <mergeCell ref="A15:N15"/>
    <mergeCell ref="B59:L59"/>
    <mergeCell ref="A74:C74"/>
    <mergeCell ref="E17:F17"/>
    <mergeCell ref="B44:G44"/>
    <mergeCell ref="G17:H17"/>
    <mergeCell ref="A76:C76"/>
    <mergeCell ref="A16:B16"/>
    <mergeCell ref="C16:D16"/>
    <mergeCell ref="D96:N96"/>
    <mergeCell ref="F22:K22"/>
    <mergeCell ref="A8:C8"/>
    <mergeCell ref="E19:F19"/>
    <mergeCell ref="F51:G51"/>
    <mergeCell ref="C36:N36"/>
    <mergeCell ref="G19:H19"/>
    <mergeCell ref="B23:C23"/>
    <mergeCell ref="H51:I51"/>
    <mergeCell ref="L23:M23"/>
    <mergeCell ref="A99:N99"/>
    <mergeCell ref="A18:B18"/>
    <mergeCell ref="A10:C10"/>
    <mergeCell ref="A56:N56"/>
    <mergeCell ref="A68:C68"/>
    <mergeCell ref="L51:M51"/>
    <mergeCell ref="J54:K54"/>
    <mergeCell ref="L54:M54"/>
    <mergeCell ref="A9:C9"/>
    <mergeCell ref="A92:C92"/>
    <mergeCell ref="A85:N85"/>
    <mergeCell ref="A42:N42"/>
    <mergeCell ref="D13:J13"/>
    <mergeCell ref="M61:N61"/>
    <mergeCell ref="F52:G52"/>
    <mergeCell ref="M57:N57"/>
    <mergeCell ref="A11:C11"/>
    <mergeCell ref="B46:G46"/>
    <mergeCell ref="A35:N35"/>
    <mergeCell ref="D74:N74"/>
    <mergeCell ref="A94:C94"/>
    <mergeCell ref="D68:N68"/>
    <mergeCell ref="K12:N12"/>
    <mergeCell ref="L27:M27"/>
    <mergeCell ref="B48:G48"/>
    <mergeCell ref="F53:G53"/>
  </mergeCells>
  <conditionalFormatting sqref="B121:H125">
    <cfRule type="colorScale" priority="1">
      <colorScale>
        <cfvo type="num" val="0"/>
        <cfvo type="max"/>
        <color rgb="00FFFFFF"/>
        <color rgb="002E75B6"/>
      </colorScale>
    </cfRule>
  </conditionalFormatting>
  <hyperlinks>
    <hyperlink xmlns:r="http://schemas.openxmlformats.org/officeDocument/2006/relationships" ref="A9" r:id="rId1"/>
    <hyperlink xmlns:r="http://schemas.openxmlformats.org/officeDocument/2006/relationships" ref="A10" r:id="rId2"/>
    <hyperlink xmlns:r="http://schemas.openxmlformats.org/officeDocument/2006/relationships" ref="A11" r:id="rId3"/>
    <hyperlink xmlns:r="http://schemas.openxmlformats.org/officeDocument/2006/relationships" ref="A12" r:id="rId4"/>
    <hyperlink xmlns:r="http://schemas.openxmlformats.org/officeDocument/2006/relationships" ref="A13" r:id="rId5"/>
  </hyperlinks>
  <pageMargins left="0.4" right="0.4" top="0.5" bottom="0.5" header="0.5" footer="0.5"/>
  <pageSetup orientation="landscape" paperSize="8" fitToHeight="0" fitToWidth="1"/>
  <headerFooter>
    <oddHeader/>
    <oddFooter>&amp;LIRIS · Job Architecture &amp; Job Design · Final v1.12 · October 2026 · Internal — Confidential&amp;RPage &amp;P of &amp;N</oddFooter>
    <evenHeader/>
    <evenFooter/>
    <firstHeader/>
    <firstFooter/>
  </headerFooter>
  <drawing xmlns:r="http://schemas.openxmlformats.org/officeDocument/2006/relationships" r:id="rId6"/>
</worksheet>
</file>

<file path=xl/worksheets/sheet3.xml><?xml version="1.0" encoding="utf-8"?>
<worksheet xmlns="http://schemas.openxmlformats.org/spreadsheetml/2006/main">
  <sheetPr>
    <tabColor rgb="002E75B6"/>
    <outlinePr summaryBelow="1" summaryRight="1"/>
    <pageSetUpPr fitToPage="1"/>
  </sheetPr>
  <dimension ref="A1:AG40"/>
  <sheetViews>
    <sheetView showGridLines="0" zoomScale="85" workbookViewId="0">
      <pane xSplit="2" ySplit="6" topLeftCell="C7" activePane="bottomRight" state="frozen"/>
      <selection pane="topRight" activeCell="A1" sqref="A1"/>
      <selection pane="bottomLeft" activeCell="A1" sqref="A1"/>
      <selection pane="bottomRight" activeCell="A1" sqref="A1"/>
    </sheetView>
  </sheetViews>
  <sheetFormatPr baseColWidth="8" defaultRowHeight="15"/>
  <cols>
    <col width="11" customWidth="1" min="1" max="1"/>
    <col width="22" customWidth="1" min="2" max="2"/>
    <col width="16" customWidth="1" min="3" max="3"/>
    <col width="22" customWidth="1" min="4" max="4"/>
    <col width="26" customWidth="1" min="5" max="5"/>
    <col width="18" customWidth="1" min="6" max="6"/>
    <col width="22" customWidth="1" min="7" max="7"/>
    <col width="11" customWidth="1" min="8" max="8"/>
    <col width="11" customWidth="1" min="9" max="9"/>
    <col width="8" customWidth="1" min="10" max="10"/>
    <col width="16" customWidth="1" min="11" max="11"/>
    <col width="12" customWidth="1" min="12" max="12"/>
    <col width="28" customWidth="1" min="13" max="13"/>
    <col width="8" customWidth="1" min="14" max="14"/>
    <col width="8" customWidth="1" min="15" max="15"/>
    <col width="8" customWidth="1" min="16" max="16"/>
    <col width="8" customWidth="1" min="17" max="17"/>
    <col width="8" customWidth="1" min="18" max="18"/>
    <col width="8" customWidth="1" min="19" max="19"/>
    <col width="8" customWidth="1" min="20" max="20"/>
    <col width="9" customWidth="1" min="21" max="21"/>
    <col width="62" customWidth="1" min="22" max="22"/>
    <col width="74" customWidth="1" min="23" max="23"/>
    <col width="42" customWidth="1" min="24" max="24"/>
    <col width="36" customWidth="1" min="25" max="25"/>
    <col width="42" customWidth="1" min="26" max="26"/>
    <col width="34" customWidth="1" min="27" max="27"/>
    <col width="40" customWidth="1" min="28" max="28"/>
    <col width="12" customWidth="1" min="29" max="29"/>
    <col width="34" customWidth="1" min="30" max="30"/>
    <col width="36" customWidth="1" min="31" max="31"/>
    <col hidden="1" width="6" customWidth="1" min="32" max="32"/>
    <col width="13" customWidth="1" min="33" max="33"/>
  </cols>
  <sheetData>
    <row r="1" ht="34" customHeight="1">
      <c r="A1" s="1" t="inlineStr">
        <is>
          <t>People &amp; Levels — every placement, with its full reasoning</t>
        </is>
      </c>
      <c r="AG1" s="99" t="inlineStr">
        <is>
          <t>◂ Start Here</t>
        </is>
      </c>
    </row>
    <row r="2" ht="30" customHeight="1">
      <c r="A2" s="3" t="inlineStr">
        <is>
          <r>
            <rPr>
              <rFont val="Calibri"/>
              <b val="1"/>
              <i val="1"/>
              <color rgb="00404040"/>
              <sz val="10"/>
            </rPr>
            <t>Sheet 2 · Read left to right:</t>
          </r>
          <r>
            <rPr>
              <rFont val="Calibri"/>
              <i val="1"/>
              <color rgb="00404040"/>
              <sz val="10"/>
            </rPr>
            <t xml:space="preserve"> the person → role before and after → six ratings and the score, live from the Weightage Matrix → why this level · the weights, the rules applied, each factor's rating with its starting point and evidence → the market comparison → the data behind it, points for attention and inputs still needed → your validation · yellow.</t>
          </r>
        </is>
      </c>
    </row>
    <row r="3">
      <c r="A3" s="4" t="inlineStr">
        <is>
          <t>IRIS · Job Architecture &amp; Job Design · Final v1.12 · October 2026 · Internal — Confidential</t>
        </is>
      </c>
    </row>
    <row r="4" ht="30" customHeight="1">
      <c r="A4" s="52" t="inlineStr">
        <is>
          <t>Section colours: each column group has its own header colour and a matching light tint</t>
        </is>
      </c>
      <c r="E4" s="53" t="inlineStr">
        <is>
          <t>Changed vs current · designation or level</t>
        </is>
      </c>
      <c r="F4" s="54" t="inlineStr">
        <is>
          <t>Level up</t>
        </is>
      </c>
      <c r="G4" s="55" t="inlineStr">
        <is>
          <t>Level down — pay &amp; title protected</t>
        </is>
      </c>
      <c r="H4" s="56" t="inlineStr">
        <is>
          <t>Newly mapped</t>
        </is>
      </c>
      <c r="J4" s="58" t="inlineStr">
        <is>
          <t>Player-Coach · B+ · C+</t>
        </is>
      </c>
      <c r="L4" s="60" t="inlineStr">
        <is>
          <t>RED = critical input needed · could change or confirm the level</t>
        </is>
      </c>
      <c r="N4" s="62" t="inlineStr">
        <is>
          <t>YELLOW = to complete in validation</t>
        </is>
      </c>
    </row>
    <row r="5" ht="30" customHeight="1">
      <c r="A5" s="64" t="inlineStr">
        <is>
          <t>PERSON</t>
        </is>
      </c>
      <c r="D5" s="65" t="inlineStr">
        <is>
          <t>ROLE — BEFORE → AFTER</t>
        </is>
      </c>
      <c r="M5" s="66" t="inlineStr">
        <is>
          <t>WEIGHTAGE — six ratings × the Weightage Matrix = the score, live</t>
        </is>
      </c>
      <c r="V5" s="67" t="inlineStr">
        <is>
          <t>WHY THIS LEVEL — the full reasoning</t>
        </is>
      </c>
      <c r="Y5" s="68" t="inlineStr">
        <is>
          <t>EVIDENCE, FLAGS &amp; INPUTS</t>
        </is>
      </c>
      <c r="AC5" s="69" t="inlineStr">
        <is>
          <t>YOUR VALIDATION</t>
        </is>
      </c>
    </row>
    <row r="6" ht="44" customHeight="1">
      <c r="A6" s="70" t="inlineStr">
        <is>
          <t>Emp ID</t>
        </is>
      </c>
      <c r="B6" s="70" t="inlineStr">
        <is>
          <t>Employee name</t>
        </is>
      </c>
      <c r="C6" s="70" t="inlineStr">
        <is>
          <t>Department</t>
        </is>
      </c>
      <c r="D6" s="8" t="inlineStr">
        <is>
          <t>Current designation</t>
        </is>
      </c>
      <c r="E6" s="8" t="inlineStr">
        <is>
          <t>New designation</t>
        </is>
      </c>
      <c r="F6" s="8" t="inlineStr">
        <is>
          <t>Job family</t>
        </is>
      </c>
      <c r="G6" s="8" t="inlineStr">
        <is>
          <t>Sub-family</t>
        </is>
      </c>
      <c r="H6" s="8" t="inlineStr">
        <is>
          <t>Track</t>
        </is>
      </c>
      <c r="I6" s="8" t="inlineStr">
        <is>
          <t>Current level</t>
        </is>
      </c>
      <c r="J6" s="8" t="inlineStr">
        <is>
          <t>NEW LEVEL</t>
        </is>
      </c>
      <c r="K6" s="8" t="inlineStr">
        <is>
          <t>Level title</t>
        </is>
      </c>
      <c r="L6" s="8" t="inlineStr">
        <is>
          <t>Change vs current</t>
        </is>
      </c>
      <c r="M6" s="71" t="inlineStr">
        <is>
          <t>Weight row — Weightage Matrix</t>
        </is>
      </c>
      <c r="N6" s="71" t="inlineStr">
        <is>
          <t>Complexity rating</t>
        </is>
      </c>
      <c r="O6" s="71" t="inlineStr">
        <is>
          <t>Autonomy rating</t>
        </is>
      </c>
      <c r="P6" s="71" t="inlineStr">
        <is>
          <t>Accountab. rating</t>
        </is>
      </c>
      <c r="Q6" s="71" t="inlineStr">
        <is>
          <t>Leadership rating</t>
        </is>
      </c>
      <c r="R6" s="71" t="inlineStr">
        <is>
          <t>Exp + Qual rating</t>
        </is>
      </c>
      <c r="S6" s="71" t="inlineStr">
        <is>
          <t>Bus. Impact rating</t>
        </is>
      </c>
      <c r="T6" s="71" t="inlineStr">
        <is>
          <t>Score</t>
        </is>
      </c>
      <c r="U6" s="71" t="inlineStr">
        <is>
          <t>Level the score indicates</t>
        </is>
      </c>
      <c r="V6" s="72" t="inlineStr">
        <is>
          <t>Why this level</t>
        </is>
      </c>
      <c r="W6" s="72" t="inlineStr">
        <is>
          <t>How each factor was rated · rating of 12 — starting point and evidence</t>
        </is>
      </c>
      <c r="X6" s="72" t="inlineStr">
        <is>
          <t>Market comparison</t>
        </is>
      </c>
      <c r="Y6" s="73" t="inlineStr">
        <is>
          <t>Data behind the placement</t>
        </is>
      </c>
      <c r="Z6" s="73" t="inlineStr">
        <is>
          <t>Points for your attention</t>
        </is>
      </c>
      <c r="AA6" s="73" t="inlineStr">
        <is>
          <t>Input still needed — and who provides it</t>
        </is>
      </c>
      <c r="AB6" s="73" t="inlineStr">
        <is>
          <t>Business impact — from survey and data</t>
        </is>
      </c>
      <c r="AC6" s="74" t="inlineStr">
        <is>
          <t>Your view</t>
        </is>
      </c>
      <c r="AD6" s="74" t="inlineStr">
        <is>
          <t>If change: proposed level / designation, and why</t>
        </is>
      </c>
      <c r="AE6" s="74" t="inlineStr">
        <is>
          <t>Business impact of this person — your view</t>
        </is>
      </c>
      <c r="AF6" s="74" t="inlineStr">
        <is>
          <t>Bus. Impact — model start</t>
        </is>
      </c>
    </row>
    <row r="7" ht="353" customHeight="1">
      <c r="A7" s="12" t="inlineStr">
        <is>
          <t>IRISDT0012</t>
        </is>
      </c>
      <c r="B7" s="10" t="inlineStr">
        <is>
          <t>Jeevan Khokale</t>
        </is>
      </c>
      <c r="C7" s="12" t="inlineStr">
        <is>
          <t>Datatech - Outreach</t>
        </is>
      </c>
      <c r="D7" s="12" t="inlineStr">
        <is>
          <t>Program Manager</t>
        </is>
      </c>
      <c r="E7" s="75" t="inlineStr">
        <is>
          <t>Senior Program Specialist – POD Lead</t>
        </is>
      </c>
      <c r="F7" s="12" t="inlineStr">
        <is>
          <t>Sales &amp; Business Development</t>
        </is>
      </c>
      <c r="G7" s="12" t="inlineStr">
        <is>
          <t>Field Outreach &amp; Programme Sales</t>
        </is>
      </c>
      <c r="H7" s="12" t="inlineStr">
        <is>
          <t>POD Lead</t>
        </is>
      </c>
      <c r="I7" s="38" t="inlineStr">
        <is>
          <t>L5 – Manager</t>
        </is>
      </c>
      <c r="J7" s="20" t="inlineStr">
        <is>
          <t>B2</t>
        </is>
      </c>
      <c r="K7" s="21" t="inlineStr">
        <is>
          <t>Senior Specialist · POD Lead</t>
        </is>
      </c>
      <c r="L7" s="76" t="inlineStr">
        <is>
          <t>• Same level</t>
        </is>
      </c>
      <c r="M7" s="12" t="inlineStr">
        <is>
          <t>Datatech · Datatech - Outreach · Band B · Expert / POD Lead</t>
        </is>
      </c>
      <c r="N7" s="38" t="n">
        <v>5</v>
      </c>
      <c r="O7" s="38" t="n">
        <v>5</v>
      </c>
      <c r="P7" s="38" t="n">
        <v>4</v>
      </c>
      <c r="Q7" s="38" t="n">
        <v>4</v>
      </c>
      <c r="R7" s="38" t="n">
        <v>5.5</v>
      </c>
      <c r="S7" s="77" t="n">
        <v>4</v>
      </c>
      <c r="T7" s="78">
        <f>IF(OR($M7="",COUNT(N7,O7,P7,Q7,R7,S7)&lt;6),"",IFERROR(N7*INDEX(WM_C,MATCH($M7,WM_KEY,0))+O7*INDEX(WM_AU,MATCH($M7,WM_KEY,0))+P7*INDEX(WM_AC,MATCH($M7,WM_KEY,0))+Q7*INDEX(WM_L,MATCH($M7,WM_KEY,0))+R7*INDEX(WM_E,MATCH($M7,WM_KEY,0))+S7*INDEX(WM_BI,MATCH($M7,WM_KEY,0)),""))</f>
        <v>4.83</v>
      </c>
      <c r="U7" s="38" t="str">
        <f>IF(T7="","",INDEX({"A1","A2","A3","B1","B2","B3","C1","C2","D1","D2","E1","E2"},MAX(1,MIN(12,ROUND(T7,0)))))</f>
        <v>B2</v>
      </c>
      <c r="V7" s="12" t="inlineStr">
        <is>
          <r>
            <rPr>
              <rFont val="Calibri"/>
              <sz val="10"/>
            </rPr>
            <t xml:space="preserve">New level B2 · Senior Specialist · POD Lead. Current level on record: L5 – Manager. Change: • Same level.
Score 4.83 on the ladder scale → indicated level B2.
</t>
          </r>
          <r>
            <rPr>
              <rFont val="Calibri"/>
              <b val="1"/>
              <sz val="10"/>
            </rPr>
            <t>Weights:</t>
          </r>
          <r>
            <rPr>
              <rFont val="Calibri"/>
              <sz val="10"/>
            </rPr>
            <t xml:space="preserve"> Complexity 46% · Autonomy 22% · Business impact 12% · Experience 10% · Accountability 5% · Leadership 5%
</t>
          </r>
          <r>
            <rPr>
              <rFont val="Calibri"/>
              <b val="1"/>
              <sz val="10"/>
            </rPr>
            <t>Why:</t>
          </r>
          <r>
            <rPr>
              <rFont val="Calibri"/>
              <sz val="10"/>
            </rPr>
            <t xml:space="preserve"> specialists are judged mainly on depth of expertise, then on what they decide alone, what they answer for and their impact.
</t>
          </r>
          <r>
            <rPr>
              <rFont val="Calibri"/>
              <b val="1"/>
              <sz val="10"/>
            </rPr>
            <t>Type of work in the department:</t>
          </r>
          <r>
            <rPr>
              <rFont val="Calibri"/>
              <sz val="10"/>
            </rPr>
            <t xml:space="preserve"> sales and marketing are judged on pipeline and revenue, so Business Impact +5, Autonomy +5,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7" s="12" t="inlineStr">
        <is>
          <r>
            <rPr>
              <rFont val="Calibri"/>
              <b val="1"/>
              <sz val="10"/>
            </rPr>
            <t>Complexity &amp; Expertise:</t>
          </r>
          <r>
            <rPr>
              <rFont val="Calibri"/>
              <sz val="10"/>
            </rPr>
            <t xml:space="preserve"> 5 of 12 — Start: 6.0 · senior manager / lead specialist title; Evidence reads like A3: Combines MSME sales, DIC / association engagement, channel partners; verifies GST / Udyam data → moved down 1; KRA: “1. MSME Onboarding - Onboard minimum 70 MSMEs per month, 210 per quarter - Weightage: 20% 2. Business Loan Applications - Submit 90 loan…”
</t>
          </r>
          <r>
            <rPr>
              <rFont val="Calibri"/>
              <b val="1"/>
              <sz val="10"/>
            </rPr>
            <t>Autonomy &amp; Decision:</t>
          </r>
          <r>
            <rPr>
              <rFont val="Calibri"/>
              <sz val="10"/>
            </rPr>
            <t xml:space="preserve"> 5 of 12 — Start: 6.0 · senior manager / lead specialist title; Evidence reads like A2: Identifies and approaches prospects, initiates conversations, follows up leads → moved down 1
</t>
          </r>
          <r>
            <rPr>
              <rFont val="Calibri"/>
              <b val="1"/>
              <sz val="10"/>
            </rPr>
            <t>Accountability &amp; Impact:</t>
          </r>
          <r>
            <rPr>
              <rFont val="Calibri"/>
              <sz val="10"/>
            </rPr>
            <t xml:space="preserve"> 4 of 12 — Start: 4.8 · senior manager / lead specialist title; 1 direct report; Evidence reads like A3: Customer acquisition and customer relationships; missed work loses business → moved down 0.8; KRA: “1. MSME Onboarding - Onboard minimum 70 MSMEs per month, 210 per quarter - Weightage: 20% 2. Business Loan Applications - Submit 90 loan…”
</t>
          </r>
          <r>
            <rPr>
              <rFont val="Calibri"/>
              <b val="1"/>
              <sz val="10"/>
            </rPr>
            <t>Leadership &amp; Strategy:</t>
          </r>
          <r>
            <rPr>
              <rFont val="Calibri"/>
              <sz val="10"/>
            </rPr>
            <t xml:space="preserve"> 4 of 12 — Start: 5.0; Evidence reads like A2: No guidance of others described; HR shows 1 report → moved down 1; Team: 1 direct report · POD Lead
</t>
          </r>
          <r>
            <rPr>
              <rFont val="Calibri"/>
              <b val="1"/>
              <sz val="10"/>
            </rPr>
            <t>Experience &amp; Qualification:</t>
          </r>
          <r>
            <rPr>
              <rFont val="Calibri"/>
              <sz val="10"/>
            </rPr>
            <t xml:space="preserve"> 5.5 of 12 · between B2 and B3 — Experience: 7.9 yrs total · 7.2 before IRIS + 0.7 at IRIS = 5.2 on the experience scale; Qualification: MBA · postgraduate, relevant to the work → +0.5
</t>
          </r>
          <r>
            <rPr>
              <rFont val="Calibri"/>
              <b val="1"/>
              <sz val="10"/>
            </rPr>
            <t>Business Impact:</t>
          </r>
          <r>
            <rPr>
              <rFont val="Calibri"/>
              <sz val="10"/>
            </rPr>
            <t xml:space="preserve"> 4 of 12 — a starting estimate. — Start: 4, the role's accountability scope — what it answers for.; No survey or manager-mapping signal on criticality: kept at the start point.; Managers and heads: overwrite this rating on the Weightage sheet with the business impact you see — the score updates at once.; Ladder: B1 = Moves a module's, product area's or client account's results</t>
          </r>
        </is>
      </c>
      <c r="X7" s="12" t="inlineStr">
        <is>
          <r>
            <rPr>
              <rFont val="Calibri"/>
              <b val="1"/>
              <sz val="10"/>
            </rPr>
            <t>Market level:</t>
          </r>
          <r>
            <rPr>
              <rFont val="Calibri"/>
              <sz val="10"/>
            </rPr>
            <t xml:space="preserve"> P4 / M3 · SFIA 4–5
</t>
          </r>
          <r>
            <rPr>
              <rFont val="Calibri"/>
              <b val="1"/>
              <sz val="10"/>
            </rPr>
            <t>Typical title:</t>
          </r>
          <r>
            <rPr>
              <rFont val="Calibri"/>
              <sz val="10"/>
            </rPr>
            <t xml:space="preserve"> Senior Account Executive
</t>
          </r>
          <r>
            <rPr>
              <rFont val="Calibri"/>
              <b val="1"/>
              <sz val="10"/>
            </rPr>
            <t>At peers:</t>
          </r>
          <r>
            <rPr>
              <rFont val="Calibri"/>
              <sz val="10"/>
            </rPr>
            <t xml:space="preserve"> IRIS Vs Competitor Benchmark — SaaS sales ladder — IC: Mid-Market AE · IRIS Vs Competitor Benchmark — SaaS sales ladder — management: Sales Manager
</t>
          </r>
          <r>
            <rPr>
              <rFont val="Calibri"/>
              <b val="1"/>
              <sz val="10"/>
            </rPr>
            <t>Typical experience:</t>
          </r>
          <r>
            <rPr>
              <rFont val="Calibri"/>
              <sz val="10"/>
            </rPr>
            <t xml:space="preserve"> 6–10 yrs · IRIS guide 6–9
</t>
          </r>
          <r>
            <rPr>
              <rFont val="Calibri"/>
              <b val="1"/>
              <sz val="10"/>
            </rPr>
            <t>Standard:</t>
          </r>
          <r>
            <rPr>
              <rFont val="Calibri"/>
              <sz val="10"/>
            </rPr>
            <t xml:space="preserve"> SaaS sales ladder; MEDDICC-style qualification</t>
          </r>
        </is>
      </c>
      <c r="Y7" s="12" t="inlineStr">
        <is>
          <r>
            <rPr>
              <rFont val="Calibri"/>
              <sz val="10"/>
            </rPr>
            <t xml:space="preserve">✓ HRIS: 7.9 yrs, MBA, 1 direct report
✓ Survey: 20 of 20 questions answered
✓ KRAs: manager-set, quarterly
✓ Manager mapping: rating, potential, 9-box
✗ Job description: not on file
</t>
          </r>
          <r>
            <rPr>
              <rFont val="Calibri"/>
              <b val="1"/>
              <sz val="10"/>
            </rPr>
            <t>Confidence:</t>
          </r>
          <r>
            <rPr>
              <rFont val="Calibri"/>
              <sz val="10"/>
            </rPr>
            <t xml:space="preserve"> Medium</t>
          </r>
        </is>
      </c>
      <c r="Z7" s="12" t="inlineStr">
        <is>
          <t>—</t>
        </is>
      </c>
      <c r="AA7" s="12" t="inlineStr">
        <is>
          <t>Nothing outstanding</t>
        </is>
      </c>
      <c r="AB7" s="12" t="inlineStr">
        <is>
          <r>
            <rPr>
              <rFont val="Calibri"/>
              <b val="1"/>
              <sz val="10"/>
            </rPr>
            <t>What the role answers for:</t>
          </r>
          <r>
            <rPr>
              <rFont val="Calibri"/>
              <sz val="10"/>
            </rPr>
            <t xml:space="preserve"> One team or a client portfolio.
</t>
          </r>
          <r>
            <rPr>
              <rFont val="Calibri"/>
              <b val="1"/>
              <sz val="10"/>
            </rPr>
            <t>Accountability &amp; Impact rating:</t>
          </r>
          <r>
            <rPr>
              <rFont val="Calibri"/>
              <sz val="10"/>
            </rPr>
            <t xml:space="preserve"> 4 of 12 · B1-level impact.
Leads 1 direct report.
</t>
          </r>
          <r>
            <rPr>
              <rFont val="Calibri"/>
              <b val="1"/>
              <sz val="10"/>
            </rPr>
            <t>If the work is missed · role-holders' themes:</t>
          </r>
          <r>
            <rPr>
              <rFont val="Calibri"/>
              <sz val="10"/>
            </rPr>
            <t xml:space="preserve"> business · customer · lead · delays.
Manager talent mapping — Latest rating: 3 · Potential: Medium · 9-Box Grid placement: Core Contributor.</t>
          </r>
        </is>
      </c>
      <c r="AC7" s="79" t="n"/>
      <c r="AD7" s="79" t="n"/>
      <c r="AE7" s="79" t="n"/>
      <c r="AF7" s="12" t="n">
        <v>4</v>
      </c>
    </row>
    <row r="8" ht="353" customHeight="1">
      <c r="A8" s="12" t="inlineStr">
        <is>
          <t>IRISDT0011</t>
        </is>
      </c>
      <c r="B8" s="10" t="inlineStr">
        <is>
          <t>Raghin Nair</t>
        </is>
      </c>
      <c r="C8" s="12" t="inlineStr">
        <is>
          <t>Datatech - Outreach</t>
        </is>
      </c>
      <c r="D8" s="12" t="inlineStr">
        <is>
          <t>Program Lead</t>
        </is>
      </c>
      <c r="E8" s="75" t="inlineStr">
        <is>
          <t>Program Manager – Outreach</t>
        </is>
      </c>
      <c r="F8" s="12" t="inlineStr">
        <is>
          <t>Sales &amp; Business Development</t>
        </is>
      </c>
      <c r="G8" s="12" t="inlineStr">
        <is>
          <t>Field Outreach &amp; Programme Sales</t>
        </is>
      </c>
      <c r="H8" s="12" t="inlineStr">
        <is>
          <t>People Manager</t>
        </is>
      </c>
      <c r="I8" s="38" t="inlineStr">
        <is>
          <t>L5 – Lead · IC</t>
        </is>
      </c>
      <c r="J8" s="20" t="inlineStr">
        <is>
          <t>B2</t>
        </is>
      </c>
      <c r="K8" s="21" t="inlineStr">
        <is>
          <t>Manager</t>
        </is>
      </c>
      <c r="L8" s="80" t="inlineStr">
        <is>
          <t>▼ Down · pay &amp; title protected</t>
        </is>
      </c>
      <c r="M8" s="12" t="inlineStr">
        <is>
          <t>Datatech · Datatech - Outreach · Band B · People Manager</t>
        </is>
      </c>
      <c r="N8" s="38" t="n">
        <v>4.5</v>
      </c>
      <c r="O8" s="38" t="n">
        <v>4.5</v>
      </c>
      <c r="P8" s="38" t="n">
        <v>5</v>
      </c>
      <c r="Q8" s="38" t="n">
        <v>5</v>
      </c>
      <c r="R8" s="38" t="n">
        <v>9.5</v>
      </c>
      <c r="S8" s="77" t="n">
        <v>5.5</v>
      </c>
      <c r="T8" s="78">
        <f>IF(OR($M8="",COUNT(N8,O8,P8,Q8,R8,S8)&lt;6),"",IFERROR(N8*INDEX(WM_C,MATCH($M8,WM_KEY,0))+O8*INDEX(WM_AU,MATCH($M8,WM_KEY,0))+P8*INDEX(WM_AC,MATCH($M8,WM_KEY,0))+Q8*INDEX(WM_L,MATCH($M8,WM_KEY,0))+R8*INDEX(WM_E,MATCH($M8,WM_KEY,0))+S8*INDEX(WM_BI,MATCH($M8,WM_KEY,0)),""))</f>
        <v>5.245</v>
      </c>
      <c r="U8" s="38" t="str">
        <f>IF(T8="","",INDEX({"A1","A2","A3","B1","B2","B3","C1","C2","D1","D2","E1","E2"},MAX(1,MIN(12,ROUND(T8,0)))))</f>
        <v>B2</v>
      </c>
      <c r="V8" s="12" t="inlineStr">
        <is>
          <r>
            <rPr>
              <rFont val="Calibri"/>
              <sz val="10"/>
            </rPr>
            <t xml:space="preserve">New level B2 · Manager. Current level on record: L5 – Lead · IC. Change: ▼ Down · pay &amp; title protected.
Score 5.25 on the ladder scale → indicated level B2.
</t>
          </r>
          <r>
            <rPr>
              <rFont val="Calibri"/>
              <b val="1"/>
              <sz val="10"/>
            </rPr>
            <t>Weights:</t>
          </r>
          <r>
            <rPr>
              <rFont val="Calibri"/>
              <sz val="10"/>
            </rPr>
            <t xml:space="preserve"> Complexity 32% · Autonomy 23% · Leadership 15% · Business impact 14% · Experience 10% · Accountability 6%
</t>
          </r>
          <r>
            <rPr>
              <rFont val="Calibri"/>
              <b val="1"/>
              <sz val="10"/>
            </rPr>
            <t>Why:</t>
          </r>
          <r>
            <rPr>
              <rFont val="Calibri"/>
              <sz val="10"/>
            </rPr>
            <t xml:space="preserve"> a manager's results come through the team, so Leadership rises to 15% and Complexity falls; autonomy, accountability and impact rise.
</t>
          </r>
          <r>
            <rPr>
              <rFont val="Calibri"/>
              <b val="1"/>
              <sz val="10"/>
            </rPr>
            <t>Type of work in the department:</t>
          </r>
          <r>
            <rPr>
              <rFont val="Calibri"/>
              <sz val="10"/>
            </rPr>
            <t xml:space="preserve"> sales and marketing are judged on pipeline and revenue, so Business Impact +5, Autonomy +5,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
</t>
          </r>
          <r>
            <rPr>
              <rFont val="Calibri"/>
              <b val="1"/>
              <sz val="10"/>
            </rPr>
            <t>The new level is below the current one:</t>
          </r>
          <r>
            <rPr>
              <rFont val="Calibri"/>
              <sz val="10"/>
            </rPr>
            <t xml:space="preserve"> pay and title are protected for one cycle, with a review date.</t>
          </r>
        </is>
      </c>
      <c r="W8" s="12" t="inlineStr">
        <is>
          <r>
            <rPr>
              <rFont val="Calibri"/>
              <b val="1"/>
              <sz val="10"/>
            </rPr>
            <t>Complexity &amp; Expertise:</t>
          </r>
          <r>
            <rPr>
              <rFont val="Calibri"/>
              <sz val="10"/>
            </rPr>
            <t xml:space="preserve"> 4.5 of 12 · between B1 and B2 — Start: 5.0 · manager / senior specialist title; Evidence reads like B1: Runs MSME programme sales and operations with product / marketing and partner coordination → moved down 0.5
</t>
          </r>
          <r>
            <rPr>
              <rFont val="Calibri"/>
              <b val="1"/>
              <sz val="10"/>
            </rPr>
            <t>Autonomy &amp; Decision:</t>
          </r>
          <r>
            <rPr>
              <rFont val="Calibri"/>
              <sz val="10"/>
            </rPr>
            <t xml:space="preserve"> 4.5 of 12 · between B1 and B2 — Start: 5.0 · manager / senior specialist title; Evidence reads like B1: States 'operational decisions' for programme and team; nothing on budget or pricing → moved down 0.5
</t>
          </r>
          <r>
            <rPr>
              <rFont val="Calibri"/>
              <b val="1"/>
              <sz val="10"/>
            </rPr>
            <t>Accountability &amp; Impact:</t>
          </r>
          <r>
            <rPr>
              <rFont val="Calibri"/>
              <sz val="10"/>
            </rPr>
            <t xml:space="preserve"> 5 of 12 — Start: 5.0 · manager / senior specialist title; 6 direct reports, 7 people below; Evidence reads like B2: Programme growth, team performance and business targets → matches the start
</t>
          </r>
          <r>
            <rPr>
              <rFont val="Calibri"/>
              <b val="1"/>
              <sz val="10"/>
            </rPr>
            <t>Leadership &amp; Strategy:</t>
          </r>
          <r>
            <rPr>
              <rFont val="Calibri"/>
              <sz val="10"/>
            </rPr>
            <t xml:space="preserve"> 5 of 12 — Start: 5.0; Evidence reads like B2: Lists team management and team performance; 6 direct reports → matches the start; Team: 6 direct reports · People Manager
</t>
          </r>
          <r>
            <rPr>
              <rFont val="Calibri"/>
              <b val="1"/>
              <sz val="10"/>
            </rPr>
            <t>Experience &amp; Qualification:</t>
          </r>
          <r>
            <rPr>
              <rFont val="Calibri"/>
              <sz val="10"/>
            </rPr>
            <t xml:space="preserve"> 9.5 of 12 · between D1 and D2 — Experience: 19.4 yrs total · 18.5 before IRIS + 0.9 at IRIS = 9.5 on the experience scale; Qualification: B.Com · graduate → no change
</t>
          </r>
          <r>
            <rPr>
              <rFont val="Calibri"/>
              <b val="1"/>
              <sz val="10"/>
            </rPr>
            <t>Business Impact:</t>
          </r>
          <r>
            <rPr>
              <rFont val="Calibri"/>
              <sz val="10"/>
            </rPr>
            <t xml:space="preserve"> 5.5 of 12 — a starting estimate. — Start: 5, the role's accountability scope — what it answers for.; Moved +0.5: the survey / manager mapping marks it business-critical.; Managers and heads: overwrite this rating on the Weightage sheet with the business impact you see — the score updates at once.; Ladder: B2 = Visible effect on a team's or client portfolio's revenue, quality or compliance · B3 = Shapes the results of a practice or several teams</t>
          </r>
        </is>
      </c>
      <c r="X8" s="12" t="inlineStr">
        <is>
          <r>
            <rPr>
              <rFont val="Calibri"/>
              <b val="1"/>
              <sz val="10"/>
            </rPr>
            <t>Market level:</t>
          </r>
          <r>
            <rPr>
              <rFont val="Calibri"/>
              <sz val="10"/>
            </rPr>
            <t xml:space="preserve"> P4 / M3 · SFIA 4–5
</t>
          </r>
          <r>
            <rPr>
              <rFont val="Calibri"/>
              <b val="1"/>
              <sz val="10"/>
            </rPr>
            <t>Typical title:</t>
          </r>
          <r>
            <rPr>
              <rFont val="Calibri"/>
              <sz val="10"/>
            </rPr>
            <t xml:space="preserve"> Manager
</t>
          </r>
          <r>
            <rPr>
              <rFont val="Calibri"/>
              <b val="1"/>
              <sz val="10"/>
            </rPr>
            <t>At peers:</t>
          </r>
          <r>
            <rPr>
              <rFont val="Calibri"/>
              <sz val="10"/>
            </rPr>
            <t xml:space="preserve"> IRIS Vs Competitor Benchmark — SaaS sales ladder — IC: Mid-Market AE · IRIS Vs Competitor Benchmark — SaaS sales ladder — management: Sales Manager
</t>
          </r>
          <r>
            <rPr>
              <rFont val="Calibri"/>
              <b val="1"/>
              <sz val="10"/>
            </rPr>
            <t>Typical experience:</t>
          </r>
          <r>
            <rPr>
              <rFont val="Calibri"/>
              <sz val="10"/>
            </rPr>
            <t xml:space="preserve"> 6–10 yrs · IRIS guide 6–9
</t>
          </r>
          <r>
            <rPr>
              <rFont val="Calibri"/>
              <b val="1"/>
              <sz val="10"/>
            </rPr>
            <t>Standard:</t>
          </r>
          <r>
            <rPr>
              <rFont val="Calibri"/>
              <sz val="10"/>
            </rPr>
            <t xml:space="preserve"> SaaS sales ladder; MEDDICC-style qualification</t>
          </r>
        </is>
      </c>
      <c r="Y8" s="12" t="inlineStr">
        <is>
          <r>
            <rPr>
              <rFont val="Calibri"/>
              <sz val="10"/>
            </rPr>
            <t xml:space="preserve">✓ HRIS: 19.4 yrs, B.Com, 6 direct reports
✓ Survey: 20 of 20 questions answered
✗ KRAs: none on file
✓ Manager mapping: rating, 9-box
✗ Job description: not on file
</t>
          </r>
          <r>
            <rPr>
              <rFont val="Calibri"/>
              <b val="1"/>
              <sz val="10"/>
            </rPr>
            <t>Confidence:</t>
          </r>
          <r>
            <rPr>
              <rFont val="Calibri"/>
              <sz val="10"/>
            </rPr>
            <t xml:space="preserve"> Medium</t>
          </r>
        </is>
      </c>
      <c r="Z8" s="81" t="inlineStr">
        <is>
          <r>
            <rPr>
              <rFont val="Calibri"/>
              <color rgb="009C5700"/>
              <sz val="10"/>
            </rPr>
            <t xml:space="preserve">• </t>
          </r>
          <r>
            <rPr>
              <rFont val="Calibri"/>
              <b val="1"/>
              <color rgb="009C5700"/>
              <sz val="10"/>
            </rPr>
            <t>Moves down:</t>
          </r>
          <r>
            <rPr>
              <rFont val="Calibri"/>
              <color rgb="009C5700"/>
              <sz val="10"/>
            </rPr>
            <t xml:space="preserve"> protected for one cycle</t>
          </r>
        </is>
      </c>
      <c r="AA8" s="12" t="inlineStr">
        <is>
          <t>Nothing outstanding</t>
        </is>
      </c>
      <c r="AB8" s="12" t="inlineStr">
        <is>
          <r>
            <rPr>
              <rFont val="Calibri"/>
              <b val="1"/>
              <sz val="10"/>
            </rPr>
            <t>What the role answers for:</t>
          </r>
          <r>
            <rPr>
              <rFont val="Calibri"/>
              <sz val="10"/>
            </rPr>
            <t xml:space="preserve"> One team or a client portfolio.
</t>
          </r>
          <r>
            <rPr>
              <rFont val="Calibri"/>
              <b val="1"/>
              <sz val="10"/>
            </rPr>
            <t>Accountability &amp; Impact rating:</t>
          </r>
          <r>
            <rPr>
              <rFont val="Calibri"/>
              <sz val="10"/>
            </rPr>
            <t xml:space="preserve"> 5 of 12 · B2-level impact.
Leads 6 direct reports.
From the survey and manager mapping — critical role: yes; successor named: no.
</t>
          </r>
          <r>
            <rPr>
              <rFont val="Calibri"/>
              <b val="1"/>
              <sz val="10"/>
            </rPr>
            <t>If the work is missed · role-holders' themes:</t>
          </r>
          <r>
            <rPr>
              <rFont val="Calibri"/>
              <sz val="10"/>
            </rPr>
            <t xml:space="preserve"> business · customer · lead · delays.
Manager talent mapping — Latest rating: 3 · 9-Box Grid placement: Core Contributor.</t>
          </r>
        </is>
      </c>
      <c r="AC8" s="79" t="n"/>
      <c r="AD8" s="79" t="n"/>
      <c r="AE8" s="79" t="n"/>
      <c r="AF8" s="12" t="n">
        <v>5.5</v>
      </c>
    </row>
    <row r="9" ht="353" customHeight="1">
      <c r="A9" s="12" t="inlineStr">
        <is>
          <t>IRISDT0013</t>
        </is>
      </c>
      <c r="B9" s="10" t="inlineStr">
        <is>
          <t>Bharati Durgaprasad Paranjape</t>
        </is>
      </c>
      <c r="C9" s="12" t="inlineStr">
        <is>
          <t>Datatech - Outreach</t>
        </is>
      </c>
      <c r="D9" s="12" t="inlineStr">
        <is>
          <t>Program Executive - MSME</t>
        </is>
      </c>
      <c r="E9" s="75" t="inlineStr">
        <is>
          <t>Senior Program Executive</t>
        </is>
      </c>
      <c r="F9" s="12" t="inlineStr">
        <is>
          <t>Sales &amp; Business Development</t>
        </is>
      </c>
      <c r="G9" s="12" t="inlineStr">
        <is>
          <t>Field Outreach &amp; Programme Sales</t>
        </is>
      </c>
      <c r="H9" s="12" t="inlineStr">
        <is>
          <t>IC</t>
        </is>
      </c>
      <c r="I9" s="38" t="inlineStr">
        <is>
          <t>L3 – Professional / Associate</t>
        </is>
      </c>
      <c r="J9" s="16" t="inlineStr">
        <is>
          <t>A3</t>
        </is>
      </c>
      <c r="K9" s="17" t="inlineStr">
        <is>
          <t>Senior Associate</t>
        </is>
      </c>
      <c r="L9" s="82" t="inlineStr">
        <is>
          <t>▲ Up</t>
        </is>
      </c>
      <c r="M9" s="12" t="inlineStr">
        <is>
          <t>Datatech · Datatech - Outreach · Band A · Early career</t>
        </is>
      </c>
      <c r="N9" s="38" t="n">
        <v>2</v>
      </c>
      <c r="O9" s="38" t="n">
        <v>2</v>
      </c>
      <c r="P9" s="38" t="n">
        <v>2</v>
      </c>
      <c r="Q9" s="38" t="n">
        <v>1</v>
      </c>
      <c r="R9" s="38" t="n">
        <v>4</v>
      </c>
      <c r="S9" s="77" t="n">
        <v>2</v>
      </c>
      <c r="T9" s="78">
        <f>IF(OR($M9="",COUNT(N9,O9,P9,Q9,R9,S9)&lt;6),"",IFERROR(N9*INDEX(WM_C,MATCH($M9,WM_KEY,0))+O9*INDEX(WM_AU,MATCH($M9,WM_KEY,0))+P9*INDEX(WM_AC,MATCH($M9,WM_KEY,0))+Q9*INDEX(WM_L,MATCH($M9,WM_KEY,0))+R9*INDEX(WM_E,MATCH($M9,WM_KEY,0))+S9*INDEX(WM_BI,MATCH($M9,WM_KEY,0)),""))</f>
        <v>2.2</v>
      </c>
      <c r="U9" s="38" t="str">
        <f>IF(T9="","",INDEX({"A1","A2","A3","B1","B2","B3","C1","C2","D1","D2","E1","E2"},MAX(1,MIN(12,ROUND(T9,0)))))</f>
        <v>A2</v>
      </c>
      <c r="V9" s="12" t="inlineStr">
        <is>
          <r>
            <rPr>
              <rFont val="Calibri"/>
              <sz val="10"/>
            </rPr>
            <t xml:space="preserve">New level A3 · Senior Associate. Current level on record: L3 – Professional / Associate. Change: ▲ Up.
Score 2.20 on the ladder scale → indicated level A2.
</t>
          </r>
          <r>
            <rPr>
              <rFont val="Calibri"/>
              <b val="1"/>
              <sz val="10"/>
            </rPr>
            <t>Weights:</t>
          </r>
          <r>
            <rPr>
              <rFont val="Calibri"/>
              <sz val="10"/>
            </rPr>
            <t xml:space="preserve"> Complexity 54% · Autonomy 21% · Business impact 11% · Experience 10%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sales and marketing are judged on pipeline and revenue, so Business Impact +5, Autonomy +5,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 </t>
          </r>
          <r>
            <rPr>
              <rFont val="Calibri"/>
              <b val="1"/>
              <sz val="10"/>
            </rPr>
            <t>Raised to A3:</t>
          </r>
          <r>
            <rPr>
              <rFont val="Calibri"/>
              <sz val="10"/>
            </rPr>
            <t xml:space="preserve"> 4.4 years' experience is 2 years or more.
</t>
          </r>
          <r>
            <rPr>
              <rFont val="Calibri"/>
              <b val="1"/>
              <sz val="10"/>
            </rPr>
            <t>Final level:</t>
          </r>
          <r>
            <rPr>
              <rFont val="Calibri"/>
              <sz val="10"/>
            </rPr>
            <t xml:space="preserve"> A3.</t>
          </r>
        </is>
      </c>
      <c r="W9" s="12" t="inlineStr">
        <is>
          <r>
            <rPr>
              <rFont val="Calibri"/>
              <b val="1"/>
              <sz val="10"/>
            </rPr>
            <t>Complexity &amp; Expertise:</t>
          </r>
          <r>
            <rPr>
              <rFont val="Calibri"/>
              <sz val="10"/>
            </rPr>
            <t xml:space="preserve"> 2 of 12 — Start: 2.0 · practitioner title; Evidence reads like A2: Engages government officers and industry bodies to sell company services; little detail → matches the start; KRA: “1. MSME Onboarding - Onboard minimum 30 MSMEs per month, 90 per quarter - Weightage: 30% 2. Business Loan Applications - Submit 35 loan…”
</t>
          </r>
          <r>
            <rPr>
              <rFont val="Calibri"/>
              <b val="1"/>
              <sz val="10"/>
            </rPr>
            <t>Autonomy &amp; Decision:</t>
          </r>
          <r>
            <rPr>
              <rFont val="Calibri"/>
              <sz val="10"/>
            </rPr>
            <t xml:space="preserve"> 2 of 12 — Start: 2.0 · practitioner title; Evidence reads like A2: Decides own engagement and sales activity; nothing beyond own work → matches the start
</t>
          </r>
          <r>
            <rPr>
              <rFont val="Calibri"/>
              <b val="1"/>
              <sz val="10"/>
            </rPr>
            <t>Accountability &amp; Impact:</t>
          </r>
          <r>
            <rPr>
              <rFont val="Calibri"/>
              <sz val="10"/>
            </rPr>
            <t xml:space="preserve"> 2 of 12 — Start: 2.0 · practitioner title; Evidence reads like A2: States only 'engagement' as accountability → matches the start; KRA: “1. MSME Onboarding - Onboard minimum 30 MSMEs per month, 90 per quarter - Weightage: 30% 2. Business Loan Applications - Submit 35 loan…”
</t>
          </r>
          <r>
            <rPr>
              <rFont val="Calibri"/>
              <b val="1"/>
              <sz val="10"/>
            </rPr>
            <t>Leadership &amp; Strategy:</t>
          </r>
          <r>
            <rPr>
              <rFont val="Calibri"/>
              <sz val="10"/>
            </rPr>
            <t xml:space="preserve"> 1 of 12 — not counted: the weight is 0% at this level — Start: 1.0 · individual contributor, so influence only; Evidence reads like A1: No guidance or leadership of others described → matches the start; Team: 0 direct reports · IC
</t>
          </r>
          <r>
            <rPr>
              <rFont val="Calibri"/>
              <b val="1"/>
              <sz val="10"/>
            </rPr>
            <t>Experience &amp; Qualification:</t>
          </r>
          <r>
            <rPr>
              <rFont val="Calibri"/>
              <sz val="10"/>
            </rPr>
            <t xml:space="preserve"> 4 of 12 — Experience: 4.4 yrs total · 3.7 before IRIS + 0.7 at IRIS = 3.6 on the experience scale; Qualification: MA · postgraduate, relevant to the work → +0.5
</t>
          </r>
          <r>
            <rPr>
              <rFont val="Calibri"/>
              <b val="1"/>
              <sz val="10"/>
            </rPr>
            <t>Business Impact:</t>
          </r>
          <r>
            <rPr>
              <rFont val="Calibri"/>
              <sz val="10"/>
            </rPr>
            <t xml:space="preserve"> 2 of 12 — a starting estimate. —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r>
        </is>
      </c>
      <c r="X9" s="12" t="inlineStr">
        <is>
          <r>
            <rPr>
              <rFont val="Calibri"/>
              <b val="1"/>
              <sz val="10"/>
            </rPr>
            <t>Market level:</t>
          </r>
          <r>
            <rPr>
              <rFont val="Calibri"/>
              <sz val="10"/>
            </rPr>
            <t xml:space="preserve"> P2 · SFIA 3 Apply
</t>
          </r>
          <r>
            <rPr>
              <rFont val="Calibri"/>
              <b val="1"/>
              <sz val="10"/>
            </rPr>
            <t>Typical title:</t>
          </r>
          <r>
            <rPr>
              <rFont val="Calibri"/>
              <sz val="10"/>
            </rPr>
            <t xml:space="preserve"> SDR / Inside Sales
</t>
          </r>
          <r>
            <rPr>
              <rFont val="Calibri"/>
              <b val="1"/>
              <sz val="10"/>
            </rPr>
            <t>At peers:</t>
          </r>
          <r>
            <rPr>
              <rFont val="Calibri"/>
              <sz val="10"/>
            </rPr>
            <t xml:space="preserve"> IRIS Vs Competitor Benchmark — SaaS sales ladder — IC: Senior SDR
</t>
          </r>
          <r>
            <rPr>
              <rFont val="Calibri"/>
              <b val="1"/>
              <sz val="10"/>
            </rPr>
            <t>Typical experience:</t>
          </r>
          <r>
            <rPr>
              <rFont val="Calibri"/>
              <sz val="10"/>
            </rPr>
            <t xml:space="preserve"> 2–5 yrs · IRIS guide 2–4
</t>
          </r>
          <r>
            <rPr>
              <rFont val="Calibri"/>
              <b val="1"/>
              <sz val="10"/>
            </rPr>
            <t>Standard:</t>
          </r>
          <r>
            <rPr>
              <rFont val="Calibri"/>
              <sz val="10"/>
            </rPr>
            <t xml:space="preserve"> SaaS sales ladder; MEDDICC-style qualification</t>
          </r>
        </is>
      </c>
      <c r="Y9" s="12" t="inlineStr">
        <is>
          <r>
            <rPr>
              <rFont val="Calibri"/>
              <sz val="10"/>
            </rPr>
            <t xml:space="preserve">✓ HRIS: 4.4 yrs, MA, 0 direct reports
✓ Survey: 19 of 20 questions answered
✓ KRAs: manager-set, quarterly
✓ Manager mapping: rating, potential, 9-box
✗ Job description: not on file
</t>
          </r>
          <r>
            <rPr>
              <rFont val="Calibri"/>
              <b val="1"/>
              <sz val="10"/>
            </rPr>
            <t>Confidence:</t>
          </r>
          <r>
            <rPr>
              <rFont val="Calibri"/>
              <sz val="10"/>
            </rPr>
            <t xml:space="preserve"> Medium</t>
          </r>
        </is>
      </c>
      <c r="Z9" s="12" t="inlineStr">
        <is>
          <t>—</t>
        </is>
      </c>
      <c r="AA9" s="12" t="inlineStr">
        <is>
          <t>Nothing outstanding</t>
        </is>
      </c>
      <c r="AB9"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 of 12 · A2-level impact.
</t>
          </r>
          <r>
            <rPr>
              <rFont val="Calibri"/>
              <b val="1"/>
              <sz val="10"/>
            </rPr>
            <t>If the work is missed · role-holders' themes:</t>
          </r>
          <r>
            <rPr>
              <rFont val="Calibri"/>
              <sz val="10"/>
            </rPr>
            <t xml:space="preserve"> sales · customer.
</t>
          </r>
          <r>
            <rPr>
              <rFont val="Calibri"/>
              <b val="1"/>
              <sz val="10"/>
            </rPr>
            <t>Measured on · manager-set KRA themes:</t>
          </r>
          <r>
            <rPr>
              <rFont val="Calibri"/>
              <sz val="10"/>
            </rPr>
            <t xml:space="preserve"> month quarter · minimum msmes · applications quarter · business · bhr units · onboard minimum.
Manager talent mapping — Latest rating: 3 · Potential: Medium · 9-Box Grid placement: Emerging Talent.</t>
          </r>
        </is>
      </c>
      <c r="AC9" s="79" t="n"/>
      <c r="AD9" s="79" t="n"/>
      <c r="AE9" s="79" t="n"/>
      <c r="AF9" s="12" t="n">
        <v>2</v>
      </c>
    </row>
    <row r="10" ht="379" customHeight="1">
      <c r="A10" s="12" t="inlineStr">
        <is>
          <t>IRISDT0017</t>
        </is>
      </c>
      <c r="B10" s="10" t="inlineStr">
        <is>
          <t>Lakshmikantha RN</t>
        </is>
      </c>
      <c r="C10" s="12" t="inlineStr">
        <is>
          <t>Datatech - Outreach</t>
        </is>
      </c>
      <c r="D10" s="12" t="inlineStr">
        <is>
          <t>Program Executive - MSME</t>
        </is>
      </c>
      <c r="E10" s="75" t="inlineStr">
        <is>
          <t>Senior Program Executive</t>
        </is>
      </c>
      <c r="F10" s="12" t="inlineStr">
        <is>
          <t>Sales &amp; Business Development</t>
        </is>
      </c>
      <c r="G10" s="12" t="inlineStr">
        <is>
          <t>Field Outreach &amp; Programme Sales</t>
        </is>
      </c>
      <c r="H10" s="12" t="inlineStr">
        <is>
          <t>IC</t>
        </is>
      </c>
      <c r="I10" s="38" t="inlineStr">
        <is>
          <t>L3 – Professional / Associate</t>
        </is>
      </c>
      <c r="J10" s="16" t="inlineStr">
        <is>
          <t>A3</t>
        </is>
      </c>
      <c r="K10" s="17" t="inlineStr">
        <is>
          <t>Senior Associate</t>
        </is>
      </c>
      <c r="L10" s="82" t="inlineStr">
        <is>
          <t>▲ Up</t>
        </is>
      </c>
      <c r="M10" s="12" t="inlineStr">
        <is>
          <t>Datatech · Datatech - Outreach · Band A · Early career</t>
        </is>
      </c>
      <c r="N10" s="38" t="n">
        <v>2</v>
      </c>
      <c r="O10" s="38" t="n">
        <v>2</v>
      </c>
      <c r="P10" s="38" t="n">
        <v>2</v>
      </c>
      <c r="Q10" s="38" t="n">
        <v>1</v>
      </c>
      <c r="R10" s="38" t="n">
        <v>3.5</v>
      </c>
      <c r="S10" s="77" t="n">
        <v>2</v>
      </c>
      <c r="T10" s="78">
        <f>IF(OR($M10="",COUNT(N10,O10,P10,Q10,R10,S10)&lt;6),"",IFERROR(N10*INDEX(WM_C,MATCH($M10,WM_KEY,0))+O10*INDEX(WM_AU,MATCH($M10,WM_KEY,0))+P10*INDEX(WM_AC,MATCH($M10,WM_KEY,0))+Q10*INDEX(WM_L,MATCH($M10,WM_KEY,0))+R10*INDEX(WM_E,MATCH($M10,WM_KEY,0))+S10*INDEX(WM_BI,MATCH($M10,WM_KEY,0)),""))</f>
        <v>2.15</v>
      </c>
      <c r="U10" s="38" t="str">
        <f>IF(T10="","",INDEX({"A1","A2","A3","B1","B2","B3","C1","C2","D1","D2","E1","E2"},MAX(1,MIN(12,ROUND(T10,0)))))</f>
        <v>A2</v>
      </c>
      <c r="V10" s="12" t="inlineStr">
        <is>
          <r>
            <rPr>
              <rFont val="Calibri"/>
              <sz val="10"/>
            </rPr>
            <t xml:space="preserve">New level A3 · Senior Associate. Current level on record: L3 – Professional / Associate. Change: ▲ Up.
Score 2.15 on the ladder scale → indicated level A2.
</t>
          </r>
          <r>
            <rPr>
              <rFont val="Calibri"/>
              <b val="1"/>
              <sz val="10"/>
            </rPr>
            <t>Weights:</t>
          </r>
          <r>
            <rPr>
              <rFont val="Calibri"/>
              <sz val="10"/>
            </rPr>
            <t xml:space="preserve"> Complexity 54% · Autonomy 21% · Business impact 11% · Experience 10%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sales and marketing are judged on pipeline and revenue, so Business Impact +5, Autonomy +5,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 </t>
          </r>
          <r>
            <rPr>
              <rFont val="Calibri"/>
              <b val="1"/>
              <sz val="10"/>
            </rPr>
            <t>Raised to A3:</t>
          </r>
          <r>
            <rPr>
              <rFont val="Calibri"/>
              <sz val="10"/>
            </rPr>
            <t xml:space="preserve"> 2.9 years' experience is 2 years or more.
</t>
          </r>
          <r>
            <rPr>
              <rFont val="Calibri"/>
              <b val="1"/>
              <sz val="10"/>
            </rPr>
            <t>Final level:</t>
          </r>
          <r>
            <rPr>
              <rFont val="Calibri"/>
              <sz val="10"/>
            </rPr>
            <t xml:space="preserve"> A3.</t>
          </r>
        </is>
      </c>
      <c r="W10" s="12" t="inlineStr">
        <is>
          <r>
            <rPr>
              <rFont val="Calibri"/>
              <b val="1"/>
              <sz val="10"/>
            </rPr>
            <t>Complexity &amp; Expertise:</t>
          </r>
          <r>
            <rPr>
              <rFont val="Calibri"/>
              <sz val="10"/>
            </rPr>
            <t xml:space="preserve"> 2 of 12 — Start: 2.0 · practitioner title; Evidence reads like A2: own survey / KRA answers · summarised by the rater; not quoted → matches the start; KRA: “1. MSME Onboarding - Onboard minimum 70 MSMEs per month, 210 per quarter- Weightage: 40% 2. Business Loan Applications - Submit 60 loan…”
</t>
          </r>
          <r>
            <rPr>
              <rFont val="Calibri"/>
              <b val="1"/>
              <sz val="10"/>
            </rPr>
            <t>Autonomy &amp; Decision:</t>
          </r>
          <r>
            <rPr>
              <rFont val="Calibri"/>
              <sz val="10"/>
            </rPr>
            <t xml:space="preserve"> 2 of 12 — Start: 2.0 · practitioner title; Evidence reads like A2: Plans own field visits, initial discussions and follow-ups → matches the start
</t>
          </r>
          <r>
            <rPr>
              <rFont val="Calibri"/>
              <b val="1"/>
              <sz val="10"/>
            </rPr>
            <t>Accountability &amp; Impact:</t>
          </r>
          <r>
            <rPr>
              <rFont val="Calibri"/>
              <sz val="10"/>
            </rPr>
            <t xml:space="preserve"> 2 of 12 — Start: 2.0 · practitioner title; Evidence reads like A2: Own onboardings, leads, partner follow-ups and timely activity reports → matches the start; KRA: “1. MSME Onboarding - Onboard minimum 70 MSMEs per month, 210 per quarter- Weightage: 40% 2. Business Loan Applications - Submit 60 loan…”
</t>
          </r>
          <r>
            <rPr>
              <rFont val="Calibri"/>
              <b val="1"/>
              <sz val="10"/>
            </rPr>
            <t>Leadership &amp; Strategy:</t>
          </r>
          <r>
            <rPr>
              <rFont val="Calibri"/>
              <sz val="10"/>
            </rPr>
            <t xml:space="preserve"> 1 of 12 — not counted: the weight is 0% at this level — Start: 1.0 · individual contributor, so influence only; Evidence reads like A1: No guidance or leadership of others described → matches the start; Team: 0 direct reports · IC
</t>
          </r>
          <r>
            <rPr>
              <rFont val="Calibri"/>
              <b val="1"/>
              <sz val="10"/>
            </rPr>
            <t>Experience &amp; Qualification:</t>
          </r>
          <r>
            <rPr>
              <rFont val="Calibri"/>
              <sz val="10"/>
            </rPr>
            <t xml:space="preserve"> 3.5 of 12 · between A3 and B1 — Experience: 2.9 yrs total · 2.3 before IRIS + 0.6 at IRIS = 3.0 on the experience scale; Qualification: MBA · postgraduate, relevant to the work → +0.5
</t>
          </r>
          <r>
            <rPr>
              <rFont val="Calibri"/>
              <b val="1"/>
              <sz val="10"/>
            </rPr>
            <t>Business Impact:</t>
          </r>
          <r>
            <rPr>
              <rFont val="Calibri"/>
              <sz val="10"/>
            </rPr>
            <t xml:space="preserve"> 2 of 12 — a starting estimate. —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r>
        </is>
      </c>
      <c r="X10" s="12" t="inlineStr">
        <is>
          <r>
            <rPr>
              <rFont val="Calibri"/>
              <b val="1"/>
              <sz val="10"/>
            </rPr>
            <t>Market level:</t>
          </r>
          <r>
            <rPr>
              <rFont val="Calibri"/>
              <sz val="10"/>
            </rPr>
            <t xml:space="preserve"> P2 · SFIA 3 Apply
</t>
          </r>
          <r>
            <rPr>
              <rFont val="Calibri"/>
              <b val="1"/>
              <sz val="10"/>
            </rPr>
            <t>Typical title:</t>
          </r>
          <r>
            <rPr>
              <rFont val="Calibri"/>
              <sz val="10"/>
            </rPr>
            <t xml:space="preserve"> SDR / Inside Sales
</t>
          </r>
          <r>
            <rPr>
              <rFont val="Calibri"/>
              <b val="1"/>
              <sz val="10"/>
            </rPr>
            <t>At peers:</t>
          </r>
          <r>
            <rPr>
              <rFont val="Calibri"/>
              <sz val="10"/>
            </rPr>
            <t xml:space="preserve"> IRIS Vs Competitor Benchmark — SaaS sales ladder — IC: Senior SDR
</t>
          </r>
          <r>
            <rPr>
              <rFont val="Calibri"/>
              <b val="1"/>
              <sz val="10"/>
            </rPr>
            <t>Typical experience:</t>
          </r>
          <r>
            <rPr>
              <rFont val="Calibri"/>
              <sz val="10"/>
            </rPr>
            <t xml:space="preserve"> 2–5 yrs · IRIS guide 2–4
</t>
          </r>
          <r>
            <rPr>
              <rFont val="Calibri"/>
              <b val="1"/>
              <sz val="10"/>
            </rPr>
            <t>Standard:</t>
          </r>
          <r>
            <rPr>
              <rFont val="Calibri"/>
              <sz val="10"/>
            </rPr>
            <t xml:space="preserve"> SaaS sales ladder; MEDDICC-style qualification</t>
          </r>
        </is>
      </c>
      <c r="Y10" s="12" t="inlineStr">
        <is>
          <r>
            <rPr>
              <rFont val="Calibri"/>
              <sz val="10"/>
            </rPr>
            <t xml:space="preserve">✓ HRIS: 2.9 yrs, MBA, 0 direct reports
✓ Survey: 20 of 20 questions answered
✓ KRAs: manager-set, quarterly
✓ Manager mapping: rating, potential, 9-box
✗ Job description: not on file
</t>
          </r>
          <r>
            <rPr>
              <rFont val="Calibri"/>
              <b val="1"/>
              <sz val="10"/>
            </rPr>
            <t>Confidence:</t>
          </r>
          <r>
            <rPr>
              <rFont val="Calibri"/>
              <sz val="10"/>
            </rPr>
            <t xml:space="preserve"> Medium</t>
          </r>
        </is>
      </c>
      <c r="Z10" s="12" t="inlineStr">
        <is>
          <t>—</t>
        </is>
      </c>
      <c r="AA10" s="12" t="inlineStr">
        <is>
          <t>Nothing outstanding</t>
        </is>
      </c>
      <c r="AB10"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 of 12 · A2-level impact.
</t>
          </r>
          <r>
            <rPr>
              <rFont val="Calibri"/>
              <b val="1"/>
              <sz val="10"/>
            </rPr>
            <t>If the work is missed · role-holders' themes:</t>
          </r>
          <r>
            <rPr>
              <rFont val="Calibri"/>
              <sz val="10"/>
            </rPr>
            <t xml:space="preserve"> sales · customer.
</t>
          </r>
          <r>
            <rPr>
              <rFont val="Calibri"/>
              <b val="1"/>
              <sz val="10"/>
            </rPr>
            <t>Measured on · manager-set KRA themes:</t>
          </r>
          <r>
            <rPr>
              <rFont val="Calibri"/>
              <sz val="10"/>
            </rPr>
            <t xml:space="preserve"> month quarter · minimum msmes · applications quarter · business · bhr units · onboard minimum.
Manager talent mapping — Latest rating: 3 · Potential: Medium · 9-Box Grid placement: Core Contributor.</t>
          </r>
        </is>
      </c>
      <c r="AC10" s="79" t="n"/>
      <c r="AD10" s="79" t="n"/>
      <c r="AE10" s="79" t="n"/>
      <c r="AF10" s="12" t="n">
        <v>2</v>
      </c>
    </row>
    <row r="11" ht="379" customHeight="1">
      <c r="A11" s="12" t="inlineStr">
        <is>
          <t>IRISDT0003</t>
        </is>
      </c>
      <c r="B11" s="10" t="inlineStr">
        <is>
          <t>Nalini Niranjan Damisetti</t>
        </is>
      </c>
      <c r="C11" s="12" t="inlineStr">
        <is>
          <t>Datatech - Outreach</t>
        </is>
      </c>
      <c r="D11" s="12" t="inlineStr">
        <is>
          <t>Program Coordinator</t>
        </is>
      </c>
      <c r="E11" s="75" t="inlineStr">
        <is>
          <t>Senior Program Executive</t>
        </is>
      </c>
      <c r="F11" s="12" t="inlineStr">
        <is>
          <t>Sales &amp; Business Development</t>
        </is>
      </c>
      <c r="G11" s="12" t="inlineStr">
        <is>
          <t>Field Outreach &amp; Programme Sales</t>
        </is>
      </c>
      <c r="H11" s="12" t="inlineStr">
        <is>
          <t>IC</t>
        </is>
      </c>
      <c r="I11" s="38" t="inlineStr">
        <is>
          <t>L3 – Professional / Associate</t>
        </is>
      </c>
      <c r="J11" s="16" t="inlineStr">
        <is>
          <t>A3</t>
        </is>
      </c>
      <c r="K11" s="17" t="inlineStr">
        <is>
          <t>Senior Associate</t>
        </is>
      </c>
      <c r="L11" s="82" t="inlineStr">
        <is>
          <t>▲ Up</t>
        </is>
      </c>
      <c r="M11" s="12" t="inlineStr">
        <is>
          <t>Datatech · Datatech - Outreach · Band A · Early career</t>
        </is>
      </c>
      <c r="N11" s="38" t="n">
        <v>2</v>
      </c>
      <c r="O11" s="38" t="n">
        <v>2</v>
      </c>
      <c r="P11" s="38" t="n">
        <v>2</v>
      </c>
      <c r="Q11" s="38" t="n">
        <v>1</v>
      </c>
      <c r="R11" s="38" t="n">
        <v>5.5</v>
      </c>
      <c r="S11" s="77" t="n">
        <v>2</v>
      </c>
      <c r="T11" s="78">
        <f>IF(OR($M11="",COUNT(N11,O11,P11,Q11,R11,S11)&lt;6),"",IFERROR(N11*INDEX(WM_C,MATCH($M11,WM_KEY,0))+O11*INDEX(WM_AU,MATCH($M11,WM_KEY,0))+P11*INDEX(WM_AC,MATCH($M11,WM_KEY,0))+Q11*INDEX(WM_L,MATCH($M11,WM_KEY,0))+R11*INDEX(WM_E,MATCH($M11,WM_KEY,0))+S11*INDEX(WM_BI,MATCH($M11,WM_KEY,0)),""))</f>
        <v>2.35</v>
      </c>
      <c r="U11" s="38" t="str">
        <f>IF(T11="","",INDEX({"A1","A2","A3","B1","B2","B3","C1","C2","D1","D2","E1","E2"},MAX(1,MIN(12,ROUND(T11,0)))))</f>
        <v>A2</v>
      </c>
      <c r="V11" s="12" t="inlineStr">
        <is>
          <r>
            <rPr>
              <rFont val="Calibri"/>
              <sz val="10"/>
            </rPr>
            <t xml:space="preserve">New level A3 · Senior Associate. Current level on record: L3 – Professional / Associate. Change: ▲ Up.
Score 2.35 on the ladder scale → indicated level A2.
</t>
          </r>
          <r>
            <rPr>
              <rFont val="Calibri"/>
              <b val="1"/>
              <sz val="10"/>
            </rPr>
            <t>Weights:</t>
          </r>
          <r>
            <rPr>
              <rFont val="Calibri"/>
              <sz val="10"/>
            </rPr>
            <t xml:space="preserve"> Complexity 54% · Autonomy 21% · Business impact 11% · Experience 10%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sales and marketing are judged on pipeline and revenue, so Business Impact +5, Autonomy +5,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 </t>
          </r>
          <r>
            <rPr>
              <rFont val="Calibri"/>
              <b val="1"/>
              <sz val="10"/>
            </rPr>
            <t>Raised to A3:</t>
          </r>
          <r>
            <rPr>
              <rFont val="Calibri"/>
              <sz val="10"/>
            </rPr>
            <t xml:space="preserve"> 7.3 years' experience is 2 years or more.
</t>
          </r>
          <r>
            <rPr>
              <rFont val="Calibri"/>
              <b val="1"/>
              <sz val="10"/>
            </rPr>
            <t>Final level:</t>
          </r>
          <r>
            <rPr>
              <rFont val="Calibri"/>
              <sz val="10"/>
            </rPr>
            <t xml:space="preserve"> A3.</t>
          </r>
        </is>
      </c>
      <c r="W11" s="12" t="inlineStr">
        <is>
          <r>
            <rPr>
              <rFont val="Calibri"/>
              <b val="1"/>
              <sz val="10"/>
            </rPr>
            <t>Complexity &amp; Expertise:</t>
          </r>
          <r>
            <rPr>
              <rFont val="Calibri"/>
              <sz val="10"/>
            </rPr>
            <t xml:space="preserve"> 2 of 12 — Start: 2.0 · practitioner title; Evidence reads like A2: Processes MSME loan leads as DSA for several lenders; checks GST, CIBIL, banking → matches the start; KRA: “1. MSME Onboarding - Onboard minimum 70 MSMEs per month, 210 per quarter - Weightage: 30% 2. Business Loan Applications - Submit 25 loan…”
</t>
          </r>
          <r>
            <rPr>
              <rFont val="Calibri"/>
              <b val="1"/>
              <sz val="10"/>
            </rPr>
            <t>Autonomy &amp; Decision:</t>
          </r>
          <r>
            <rPr>
              <rFont val="Calibri"/>
              <sz val="10"/>
            </rPr>
            <t xml:space="preserve"> 2 of 12 — Start: 2.0 · practitioner title; Evidence reads like A2: Only decision named is punching in leads → matches the start
</t>
          </r>
          <r>
            <rPr>
              <rFont val="Calibri"/>
              <b val="1"/>
              <sz val="10"/>
            </rPr>
            <t>Accountability &amp; Impact:</t>
          </r>
          <r>
            <rPr>
              <rFont val="Calibri"/>
              <sz val="10"/>
            </rPr>
            <t xml:space="preserve"> 2 of 12 — Start: 2.0 · practitioner title; Evidence reads like A2: Names loan disbursement; missed work loses the customer or adds backlog → matches the start; KRA: “1. MSME Onboarding - Onboard minimum 70 MSMEs per month, 210 per quarter - Weightage: 30% 2. Business Loan Applications - Submit 25 loan…”
</t>
          </r>
          <r>
            <rPr>
              <rFont val="Calibri"/>
              <b val="1"/>
              <sz val="10"/>
            </rPr>
            <t>Leadership &amp; Strategy:</t>
          </r>
          <r>
            <rPr>
              <rFont val="Calibri"/>
              <sz val="10"/>
            </rPr>
            <t xml:space="preserve"> 1 of 12 — not counted: the weight is 0% at this level — Start: 1.0 · individual contributor, so influence only; Evidence reads like A1: No guidance or leadership of others described → matches the start; Team: 0 direct reports · IC
</t>
          </r>
          <r>
            <rPr>
              <rFont val="Calibri"/>
              <b val="1"/>
              <sz val="10"/>
            </rPr>
            <t>Experience &amp; Qualification:</t>
          </r>
          <r>
            <rPr>
              <rFont val="Calibri"/>
              <sz val="10"/>
            </rPr>
            <t xml:space="preserve"> 5.5 of 12 · between B2 and B3 — Experience: 7.3 yrs total · 5.5 before IRIS + 1.8 at IRIS = 4.9 on the experience scale; Qualification: PGDM · postgraduate, relevant to the work → +0.5
</t>
          </r>
          <r>
            <rPr>
              <rFont val="Calibri"/>
              <b val="1"/>
              <sz val="10"/>
            </rPr>
            <t>Business Impact:</t>
          </r>
          <r>
            <rPr>
              <rFont val="Calibri"/>
              <sz val="10"/>
            </rPr>
            <t xml:space="preserve"> 2 of 12 — a starting estimate. —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r>
        </is>
      </c>
      <c r="X11" s="12" t="inlineStr">
        <is>
          <r>
            <rPr>
              <rFont val="Calibri"/>
              <b val="1"/>
              <sz val="10"/>
            </rPr>
            <t>Market level:</t>
          </r>
          <r>
            <rPr>
              <rFont val="Calibri"/>
              <sz val="10"/>
            </rPr>
            <t xml:space="preserve"> P2 · SFIA 3 Apply
</t>
          </r>
          <r>
            <rPr>
              <rFont val="Calibri"/>
              <b val="1"/>
              <sz val="10"/>
            </rPr>
            <t>Typical title:</t>
          </r>
          <r>
            <rPr>
              <rFont val="Calibri"/>
              <sz val="10"/>
            </rPr>
            <t xml:space="preserve"> SDR / Inside Sales
</t>
          </r>
          <r>
            <rPr>
              <rFont val="Calibri"/>
              <b val="1"/>
              <sz val="10"/>
            </rPr>
            <t>At peers:</t>
          </r>
          <r>
            <rPr>
              <rFont val="Calibri"/>
              <sz val="10"/>
            </rPr>
            <t xml:space="preserve"> IRIS Vs Competitor Benchmark — SaaS sales ladder — IC: Senior SDR
</t>
          </r>
          <r>
            <rPr>
              <rFont val="Calibri"/>
              <b val="1"/>
              <sz val="10"/>
            </rPr>
            <t>Typical experience:</t>
          </r>
          <r>
            <rPr>
              <rFont val="Calibri"/>
              <sz val="10"/>
            </rPr>
            <t xml:space="preserve"> 2–5 yrs · IRIS guide 2–4
</t>
          </r>
          <r>
            <rPr>
              <rFont val="Calibri"/>
              <b val="1"/>
              <sz val="10"/>
            </rPr>
            <t>Standard:</t>
          </r>
          <r>
            <rPr>
              <rFont val="Calibri"/>
              <sz val="10"/>
            </rPr>
            <t xml:space="preserve"> SaaS sales ladder; MEDDICC-style qualification</t>
          </r>
        </is>
      </c>
      <c r="Y11" s="12" t="inlineStr">
        <is>
          <r>
            <rPr>
              <rFont val="Calibri"/>
              <sz val="10"/>
            </rPr>
            <t xml:space="preserve">✓ HRIS: 7.3 yrs, PGDM, 0 direct reports
✓ Survey: 20 of 20 questions answered
✓ KRAs: manager-set, quarterly
✓ Manager mapping: rating, potential, 9-box
✗ Job description: not on file
</t>
          </r>
          <r>
            <rPr>
              <rFont val="Calibri"/>
              <b val="1"/>
              <sz val="10"/>
            </rPr>
            <t>Confidence:</t>
          </r>
          <r>
            <rPr>
              <rFont val="Calibri"/>
              <sz val="10"/>
            </rPr>
            <t xml:space="preserve"> Medium</t>
          </r>
        </is>
      </c>
      <c r="Z11" s="12" t="inlineStr">
        <is>
          <t>—</t>
        </is>
      </c>
      <c r="AA11" s="12" t="inlineStr">
        <is>
          <t>Nothing outstanding</t>
        </is>
      </c>
      <c r="AB11"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 of 12 · A2-level impact.
</t>
          </r>
          <r>
            <rPr>
              <rFont val="Calibri"/>
              <b val="1"/>
              <sz val="10"/>
            </rPr>
            <t>If the work is missed · role-holders' themes:</t>
          </r>
          <r>
            <rPr>
              <rFont val="Calibri"/>
              <sz val="10"/>
            </rPr>
            <t xml:space="preserve"> sales · customer.
</t>
          </r>
          <r>
            <rPr>
              <rFont val="Calibri"/>
              <b val="1"/>
              <sz val="10"/>
            </rPr>
            <t>Measured on · manager-set KRA themes:</t>
          </r>
          <r>
            <rPr>
              <rFont val="Calibri"/>
              <sz val="10"/>
            </rPr>
            <t xml:space="preserve"> month quarter · minimum msmes · applications quarter · business · bhr units · onboard minimum.
Manager talent mapping — Latest rating: 3 · Potential: Medium · 9-Box Grid placement: Performance Risk.</t>
          </r>
        </is>
      </c>
      <c r="AC11" s="79" t="n"/>
      <c r="AD11" s="79" t="n"/>
      <c r="AE11" s="79" t="n"/>
      <c r="AF11" s="12" t="n">
        <v>2</v>
      </c>
    </row>
    <row r="12" ht="379" customHeight="1">
      <c r="A12" s="12" t="inlineStr">
        <is>
          <t>IRISDTC004</t>
        </is>
      </c>
      <c r="B12" s="10" t="inlineStr">
        <is>
          <t>Sameeksha More</t>
        </is>
      </c>
      <c r="C12" s="12" t="inlineStr">
        <is>
          <t>Datatech - Outreach</t>
        </is>
      </c>
      <c r="D12" s="12" t="inlineStr">
        <is>
          <t>MIS Associate</t>
        </is>
      </c>
      <c r="E12" s="12" t="inlineStr">
        <is>
          <t>MIS Associate</t>
        </is>
      </c>
      <c r="F12" s="12" t="inlineStr">
        <is>
          <t>Data &amp; Analytics</t>
        </is>
      </c>
      <c r="G12" s="12" t="inlineStr">
        <is>
          <t>MIS &amp; Business Reporting</t>
        </is>
      </c>
      <c r="H12" s="12" t="inlineStr">
        <is>
          <t>IC</t>
        </is>
      </c>
      <c r="I12" s="38" t="inlineStr">
        <is>
          <t>Not in current mapping files</t>
        </is>
      </c>
      <c r="J12" s="16" t="inlineStr">
        <is>
          <t>A2</t>
        </is>
      </c>
      <c r="K12" s="17" t="inlineStr">
        <is>
          <t>Associate</t>
        </is>
      </c>
      <c r="L12" s="83" t="inlineStr">
        <is>
          <t>● Newly mapped</t>
        </is>
      </c>
      <c r="M12" s="12" t="inlineStr">
        <is>
          <t>Datatech · Datatech - Outreach · Band A · Early career</t>
        </is>
      </c>
      <c r="N12" s="38" t="n">
        <v>2</v>
      </c>
      <c r="O12" s="38" t="n">
        <v>2</v>
      </c>
      <c r="P12" s="38" t="n">
        <v>2</v>
      </c>
      <c r="Q12" s="38" t="n">
        <v>1</v>
      </c>
      <c r="R12" s="38" t="n">
        <v>1</v>
      </c>
      <c r="S12" s="77" t="n">
        <v>2.5</v>
      </c>
      <c r="T12" s="78">
        <f>IF(OR($M12="",COUNT(N12,O12,P12,Q12,R12,S12)&lt;6),"",IFERROR(N12*INDEX(WM_C,MATCH($M12,WM_KEY,0))+O12*INDEX(WM_AU,MATCH($M12,WM_KEY,0))+P12*INDEX(WM_AC,MATCH($M12,WM_KEY,0))+Q12*INDEX(WM_L,MATCH($M12,WM_KEY,0))+R12*INDEX(WM_E,MATCH($M12,WM_KEY,0))+S12*INDEX(WM_BI,MATCH($M12,WM_KEY,0)),""))</f>
        <v>1.955</v>
      </c>
      <c r="U12" s="38" t="str">
        <f>IF(T12="","",INDEX({"A1","A2","A3","B1","B2","B3","C1","C2","D1","D2","E1","E2"},MAX(1,MIN(12,ROUND(T12,0)))))</f>
        <v>A2</v>
      </c>
      <c r="V12" s="12" t="inlineStr">
        <is>
          <r>
            <rPr>
              <rFont val="Calibri"/>
              <sz val="10"/>
            </rPr>
            <t xml:space="preserve">New level A2 · Associate. Current level on record: Not in current mapping files. Change: ● Newly mapped.
Score 1.96 on the ladder scale → indicated level A2.
</t>
          </r>
          <r>
            <rPr>
              <rFont val="Calibri"/>
              <b val="1"/>
              <sz val="10"/>
            </rPr>
            <t>Weights:</t>
          </r>
          <r>
            <rPr>
              <rFont val="Calibri"/>
              <sz val="10"/>
            </rPr>
            <t xml:space="preserve"> Complexity 54% · Autonomy 21% · Business impact 11% · Experience 10%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sales and marketing are judged on pipeline and revenue, so Business Impact +5, Autonomy +5,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12" s="12" t="inlineStr">
        <is>
          <r>
            <rPr>
              <rFont val="Calibri"/>
              <b val="1"/>
              <sz val="10"/>
            </rPr>
            <t>Complexity &amp; Expertise:</t>
          </r>
          <r>
            <rPr>
              <rFont val="Calibri"/>
              <sz val="10"/>
            </rPr>
            <t xml:space="preserve"> 2 of 12 — Start: 2.0 · practitioner title; Evidence reads like A2: Excel reporting, dashboards, data cleaning and CRM support for loan operations → matches the start; KRA: “1. Accuracy - Maintain report error rate below 20% - Weightage: 50% 2. Turnaround Time · TAT - Deliver reports within 24 hours of request,…”
</t>
          </r>
          <r>
            <rPr>
              <rFont val="Calibri"/>
              <b val="1"/>
              <sz val="10"/>
            </rPr>
            <t>Autonomy &amp; Decision:</t>
          </r>
          <r>
            <rPr>
              <rFont val="Calibri"/>
              <sz val="10"/>
            </rPr>
            <t xml:space="preserve"> 2 of 12 — Start: 2.0 · practitioner title; Evidence reads like A2: Decides data organisation, report formatting, cleaning and updates → matches the start
</t>
          </r>
          <r>
            <rPr>
              <rFont val="Calibri"/>
              <b val="1"/>
              <sz val="10"/>
            </rPr>
            <t>Accountability &amp; Impact:</t>
          </r>
          <r>
            <rPr>
              <rFont val="Calibri"/>
              <sz val="10"/>
            </rPr>
            <t xml:space="preserve"> 2 of 12 — Start: 2.0 · practitioner title; Evidence reads like A2: Accuracy and timeliness of own reports and data → matches the start; KRA: “1. Accuracy - Maintain report error rate below 20% - Weightage: 50% 2. Turnaround Time · TAT - Deliver reports within 24 hours of request,…”
</t>
          </r>
          <r>
            <rPr>
              <rFont val="Calibri"/>
              <b val="1"/>
              <sz val="10"/>
            </rPr>
            <t>Leadership &amp; Strategy:</t>
          </r>
          <r>
            <rPr>
              <rFont val="Calibri"/>
              <sz val="10"/>
            </rPr>
            <t xml:space="preserve"> 1 of 12 — not counted: the weight is 0% at this level — Start: 1.0 · individual contributor, so influence only; Evidence reads like A1: No guidance or leadership of others described → matches the start; Team: 0 direct reports · IC
</t>
          </r>
          <r>
            <rPr>
              <rFont val="Calibri"/>
              <b val="1"/>
              <sz val="10"/>
            </rPr>
            <t>Experience &amp; Qualification:</t>
          </r>
          <r>
            <rPr>
              <rFont val="Calibri"/>
              <sz val="10"/>
            </rPr>
            <t xml:space="preserve"> 1 of 12 — Experience: 0.5 yrs total · 0.2 before IRIS + 0.3 at IRIS = 1.5 on the experience scale; Qualification: Diploma In Computer Technology · below graduate → −0.5
</t>
          </r>
          <r>
            <rPr>
              <rFont val="Calibri"/>
              <b val="1"/>
              <sz val="10"/>
            </rPr>
            <t>Business Impact:</t>
          </r>
          <r>
            <rPr>
              <rFont val="Calibri"/>
              <sz val="10"/>
            </rPr>
            <t xml:space="preserve"> 2.5 of 12 — a starting estimate. — Start: 2, the role's accountability scope — what it answers for.; Moved +0.5: the survey / manager mapping marks it business-critical.; Managers and heads: overwrite this rating on the Weightage sheet with the business impact you see — the score updates at once.; Ladder: A2 = Own deliverables feed a team's output and turnaround · A3 = A process or client deliverable depends on this work</t>
          </r>
        </is>
      </c>
      <c r="X12" s="12" t="inlineStr">
        <is>
          <r>
            <rPr>
              <rFont val="Calibri"/>
              <b val="1"/>
              <sz val="10"/>
            </rPr>
            <t>Market level:</t>
          </r>
          <r>
            <rPr>
              <rFont val="Calibri"/>
              <sz val="10"/>
            </rPr>
            <t xml:space="preserve"> P1–P2 · SFIA 2 Assist
</t>
          </r>
          <r>
            <rPr>
              <rFont val="Calibri"/>
              <b val="1"/>
              <sz val="10"/>
            </rPr>
            <t>Typical title:</t>
          </r>
          <r>
            <rPr>
              <rFont val="Calibri"/>
              <sz val="10"/>
            </rPr>
            <t xml:space="preserve"> Junior Data Analyst / Data Analyst
</t>
          </r>
          <r>
            <rPr>
              <rFont val="Calibri"/>
              <b val="1"/>
              <sz val="10"/>
            </rPr>
            <t>At peers:</t>
          </r>
          <r>
            <rPr>
              <rFont val="Calibri"/>
              <sz val="10"/>
            </rPr>
            <t xml:space="preserve"> Atlassian company-wide P-levels – P30 Analyst · IRIS Vs Competitor Benchmark — data analyst ladder: Data Analyst I
</t>
          </r>
          <r>
            <rPr>
              <rFont val="Calibri"/>
              <b val="1"/>
              <sz val="10"/>
            </rPr>
            <t>Typical experience:</t>
          </r>
          <r>
            <rPr>
              <rFont val="Calibri"/>
              <sz val="10"/>
            </rPr>
            <t xml:space="preserve"> 0–3 yrs · IRIS guide 0–2
</t>
          </r>
          <r>
            <rPr>
              <rFont val="Calibri"/>
              <b val="1"/>
              <sz val="10"/>
            </rPr>
            <t>Standard:</t>
          </r>
          <r>
            <rPr>
              <rFont val="Calibri"/>
              <sz val="10"/>
            </rPr>
            <t xml:space="preserve"> DAMA-DMBOK</t>
          </r>
        </is>
      </c>
      <c r="Y12" s="12" t="inlineStr">
        <is>
          <r>
            <rPr>
              <rFont val="Calibri"/>
              <sz val="10"/>
            </rPr>
            <t xml:space="preserve">✓ HRIS: 0.5 yrs, Diploma In Computer Technology, 0 direct reports
✓ Survey: 20 of 20 questions answered
✓ KRAs: manager-set, quarterly
✓ Manager mapping: rating, potential, 9-box
✗ Job description: not on file
</t>
          </r>
          <r>
            <rPr>
              <rFont val="Calibri"/>
              <b val="1"/>
              <sz val="10"/>
            </rPr>
            <t>Confidence:</t>
          </r>
          <r>
            <rPr>
              <rFont val="Calibri"/>
              <sz val="10"/>
            </rPr>
            <t xml:space="preserve"> High</t>
          </r>
        </is>
      </c>
      <c r="Z12" s="12" t="inlineStr">
        <is>
          <t>—</t>
        </is>
      </c>
      <c r="AA12" s="12" t="inlineStr">
        <is>
          <t>Nothing outstanding</t>
        </is>
      </c>
      <c r="AB12" s="12" t="inlineStr">
        <is>
          <r>
            <rPr>
              <rFont val="Calibri"/>
              <b val="1"/>
              <sz val="10"/>
            </rPr>
            <t>What the role answers for:</t>
          </r>
          <r>
            <rPr>
              <rFont val="Calibri"/>
              <sz val="10"/>
            </rPr>
            <t xml:space="preserve"> Own deliverables · accuracy, TAT.
</t>
          </r>
          <r>
            <rPr>
              <rFont val="Calibri"/>
              <b val="1"/>
              <sz val="10"/>
            </rPr>
            <t>Accountability &amp; Impact rating:</t>
          </r>
          <r>
            <rPr>
              <rFont val="Calibri"/>
              <sz val="10"/>
            </rPr>
            <t xml:space="preserve"> 2 of 12 · A2-level impact.
From the survey and manager mapping — critical role: yes; successor named: no.
Manager talent mapping — Latest rating: 4 · Potential: Medium · 9-Box Grid placement: Core Contributor.</t>
          </r>
        </is>
      </c>
      <c r="AC12" s="79" t="n"/>
      <c r="AD12" s="79" t="n"/>
      <c r="AE12" s="79" t="n"/>
      <c r="AF12" s="12" t="n">
        <v>2.5</v>
      </c>
    </row>
    <row r="13" ht="379" customHeight="1">
      <c r="A13" s="12" t="inlineStr">
        <is>
          <t>IRISDT0015</t>
        </is>
      </c>
      <c r="B13" s="10" t="inlineStr">
        <is>
          <t>Jothi Pillai</t>
        </is>
      </c>
      <c r="C13" s="12" t="inlineStr">
        <is>
          <t>Datatech - Outreach</t>
        </is>
      </c>
      <c r="D13" s="12" t="inlineStr">
        <is>
          <t>Operations Executive</t>
        </is>
      </c>
      <c r="E13" s="75" t="inlineStr">
        <is>
          <t>Program Executive</t>
        </is>
      </c>
      <c r="F13" s="12" t="inlineStr">
        <is>
          <t>Sales &amp; Business Development</t>
        </is>
      </c>
      <c r="G13" s="12" t="inlineStr">
        <is>
          <t>Field Outreach &amp; Programme Sales</t>
        </is>
      </c>
      <c r="H13" s="12" t="inlineStr">
        <is>
          <t>IC</t>
        </is>
      </c>
      <c r="I13" s="38" t="inlineStr">
        <is>
          <t>L3 – Professional / Associate</t>
        </is>
      </c>
      <c r="J13" s="16" t="inlineStr">
        <is>
          <t>A2</t>
        </is>
      </c>
      <c r="K13" s="17" t="inlineStr">
        <is>
          <t>Associate</t>
        </is>
      </c>
      <c r="L13" s="76" t="inlineStr">
        <is>
          <t>• Same level</t>
        </is>
      </c>
      <c r="M13" s="12" t="inlineStr">
        <is>
          <t>Datatech · Datatech - Outreach · Band A · Early career</t>
        </is>
      </c>
      <c r="N13" s="38" t="n">
        <v>2</v>
      </c>
      <c r="O13" s="38" t="n">
        <v>2</v>
      </c>
      <c r="P13" s="38" t="n">
        <v>2</v>
      </c>
      <c r="Q13" s="38" t="n">
        <v>1</v>
      </c>
      <c r="R13" s="38" t="n">
        <v>2</v>
      </c>
      <c r="S13" s="77" t="n">
        <v>2.5</v>
      </c>
      <c r="T13" s="78">
        <f>IF(OR($M13="",COUNT(N13,O13,P13,Q13,R13,S13)&lt;6),"",IFERROR(N13*INDEX(WM_C,MATCH($M13,WM_KEY,0))+O13*INDEX(WM_AU,MATCH($M13,WM_KEY,0))+P13*INDEX(WM_AC,MATCH($M13,WM_KEY,0))+Q13*INDEX(WM_L,MATCH($M13,WM_KEY,0))+R13*INDEX(WM_E,MATCH($M13,WM_KEY,0))+S13*INDEX(WM_BI,MATCH($M13,WM_KEY,0)),""))</f>
        <v>2.055</v>
      </c>
      <c r="U13" s="38" t="str">
        <f>IF(T13="","",INDEX({"A1","A2","A3","B1","B2","B3","C1","C2","D1","D2","E1","E2"},MAX(1,MIN(12,ROUND(T13,0)))))</f>
        <v>A2</v>
      </c>
      <c r="V13" s="12" t="inlineStr">
        <is>
          <r>
            <rPr>
              <rFont val="Calibri"/>
              <sz val="10"/>
            </rPr>
            <t xml:space="preserve">New level A2 · Associate. Current level on record: L3 – Professional / Associate. Change: • Same level.
Score 2.06 on the ladder scale → indicated level A2.
</t>
          </r>
          <r>
            <rPr>
              <rFont val="Calibri"/>
              <b val="1"/>
              <sz val="10"/>
            </rPr>
            <t>Weights:</t>
          </r>
          <r>
            <rPr>
              <rFont val="Calibri"/>
              <sz val="10"/>
            </rPr>
            <t xml:space="preserve"> Complexity 54% · Autonomy 21% · Business impact 11% · Experience 10%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sales and marketing are judged on pipeline and revenue, so Business Impact +5, Autonomy +5,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13" s="12" t="inlineStr">
        <is>
          <r>
            <rPr>
              <rFont val="Calibri"/>
              <b val="1"/>
              <sz val="10"/>
            </rPr>
            <t>Complexity &amp; Expertise:</t>
          </r>
          <r>
            <rPr>
              <rFont val="Calibri"/>
              <sz val="10"/>
            </rPr>
            <t xml:space="preserve"> 2 of 12 — Start: 2.0 · practitioner title; Evidence reads like A2: Manager KRA only: bank submission of loan applications and BHR unit sales → matches the start; KRA: “1. Business Loan Applications - Achieve 40% Submit-to-Bank ratio, ramping quarter over quarter to 40% · Baseline: ~10% - Weightage: 55% 2.…”
</t>
          </r>
          <r>
            <rPr>
              <rFont val="Calibri"/>
              <b val="1"/>
              <sz val="10"/>
            </rPr>
            <t>Autonomy &amp; Decision:</t>
          </r>
          <r>
            <rPr>
              <rFont val="Calibri"/>
              <sz val="10"/>
            </rPr>
            <t xml:space="preserve"> 2 of 12 — Start: 2.0 · practitioner title; Evidence: no survey answers or KRAs on file → rating stays at the start
</t>
          </r>
          <r>
            <rPr>
              <rFont val="Calibri"/>
              <b val="1"/>
              <sz val="10"/>
            </rPr>
            <t>Accountability &amp; Impact:</t>
          </r>
          <r>
            <rPr>
              <rFont val="Calibri"/>
              <sz val="10"/>
            </rPr>
            <t xml:space="preserve"> 2 of 12 — Start: 2.0 · practitioner title; Evidence reads like A2: Individual KRA targets: 40% submit-to-bank ratio, 60 BHR units a quarter → matches the start; KRA: “1. Business Loan Applications - Achieve 40% Submit-to-Bank ratio, ramping quarter over quarter to 40% · Baseline: ~10% - Weightage: 55% 2.…”
</t>
          </r>
          <r>
            <rPr>
              <rFont val="Calibri"/>
              <b val="1"/>
              <sz val="10"/>
            </rPr>
            <t>Leadership &amp; Strategy:</t>
          </r>
          <r>
            <rPr>
              <rFont val="Calibri"/>
              <sz val="10"/>
            </rPr>
            <t xml:space="preserve"> 1 of 12 — not counted: the weight is 0% at this level — Start: 1.0 · individual contributor, so influence only; Evidence reads like A1: KRAs are 100% individual targets; no people responsibility → matches the start; Team: 0 direct reports · IC
</t>
          </r>
          <r>
            <rPr>
              <rFont val="Calibri"/>
              <b val="1"/>
              <sz val="10"/>
            </rPr>
            <t>Experience &amp; Qualification:</t>
          </r>
          <r>
            <rPr>
              <rFont val="Calibri"/>
              <sz val="10"/>
            </rPr>
            <t xml:space="preserve"> 2 of 12 — Experience: 1.2 yrs total · 0.6 before IRIS + 0.6 at IRIS = 2.1 on the experience scale; Qualification: B.Com · graduate → no change
</t>
          </r>
          <r>
            <rPr>
              <rFont val="Calibri"/>
              <b val="1"/>
              <sz val="10"/>
            </rPr>
            <t>Business Impact:</t>
          </r>
          <r>
            <rPr>
              <rFont val="Calibri"/>
              <sz val="10"/>
            </rPr>
            <t xml:space="preserve"> 2.5 of 12 — a starting estimate. — Start: 2, the role's accountability scope — what it answers for.; Moved +0.5: the survey / manager mapping marks it business-critical.; Managers and heads: overwrite this rating on the Weightage sheet with the business impact you see — the score updates at once.; Ladder: A2 = Own deliverables feed a team's output and turnaround · A3 = A process or client deliverable depends on this work</t>
          </r>
        </is>
      </c>
      <c r="X13" s="12" t="inlineStr">
        <is>
          <r>
            <rPr>
              <rFont val="Calibri"/>
              <b val="1"/>
              <sz val="10"/>
            </rPr>
            <t>Market level:</t>
          </r>
          <r>
            <rPr>
              <rFont val="Calibri"/>
              <sz val="10"/>
            </rPr>
            <t xml:space="preserve"> P1–P2 · SFIA 2 Assist
</t>
          </r>
          <r>
            <rPr>
              <rFont val="Calibri"/>
              <b val="1"/>
              <sz val="10"/>
            </rPr>
            <t>Typical title:</t>
          </r>
          <r>
            <rPr>
              <rFont val="Calibri"/>
              <sz val="10"/>
            </rPr>
            <t xml:space="preserve"> SDR · entry / SDR / Inside Sales
</t>
          </r>
          <r>
            <rPr>
              <rFont val="Calibri"/>
              <b val="1"/>
              <sz val="10"/>
            </rPr>
            <t>At peers:</t>
          </r>
          <r>
            <rPr>
              <rFont val="Calibri"/>
              <sz val="10"/>
            </rPr>
            <t xml:space="preserve"> IRIS Vs Competitor Benchmark — SaaS sales ladder — IC: SDR / BDR
</t>
          </r>
          <r>
            <rPr>
              <rFont val="Calibri"/>
              <b val="1"/>
              <sz val="10"/>
            </rPr>
            <t>Typical experience:</t>
          </r>
          <r>
            <rPr>
              <rFont val="Calibri"/>
              <sz val="10"/>
            </rPr>
            <t xml:space="preserve"> 0–3 yrs · IRIS guide 0–2
</t>
          </r>
          <r>
            <rPr>
              <rFont val="Calibri"/>
              <b val="1"/>
              <sz val="10"/>
            </rPr>
            <t>Standard:</t>
          </r>
          <r>
            <rPr>
              <rFont val="Calibri"/>
              <sz val="10"/>
            </rPr>
            <t xml:space="preserve"> SaaS sales ladder; MEDDICC-style qualification</t>
          </r>
        </is>
      </c>
      <c r="Y13" s="12" t="inlineStr">
        <is>
          <r>
            <rPr>
              <rFont val="Calibri"/>
              <sz val="10"/>
            </rPr>
            <t xml:space="preserve">✓ HRIS: 1.2 yrs, B.Com, 0 direct reports
✗ Survey: no response
✓ KRAs: manager-set, quarterly
✓ Manager mapping: rating, potential, 9-box
✗ Job description: not on file
</t>
          </r>
          <r>
            <rPr>
              <rFont val="Calibri"/>
              <b val="1"/>
              <sz val="10"/>
            </rPr>
            <t>Confidence:</t>
          </r>
          <r>
            <rPr>
              <rFont val="Calibri"/>
              <sz val="10"/>
            </rPr>
            <t xml:space="preserve"> Medium</t>
          </r>
        </is>
      </c>
      <c r="Z13" s="12" t="inlineStr">
        <is>
          <t>—</t>
        </is>
      </c>
      <c r="AA13" s="12" t="inlineStr">
        <is>
          <t>Nothing outstanding</t>
        </is>
      </c>
      <c r="AB13" s="12" t="inlineStr">
        <is>
          <r>
            <rPr>
              <rFont val="Calibri"/>
              <b val="1"/>
              <sz val="10"/>
            </rPr>
            <t>What the role answers for:</t>
          </r>
          <r>
            <rPr>
              <rFont val="Calibri"/>
              <sz val="10"/>
            </rPr>
            <t xml:space="preserve"> Own deliverables · accuracy, TAT.
</t>
          </r>
          <r>
            <rPr>
              <rFont val="Calibri"/>
              <b val="1"/>
              <sz val="10"/>
            </rPr>
            <t>Accountability &amp; Impact rating:</t>
          </r>
          <r>
            <rPr>
              <rFont val="Calibri"/>
              <sz val="10"/>
            </rPr>
            <t xml:space="preserve"> 2 of 12 · A2-level impact.
From the survey and manager mapping — critical role: yes; successor named: no.
</t>
          </r>
          <r>
            <rPr>
              <rFont val="Calibri"/>
              <b val="1"/>
              <sz val="10"/>
            </rPr>
            <t>If the work is missed · role-holders' themes:</t>
          </r>
          <r>
            <rPr>
              <rFont val="Calibri"/>
              <sz val="10"/>
            </rPr>
            <t xml:space="preserve"> business · customer · lead · delays.
</t>
          </r>
          <r>
            <rPr>
              <rFont val="Calibri"/>
              <b val="1"/>
              <sz val="10"/>
            </rPr>
            <t>Measured on · manager-set KRA themes:</t>
          </r>
          <r>
            <rPr>
              <rFont val="Calibri"/>
              <sz val="10"/>
            </rPr>
            <t xml:space="preserve"> ramping quarter · weightage bhr · applications achieve · sales · sell · ratio ramping.
Manager talent mapping — Latest rating: 2 · Potential: Low · 9-Box Grid placement: Underperformer / Exit Risk.</t>
          </r>
        </is>
      </c>
      <c r="AC13" s="79" t="n"/>
      <c r="AD13" s="79" t="n"/>
      <c r="AE13" s="79" t="n"/>
      <c r="AF13" s="12" t="n">
        <v>2.5</v>
      </c>
    </row>
    <row r="14" ht="379" customHeight="1">
      <c r="A14" s="12" t="inlineStr">
        <is>
          <t>IRISDTC003</t>
        </is>
      </c>
      <c r="B14" s="10" t="inlineStr">
        <is>
          <t>Vaibhav Dukare</t>
        </is>
      </c>
      <c r="C14" s="12" t="inlineStr">
        <is>
          <t>Datatech - Outreach</t>
        </is>
      </c>
      <c r="D14" s="12" t="inlineStr">
        <is>
          <t>Customer Engagement Executive</t>
        </is>
      </c>
      <c r="E14" s="75" t="inlineStr">
        <is>
          <t>Program Executive</t>
        </is>
      </c>
      <c r="F14" s="12" t="inlineStr">
        <is>
          <t>Sales &amp; Business Development</t>
        </is>
      </c>
      <c r="G14" s="12" t="inlineStr">
        <is>
          <t>Field Outreach &amp; Programme Sales</t>
        </is>
      </c>
      <c r="H14" s="12" t="inlineStr">
        <is>
          <t>IC</t>
        </is>
      </c>
      <c r="I14" s="38" t="inlineStr">
        <is>
          <t>L3 – Professional / Associate</t>
        </is>
      </c>
      <c r="J14" s="16" t="inlineStr">
        <is>
          <t>A2</t>
        </is>
      </c>
      <c r="K14" s="17" t="inlineStr">
        <is>
          <t>Associate</t>
        </is>
      </c>
      <c r="L14" s="76" t="inlineStr">
        <is>
          <t>• Same level</t>
        </is>
      </c>
      <c r="M14" s="12" t="inlineStr">
        <is>
          <t>Datatech · Datatech - Outreach · Band A · Early career</t>
        </is>
      </c>
      <c r="N14" s="38" t="n">
        <v>2</v>
      </c>
      <c r="O14" s="38" t="n">
        <v>2</v>
      </c>
      <c r="P14" s="38" t="n">
        <v>2</v>
      </c>
      <c r="Q14" s="38" t="n">
        <v>1</v>
      </c>
      <c r="R14" s="38" t="n">
        <v>2.5</v>
      </c>
      <c r="S14" s="77" t="n">
        <v>2.5</v>
      </c>
      <c r="T14" s="78">
        <f>IF(OR($M14="",COUNT(N14,O14,P14,Q14,R14,S14)&lt;6),"",IFERROR(N14*INDEX(WM_C,MATCH($M14,WM_KEY,0))+O14*INDEX(WM_AU,MATCH($M14,WM_KEY,0))+P14*INDEX(WM_AC,MATCH($M14,WM_KEY,0))+Q14*INDEX(WM_L,MATCH($M14,WM_KEY,0))+R14*INDEX(WM_E,MATCH($M14,WM_KEY,0))+S14*INDEX(WM_BI,MATCH($M14,WM_KEY,0)),""))</f>
        <v>2.105</v>
      </c>
      <c r="U14" s="38" t="str">
        <f>IF(T14="","",INDEX({"A1","A2","A3","B1","B2","B3","C1","C2","D1","D2","E1","E2"},MAX(1,MIN(12,ROUND(T14,0)))))</f>
        <v>A2</v>
      </c>
      <c r="V14" s="12" t="inlineStr">
        <is>
          <r>
            <rPr>
              <rFont val="Calibri"/>
              <sz val="10"/>
            </rPr>
            <t xml:space="preserve">New level A2 · Associate. Current level on record: L3 – Professional / Associate. Change: • Same level.
Score 2.10 on the ladder scale → indicated level A2.
</t>
          </r>
          <r>
            <rPr>
              <rFont val="Calibri"/>
              <b val="1"/>
              <sz val="10"/>
            </rPr>
            <t>Weights:</t>
          </r>
          <r>
            <rPr>
              <rFont val="Calibri"/>
              <sz val="10"/>
            </rPr>
            <t xml:space="preserve"> Complexity 54% · Autonomy 21% · Business impact 11% · Experience 10%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sales and marketing are judged on pipeline and revenue, so Business Impact +5, Autonomy +5,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14" s="12" t="inlineStr">
        <is>
          <r>
            <rPr>
              <rFont val="Calibri"/>
              <b val="1"/>
              <sz val="10"/>
            </rPr>
            <t>Complexity &amp; Expertise:</t>
          </r>
          <r>
            <rPr>
              <rFont val="Calibri"/>
              <sz val="10"/>
            </rPr>
            <t xml:space="preserve"> 2 of 12 — Start: 2.0 · practitioner title; Evidence reads like A2: Cold calls MSMEs, files loan applications on Peridot, maintains Excel sheet → matches the start; KRA: “1. Business Loan Applications - Achieve 40% Submit-to-Bank ratio, ramping quarter over quarter to 40% · Baseline: ~10% - Weightage: 55% 2.…”
</t>
          </r>
          <r>
            <rPr>
              <rFont val="Calibri"/>
              <b val="1"/>
              <sz val="10"/>
            </rPr>
            <t>Autonomy &amp; Decision:</t>
          </r>
          <r>
            <rPr>
              <rFont val="Calibri"/>
              <sz val="10"/>
            </rPr>
            <t xml:space="preserve"> 2 of 12 — Start: 2.0 · practitioner title; Evidence reads like A2: Decision answer vague · 'Sales', 'moderate load'; routine customer guidance only → matches the start
</t>
          </r>
          <r>
            <rPr>
              <rFont val="Calibri"/>
              <b val="1"/>
              <sz val="10"/>
            </rPr>
            <t>Accountability &amp; Impact:</t>
          </r>
          <r>
            <rPr>
              <rFont val="Calibri"/>
              <sz val="10"/>
            </rPr>
            <t xml:space="preserve"> 2 of 12 — Start: 2.0 · practitioner title; Evidence reads like A2: Own loan applications and Business Health Report leads for MSMEs → matches the start; KRA: “1. Business Loan Applications - Achieve 40% Submit-to-Bank ratio, ramping quarter over quarter to 40% · Baseline: ~10% - Weightage: 55% 2.…”
</t>
          </r>
          <r>
            <rPr>
              <rFont val="Calibri"/>
              <b val="1"/>
              <sz val="10"/>
            </rPr>
            <t>Leadership &amp; Strategy:</t>
          </r>
          <r>
            <rPr>
              <rFont val="Calibri"/>
              <sz val="10"/>
            </rPr>
            <t xml:space="preserve"> 1 of 12 — not counted: the weight is 0% at this level — Start: 1.0 · individual contributor, so influence only; Evidence reads like A1: No guidance or leadership of others described → matches the start; Team: 0 direct reports · IC
</t>
          </r>
          <r>
            <rPr>
              <rFont val="Calibri"/>
              <b val="1"/>
              <sz val="10"/>
            </rPr>
            <t>Experience &amp; Qualification:</t>
          </r>
          <r>
            <rPr>
              <rFont val="Calibri"/>
              <sz val="10"/>
            </rPr>
            <t xml:space="preserve"> 2.5 of 12 · between A2 and A3 — Experience: 1.7 yrs total · 1.2 before IRIS + 0.5 at IRIS = 2.4 on the experience scale; Qualification: B.E · graduate → no change
</t>
          </r>
          <r>
            <rPr>
              <rFont val="Calibri"/>
              <b val="1"/>
              <sz val="10"/>
            </rPr>
            <t>Business Impact:</t>
          </r>
          <r>
            <rPr>
              <rFont val="Calibri"/>
              <sz val="10"/>
            </rPr>
            <t xml:space="preserve"> 2.5 of 12 — a starting estimate. — Start: 2, the role's accountability scope — what it answers for.; Moved +0.5: the survey / manager mapping marks it business-critical.; Managers and heads: overwrite this rating on the Weightage sheet with the business impact you see — the score updates at once.; Ladder: A2 = Own deliverables feed a team's output and turnaround · A3 = A process or client deliverable depends on this work</t>
          </r>
        </is>
      </c>
      <c r="X14" s="12" t="inlineStr">
        <is>
          <r>
            <rPr>
              <rFont val="Calibri"/>
              <b val="1"/>
              <sz val="10"/>
            </rPr>
            <t>Market level:</t>
          </r>
          <r>
            <rPr>
              <rFont val="Calibri"/>
              <sz val="10"/>
            </rPr>
            <t xml:space="preserve"> P1–P2 · SFIA 2 Assist
</t>
          </r>
          <r>
            <rPr>
              <rFont val="Calibri"/>
              <b val="1"/>
              <sz val="10"/>
            </rPr>
            <t>Typical title:</t>
          </r>
          <r>
            <rPr>
              <rFont val="Calibri"/>
              <sz val="10"/>
            </rPr>
            <t xml:space="preserve"> SDR · entry / SDR / Inside Sales
</t>
          </r>
          <r>
            <rPr>
              <rFont val="Calibri"/>
              <b val="1"/>
              <sz val="10"/>
            </rPr>
            <t>At peers:</t>
          </r>
          <r>
            <rPr>
              <rFont val="Calibri"/>
              <sz val="10"/>
            </rPr>
            <t xml:space="preserve"> IRIS Vs Competitor Benchmark — SaaS sales ladder — IC: SDR / BDR
</t>
          </r>
          <r>
            <rPr>
              <rFont val="Calibri"/>
              <b val="1"/>
              <sz val="10"/>
            </rPr>
            <t>Typical experience:</t>
          </r>
          <r>
            <rPr>
              <rFont val="Calibri"/>
              <sz val="10"/>
            </rPr>
            <t xml:space="preserve"> 0–3 yrs · IRIS guide 0–2
</t>
          </r>
          <r>
            <rPr>
              <rFont val="Calibri"/>
              <b val="1"/>
              <sz val="10"/>
            </rPr>
            <t>Standard:</t>
          </r>
          <r>
            <rPr>
              <rFont val="Calibri"/>
              <sz val="10"/>
            </rPr>
            <t xml:space="preserve"> SaaS sales ladder; MEDDICC-style qualification</t>
          </r>
        </is>
      </c>
      <c r="Y14" s="12" t="inlineStr">
        <is>
          <r>
            <rPr>
              <rFont val="Calibri"/>
              <sz val="10"/>
            </rPr>
            <t xml:space="preserve">✓ HRIS: 1.7 yrs, B.E, 0 direct reports
✓ Survey: 19 of 20 questions answered
✓ KRAs: manager-set, quarterly
✓ Manager mapping: rating, potential, 9-box
✗ Job description: not on file
</t>
          </r>
          <r>
            <rPr>
              <rFont val="Calibri"/>
              <b val="1"/>
              <sz val="10"/>
            </rPr>
            <t>Confidence:</t>
          </r>
          <r>
            <rPr>
              <rFont val="Calibri"/>
              <sz val="10"/>
            </rPr>
            <t xml:space="preserve"> Medium</t>
          </r>
        </is>
      </c>
      <c r="Z14" s="12" t="inlineStr">
        <is>
          <t>—</t>
        </is>
      </c>
      <c r="AA14" s="12" t="inlineStr">
        <is>
          <t>Nothing outstanding</t>
        </is>
      </c>
      <c r="AB14" s="12" t="inlineStr">
        <is>
          <r>
            <rPr>
              <rFont val="Calibri"/>
              <b val="1"/>
              <sz val="10"/>
            </rPr>
            <t>What the role answers for:</t>
          </r>
          <r>
            <rPr>
              <rFont val="Calibri"/>
              <sz val="10"/>
            </rPr>
            <t xml:space="preserve"> Own deliverables · accuracy, TAT.
</t>
          </r>
          <r>
            <rPr>
              <rFont val="Calibri"/>
              <b val="1"/>
              <sz val="10"/>
            </rPr>
            <t>Accountability &amp; Impact rating:</t>
          </r>
          <r>
            <rPr>
              <rFont val="Calibri"/>
              <sz val="10"/>
            </rPr>
            <t xml:space="preserve"> 2 of 12 · A2-level impact.
From the survey and manager mapping — critical role: yes; successor named: no.
</t>
          </r>
          <r>
            <rPr>
              <rFont val="Calibri"/>
              <b val="1"/>
              <sz val="10"/>
            </rPr>
            <t>If the work is missed · role-holders' themes:</t>
          </r>
          <r>
            <rPr>
              <rFont val="Calibri"/>
              <sz val="10"/>
            </rPr>
            <t xml:space="preserve"> business · customer · lead · delays.
</t>
          </r>
          <r>
            <rPr>
              <rFont val="Calibri"/>
              <b val="1"/>
              <sz val="10"/>
            </rPr>
            <t>Measured on · manager-set KRA themes:</t>
          </r>
          <r>
            <rPr>
              <rFont val="Calibri"/>
              <sz val="10"/>
            </rPr>
            <t xml:space="preserve"> ramping quarter · weightage bhr · applications achieve · sales · sell · ratio ramping.
Manager talent mapping — Latest rating: 3 · Potential: Medium · 9-Box Grid placement: Core Contributor.</t>
          </r>
        </is>
      </c>
      <c r="AC14" s="79" t="n"/>
      <c r="AD14" s="79" t="n"/>
      <c r="AE14" s="79" t="n"/>
      <c r="AF14" s="12" t="n">
        <v>2.5</v>
      </c>
    </row>
    <row r="15" ht="379" customHeight="1">
      <c r="A15" s="12" t="inlineStr">
        <is>
          <t>IRISDT0001</t>
        </is>
      </c>
      <c r="B15" s="10" t="inlineStr">
        <is>
          <t>Shilpa Dhobale</t>
        </is>
      </c>
      <c r="C15" s="12" t="inlineStr">
        <is>
          <t>Datatech Business Head</t>
        </is>
      </c>
      <c r="D15" s="12" t="inlineStr">
        <is>
          <t>Business Head - DataTech</t>
        </is>
      </c>
      <c r="E15" s="75" t="inlineStr">
        <is>
          <t>Business Head – DataTech</t>
        </is>
      </c>
      <c r="F15" s="12" t="inlineStr">
        <is>
          <t>Executive Leadership</t>
        </is>
      </c>
      <c r="G15" s="12" t="inlineStr">
        <is>
          <t>Business &amp; Functional Leadership</t>
        </is>
      </c>
      <c r="H15" s="12" t="inlineStr">
        <is>
          <t>People Manager</t>
        </is>
      </c>
      <c r="I15" s="38" t="inlineStr">
        <is>
          <t>L7 – Head / Sr Director</t>
        </is>
      </c>
      <c r="J15" s="28" t="inlineStr">
        <is>
          <t>D2</t>
        </is>
      </c>
      <c r="K15" s="29" t="inlineStr">
        <is>
          <t>Vice President</t>
        </is>
      </c>
      <c r="L15" s="82" t="inlineStr">
        <is>
          <t>▲ Up</t>
        </is>
      </c>
      <c r="M15" s="12" t="inlineStr">
        <is>
          <t>Datatech · Datatech Business Head · Bands D–E · Leadership</t>
        </is>
      </c>
      <c r="N15" s="38" t="n">
        <v>9</v>
      </c>
      <c r="O15" s="38" t="n">
        <v>9</v>
      </c>
      <c r="P15" s="38" t="n">
        <v>9</v>
      </c>
      <c r="Q15" s="38" t="n">
        <v>9</v>
      </c>
      <c r="R15" s="38" t="n">
        <v>4.5</v>
      </c>
      <c r="S15" s="77" t="n">
        <v>9.5</v>
      </c>
      <c r="T15" s="78">
        <f>IF(OR($M15="",COUNT(N15,O15,P15,Q15,R15,S15)&lt;6),"",IFERROR(N15*INDEX(WM_C,MATCH($M15,WM_KEY,0))+O15*INDEX(WM_AU,MATCH($M15,WM_KEY,0))+P15*INDEX(WM_AC,MATCH($M15,WM_KEY,0))+Q15*INDEX(WM_L,MATCH($M15,WM_KEY,0))+R15*INDEX(WM_E,MATCH($M15,WM_KEY,0))+S15*INDEX(WM_BI,MATCH($M15,WM_KEY,0)),""))</f>
        <v>8.815</v>
      </c>
      <c r="U15" s="38" t="str">
        <f>IF(T15="","",INDEX({"A1","A2","A3","B1","B2","B3","C1","C2","D1","D2","E1","E2"},MAX(1,MIN(12,ROUND(T15,0)))))</f>
        <v>D1</v>
      </c>
      <c r="V15" s="12" t="inlineStr">
        <is>
          <r>
            <rPr>
              <rFont val="Calibri"/>
              <sz val="10"/>
            </rPr>
            <t xml:space="preserve">New level D2 · Vice President. Current level on record: L7 – Head / Sr Director. Change: ▲ Up.
Score 8.81 on the ladder scale → indicated level D1.
</t>
          </r>
          <r>
            <rPr>
              <rFont val="Calibri"/>
              <b val="1"/>
              <sz val="10"/>
            </rPr>
            <t>Weights:</t>
          </r>
          <r>
            <rPr>
              <rFont val="Calibri"/>
              <sz val="10"/>
            </rPr>
            <t xml:space="preserve"> Complexity 37% · Leadership 20% · Autonomy 19% · Accountability 11% · Business impact 8% · Experience 5%
</t>
          </r>
          <r>
            <rPr>
              <rFont val="Calibri"/>
              <b val="1"/>
              <sz val="10"/>
            </rPr>
            <t>Why:</t>
          </r>
          <r>
            <rPr>
              <rFont val="Calibri"/>
              <sz val="10"/>
            </rPr>
            <t xml:space="preserve"> leaders are judged on the hardest problems, on leading — 20% — and on the decisions, scope and business impact of the job.
</t>
          </r>
          <r>
            <rPr>
              <rFont val="Calibri"/>
              <b val="1"/>
              <sz val="10"/>
            </rPr>
            <t>Type of work in the department:</t>
          </r>
          <r>
            <rPr>
              <rFont val="Calibri"/>
              <sz val="10"/>
            </rPr>
            <t xml:space="preserve"> no adjustment at this level.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 </t>
          </r>
          <r>
            <rPr>
              <rFont val="Calibri"/>
              <b val="1"/>
              <sz val="10"/>
            </rPr>
            <t>Set at D2 by leadership decision · the model indicated D1:</t>
          </r>
          <r>
            <rPr>
              <rFont val="Calibri"/>
              <sz val="10"/>
            </rPr>
            <t xml:space="preserve"> Leadership structure: Datatech Business Head at D2.
</t>
          </r>
          <r>
            <rPr>
              <rFont val="Calibri"/>
              <b val="1"/>
              <sz val="10"/>
            </rPr>
            <t>Final level:</t>
          </r>
          <r>
            <rPr>
              <rFont val="Calibri"/>
              <sz val="10"/>
            </rPr>
            <t xml:space="preserve"> D2.</t>
          </r>
        </is>
      </c>
      <c r="W15" s="12" t="inlineStr">
        <is>
          <r>
            <rPr>
              <rFont val="Calibri"/>
              <b val="1"/>
              <sz val="10"/>
            </rPr>
            <t>Complexity &amp; Expertise:</t>
          </r>
          <r>
            <rPr>
              <rFont val="Calibri"/>
              <sz val="10"/>
            </rPr>
            <t xml:space="preserve"> 9 of 12 — Start: 9.0 · business head / director title; Evidence: no survey answers or KRAs on file → rating stays at the start
</t>
          </r>
          <r>
            <rPr>
              <rFont val="Calibri"/>
              <b val="1"/>
              <sz val="10"/>
            </rPr>
            <t>Autonomy &amp; Decision:</t>
          </r>
          <r>
            <rPr>
              <rFont val="Calibri"/>
              <sz val="10"/>
            </rPr>
            <t xml:space="preserve"> 9 of 12 — Start: 9.0 · business head / director title; Evidence: no survey answers or KRAs on file → rating stays at the start
</t>
          </r>
          <r>
            <rPr>
              <rFont val="Calibri"/>
              <b val="1"/>
              <sz val="10"/>
            </rPr>
            <t>Accountability &amp; Impact:</t>
          </r>
          <r>
            <rPr>
              <rFont val="Calibri"/>
              <sz val="10"/>
            </rPr>
            <t xml:space="preserve"> 9 of 12 — Start: 9.0 · business head / director title; 9 direct reports, 27 people in the organisation; Evidence: no survey answers or KRAs on file → rating stays at the start
</t>
          </r>
          <r>
            <rPr>
              <rFont val="Calibri"/>
              <b val="1"/>
              <sz val="10"/>
            </rPr>
            <t>Leadership &amp; Strategy:</t>
          </r>
          <r>
            <rPr>
              <rFont val="Calibri"/>
              <sz val="10"/>
            </rPr>
            <t xml:space="preserve"> 9 of 12 — Start: 9.0; Evidence: no survey answers or KRAs on file → rating stays at the start; Team: 9 direct reports · People Manager
</t>
          </r>
          <r>
            <rPr>
              <rFont val="Calibri"/>
              <b val="1"/>
              <sz val="10"/>
            </rPr>
            <t>Experience &amp; Qualification:</t>
          </r>
          <r>
            <rPr>
              <rFont val="Calibri"/>
              <sz val="10"/>
            </rPr>
            <t xml:space="preserve"> 4.5 of 12 · between B1 and B2 — Experience: 3.8 yrs total · 2.0 before IRIS + 1.8 at IRIS = 3.3 on the experience scale; Note: the record looks incomplete, so this is a minimum · HR to confirm; Qualification: CWA · professional, relevant to the work → +1.0
</t>
          </r>
          <r>
            <rPr>
              <rFont val="Calibri"/>
              <b val="1"/>
              <sz val="10"/>
            </rPr>
            <t>Business Impact:</t>
          </r>
          <r>
            <rPr>
              <rFont val="Calibri"/>
              <sz val="10"/>
            </rPr>
            <t xml:space="preserve"> 9.5 of 12 — a starting estimate. — Start: 9, the role's accountability scope — what it answers for.; Moved +0.5: the survey / manager mapping marks it business-critical.; Managers and heads: overwrite this rating on the Weightage sheet with the business impact you see — the score updates at once.; Ladder: D1 = Owns a business line's P&amp;L and growth, or a company-wide function · D2 = Owns the results of several business lines</t>
          </r>
        </is>
      </c>
      <c r="X15" s="12" t="inlineStr">
        <is>
          <r>
            <rPr>
              <rFont val="Calibri"/>
              <b val="1"/>
              <sz val="10"/>
            </rPr>
            <t>Market level:</t>
          </r>
          <r>
            <rPr>
              <rFont val="Calibri"/>
              <sz val="10"/>
            </rPr>
            <t xml:space="preserve"> E3–E4 · SFIA 7 Set strategy
</t>
          </r>
          <r>
            <rPr>
              <rFont val="Calibri"/>
              <b val="1"/>
              <sz val="10"/>
            </rPr>
            <t>Typical title:</t>
          </r>
          <r>
            <rPr>
              <rFont val="Calibri"/>
              <sz val="10"/>
            </rPr>
            <t xml:space="preserve"> Associate Vice President / Business Head
</t>
          </r>
          <r>
            <rPr>
              <rFont val="Calibri"/>
              <b val="1"/>
              <sz val="10"/>
            </rPr>
            <t>At peers:</t>
          </r>
          <r>
            <rPr>
              <rFont val="Calibri"/>
              <sz val="10"/>
            </rPr>
            <t xml:space="preserve"> IRIS Vs Market Benchmark — Aon Radford / Mercer executive codes: E3–E4 SVP · IRIS Vs Competitor Benchmark — regtech / SaaS executive titles: SVP
</t>
          </r>
          <r>
            <rPr>
              <rFont val="Calibri"/>
              <b val="1"/>
              <sz val="10"/>
            </rPr>
            <t>Standard:</t>
          </r>
          <r>
            <rPr>
              <rFont val="Calibri"/>
              <sz val="10"/>
            </rPr>
            <t xml:space="preserve"> Aon Radford executive levels E1–E6; Mercer ET1–ET3</t>
          </r>
        </is>
      </c>
      <c r="Y15" s="12" t="inlineStr">
        <is>
          <r>
            <rPr>
              <rFont val="Calibri"/>
              <sz val="10"/>
            </rPr>
            <t xml:space="preserve">✓ HRIS: 3.8 yrs, CWA, 9 direct reports
✗ Survey: no response
✗ KRAs: none on file
✓ Manager mapping: rating, 9-box
✗ Job description: not on file
✓ Validated inputs: Approved level: D1 → D2 · Leadership structure: Datatech Business Head at D2 · Leadership decision · HR review of 9 Oct 2026 · 2026-10-09
</t>
          </r>
          <r>
            <rPr>
              <rFont val="Calibri"/>
              <b val="1"/>
              <sz val="10"/>
            </rPr>
            <t>Confidence:</t>
          </r>
          <r>
            <rPr>
              <rFont val="Calibri"/>
              <sz val="10"/>
            </rPr>
            <t xml:space="preserve"> Low</t>
          </r>
        </is>
      </c>
      <c r="Z15" s="81" t="inlineStr">
        <is>
          <r>
            <rPr>
              <rFont val="Calibri"/>
              <color rgb="009C5700"/>
              <sz val="10"/>
            </rPr>
            <t xml:space="preserve">• </t>
          </r>
          <r>
            <rPr>
              <rFont val="Calibri"/>
              <b val="1"/>
              <color rgb="009C5700"/>
              <sz val="10"/>
            </rPr>
            <t>Title check:</t>
          </r>
          <r>
            <rPr>
              <rFont val="Calibri"/>
              <color rgb="009C5700"/>
              <sz val="10"/>
            </rPr>
            <t xml:space="preserve"> Check title against ladder</t>
          </r>
        </is>
      </c>
      <c r="AA15" s="84" t="inlineStr">
        <is>
          <t>• Survey response or KRAs describing the work · nothing on file — Employee + manager
• Correct the experience record — HR</t>
        </is>
      </c>
      <c r="AB15" s="12" t="inlineStr">
        <is>
          <r>
            <rPr>
              <rFont val="Calibri"/>
              <b val="1"/>
              <sz val="10"/>
            </rPr>
            <t>What the role answers for:</t>
          </r>
          <r>
            <rPr>
              <rFont val="Calibri"/>
              <sz val="10"/>
            </rPr>
            <t xml:space="preserve"> Multi-business results.
</t>
          </r>
          <r>
            <rPr>
              <rFont val="Calibri"/>
              <b val="1"/>
              <sz val="10"/>
            </rPr>
            <t>Accountability &amp; Impact rating:</t>
          </r>
          <r>
            <rPr>
              <rFont val="Calibri"/>
              <sz val="10"/>
            </rPr>
            <t xml:space="preserve"> 9 of 12 · D1-level impact.
Leads 9 direct reports.
From the survey and manager mapping — critical role: yes; successor named: no.
Manager talent mapping — Latest rating: 3 · 9-Box Grid placement: Future Leader.</t>
          </r>
        </is>
      </c>
      <c r="AC15" s="79" t="n"/>
      <c r="AD15" s="79" t="n"/>
      <c r="AE15" s="79" t="n"/>
      <c r="AF15" s="12" t="n">
        <v>9.5</v>
      </c>
    </row>
    <row r="16" ht="379" customHeight="1">
      <c r="A16" s="12" t="inlineStr">
        <is>
          <t>IRISDT0009</t>
        </is>
      </c>
      <c r="B16" s="10" t="inlineStr">
        <is>
          <t>Ankita Pathak</t>
        </is>
      </c>
      <c r="C16" s="12" t="inlineStr">
        <is>
          <t>Marketing</t>
        </is>
      </c>
      <c r="D16" s="12" t="inlineStr">
        <is>
          <t>Manager Marketing</t>
        </is>
      </c>
      <c r="E16" s="75" t="inlineStr">
        <is>
          <t>Marketing Specialist – POD Lead</t>
        </is>
      </c>
      <c r="F16" s="12" t="inlineStr">
        <is>
          <t>Marketing &amp; Communications</t>
        </is>
      </c>
      <c r="G16" s="12" t="inlineStr">
        <is>
          <t>Marketing Leadership</t>
        </is>
      </c>
      <c r="H16" s="12" t="inlineStr">
        <is>
          <t>POD Lead</t>
        </is>
      </c>
      <c r="I16" s="38" t="inlineStr">
        <is>
          <t>L5 – Manager</t>
        </is>
      </c>
      <c r="J16" s="20" t="inlineStr">
        <is>
          <t>B2</t>
        </is>
      </c>
      <c r="K16" s="21" t="inlineStr">
        <is>
          <t>Senior Specialist · POD Lead</t>
        </is>
      </c>
      <c r="L16" s="80" t="inlineStr">
        <is>
          <t>▼ Down · pay &amp; title protected</t>
        </is>
      </c>
      <c r="M16" s="12" t="inlineStr">
        <is>
          <t>Datatech · Marketing · Band B · Expert / POD Lead</t>
        </is>
      </c>
      <c r="N16" s="38" t="n">
        <v>5</v>
      </c>
      <c r="O16" s="38" t="n">
        <v>4.5</v>
      </c>
      <c r="P16" s="38" t="n">
        <v>4</v>
      </c>
      <c r="Q16" s="38" t="n">
        <v>4</v>
      </c>
      <c r="R16" s="38" t="n">
        <v>4.5</v>
      </c>
      <c r="S16" s="77" t="n">
        <v>4.5</v>
      </c>
      <c r="T16" s="78">
        <f>IF(OR($M16="",COUNT(N16,O16,P16,Q16,R16,S16)&lt;6),"",IFERROR(N16*INDEX(WM_C,MATCH($M16,WM_KEY,0))+O16*INDEX(WM_AU,MATCH($M16,WM_KEY,0))+P16*INDEX(WM_AC,MATCH($M16,WM_KEY,0))+Q16*INDEX(WM_L,MATCH($M16,WM_KEY,0))+R16*INDEX(WM_E,MATCH($M16,WM_KEY,0))+S16*INDEX(WM_BI,MATCH($M16,WM_KEY,0)),""))</f>
        <v>4.68</v>
      </c>
      <c r="U16" s="38" t="str">
        <f>IF(T16="","",INDEX({"A1","A2","A3","B1","B2","B3","C1","C2","D1","D2","E1","E2"},MAX(1,MIN(12,ROUND(T16,0)))))</f>
        <v>B2</v>
      </c>
      <c r="V16" s="12" t="inlineStr">
        <is>
          <r>
            <rPr>
              <rFont val="Calibri"/>
              <sz val="10"/>
            </rPr>
            <t xml:space="preserve">New level B2 · Senior Specialist · POD Lead. Current level on record: L5 – Manager. Change: ▼ Down · pay &amp; title protected.
Score 4.68 on the ladder scale → indicated level B2.
</t>
          </r>
          <r>
            <rPr>
              <rFont val="Calibri"/>
              <b val="1"/>
              <sz val="10"/>
            </rPr>
            <t>Weights:</t>
          </r>
          <r>
            <rPr>
              <rFont val="Calibri"/>
              <sz val="10"/>
            </rPr>
            <t xml:space="preserve"> Complexity 46% · Autonomy 22% · Business impact 12% · Experience 10% · Accountability 5% · Leadership 5%
</t>
          </r>
          <r>
            <rPr>
              <rFont val="Calibri"/>
              <b val="1"/>
              <sz val="10"/>
            </rPr>
            <t>Why:</t>
          </r>
          <r>
            <rPr>
              <rFont val="Calibri"/>
              <sz val="10"/>
            </rPr>
            <t xml:space="preserve"> specialists are judged mainly on depth of expertise, then on what they decide alone, what they answer for and their impact.
</t>
          </r>
          <r>
            <rPr>
              <rFont val="Calibri"/>
              <b val="1"/>
              <sz val="10"/>
            </rPr>
            <t>Type of work in the department:</t>
          </r>
          <r>
            <rPr>
              <rFont val="Calibri"/>
              <sz val="10"/>
            </rPr>
            <t xml:space="preserve"> sales and marketing are judged on pipeline and revenue, so Business Impact +5, Autonomy +5,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
</t>
          </r>
          <r>
            <rPr>
              <rFont val="Calibri"/>
              <b val="1"/>
              <sz val="10"/>
            </rPr>
            <t>The new level is below the current one:</t>
          </r>
          <r>
            <rPr>
              <rFont val="Calibri"/>
              <sz val="10"/>
            </rPr>
            <t xml:space="preserve"> pay and title are protected for one cycle, with a review date.</t>
          </r>
        </is>
      </c>
      <c r="W16" s="12" t="inlineStr">
        <is>
          <r>
            <rPr>
              <rFont val="Calibri"/>
              <b val="1"/>
              <sz val="10"/>
            </rPr>
            <t>Complexity &amp; Expertise:</t>
          </r>
          <r>
            <rPr>
              <rFont val="Calibri"/>
              <sz val="10"/>
            </rPr>
            <t xml:space="preserve"> 5 of 12 — Start: 5.0 · manager / senior specialist title; Evidence reads like B2: Builds MSME marketing from scratch: strategy, performance marketing, ASO, ORM, engagement journeys, analytics → matches the start
</t>
          </r>
          <r>
            <rPr>
              <rFont val="Calibri"/>
              <b val="1"/>
              <sz val="10"/>
            </rPr>
            <t>Autonomy &amp; Decision:</t>
          </r>
          <r>
            <rPr>
              <rFont val="Calibri"/>
              <sz val="10"/>
            </rPr>
            <t xml:space="preserve"> 4.5 of 12 · between B1 and B2 — Start: 5.0 · manager / senior specialist title; Evidence reads like B1: Decides campaigns and the content calendar; prioritises experiments for a small team → moved down 0.5
</t>
          </r>
          <r>
            <rPr>
              <rFont val="Calibri"/>
              <b val="1"/>
              <sz val="10"/>
            </rPr>
            <t>Accountability &amp; Impact:</t>
          </r>
          <r>
            <rPr>
              <rFont val="Calibri"/>
              <sz val="10"/>
            </rPr>
            <t xml:space="preserve"> 4 of 12 — Start: 4.5 · manager / senior specialist title; 3 direct reports; Evidence reads like B1: Marketing strategy execution, user acquisition and engagement for IRIS MSME; three-person team → moved down 0.5
</t>
          </r>
          <r>
            <rPr>
              <rFont val="Calibri"/>
              <b val="1"/>
              <sz val="10"/>
            </rPr>
            <t>Leadership &amp; Strategy:</t>
          </r>
          <r>
            <rPr>
              <rFont val="Calibri"/>
              <sz val="10"/>
            </rPr>
            <t xml:space="preserve"> 4 of 12 — Start: 4.0; Evidence reads like B1: 3 direct reports · HR; builds the function's processes; people management not described → matches the start; Team: 3 direct reports · POD Lead
</t>
          </r>
          <r>
            <rPr>
              <rFont val="Calibri"/>
              <b val="1"/>
              <sz val="10"/>
            </rPr>
            <t>Experience &amp; Qualification:</t>
          </r>
          <r>
            <rPr>
              <rFont val="Calibri"/>
              <sz val="10"/>
            </rPr>
            <t xml:space="preserve"> 4.5 of 12 · between B1 and B2 — Experience: 5.7 yrs total · 4.6 before IRIS + 1.1 at IRIS = 4.1 on the experience scale; Qualification: PGDBM · postgraduate, relevant to the work → +0.5
</t>
          </r>
          <r>
            <rPr>
              <rFont val="Calibri"/>
              <b val="1"/>
              <sz val="10"/>
            </rPr>
            <t>Business Impact:</t>
          </r>
          <r>
            <rPr>
              <rFont val="Calibri"/>
              <sz val="10"/>
            </rPr>
            <t xml:space="preserve"> 4.5 of 12 — a starting estimate. — Start: 4, the role's accountability scope — what it answers for.; Moved +0.5: the survey / manager mapping marks it business-critical.; Managers and heads: overwrite this rating on the Weightage sheet with the business impact you see — the score updates at once.; Ladder: B1 = Moves a module's, product area's or client account's results · B2 = Visible effect on a team's or client portfolio's revenue, quality or compliance</t>
          </r>
        </is>
      </c>
      <c r="X16" s="12" t="inlineStr">
        <is>
          <r>
            <rPr>
              <rFont val="Calibri"/>
              <b val="1"/>
              <sz val="10"/>
            </rPr>
            <t>Market level:</t>
          </r>
          <r>
            <rPr>
              <rFont val="Calibri"/>
              <sz val="10"/>
            </rPr>
            <t xml:space="preserve"> P4 / M3 · SFIA 4–5
</t>
          </r>
          <r>
            <rPr>
              <rFont val="Calibri"/>
              <b val="1"/>
              <sz val="10"/>
            </rPr>
            <t>Typical title:</t>
          </r>
          <r>
            <rPr>
              <rFont val="Calibri"/>
              <sz val="10"/>
            </rPr>
            <t xml:space="preserve"> Senior Executive / Specialist
</t>
          </r>
          <r>
            <rPr>
              <rFont val="Calibri"/>
              <b val="1"/>
              <sz val="10"/>
            </rPr>
            <t>At peers:</t>
          </r>
          <r>
            <rPr>
              <rFont val="Calibri"/>
              <sz val="10"/>
            </rPr>
            <t xml:space="preserve"> IRIS Vs Market Benchmark — CIM proficiency scale: 3–4 · IRIS Vs Competitor Benchmark — SaaS marketing ladder: Marketing Manager
</t>
          </r>
          <r>
            <rPr>
              <rFont val="Calibri"/>
              <b val="1"/>
              <sz val="10"/>
            </rPr>
            <t>Typical experience:</t>
          </r>
          <r>
            <rPr>
              <rFont val="Calibri"/>
              <sz val="10"/>
            </rPr>
            <t xml:space="preserve"> 6–10 yrs · IRIS guide 6–9
</t>
          </r>
          <r>
            <rPr>
              <rFont val="Calibri"/>
              <b val="1"/>
              <sz val="10"/>
            </rPr>
            <t>Standard:</t>
          </r>
          <r>
            <rPr>
              <rFont val="Calibri"/>
              <sz val="10"/>
            </rPr>
            <t xml:space="preserve"> CIM Global Professional Marketing Framework — proficiency Aware → Active learner → Able → Accomplished → Authoritative</t>
          </r>
        </is>
      </c>
      <c r="Y16" s="12" t="inlineStr">
        <is>
          <r>
            <rPr>
              <rFont val="Calibri"/>
              <sz val="10"/>
            </rPr>
            <t xml:space="preserve">✓ HRIS: 5.7 yrs, PGDBM, 3 direct reports
✓ Survey: 20 of 20 questions answered
✗ KRAs: none on file
✓ Manager mapping: rating, 9-box
✗ Job description: not on file
</t>
          </r>
          <r>
            <rPr>
              <rFont val="Calibri"/>
              <b val="1"/>
              <sz val="10"/>
            </rPr>
            <t>Confidence:</t>
          </r>
          <r>
            <rPr>
              <rFont val="Calibri"/>
              <sz val="10"/>
            </rPr>
            <t xml:space="preserve"> Medium</t>
          </r>
        </is>
      </c>
      <c r="Z16" s="81" t="inlineStr">
        <is>
          <r>
            <rPr>
              <rFont val="Calibri"/>
              <color rgb="009C5700"/>
              <sz val="10"/>
            </rPr>
            <t xml:space="preserve">• </t>
          </r>
          <r>
            <rPr>
              <rFont val="Calibri"/>
              <b val="1"/>
              <color rgb="009C5700"/>
              <sz val="10"/>
            </rPr>
            <t>Moves down:</t>
          </r>
          <r>
            <rPr>
              <rFont val="Calibri"/>
              <color rgb="009C5700"/>
              <sz val="10"/>
            </rPr>
            <t xml:space="preserve"> protected for one cycle
• </t>
          </r>
          <r>
            <rPr>
              <rFont val="Calibri"/>
              <b val="1"/>
              <color rgb="009C5700"/>
              <sz val="10"/>
            </rPr>
            <t>Title check:</t>
          </r>
          <r>
            <rPr>
              <rFont val="Calibri"/>
              <color rgb="009C5700"/>
              <sz val="10"/>
            </rPr>
            <t xml:space="preserve"> Check title against ladder</t>
          </r>
        </is>
      </c>
      <c r="AA16" s="12" t="inlineStr">
        <is>
          <t>Nothing outstanding</t>
        </is>
      </c>
      <c r="AB16" s="12" t="inlineStr">
        <is>
          <r>
            <rPr>
              <rFont val="Calibri"/>
              <b val="1"/>
              <sz val="10"/>
            </rPr>
            <t>What the role answers for:</t>
          </r>
          <r>
            <rPr>
              <rFont val="Calibri"/>
              <sz val="10"/>
            </rPr>
            <t xml:space="preserve"> One team or a client portfolio.
</t>
          </r>
          <r>
            <rPr>
              <rFont val="Calibri"/>
              <b val="1"/>
              <sz val="10"/>
            </rPr>
            <t>Accountability &amp; Impact rating:</t>
          </r>
          <r>
            <rPr>
              <rFont val="Calibri"/>
              <sz val="10"/>
            </rPr>
            <t xml:space="preserve"> 4 of 12 · B1-level impact.
Leads 3 direct reports.
From the survey and manager mapping — critical role: yes; successor named: no.
Manager talent mapping — Latest rating: 3 · 9-Box Grid placement: High Impact / Growth Talent.</t>
          </r>
        </is>
      </c>
      <c r="AC16" s="79" t="n"/>
      <c r="AD16" s="79" t="n"/>
      <c r="AE16" s="79" t="n"/>
      <c r="AF16" s="12" t="n">
        <v>4.5</v>
      </c>
    </row>
    <row r="17" ht="379" customHeight="1">
      <c r="A17" s="12" t="inlineStr">
        <is>
          <t>IRISDTC001</t>
        </is>
      </c>
      <c r="B17" s="10" t="inlineStr">
        <is>
          <t>Lalit Subhash Dhamale</t>
        </is>
      </c>
      <c r="C17" s="12" t="inlineStr">
        <is>
          <t>Marketing</t>
        </is>
      </c>
      <c r="D17" s="12" t="inlineStr">
        <is>
          <t>Social Media &amp; ORM Specialist</t>
        </is>
      </c>
      <c r="E17" s="75" t="inlineStr">
        <is>
          <t>Senior Digital Marketing Associate</t>
        </is>
      </c>
      <c r="F17" s="12" t="inlineStr">
        <is>
          <t>Marketing &amp; Communications</t>
        </is>
      </c>
      <c r="G17" s="12" t="inlineStr">
        <is>
          <t>Digital Marketing, Web &amp; Social</t>
        </is>
      </c>
      <c r="H17" s="12" t="inlineStr">
        <is>
          <t>IC</t>
        </is>
      </c>
      <c r="I17" s="38" t="inlineStr">
        <is>
          <t>Not in current mapping files</t>
        </is>
      </c>
      <c r="J17" s="16" t="inlineStr">
        <is>
          <t>A3</t>
        </is>
      </c>
      <c r="K17" s="17" t="inlineStr">
        <is>
          <t>Senior Associate</t>
        </is>
      </c>
      <c r="L17" s="83" t="inlineStr">
        <is>
          <t>● Newly mapped</t>
        </is>
      </c>
      <c r="M17" s="12" t="inlineStr">
        <is>
          <t>Datatech · Marketing · Band A · Early career</t>
        </is>
      </c>
      <c r="N17" s="38" t="n">
        <v>3</v>
      </c>
      <c r="O17" s="38" t="n">
        <v>3</v>
      </c>
      <c r="P17" s="38" t="n">
        <v>3</v>
      </c>
      <c r="Q17" s="38" t="n">
        <v>2</v>
      </c>
      <c r="R17" s="38" t="n">
        <v>2.5</v>
      </c>
      <c r="S17" s="77" t="n">
        <v>3</v>
      </c>
      <c r="T17" s="78">
        <f>IF(OR($M17="",COUNT(N17,O17,P17,Q17,R17,S17)&lt;6),"",IFERROR(N17*INDEX(WM_C,MATCH($M17,WM_KEY,0))+O17*INDEX(WM_AU,MATCH($M17,WM_KEY,0))+P17*INDEX(WM_AC,MATCH($M17,WM_KEY,0))+Q17*INDEX(WM_L,MATCH($M17,WM_KEY,0))+R17*INDEX(WM_E,MATCH($M17,WM_KEY,0))+S17*INDEX(WM_BI,MATCH($M17,WM_KEY,0)),""))</f>
        <v>2.95</v>
      </c>
      <c r="U17" s="38" t="str">
        <f>IF(T17="","",INDEX({"A1","A2","A3","B1","B2","B3","C1","C2","D1","D2","E1","E2"},MAX(1,MIN(12,ROUND(T17,0)))))</f>
        <v>A3</v>
      </c>
      <c r="V17" s="12" t="inlineStr">
        <is>
          <r>
            <rPr>
              <rFont val="Calibri"/>
              <sz val="10"/>
            </rPr>
            <t xml:space="preserve">New level A3 · Senior Associate. Current level on record: Not in current mapping files. Change: ● Newly mapped.
Score 2.95 on the ladder scale → indicated level A3.
</t>
          </r>
          <r>
            <rPr>
              <rFont val="Calibri"/>
              <b val="1"/>
              <sz val="10"/>
            </rPr>
            <t>Weights:</t>
          </r>
          <r>
            <rPr>
              <rFont val="Calibri"/>
              <sz val="10"/>
            </rPr>
            <t xml:space="preserve"> Complexity 54% · Autonomy 21% · Business impact 11% · Experience 10%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sales and marketing are judged on pipeline and revenue, so Business Impact +5, Autonomy +5,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17" s="12" t="inlineStr">
        <is>
          <r>
            <rPr>
              <rFont val="Calibri"/>
              <b val="1"/>
              <sz val="10"/>
            </rPr>
            <t>Complexity &amp; Expertise:</t>
          </r>
          <r>
            <rPr>
              <rFont val="Calibri"/>
              <sz val="10"/>
            </rPr>
            <t xml:space="preserve"> 3 of 12 — Start: 4.0 · lead / specialist title; Evidence reads like A2: Creates social posts and reels, researches trends, tracks followers, reach and engagement for two brands → moved down 1
</t>
          </r>
          <r>
            <rPr>
              <rFont val="Calibri"/>
              <b val="1"/>
              <sz val="10"/>
            </rPr>
            <t>Autonomy &amp; Decision:</t>
          </r>
          <r>
            <rPr>
              <rFont val="Calibri"/>
              <sz val="10"/>
            </rPr>
            <t xml:space="preserve"> 3 of 12 — Start: 4.0 · lead / specialist title; Evidence reads like A1: States that decisions need approval → moved down 1
</t>
          </r>
          <r>
            <rPr>
              <rFont val="Calibri"/>
              <b val="1"/>
              <sz val="10"/>
            </rPr>
            <t>Accountability &amp; Impact:</t>
          </r>
          <r>
            <rPr>
              <rFont val="Calibri"/>
              <sz val="10"/>
            </rPr>
            <t xml:space="preserve"> 3 of 12 — Start: 4.0 · lead / specialist title; Evidence reads like A2: Accountable for social media posting and scheduling; errors are wrong captions or hashtags → moved down 1
</t>
          </r>
          <r>
            <rPr>
              <rFont val="Calibri"/>
              <b val="1"/>
              <sz val="10"/>
            </rPr>
            <t>Leadership &amp; Strategy:</t>
          </r>
          <r>
            <rPr>
              <rFont val="Calibri"/>
              <sz val="10"/>
            </rPr>
            <t xml:space="preserve"> 2 of 12 — not counted: the weight is 0% at this level — Start: 3.0 · individual contributor, so influence only; Evidence reads like A1: No guidance or leadership of others described → moved down 1; Team: 0 direct reports · IC
</t>
          </r>
          <r>
            <rPr>
              <rFont val="Calibri"/>
              <b val="1"/>
              <sz val="10"/>
            </rPr>
            <t>Experience &amp; Qualification:</t>
          </r>
          <r>
            <rPr>
              <rFont val="Calibri"/>
              <sz val="10"/>
            </rPr>
            <t xml:space="preserve"> 2.5 of 12 · between A2 and A3 — Experience: 2.9 yrs total · 2.6 before IRIS + 0.3 at IRIS = 3.0 on the experience scale; Qualification: Diploma in Chemical Engineering · below graduate → −0.5
</t>
          </r>
          <r>
            <rPr>
              <rFont val="Calibri"/>
              <b val="1"/>
              <sz val="10"/>
            </rPr>
            <t>Business Impact:</t>
          </r>
          <r>
            <rPr>
              <rFont val="Calibri"/>
              <sz val="10"/>
            </rPr>
            <t xml:space="preserve"> 3 of 12 — a starting estimate. — Start: 3, the role's accountability scope — what it answers for.; No survey or manager-mapping signal on criticality: kept at the start point.; Managers and heads: overwrite this rating on the Weightage sheet with the business impact you see — the score updates at once.; Ladder: A3 = A process or client deliverable depends on this work</t>
          </r>
        </is>
      </c>
      <c r="X17" s="12" t="inlineStr">
        <is>
          <r>
            <rPr>
              <rFont val="Calibri"/>
              <b val="1"/>
              <sz val="10"/>
            </rPr>
            <t>Market level:</t>
          </r>
          <r>
            <rPr>
              <rFont val="Calibri"/>
              <sz val="10"/>
            </rPr>
            <t xml:space="preserve"> P2 · SFIA 3 Apply
</t>
          </r>
          <r>
            <rPr>
              <rFont val="Calibri"/>
              <b val="1"/>
              <sz val="10"/>
            </rPr>
            <t>Typical title:</t>
          </r>
          <r>
            <rPr>
              <rFont val="Calibri"/>
              <sz val="10"/>
            </rPr>
            <t xml:space="preserve"> Marketing Executive
</t>
          </r>
          <r>
            <rPr>
              <rFont val="Calibri"/>
              <b val="1"/>
              <sz val="10"/>
            </rPr>
            <t>At peers:</t>
          </r>
          <r>
            <rPr>
              <rFont val="Calibri"/>
              <sz val="10"/>
            </rPr>
            <t xml:space="preserve"> IRIS Vs Market Benchmark — CIM proficiency scale: 2–3 · IRIS Vs Competitor Benchmark — SaaS marketing ladder: Marketing Specialist
</t>
          </r>
          <r>
            <rPr>
              <rFont val="Calibri"/>
              <b val="1"/>
              <sz val="10"/>
            </rPr>
            <t>Typical experience:</t>
          </r>
          <r>
            <rPr>
              <rFont val="Calibri"/>
              <sz val="10"/>
            </rPr>
            <t xml:space="preserve"> 2–5 yrs · IRIS guide 2–4
</t>
          </r>
          <r>
            <rPr>
              <rFont val="Calibri"/>
              <b val="1"/>
              <sz val="10"/>
            </rPr>
            <t>Standard:</t>
          </r>
          <r>
            <rPr>
              <rFont val="Calibri"/>
              <sz val="10"/>
            </rPr>
            <t xml:space="preserve"> CIM Global Professional Marketing Framework — proficiency Aware → Active learner → Able → Accomplished → Authoritative</t>
          </r>
        </is>
      </c>
      <c r="Y17" s="12" t="inlineStr">
        <is>
          <r>
            <rPr>
              <rFont val="Calibri"/>
              <sz val="10"/>
            </rPr>
            <t xml:space="preserve">✓ HRIS: 2.9 yrs, Diploma in Chemical Engineering, 0 direct reports
✓ Survey: 20 of 20 questions answered
✗ KRAs: none on file
✓ Manager mapping: rating, potential, 9-box
✗ Job description: not on file
</t>
          </r>
          <r>
            <rPr>
              <rFont val="Calibri"/>
              <b val="1"/>
              <sz val="10"/>
            </rPr>
            <t>Confidence:</t>
          </r>
          <r>
            <rPr>
              <rFont val="Calibri"/>
              <sz val="10"/>
            </rPr>
            <t xml:space="preserve"> High</t>
          </r>
        </is>
      </c>
      <c r="Z17" s="12" t="inlineStr">
        <is>
          <t>—</t>
        </is>
      </c>
      <c r="AA17" s="12" t="inlineStr">
        <is>
          <t>Nothing outstanding</t>
        </is>
      </c>
      <c r="AB17"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3 of 12 · A3-level impact.
Manager talent mapping — Latest rating: 4 · Potential: High · 9-Box Grid placement: Reliable Specialist.</t>
          </r>
        </is>
      </c>
      <c r="AC17" s="79" t="n"/>
      <c r="AD17" s="79" t="n"/>
      <c r="AE17" s="79" t="n"/>
      <c r="AF17" s="12" t="n">
        <v>3</v>
      </c>
    </row>
    <row r="18" ht="379" customHeight="1">
      <c r="A18" s="12" t="inlineStr">
        <is>
          <t>IRISDT0007</t>
        </is>
      </c>
      <c r="B18" s="10" t="inlineStr">
        <is>
          <t>Vasundhara Lella</t>
        </is>
      </c>
      <c r="C18" s="12" t="inlineStr">
        <is>
          <t>Marketing</t>
        </is>
      </c>
      <c r="D18" s="12" t="inlineStr">
        <is>
          <t>Content Marketer</t>
        </is>
      </c>
      <c r="E18" s="75" t="inlineStr">
        <is>
          <t>Senior Content Marketing Associate</t>
        </is>
      </c>
      <c r="F18" s="12" t="inlineStr">
        <is>
          <t>Marketing &amp; Communications</t>
        </is>
      </c>
      <c r="G18" s="12" t="inlineStr">
        <is>
          <t>Content Marketing</t>
        </is>
      </c>
      <c r="H18" s="12" t="inlineStr">
        <is>
          <t>IC</t>
        </is>
      </c>
      <c r="I18" s="38" t="inlineStr">
        <is>
          <t>L3 – Professional / Associate</t>
        </is>
      </c>
      <c r="J18" s="16" t="inlineStr">
        <is>
          <t>A3</t>
        </is>
      </c>
      <c r="K18" s="17" t="inlineStr">
        <is>
          <t>Senior Associate</t>
        </is>
      </c>
      <c r="L18" s="82" t="inlineStr">
        <is>
          <t>▲ Up</t>
        </is>
      </c>
      <c r="M18" s="12" t="inlineStr">
        <is>
          <t>Datatech · Marketing · Band A · Early career</t>
        </is>
      </c>
      <c r="N18" s="38" t="n">
        <v>2</v>
      </c>
      <c r="O18" s="38" t="n">
        <v>2</v>
      </c>
      <c r="P18" s="38" t="n">
        <v>2</v>
      </c>
      <c r="Q18" s="38" t="n">
        <v>1</v>
      </c>
      <c r="R18" s="38" t="n">
        <v>3.5</v>
      </c>
      <c r="S18" s="77" t="n">
        <v>2.5</v>
      </c>
      <c r="T18" s="78">
        <f>IF(OR($M18="",COUNT(N18,O18,P18,Q18,R18,S18)&lt;6),"",IFERROR(N18*INDEX(WM_C,MATCH($M18,WM_KEY,0))+O18*INDEX(WM_AU,MATCH($M18,WM_KEY,0))+P18*INDEX(WM_AC,MATCH($M18,WM_KEY,0))+Q18*INDEX(WM_L,MATCH($M18,WM_KEY,0))+R18*INDEX(WM_E,MATCH($M18,WM_KEY,0))+S18*INDEX(WM_BI,MATCH($M18,WM_KEY,0)),""))</f>
        <v>2.205</v>
      </c>
      <c r="U18" s="38" t="str">
        <f>IF(T18="","",INDEX({"A1","A2","A3","B1","B2","B3","C1","C2","D1","D2","E1","E2"},MAX(1,MIN(12,ROUND(T18,0)))))</f>
        <v>A2</v>
      </c>
      <c r="V18" s="12" t="inlineStr">
        <is>
          <r>
            <rPr>
              <rFont val="Calibri"/>
              <sz val="10"/>
            </rPr>
            <t xml:space="preserve">New level A3 · Senior Associate. Current level on record: L3 – Professional / Associate. Change: ▲ Up.
Score 2.21 on the ladder scale → indicated level A2.
</t>
          </r>
          <r>
            <rPr>
              <rFont val="Calibri"/>
              <b val="1"/>
              <sz val="10"/>
            </rPr>
            <t>Weights:</t>
          </r>
          <r>
            <rPr>
              <rFont val="Calibri"/>
              <sz val="10"/>
            </rPr>
            <t xml:space="preserve"> Complexity 54% · Autonomy 21% · Business impact 11% · Experience 10%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sales and marketing are judged on pipeline and revenue, so Business Impact +5, Autonomy +5,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 </t>
          </r>
          <r>
            <rPr>
              <rFont val="Calibri"/>
              <b val="1"/>
              <sz val="10"/>
            </rPr>
            <t>Raised to A3:</t>
          </r>
          <r>
            <rPr>
              <rFont val="Calibri"/>
              <sz val="10"/>
            </rPr>
            <t xml:space="preserve"> 4.3 years' experience is 2 years or more.
</t>
          </r>
          <r>
            <rPr>
              <rFont val="Calibri"/>
              <b val="1"/>
              <sz val="10"/>
            </rPr>
            <t>Final level:</t>
          </r>
          <r>
            <rPr>
              <rFont val="Calibri"/>
              <sz val="10"/>
            </rPr>
            <t xml:space="preserve"> A3.</t>
          </r>
        </is>
      </c>
      <c r="W18" s="12" t="inlineStr">
        <is>
          <r>
            <rPr>
              <rFont val="Calibri"/>
              <b val="1"/>
              <sz val="10"/>
            </rPr>
            <t>Complexity &amp; Expertise:</t>
          </r>
          <r>
            <rPr>
              <rFont val="Calibri"/>
              <sz val="10"/>
            </rPr>
            <t xml:space="preserve"> 2 of 12 — Start: 2.0 · practitioner title; Evidence reads like A2: Writes blogs, social and webinar content; tracks traffic in Semrush; newsletter and GST calendar → matches the start; KRA: “a. Organic Traffic Growth - 30% b. Organic Keyword Growth - 50% c. AI visibility improved by 10 points d. Blogs published - 2 blogs a week…”
</t>
          </r>
          <r>
            <rPr>
              <rFont val="Calibri"/>
              <b val="1"/>
              <sz val="10"/>
            </rPr>
            <t>Autonomy &amp; Decision:</t>
          </r>
          <r>
            <rPr>
              <rFont val="Calibri"/>
              <sz val="10"/>
            </rPr>
            <t xml:space="preserve"> 2 of 12 — Start: 2.0 · practitioner title; Evidence reads like A2: States she needs approvals; drafts the monthly content plan and reworks posts herself → matches the start
</t>
          </r>
          <r>
            <rPr>
              <rFont val="Calibri"/>
              <b val="1"/>
              <sz val="10"/>
            </rPr>
            <t>Accountability &amp; Impact:</t>
          </r>
          <r>
            <rPr>
              <rFont val="Calibri"/>
              <sz val="10"/>
            </rPr>
            <t xml:space="preserve"> 2 of 12 — Start: 2.0 · practitioner title; Evidence reads like A2: own survey / KRA answers · summarised by the rater; not quoted → matches the start; KRA: “a. Organic Traffic Growth - 30% b. Organic Keyword Growth - 50% c. AI visibility improved by 10 points d. Blogs published - 2 blogs a week…”
</t>
          </r>
          <r>
            <rPr>
              <rFont val="Calibri"/>
              <b val="1"/>
              <sz val="10"/>
            </rPr>
            <t>Leadership &amp; Strategy:</t>
          </r>
          <r>
            <rPr>
              <rFont val="Calibri"/>
              <sz val="10"/>
            </rPr>
            <t xml:space="preserve"> 1 of 12 — not counted: the weight is 0% at this level — Start: 1.0 · individual contributor, so influence only; Evidence reads like A1: No guiding or leading of others described → matches the start; Team: 0 direct reports · IC
</t>
          </r>
          <r>
            <rPr>
              <rFont val="Calibri"/>
              <b val="1"/>
              <sz val="10"/>
            </rPr>
            <t>Experience &amp; Qualification:</t>
          </r>
          <r>
            <rPr>
              <rFont val="Calibri"/>
              <sz val="10"/>
            </rPr>
            <t xml:space="preserve"> 3.5 of 12 · between A3 and B1 — Experience: 4.3 yrs total · 3.2 before IRIS + 1.1 at IRIS = 3.5 on the experience scale; Qualification: B.Tech · graduate → no change
</t>
          </r>
          <r>
            <rPr>
              <rFont val="Calibri"/>
              <b val="1"/>
              <sz val="10"/>
            </rPr>
            <t>Business Impact:</t>
          </r>
          <r>
            <rPr>
              <rFont val="Calibri"/>
              <sz val="10"/>
            </rPr>
            <t xml:space="preserve"> 2.5 of 12 — a starting estimate. — Start: 2, the role's accountability scope — what it answers for.; Moved +0.5: the survey / manager mapping marks it business-critical.; Managers and heads: overwrite this rating on the Weightage sheet with the business impact you see — the score updates at once.; Ladder: A2 = Own deliverables feed a team's output and turnaround · A3 = A process or client deliverable depends on this work</t>
          </r>
        </is>
      </c>
      <c r="X18" s="12" t="inlineStr">
        <is>
          <r>
            <rPr>
              <rFont val="Calibri"/>
              <b val="1"/>
              <sz val="10"/>
            </rPr>
            <t>Market level:</t>
          </r>
          <r>
            <rPr>
              <rFont val="Calibri"/>
              <sz val="10"/>
            </rPr>
            <t xml:space="preserve"> P2 · SFIA 3 Apply
</t>
          </r>
          <r>
            <rPr>
              <rFont val="Calibri"/>
              <b val="1"/>
              <sz val="10"/>
            </rPr>
            <t>Typical title:</t>
          </r>
          <r>
            <rPr>
              <rFont val="Calibri"/>
              <sz val="10"/>
            </rPr>
            <t xml:space="preserve"> Marketing Executive
</t>
          </r>
          <r>
            <rPr>
              <rFont val="Calibri"/>
              <b val="1"/>
              <sz val="10"/>
            </rPr>
            <t>At peers:</t>
          </r>
          <r>
            <rPr>
              <rFont val="Calibri"/>
              <sz val="10"/>
            </rPr>
            <t xml:space="preserve"> IRIS Vs Market Benchmark — CIM proficiency scale: 2–3 · IRIS Vs Competitor Benchmark — SaaS marketing ladder: Marketing Specialist
</t>
          </r>
          <r>
            <rPr>
              <rFont val="Calibri"/>
              <b val="1"/>
              <sz val="10"/>
            </rPr>
            <t>Typical experience:</t>
          </r>
          <r>
            <rPr>
              <rFont val="Calibri"/>
              <sz val="10"/>
            </rPr>
            <t xml:space="preserve"> 2–5 yrs · IRIS guide 2–4
</t>
          </r>
          <r>
            <rPr>
              <rFont val="Calibri"/>
              <b val="1"/>
              <sz val="10"/>
            </rPr>
            <t>Standard:</t>
          </r>
          <r>
            <rPr>
              <rFont val="Calibri"/>
              <sz val="10"/>
            </rPr>
            <t xml:space="preserve"> CIM Global Professional Marketing Framework — proficiency Aware → Active learner → Able → Accomplished → Authoritative</t>
          </r>
        </is>
      </c>
      <c r="Y18" s="12" t="inlineStr">
        <is>
          <r>
            <rPr>
              <rFont val="Calibri"/>
              <sz val="10"/>
            </rPr>
            <t xml:space="preserve">✓ HRIS: 4.3 yrs, B.Tech, 0 direct reports
✓ Survey: 20 of 20 questions answered
✓ KRAs: manager-set
✓ Manager mapping: rating, potential, 9-box
✗ Job description: not on file
</t>
          </r>
          <r>
            <rPr>
              <rFont val="Calibri"/>
              <b val="1"/>
              <sz val="10"/>
            </rPr>
            <t>Confidence:</t>
          </r>
          <r>
            <rPr>
              <rFont val="Calibri"/>
              <sz val="10"/>
            </rPr>
            <t xml:space="preserve"> Medium</t>
          </r>
        </is>
      </c>
      <c r="Z18" s="12" t="inlineStr">
        <is>
          <t>—</t>
        </is>
      </c>
      <c r="AA18" s="12" t="inlineStr">
        <is>
          <t>Nothing outstanding</t>
        </is>
      </c>
      <c r="AB18"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 of 12 · A2-level impact.
From the survey and manager mapping — critical role: yes; successor named: no.
</t>
          </r>
          <r>
            <rPr>
              <rFont val="Calibri"/>
              <b val="1"/>
              <sz val="10"/>
            </rPr>
            <t>If the work is missed · role-holders' themes:</t>
          </r>
          <r>
            <rPr>
              <rFont val="Calibri"/>
              <sz val="10"/>
            </rPr>
            <t xml:space="preserve"> ranking.
Manager talent mapping — Latest rating: 3 · Potential: Medium · 9-Box Grid placement: Performance Risk.</t>
          </r>
        </is>
      </c>
      <c r="AC18" s="79" t="n"/>
      <c r="AD18" s="79" t="n"/>
      <c r="AE18" s="79" t="n"/>
      <c r="AF18" s="12" t="n">
        <v>2.5</v>
      </c>
    </row>
    <row r="19" ht="379" customHeight="1">
      <c r="A19" s="12" t="inlineStr">
        <is>
          <t>IRISDTC006</t>
        </is>
      </c>
      <c r="B19" s="10" t="inlineStr">
        <is>
          <t>Vaishnavi Dhuri</t>
        </is>
      </c>
      <c r="C19" s="12" t="inlineStr">
        <is>
          <t>Marketing</t>
        </is>
      </c>
      <c r="D19" s="12" t="inlineStr">
        <is>
          <t>Graphic Designer and Video Editor</t>
        </is>
      </c>
      <c r="E19" s="75" t="inlineStr">
        <is>
          <t>Designer</t>
        </is>
      </c>
      <c r="F19" s="12" t="inlineStr">
        <is>
          <t>Design &amp; Creative</t>
        </is>
      </c>
      <c r="G19" s="12" t="inlineStr">
        <is>
          <t>Brand, Graphic &amp; Video Design</t>
        </is>
      </c>
      <c r="H19" s="12" t="inlineStr">
        <is>
          <t>IC</t>
        </is>
      </c>
      <c r="I19" s="38" t="inlineStr">
        <is>
          <t>Not in current mapping files</t>
        </is>
      </c>
      <c r="J19" s="16" t="inlineStr">
        <is>
          <t>A2</t>
        </is>
      </c>
      <c r="K19" s="17" t="inlineStr">
        <is>
          <t>Associate</t>
        </is>
      </c>
      <c r="L19" s="83" t="inlineStr">
        <is>
          <t>● Newly mapped</t>
        </is>
      </c>
      <c r="M19" s="12" t="inlineStr">
        <is>
          <t>Datatech · Marketing · Band A · Early career</t>
        </is>
      </c>
      <c r="N19" s="38" t="n">
        <v>2</v>
      </c>
      <c r="O19" s="38" t="n">
        <v>1.5</v>
      </c>
      <c r="P19" s="38" t="n">
        <v>2</v>
      </c>
      <c r="Q19" s="38" t="n">
        <v>1</v>
      </c>
      <c r="R19" s="38" t="n">
        <v>2</v>
      </c>
      <c r="S19" s="77" t="n">
        <v>2</v>
      </c>
      <c r="T19" s="78">
        <f>IF(OR($M19="",COUNT(N19,O19,P19,Q19,R19,S19)&lt;6),"",IFERROR(N19*INDEX(WM_C,MATCH($M19,WM_KEY,0))+O19*INDEX(WM_AU,MATCH($M19,WM_KEY,0))+P19*INDEX(WM_AC,MATCH($M19,WM_KEY,0))+Q19*INDEX(WM_L,MATCH($M19,WM_KEY,0))+R19*INDEX(WM_E,MATCH($M19,WM_KEY,0))+S19*INDEX(WM_BI,MATCH($M19,WM_KEY,0)),""))</f>
        <v>1.895</v>
      </c>
      <c r="U19" s="38" t="str">
        <f>IF(T19="","",INDEX({"A1","A2","A3","B1","B2","B3","C1","C2","D1","D2","E1","E2"},MAX(1,MIN(12,ROUND(T19,0)))))</f>
        <v>A2</v>
      </c>
      <c r="V19" s="12" t="inlineStr">
        <is>
          <r>
            <rPr>
              <rFont val="Calibri"/>
              <sz val="10"/>
            </rPr>
            <t xml:space="preserve">New level A2 · Associate. Current level on record: Not in current mapping files. Change: ● Newly mapped.
Score 1.90 on the ladder scale → indicated level A2.
</t>
          </r>
          <r>
            <rPr>
              <rFont val="Calibri"/>
              <b val="1"/>
              <sz val="10"/>
            </rPr>
            <t>Weights:</t>
          </r>
          <r>
            <rPr>
              <rFont val="Calibri"/>
              <sz val="10"/>
            </rPr>
            <t xml:space="preserve"> Complexity 54% · Autonomy 21% · Business impact 11% · Experience 10%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sales and marketing are judged on pipeline and revenue, so Business Impact +5, Autonomy +5,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 </t>
          </r>
          <r>
            <rPr>
              <rFont val="Calibri"/>
              <b val="1"/>
              <sz val="10"/>
            </rPr>
            <t>Provisional:</t>
          </r>
          <r>
            <rPr>
              <rFont val="Calibri"/>
              <sz val="10"/>
            </rPr>
            <t xml:space="preserve"> the experience record looks incomplete, so this level is kept until HR confirms it.
</t>
          </r>
          <r>
            <rPr>
              <rFont val="Calibri"/>
              <b val="1"/>
              <sz val="10"/>
            </rPr>
            <t>Final level:</t>
          </r>
          <r>
            <rPr>
              <rFont val="Calibri"/>
              <sz val="10"/>
            </rPr>
            <t xml:space="preserve"> A2.</t>
          </r>
        </is>
      </c>
      <c r="W19" s="12" t="inlineStr">
        <is>
          <r>
            <rPr>
              <rFont val="Calibri"/>
              <b val="1"/>
              <sz val="10"/>
            </rPr>
            <t>Complexity &amp; Expertise:</t>
          </r>
          <r>
            <rPr>
              <rFont val="Calibri"/>
              <sz val="10"/>
            </rPr>
            <t xml:space="preserve"> 2 of 12 — Start: 2.0 · practitioner title; Evidence reads like A2: Creates social media creatives and edits videos, including AI videos in After Effects → matches the start
</t>
          </r>
          <r>
            <rPr>
              <rFont val="Calibri"/>
              <b val="1"/>
              <sz val="10"/>
            </rPr>
            <t>Autonomy &amp; Decision:</t>
          </r>
          <r>
            <rPr>
              <rFont val="Calibri"/>
              <sz val="10"/>
            </rPr>
            <t xml:space="preserve"> 1.5 of 12 · between A1 and A2 — Start: 2.0 · practitioner title; Evidence reads like A1: States that approvals are needed; no independent decisions named → moved down 0.5
</t>
          </r>
          <r>
            <rPr>
              <rFont val="Calibri"/>
              <b val="1"/>
              <sz val="10"/>
            </rPr>
            <t>Accountability &amp; Impact:</t>
          </r>
          <r>
            <rPr>
              <rFont val="Calibri"/>
              <sz val="10"/>
            </rPr>
            <t xml:space="preserve"> 2 of 12 — Start: 2.0 · practitioner title; Evidence reads like A2: Creatives delivered jointly with a co-worker; no personal accountability claimed → matches the start
</t>
          </r>
          <r>
            <rPr>
              <rFont val="Calibri"/>
              <b val="1"/>
              <sz val="10"/>
            </rPr>
            <t>Leadership &amp; Strategy:</t>
          </r>
          <r>
            <rPr>
              <rFont val="Calibri"/>
              <sz val="10"/>
            </rPr>
            <t xml:space="preserve"> 1 of 12 — not counted: the weight is 0% at this level — Start: 1.0 · individual contributor, so influence only; Evidence reads like A1: No guiding or leading of others described → matches the start; Team: 0 direct reports · IC
</t>
          </r>
          <r>
            <rPr>
              <rFont val="Calibri"/>
              <b val="1"/>
              <sz val="10"/>
            </rPr>
            <t>Experience &amp; Qualification:</t>
          </r>
          <r>
            <rPr>
              <rFont val="Calibri"/>
              <sz val="10"/>
            </rPr>
            <t xml:space="preserve"> 2 of 12 — Experience: not on record · input needed from HR, so set at the role's own level: it neither helps nor hurts; Qualification: Bachelor of Science · graduate → no change
</t>
          </r>
          <r>
            <rPr>
              <rFont val="Calibri"/>
              <b val="1"/>
              <sz val="10"/>
            </rPr>
            <t>Business Impact:</t>
          </r>
          <r>
            <rPr>
              <rFont val="Calibri"/>
              <sz val="10"/>
            </rPr>
            <t xml:space="preserve"> 2 of 12 — a starting estimate. —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r>
        </is>
      </c>
      <c r="X19" s="12" t="inlineStr">
        <is>
          <r>
            <rPr>
              <rFont val="Calibri"/>
              <b val="1"/>
              <sz val="10"/>
            </rPr>
            <t>Market level:</t>
          </r>
          <r>
            <rPr>
              <rFont val="Calibri"/>
              <sz val="10"/>
            </rPr>
            <t xml:space="preserve"> P1–P2 · SFIA 2 Assist
</t>
          </r>
          <r>
            <rPr>
              <rFont val="Calibri"/>
              <b val="1"/>
              <sz val="10"/>
            </rPr>
            <t>Typical title:</t>
          </r>
          <r>
            <rPr>
              <rFont val="Calibri"/>
              <sz val="10"/>
            </rPr>
            <t xml:space="preserve"> Junior Designer / Designer
</t>
          </r>
          <r>
            <rPr>
              <rFont val="Calibri"/>
              <b val="1"/>
              <sz val="10"/>
            </rPr>
            <t>At peers:</t>
          </r>
          <r>
            <rPr>
              <rFont val="Calibri"/>
              <sz val="10"/>
            </rPr>
            <t xml:space="preserve"> IRIS Vs Competitor Benchmark — UX / design ladder: Junior Designer
</t>
          </r>
          <r>
            <rPr>
              <rFont val="Calibri"/>
              <b val="1"/>
              <sz val="10"/>
            </rPr>
            <t>Typical experience:</t>
          </r>
          <r>
            <rPr>
              <rFont val="Calibri"/>
              <sz val="10"/>
            </rPr>
            <t xml:space="preserve"> 0–3 yrs · IRIS guide 0–2
</t>
          </r>
          <r>
            <rPr>
              <rFont val="Calibri"/>
              <b val="1"/>
              <sz val="10"/>
            </rPr>
            <t>Standard:</t>
          </r>
          <r>
            <rPr>
              <rFont val="Calibri"/>
              <sz val="10"/>
            </rPr>
            <t xml:space="preserve"> UX career ladder Junior → Designer → Senior → Lead → Principal; WCAG accessibility</t>
          </r>
        </is>
      </c>
      <c r="Y19" s="12" t="inlineStr">
        <is>
          <r>
            <rPr>
              <rFont val="Calibri"/>
              <sz val="10"/>
            </rPr>
            <t xml:space="preserve">✗ HRIS: experience missing, Bachelor of Science, 0 direct reports
✓ Survey: 20 of 20 questions answered
✗ KRAs: none on file
✓ Manager mapping: rating, 9-box
✗ Job description: not on file
</t>
          </r>
          <r>
            <rPr>
              <rFont val="Calibri"/>
              <b val="1"/>
              <sz val="10"/>
            </rPr>
            <t>Confidence:</t>
          </r>
          <r>
            <rPr>
              <rFont val="Calibri"/>
              <sz val="10"/>
            </rPr>
            <t xml:space="preserve"> Low</t>
          </r>
        </is>
      </c>
      <c r="Z19" s="81" t="inlineStr">
        <is>
          <r>
            <rPr>
              <rFont val="Calibri"/>
              <color rgb="009C5700"/>
              <sz val="10"/>
            </rPr>
            <t xml:space="preserve">• </t>
          </r>
          <r>
            <rPr>
              <rFont val="Calibri"/>
              <b val="1"/>
              <color rgb="009C5700"/>
              <sz val="10"/>
            </rPr>
            <t>Provisional:</t>
          </r>
          <r>
            <rPr>
              <rFont val="Calibri"/>
              <color rgb="009C5700"/>
              <sz val="10"/>
            </rPr>
            <t xml:space="preserve"> experience to be confirmed by HR</t>
          </r>
        </is>
      </c>
      <c r="AA19" s="84" t="inlineStr">
        <is>
          <t>• Total experience · outside + at IRIS — HR — HRIS
• Confirm prior experience · provisional placement — HR</t>
        </is>
      </c>
      <c r="AB19" s="12" t="inlineStr">
        <is>
          <r>
            <rPr>
              <rFont val="Calibri"/>
              <b val="1"/>
              <sz val="10"/>
            </rPr>
            <t>What the role answers for:</t>
          </r>
          <r>
            <rPr>
              <rFont val="Calibri"/>
              <sz val="10"/>
            </rPr>
            <t xml:space="preserve"> Own deliverables · accuracy, TAT.
</t>
          </r>
          <r>
            <rPr>
              <rFont val="Calibri"/>
              <b val="1"/>
              <sz val="10"/>
            </rPr>
            <t>Accountability &amp; Impact rating:</t>
          </r>
          <r>
            <rPr>
              <rFont val="Calibri"/>
              <sz val="10"/>
            </rPr>
            <t xml:space="preserve"> 2 of 12 · A2-level impact.
</t>
          </r>
          <r>
            <rPr>
              <rFont val="Calibri"/>
              <b val="1"/>
              <sz val="10"/>
            </rPr>
            <t>If the work is missed · role-holders' themes:</t>
          </r>
          <r>
            <rPr>
              <rFont val="Calibri"/>
              <sz val="10"/>
            </rPr>
            <t xml:space="preserve"> sales.
Manager talent mapping — Latest rating: Not rated · manager · 9-Box Grid placement: Not placed · manager.</t>
          </r>
        </is>
      </c>
      <c r="AC19" s="79" t="n"/>
      <c r="AD19" s="79" t="n"/>
      <c r="AE19" s="79" t="n"/>
      <c r="AF19" s="12" t="n">
        <v>2</v>
      </c>
    </row>
    <row r="20" ht="93" customHeight="1">
      <c r="A20" s="12" t="inlineStr">
        <is>
          <t>No Emp ID · in-house consultant</t>
        </is>
      </c>
      <c r="B20" s="10" t="inlineStr">
        <is>
          <t>R Indumathi</t>
        </is>
      </c>
      <c r="C20" s="12" t="inlineStr">
        <is>
          <t>Marketing</t>
        </is>
      </c>
      <c r="D20" s="12" t="inlineStr">
        <is>
          <t>Consultant</t>
        </is>
      </c>
      <c r="E20" s="75" t="inlineStr">
        <is>
          <t>Associate Consultant – Demand Generation, Brand &amp; Events</t>
        </is>
      </c>
      <c r="F20" s="12" t="inlineStr">
        <is>
          <t>Marketing &amp; Communications</t>
        </is>
      </c>
      <c r="G20" s="12" t="inlineStr">
        <is>
          <t>Marketing · role not recorded</t>
        </is>
      </c>
      <c r="H20" s="12" t="inlineStr">
        <is>
          <t>Consultant</t>
        </is>
      </c>
      <c r="I20" s="38" t="inlineStr">
        <is>
          <t>—</t>
        </is>
      </c>
      <c r="J20" s="32" t="inlineStr">
        <is>
          <t>X1</t>
        </is>
      </c>
      <c r="K20" s="33" t="inlineStr">
        <is>
          <t>Associate Consultant</t>
        </is>
      </c>
      <c r="L20" s="76" t="inlineStr">
        <is>
          <t>• Same level</t>
        </is>
      </c>
      <c r="M20" s="12" t="inlineStr">
        <is>
          <t>—</t>
        </is>
      </c>
      <c r="N20" s="38" t="inlineStr">
        <is>
          <t>—</t>
        </is>
      </c>
      <c r="O20" s="38" t="inlineStr">
        <is>
          <t>—</t>
        </is>
      </c>
      <c r="P20" s="38" t="inlineStr">
        <is>
          <t>—</t>
        </is>
      </c>
      <c r="Q20" s="38" t="inlineStr">
        <is>
          <t>—</t>
        </is>
      </c>
      <c r="R20" s="38" t="inlineStr">
        <is>
          <t>—</t>
        </is>
      </c>
      <c r="S20" s="77" t="inlineStr">
        <is>
          <t>—</t>
        </is>
      </c>
      <c r="T20" s="78" t="inlineStr">
        <is>
          <t>—</t>
        </is>
      </c>
      <c r="U20" s="38" t="inlineStr">
        <is>
          <t>Not scored</t>
        </is>
      </c>
      <c r="V20" s="12" t="inlineStr">
        <is>
          <t>New level X1 · Associate Consultant. Current level on record: —. Change: • Same level.
Consultants sit outside the career ladder, at X1–X3 by the scope of their statement of work.</t>
        </is>
      </c>
      <c r="W20" s="12" t="inlineStr">
        <is>
          <r>
            <rPr>
              <rFont val="Calibri"/>
              <b val="1"/>
              <sz val="10"/>
            </rPr>
            <t>Not scored:</t>
          </r>
          <r>
            <rPr>
              <rFont val="Calibri"/>
              <sz val="10"/>
            </rPr>
            <t xml:space="preserve"> consultants sit outside the career ladder · X1–X3, by the scope of their statement of work.</t>
          </r>
        </is>
      </c>
      <c r="X20" s="12" t="inlineStr">
        <is>
          <r>
            <rPr>
              <rFont val="Calibri"/>
              <b val="1"/>
              <sz val="10"/>
            </rPr>
            <t>Consultant:</t>
          </r>
          <r>
            <rPr>
              <rFont val="Calibri"/>
              <sz val="10"/>
            </rPr>
            <t xml:space="preserve"> priced by rate card under the statement of work.</t>
          </r>
        </is>
      </c>
      <c r="Y20" s="12" t="inlineStr">
        <is>
          <r>
            <rPr>
              <rFont val="Calibri"/>
              <sz val="10"/>
            </rPr>
            <t xml:space="preserve">✗ HRIS: experience missing, qualification missing, 0 direct reports
✗ Survey: no response
✗ KRAs: none on file
✓ Manager mapping: rating
✗ Job description: not on file
</t>
          </r>
          <r>
            <rPr>
              <rFont val="Calibri"/>
              <b val="1"/>
              <sz val="10"/>
            </rPr>
            <t>Confidence:</t>
          </r>
          <r>
            <rPr>
              <rFont val="Calibri"/>
              <sz val="10"/>
            </rPr>
            <t xml:space="preserve"> —</t>
          </r>
        </is>
      </c>
      <c r="Z20" s="12" t="inlineStr">
        <is>
          <t>—</t>
        </is>
      </c>
      <c r="AA20" s="12" t="inlineStr">
        <is>
          <t>Nothing outstanding</t>
        </is>
      </c>
      <c r="AB20" s="12" t="inlineStr">
        <is>
          <r>
            <rPr>
              <rFont val="Calibri"/>
              <b val="1"/>
              <sz val="10"/>
            </rPr>
            <t>What the role answers for:</t>
          </r>
          <r>
            <rPr>
              <rFont val="Calibri"/>
              <sz val="10"/>
            </rPr>
            <t xml:space="preserve"> —.
Manager talent mapping — Latest rating: Not rated · manager.</t>
          </r>
        </is>
      </c>
      <c r="AC20" s="79" t="n"/>
      <c r="AD20" s="79" t="n"/>
      <c r="AE20" s="79" t="n"/>
      <c r="AF20" s="12" t="inlineStr">
        <is>
          <t>—</t>
        </is>
      </c>
    </row>
    <row r="21" ht="93" customHeight="1">
      <c r="A21" s="12" t="inlineStr">
        <is>
          <t>No Emp ID · external consultant</t>
        </is>
      </c>
      <c r="B21" s="10" t="inlineStr">
        <is>
          <t>Arindam Bose</t>
        </is>
      </c>
      <c r="C21" s="12" t="inlineStr">
        <is>
          <t>Not provided · HRIS</t>
        </is>
      </c>
      <c r="D21" s="12" t="inlineStr">
        <is>
          <t>Consultant</t>
        </is>
      </c>
      <c r="E21" s="75" t="inlineStr">
        <is>
          <t>Associate Consultant – Software Development</t>
        </is>
      </c>
      <c r="F21" s="12" t="inlineStr">
        <is>
          <t>Unassigned</t>
        </is>
      </c>
      <c r="G21" s="12" t="inlineStr">
        <is>
          <t>Role not recorded · external consultant</t>
        </is>
      </c>
      <c r="H21" s="12" t="inlineStr">
        <is>
          <t>Consultant</t>
        </is>
      </c>
      <c r="I21" s="38" t="inlineStr">
        <is>
          <t>—</t>
        </is>
      </c>
      <c r="J21" s="32" t="inlineStr">
        <is>
          <t>X1</t>
        </is>
      </c>
      <c r="K21" s="33" t="inlineStr">
        <is>
          <t>Associate Consultant</t>
        </is>
      </c>
      <c r="L21" s="76" t="inlineStr">
        <is>
          <t>• Same level</t>
        </is>
      </c>
      <c r="M21" s="12" t="inlineStr">
        <is>
          <t>—</t>
        </is>
      </c>
      <c r="N21" s="38" t="inlineStr">
        <is>
          <t>—</t>
        </is>
      </c>
      <c r="O21" s="38" t="inlineStr">
        <is>
          <t>—</t>
        </is>
      </c>
      <c r="P21" s="38" t="inlineStr">
        <is>
          <t>—</t>
        </is>
      </c>
      <c r="Q21" s="38" t="inlineStr">
        <is>
          <t>—</t>
        </is>
      </c>
      <c r="R21" s="38" t="inlineStr">
        <is>
          <t>—</t>
        </is>
      </c>
      <c r="S21" s="77" t="inlineStr">
        <is>
          <t>—</t>
        </is>
      </c>
      <c r="T21" s="78" t="inlineStr">
        <is>
          <t>—</t>
        </is>
      </c>
      <c r="U21" s="38" t="inlineStr">
        <is>
          <t>Not scored</t>
        </is>
      </c>
      <c r="V21" s="12" t="inlineStr">
        <is>
          <t>New level X1 · Associate Consultant. Current level on record: —. Change: • Same level.
Consultants sit outside the career ladder, at X1–X3 by the scope of their statement of work.</t>
        </is>
      </c>
      <c r="W21" s="12" t="inlineStr">
        <is>
          <r>
            <rPr>
              <rFont val="Calibri"/>
              <b val="1"/>
              <sz val="10"/>
            </rPr>
            <t>Not scored:</t>
          </r>
          <r>
            <rPr>
              <rFont val="Calibri"/>
              <sz val="10"/>
            </rPr>
            <t xml:space="preserve"> consultants sit outside the career ladder · X1–X3, by the scope of their statement of work.</t>
          </r>
        </is>
      </c>
      <c r="X21" s="12" t="inlineStr">
        <is>
          <r>
            <rPr>
              <rFont val="Calibri"/>
              <b val="1"/>
              <sz val="10"/>
            </rPr>
            <t>Consultant:</t>
          </r>
          <r>
            <rPr>
              <rFont val="Calibri"/>
              <sz val="10"/>
            </rPr>
            <t xml:space="preserve"> priced by rate card under the statement of work.</t>
          </r>
        </is>
      </c>
      <c r="Y21" s="12" t="inlineStr">
        <is>
          <r>
            <rPr>
              <rFont val="Calibri"/>
              <sz val="10"/>
            </rPr>
            <t xml:space="preserve">✗ HRIS: experience missing, qualification missing, 0 direct reports
✗ Survey: no response
✗ KRAs: none on file
✓ Manager mapping: rating
✗ Job description: not on file
</t>
          </r>
          <r>
            <rPr>
              <rFont val="Calibri"/>
              <b val="1"/>
              <sz val="10"/>
            </rPr>
            <t>Confidence:</t>
          </r>
          <r>
            <rPr>
              <rFont val="Calibri"/>
              <sz val="10"/>
            </rPr>
            <t xml:space="preserve"> —</t>
          </r>
        </is>
      </c>
      <c r="Z21" s="12" t="inlineStr">
        <is>
          <t>—</t>
        </is>
      </c>
      <c r="AA21" s="84" t="inlineStr">
        <is>
          <t>• Role and department on record — Business head</t>
        </is>
      </c>
      <c r="AB21" s="12" t="inlineStr">
        <is>
          <r>
            <rPr>
              <rFont val="Calibri"/>
              <b val="1"/>
              <sz val="10"/>
            </rPr>
            <t>What the role answers for:</t>
          </r>
          <r>
            <rPr>
              <rFont val="Calibri"/>
              <sz val="10"/>
            </rPr>
            <t xml:space="preserve"> —.
Manager talent mapping — Latest rating: Not rated · manager.</t>
          </r>
        </is>
      </c>
      <c r="AC21" s="79" t="n"/>
      <c r="AD21" s="79" t="n"/>
      <c r="AE21" s="79" t="n"/>
      <c r="AF21" s="12" t="inlineStr">
        <is>
          <t>—</t>
        </is>
      </c>
    </row>
    <row r="22" ht="93" customHeight="1">
      <c r="A22" s="12" t="inlineStr">
        <is>
          <t>No Emp ID · external consultant</t>
        </is>
      </c>
      <c r="B22" s="10" t="inlineStr">
        <is>
          <t>Shweta Vijay</t>
        </is>
      </c>
      <c r="C22" s="12" t="inlineStr">
        <is>
          <t>Not provided · HRIS</t>
        </is>
      </c>
      <c r="D22" s="12" t="inlineStr">
        <is>
          <t>Consultant</t>
        </is>
      </c>
      <c r="E22" s="75" t="inlineStr">
        <is>
          <t>Associate Consultant – Software Development</t>
        </is>
      </c>
      <c r="F22" s="12" t="inlineStr">
        <is>
          <t>Unassigned</t>
        </is>
      </c>
      <c r="G22" s="12" t="inlineStr">
        <is>
          <t>Role not recorded · external consultant</t>
        </is>
      </c>
      <c r="H22" s="12" t="inlineStr">
        <is>
          <t>Consultant</t>
        </is>
      </c>
      <c r="I22" s="38" t="inlineStr">
        <is>
          <t>—</t>
        </is>
      </c>
      <c r="J22" s="32" t="inlineStr">
        <is>
          <t>X1</t>
        </is>
      </c>
      <c r="K22" s="33" t="inlineStr">
        <is>
          <t>Associate Consultant</t>
        </is>
      </c>
      <c r="L22" s="76" t="inlineStr">
        <is>
          <t>• Same level</t>
        </is>
      </c>
      <c r="M22" s="12" t="inlineStr">
        <is>
          <t>—</t>
        </is>
      </c>
      <c r="N22" s="38" t="inlineStr">
        <is>
          <t>—</t>
        </is>
      </c>
      <c r="O22" s="38" t="inlineStr">
        <is>
          <t>—</t>
        </is>
      </c>
      <c r="P22" s="38" t="inlineStr">
        <is>
          <t>—</t>
        </is>
      </c>
      <c r="Q22" s="38" t="inlineStr">
        <is>
          <t>—</t>
        </is>
      </c>
      <c r="R22" s="38" t="inlineStr">
        <is>
          <t>—</t>
        </is>
      </c>
      <c r="S22" s="77" t="inlineStr">
        <is>
          <t>—</t>
        </is>
      </c>
      <c r="T22" s="78" t="inlineStr">
        <is>
          <t>—</t>
        </is>
      </c>
      <c r="U22" s="38" t="inlineStr">
        <is>
          <t>Not scored</t>
        </is>
      </c>
      <c r="V22" s="12" t="inlineStr">
        <is>
          <t>New level X1 · Associate Consultant. Current level on record: —. Change: • Same level.
Consultants sit outside the career ladder, at X1–X3 by the scope of their statement of work.</t>
        </is>
      </c>
      <c r="W22" s="12" t="inlineStr">
        <is>
          <r>
            <rPr>
              <rFont val="Calibri"/>
              <b val="1"/>
              <sz val="10"/>
            </rPr>
            <t>Not scored:</t>
          </r>
          <r>
            <rPr>
              <rFont val="Calibri"/>
              <sz val="10"/>
            </rPr>
            <t xml:space="preserve"> consultants sit outside the career ladder · X1–X3, by the scope of their statement of work.</t>
          </r>
        </is>
      </c>
      <c r="X22" s="12" t="inlineStr">
        <is>
          <r>
            <rPr>
              <rFont val="Calibri"/>
              <b val="1"/>
              <sz val="10"/>
            </rPr>
            <t>Consultant:</t>
          </r>
          <r>
            <rPr>
              <rFont val="Calibri"/>
              <sz val="10"/>
            </rPr>
            <t xml:space="preserve"> priced by rate card under the statement of work.</t>
          </r>
        </is>
      </c>
      <c r="Y22" s="12" t="inlineStr">
        <is>
          <r>
            <rPr>
              <rFont val="Calibri"/>
              <sz val="10"/>
            </rPr>
            <t xml:space="preserve">✗ HRIS: experience missing, qualification missing, 0 direct reports
✗ Survey: no response
✗ KRAs: none on file
✓ Manager mapping: rating
✗ Job description: not on file
</t>
          </r>
          <r>
            <rPr>
              <rFont val="Calibri"/>
              <b val="1"/>
              <sz val="10"/>
            </rPr>
            <t>Confidence:</t>
          </r>
          <r>
            <rPr>
              <rFont val="Calibri"/>
              <sz val="10"/>
            </rPr>
            <t xml:space="preserve"> —</t>
          </r>
        </is>
      </c>
      <c r="Z22" s="12" t="inlineStr">
        <is>
          <t>—</t>
        </is>
      </c>
      <c r="AA22" s="84" t="inlineStr">
        <is>
          <t>• Role and department on record — Business head</t>
        </is>
      </c>
      <c r="AB22" s="12" t="inlineStr">
        <is>
          <r>
            <rPr>
              <rFont val="Calibri"/>
              <b val="1"/>
              <sz val="10"/>
            </rPr>
            <t>What the role answers for:</t>
          </r>
          <r>
            <rPr>
              <rFont val="Calibri"/>
              <sz val="10"/>
            </rPr>
            <t xml:space="preserve"> —.
Manager talent mapping — Latest rating: Not rated · manager.</t>
          </r>
        </is>
      </c>
      <c r="AC22" s="79" t="n"/>
      <c r="AD22" s="79" t="n"/>
      <c r="AE22" s="79" t="n"/>
      <c r="AF22" s="12" t="inlineStr">
        <is>
          <t>—</t>
        </is>
      </c>
    </row>
    <row r="23" ht="379" customHeight="1">
      <c r="A23" s="12" t="inlineStr">
        <is>
          <t>IRISDT0008</t>
        </is>
      </c>
      <c r="B23" s="10" t="inlineStr">
        <is>
          <t>Nilesh Majumdar</t>
        </is>
      </c>
      <c r="C23" s="12" t="inlineStr">
        <is>
          <t>Product Management</t>
        </is>
      </c>
      <c r="D23" s="12" t="inlineStr">
        <is>
          <t>Senior Product Manager</t>
        </is>
      </c>
      <c r="E23" s="75" t="inlineStr">
        <is>
          <t>Product Manager</t>
        </is>
      </c>
      <c r="F23" s="12" t="inlineStr">
        <is>
          <t>Product Management</t>
        </is>
      </c>
      <c r="G23" s="12" t="inlineStr">
        <is>
          <t>Product Management</t>
        </is>
      </c>
      <c r="H23" s="12" t="inlineStr">
        <is>
          <t>People Manager</t>
        </is>
      </c>
      <c r="I23" s="38" t="inlineStr">
        <is>
          <t>L5 – Manager</t>
        </is>
      </c>
      <c r="J23" s="20" t="inlineStr">
        <is>
          <t>B2</t>
        </is>
      </c>
      <c r="K23" s="21" t="inlineStr">
        <is>
          <t>Manager</t>
        </is>
      </c>
      <c r="L23" s="76" t="inlineStr">
        <is>
          <t>• Same level</t>
        </is>
      </c>
      <c r="M23" s="12" t="inlineStr">
        <is>
          <t>Datatech · Product Management · Band B · People Manager</t>
        </is>
      </c>
      <c r="N23" s="38" t="n">
        <v>6</v>
      </c>
      <c r="O23" s="38" t="n">
        <v>6</v>
      </c>
      <c r="P23" s="38" t="n">
        <v>6</v>
      </c>
      <c r="Q23" s="38" t="n">
        <v>5</v>
      </c>
      <c r="R23" s="38" t="n">
        <v>5.5</v>
      </c>
      <c r="S23" s="77" t="n">
        <v>6.5</v>
      </c>
      <c r="T23" s="78">
        <f>IF(OR($M23="",COUNT(N23,O23,P23,Q23,R23,S23)&lt;6),"",IFERROR(N23*INDEX(WM_C,MATCH($M23,WM_KEY,0))+O23*INDEX(WM_AU,MATCH($M23,WM_KEY,0))+P23*INDEX(WM_AC,MATCH($M23,WM_KEY,0))+Q23*INDEX(WM_L,MATCH($M23,WM_KEY,0))+R23*INDEX(WM_E,MATCH($M23,WM_KEY,0))+S23*INDEX(WM_BI,MATCH($M23,WM_KEY,0)),""))</f>
        <v>5.845</v>
      </c>
      <c r="U23" s="38" t="str">
        <f>IF(T23="","",INDEX({"A1","A2","A3","B1","B2","B3","C1","C2","D1","D2","E1","E2"},MAX(1,MIN(12,ROUND(T23,0)))))</f>
        <v>B3</v>
      </c>
      <c r="V23" s="12" t="inlineStr">
        <is>
          <r>
            <rPr>
              <rFont val="Calibri"/>
              <sz val="10"/>
            </rPr>
            <t xml:space="preserve">New level B2 · Manager. Current level on record: L5 – Manager. Change: • Same level.
Score 5.84 on the ladder scale → indicated level B3.
</t>
          </r>
          <r>
            <rPr>
              <rFont val="Calibri"/>
              <b val="1"/>
              <sz val="10"/>
            </rPr>
            <t>Weights:</t>
          </r>
          <r>
            <rPr>
              <rFont val="Calibri"/>
              <sz val="10"/>
            </rPr>
            <t xml:space="preserve"> Complexity 32% · Autonomy 23% · Leadership 15% · Accountability 11% · Experience 10% · Business impact 9%
</t>
          </r>
          <r>
            <rPr>
              <rFont val="Calibri"/>
              <b val="1"/>
              <sz val="10"/>
            </rPr>
            <t>Why:</t>
          </r>
          <r>
            <rPr>
              <rFont val="Calibri"/>
              <sz val="10"/>
            </rPr>
            <t xml:space="preserve"> a manager's results come through the team, so Leadership rises to 15% and Complexity falls; autonomy, accountability and impact rise.
</t>
          </r>
          <r>
            <rPr>
              <rFont val="Calibri"/>
              <b val="1"/>
              <sz val="10"/>
            </rPr>
            <t>Type of work in the department:</t>
          </r>
          <r>
            <rPr>
              <rFont val="Calibri"/>
              <sz val="10"/>
            </rPr>
            <t xml:space="preserve"> product roles decide trade-offs, so Autonomy +5 and Complexity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 </t>
          </r>
          <r>
            <rPr>
              <rFont val="Calibri"/>
              <b val="1"/>
              <sz val="10"/>
            </rPr>
            <t>Held at B2 instead of B3:</t>
          </r>
          <r>
            <rPr>
              <rFont val="Calibri"/>
              <sz val="10"/>
            </rPr>
            <t xml:space="preserve"> a B3 manager needs team leads reporting in, or 10+ people in the team, and the org chart does not show this yet.
</t>
          </r>
          <r>
            <rPr>
              <rFont val="Calibri"/>
              <b val="1"/>
              <sz val="10"/>
            </rPr>
            <t>Final level:</t>
          </r>
          <r>
            <rPr>
              <rFont val="Calibri"/>
              <sz val="10"/>
            </rPr>
            <t xml:space="preserve"> B2.</t>
          </r>
        </is>
      </c>
      <c r="W23" s="12" t="inlineStr">
        <is>
          <r>
            <rPr>
              <rFont val="Calibri"/>
              <b val="1"/>
              <sz val="10"/>
            </rPr>
            <t>Complexity &amp; Expertise:</t>
          </r>
          <r>
            <rPr>
              <rFont val="Calibri"/>
              <sz val="10"/>
            </rPr>
            <t xml:space="preserve"> 6 of 12 — Start: 6.0 · senior manager / lead specialist title; Evidence reads like B3: Runs several products for small businesses, lenders and corporates on regulated data; pricing, unit economics → matches the start
</t>
          </r>
          <r>
            <rPr>
              <rFont val="Calibri"/>
              <b val="1"/>
              <sz val="10"/>
            </rPr>
            <t>Autonomy &amp; Decision:</t>
          </r>
          <r>
            <rPr>
              <rFont val="Calibri"/>
              <sz val="10"/>
            </rPr>
            <t xml:space="preserve"> 6 of 12 — Start: 6.0 · senior manager / lead specialist title; Evidence reads like B3: Sets the product roadmap and prioritises across products; decides what gets built → matches the start
</t>
          </r>
          <r>
            <rPr>
              <rFont val="Calibri"/>
              <b val="1"/>
              <sz val="10"/>
            </rPr>
            <t>Accountability &amp; Impact:</t>
          </r>
          <r>
            <rPr>
              <rFont val="Calibri"/>
              <sz val="10"/>
            </rPr>
            <t xml:space="preserve"> 6 of 12 — Start: 5.5 · senior manager / lead specialist title; 6 direct reports; Evidence reads like B3: Owns product adoption, retention and product revenue; answerable for PMs' decisions → moved up 0.5
</t>
          </r>
          <r>
            <rPr>
              <rFont val="Calibri"/>
              <b val="1"/>
              <sz val="10"/>
            </rPr>
            <t>Leadership &amp; Strategy:</t>
          </r>
          <r>
            <rPr>
              <rFont val="Calibri"/>
              <sz val="10"/>
            </rPr>
            <t xml:space="preserve"> 5 of 12 — Start: 5.0; Evidence reads like B2: Leads the PM team; six direct reports → matches the start; Team: 6 direct reports · People Manager
</t>
          </r>
          <r>
            <rPr>
              <rFont val="Calibri"/>
              <b val="1"/>
              <sz val="10"/>
            </rPr>
            <t>Experience &amp; Qualification:</t>
          </r>
          <r>
            <rPr>
              <rFont val="Calibri"/>
              <sz val="10"/>
            </rPr>
            <t xml:space="preserve"> 5.5 of 12 · between B2 and B3 — Experience: 7.1 yrs total · 6.0 before IRIS + 1.1 at IRIS = 4.8 on the experience scale; Qualification: MBA · postgraduate, relevant to the work → +0.5
</t>
          </r>
          <r>
            <rPr>
              <rFont val="Calibri"/>
              <b val="1"/>
              <sz val="10"/>
            </rPr>
            <t>Business Impact:</t>
          </r>
          <r>
            <rPr>
              <rFont val="Calibri"/>
              <sz val="10"/>
            </rPr>
            <t xml:space="preserve"> 6.5 of 12 — a starting estimate. — Start: 6, the role's accountability scope — what it answers for.; Moved +0.5: the survey / manager mapping marks it business-critical.; Managers and heads: overwrite this rating on the Weightage sheet with the business impact you see — the score updates at once.; Ladder: B3 = Shapes the results of a practice or several teams · C1 = Changes results across a sub-function or across products</t>
          </r>
        </is>
      </c>
      <c r="X23" s="12" t="inlineStr">
        <is>
          <r>
            <rPr>
              <rFont val="Calibri"/>
              <b val="1"/>
              <sz val="10"/>
            </rPr>
            <t>Market level:</t>
          </r>
          <r>
            <rPr>
              <rFont val="Calibri"/>
              <sz val="10"/>
            </rPr>
            <t xml:space="preserve"> P4 / M3 · SFIA 4–5
</t>
          </r>
          <r>
            <rPr>
              <rFont val="Calibri"/>
              <b val="1"/>
              <sz val="10"/>
            </rPr>
            <t>Typical title:</t>
          </r>
          <r>
            <rPr>
              <rFont val="Calibri"/>
              <sz val="10"/>
            </rPr>
            <t xml:space="preserve"> Manager
</t>
          </r>
          <r>
            <rPr>
              <rFont val="Calibri"/>
              <b val="1"/>
              <sz val="10"/>
            </rPr>
            <t>At peers:</t>
          </r>
          <r>
            <rPr>
              <rFont val="Calibri"/>
              <sz val="10"/>
            </rPr>
            <t xml:space="preserve"> IRIS Vs Competitor Benchmark — SaaS product ladder: Senior PM
</t>
          </r>
          <r>
            <rPr>
              <rFont val="Calibri"/>
              <b val="1"/>
              <sz val="10"/>
            </rPr>
            <t>Typical experience:</t>
          </r>
          <r>
            <rPr>
              <rFont val="Calibri"/>
              <sz val="10"/>
            </rPr>
            <t xml:space="preserve"> 6–10 yrs · IRIS guide 6–9
</t>
          </r>
          <r>
            <rPr>
              <rFont val="Calibri"/>
              <b val="1"/>
              <sz val="10"/>
            </rPr>
            <t>Standard:</t>
          </r>
          <r>
            <rPr>
              <rFont val="Calibri"/>
              <sz val="10"/>
            </rPr>
            <t xml:space="preserve"> Pragmatic Institute Framework; AIPMM</t>
          </r>
        </is>
      </c>
      <c r="Y23" s="12" t="inlineStr">
        <is>
          <r>
            <rPr>
              <rFont val="Calibri"/>
              <sz val="10"/>
            </rPr>
            <t xml:space="preserve">✓ HRIS: 7.1 yrs, MBA, 6 direct reports
✓ Survey: 20 of 20 questions answered
✗ KRAs: none on file
✓ Manager mapping: rating, 9-box
✗ Job description: not on file
</t>
          </r>
          <r>
            <rPr>
              <rFont val="Calibri"/>
              <b val="1"/>
              <sz val="10"/>
            </rPr>
            <t>Confidence:</t>
          </r>
          <r>
            <rPr>
              <rFont val="Calibri"/>
              <sz val="10"/>
            </rPr>
            <t xml:space="preserve"> Medium</t>
          </r>
        </is>
      </c>
      <c r="Z23" s="81" t="inlineStr">
        <is>
          <r>
            <rPr>
              <rFont val="Calibri"/>
              <color rgb="009C5700"/>
              <sz val="10"/>
            </rPr>
            <t xml:space="preserve">• </t>
          </r>
          <r>
            <rPr>
              <rFont val="Calibri"/>
              <b val="1"/>
              <color rgb="009C5700"/>
              <sz val="10"/>
            </rPr>
            <t>Senior title held at this level by the structural gate:</t>
          </r>
          <r>
            <rPr>
              <rFont val="Calibri"/>
              <color rgb="009C5700"/>
              <sz val="10"/>
            </rPr>
            <t xml:space="preserve"> confirm the scope</t>
          </r>
        </is>
      </c>
      <c r="AA23" s="84" t="inlineStr">
        <is>
          <t>• Confirm structure behind the senior title · org chart — Business head</t>
        </is>
      </c>
      <c r="AB23" s="12" t="inlineStr">
        <is>
          <r>
            <rPr>
              <rFont val="Calibri"/>
              <b val="1"/>
              <sz val="10"/>
            </rPr>
            <t>What the role answers for:</t>
          </r>
          <r>
            <rPr>
              <rFont val="Calibri"/>
              <sz val="10"/>
            </rPr>
            <t xml:space="preserve"> One team or a client portfolio.
</t>
          </r>
          <r>
            <rPr>
              <rFont val="Calibri"/>
              <b val="1"/>
              <sz val="10"/>
            </rPr>
            <t>Accountability &amp; Impact rating:</t>
          </r>
          <r>
            <rPr>
              <rFont val="Calibri"/>
              <sz val="10"/>
            </rPr>
            <t xml:space="preserve"> 6 of 12 · B3-level impact.
Leads 6 direct reports.
From the survey and manager mapping — critical role: yes; successor named: no.
</t>
          </r>
          <r>
            <rPr>
              <rFont val="Calibri"/>
              <b val="1"/>
              <sz val="10"/>
            </rPr>
            <t>If the work is missed · role-holders' themes:</t>
          </r>
          <r>
            <rPr>
              <rFont val="Calibri"/>
              <sz val="10"/>
            </rPr>
            <t xml:space="preserve"> delays · client · revenue.
</t>
          </r>
          <r>
            <rPr>
              <rFont val="Calibri"/>
              <b val="1"/>
              <sz val="10"/>
            </rPr>
            <t>Measured on · manager-set KRA themes:</t>
          </r>
          <r>
            <rPr>
              <rFont val="Calibri"/>
              <sz val="10"/>
            </rPr>
            <t xml:space="preserve"> development participation · cash · market requirements · tech learning · support organizational · profitability.
Manager talent mapping — Latest rating: 3 · 9-Box Grid placement: Future Leader.</t>
          </r>
        </is>
      </c>
      <c r="AC23" s="79" t="n"/>
      <c r="AD23" s="79" t="n"/>
      <c r="AE23" s="79" t="n"/>
      <c r="AF23" s="12" t="n">
        <v>6.5</v>
      </c>
    </row>
    <row r="24" ht="379" customHeight="1">
      <c r="A24" s="12" t="inlineStr">
        <is>
          <t>IRISDT0010</t>
        </is>
      </c>
      <c r="B24" s="10" t="inlineStr">
        <is>
          <t>Piyush Raj</t>
        </is>
      </c>
      <c r="C24" s="12" t="inlineStr">
        <is>
          <t>Product Management</t>
        </is>
      </c>
      <c r="D24" s="12" t="inlineStr">
        <is>
          <t>Product Manager</t>
        </is>
      </c>
      <c r="E24" s="12" t="inlineStr">
        <is>
          <t>Product Manager</t>
        </is>
      </c>
      <c r="F24" s="12" t="inlineStr">
        <is>
          <t>Product Management</t>
        </is>
      </c>
      <c r="G24" s="12" t="inlineStr">
        <is>
          <t>Product Management</t>
        </is>
      </c>
      <c r="H24" s="12" t="inlineStr">
        <is>
          <t>IC</t>
        </is>
      </c>
      <c r="I24" s="38" t="inlineStr">
        <is>
          <t>L5 – Manager</t>
        </is>
      </c>
      <c r="J24" s="20" t="inlineStr">
        <is>
          <t>B2</t>
        </is>
      </c>
      <c r="K24" s="21" t="inlineStr">
        <is>
          <t>Senior Specialist</t>
        </is>
      </c>
      <c r="L24" s="76" t="inlineStr">
        <is>
          <t>• Same level</t>
        </is>
      </c>
      <c r="M24" s="12" t="inlineStr">
        <is>
          <t>Datatech · Product Management · Band B · Expert / POD Lead</t>
        </is>
      </c>
      <c r="N24" s="38" t="n">
        <v>4.5</v>
      </c>
      <c r="O24" s="38" t="n">
        <v>4.5</v>
      </c>
      <c r="P24" s="38" t="n">
        <v>5</v>
      </c>
      <c r="Q24" s="38" t="n">
        <v>3.5</v>
      </c>
      <c r="R24" s="38" t="n">
        <v>5.5</v>
      </c>
      <c r="S24" s="77" t="n">
        <v>5.5</v>
      </c>
      <c r="T24" s="78">
        <f>IF(OR($M24="",COUNT(N24,O24,P24,Q24,R24,S24)&lt;6),"",IFERROR(N24*INDEX(WM_C,MATCH($M24,WM_KEY,0))+O24*INDEX(WM_AU,MATCH($M24,WM_KEY,0))+P24*INDEX(WM_AC,MATCH($M24,WM_KEY,0))+Q24*INDEX(WM_L,MATCH($M24,WM_KEY,0))+R24*INDEX(WM_E,MATCH($M24,WM_KEY,0))+S24*INDEX(WM_BI,MATCH($M24,WM_KEY,0)),""))</f>
        <v>4.67</v>
      </c>
      <c r="U24" s="38" t="str">
        <f>IF(T24="","",INDEX({"A1","A2","A3","B1","B2","B3","C1","C2","D1","D2","E1","E2"},MAX(1,MIN(12,ROUND(T24,0)))))</f>
        <v>B2</v>
      </c>
      <c r="V24" s="12" t="inlineStr">
        <is>
          <r>
            <rPr>
              <rFont val="Calibri"/>
              <sz val="10"/>
            </rPr>
            <t xml:space="preserve">New level B2 · Senior Specialist. Current level on record: L5 – Manager. Change: • Same level.
Score 4.67 on the ladder scale → indicated level B2.
</t>
          </r>
          <r>
            <rPr>
              <rFont val="Calibri"/>
              <b val="1"/>
              <sz val="10"/>
            </rPr>
            <t>Weights:</t>
          </r>
          <r>
            <rPr>
              <rFont val="Calibri"/>
              <sz val="10"/>
            </rPr>
            <t xml:space="preserve"> Complexity 46% · Autonomy 22% · Accountability 10% · Experience 10% · Business impact 7% · Leadership 5%
</t>
          </r>
          <r>
            <rPr>
              <rFont val="Calibri"/>
              <b val="1"/>
              <sz val="10"/>
            </rPr>
            <t>Why:</t>
          </r>
          <r>
            <rPr>
              <rFont val="Calibri"/>
              <sz val="10"/>
            </rPr>
            <t xml:space="preserve"> specialists are judged mainly on depth of expertise, then on what they decide alone, what they answer for and their impact.
</t>
          </r>
          <r>
            <rPr>
              <rFont val="Calibri"/>
              <b val="1"/>
              <sz val="10"/>
            </rPr>
            <t>Type of work in the department:</t>
          </r>
          <r>
            <rPr>
              <rFont val="Calibri"/>
              <sz val="10"/>
            </rPr>
            <t xml:space="preserve"> product roles decide trade-offs, so Autonomy +5 and Complexity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24" s="12" t="inlineStr">
        <is>
          <r>
            <rPr>
              <rFont val="Calibri"/>
              <b val="1"/>
              <sz val="10"/>
            </rPr>
            <t>Complexity &amp; Expertise:</t>
          </r>
          <r>
            <rPr>
              <rFont val="Calibri"/>
              <sz val="10"/>
            </rPr>
            <t xml:space="preserve"> 4.5 of 12 · between B1 and B2 — Start: 5.0 · manager / senior specialist title; Evidence: rated like 3 colleagues in the same role and department · own answers too general to rate → moved −0.5; KRA: “% of users · Existing + new who have completed the Onboarding/Acquisition since launch of the new onboarding journey​ on 28th May 2026​…”
</t>
          </r>
          <r>
            <rPr>
              <rFont val="Calibri"/>
              <b val="1"/>
              <sz val="10"/>
            </rPr>
            <t>Autonomy &amp; Decision:</t>
          </r>
          <r>
            <rPr>
              <rFont val="Calibri"/>
              <sz val="10"/>
            </rPr>
            <t xml:space="preserve"> 4.5 of 12 · between B1 and B2 — Start: 5.0 · manager / senior specialist title; Evidence: rated like 3 colleagues in the same role and department · own answers too general to rate → moved −0.5
</t>
          </r>
          <r>
            <rPr>
              <rFont val="Calibri"/>
              <b val="1"/>
              <sz val="10"/>
            </rPr>
            <t>Accountability &amp; Impact:</t>
          </r>
          <r>
            <rPr>
              <rFont val="Calibri"/>
              <sz val="10"/>
            </rPr>
            <t xml:space="preserve"> 5 of 12 — Start: 5.0 · manager / senior specialist title; Evidence: rated like 3 colleagues in the same role and department · own answers too general to rate → no change; KRA: “% of users · Existing + new who have completed the Onboarding/Acquisition since launch of the new onboarding journey​ on 28th May 2026​…”
</t>
          </r>
          <r>
            <rPr>
              <rFont val="Calibri"/>
              <b val="1"/>
              <sz val="10"/>
            </rPr>
            <t>Leadership &amp; Strategy:</t>
          </r>
          <r>
            <rPr>
              <rFont val="Calibri"/>
              <sz val="10"/>
            </rPr>
            <t xml:space="preserve"> 3.5 of 12 · between A3 and B1 — Start: 4.0 · individual contributor, so influence only; Evidence: rated like 3 colleagues in the same role and department · own answers too general to rate → moved −0.5; Team: 0 direct reports · IC
</t>
          </r>
          <r>
            <rPr>
              <rFont val="Calibri"/>
              <b val="1"/>
              <sz val="10"/>
            </rPr>
            <t>Experience &amp; Qualification:</t>
          </r>
          <r>
            <rPr>
              <rFont val="Calibri"/>
              <sz val="10"/>
            </rPr>
            <t xml:space="preserve"> 5.5 of 12 · between B2 and B3 — Experience: 8.1 yrs total · 7.0 before IRIS + 1.1 at IRIS = 5.2 on the experience scale; Qualification: PGDM · postgraduate, relevant to the work → +0.5
</t>
          </r>
          <r>
            <rPr>
              <rFont val="Calibri"/>
              <b val="1"/>
              <sz val="10"/>
            </rPr>
            <t>Business Impact:</t>
          </r>
          <r>
            <rPr>
              <rFont val="Calibri"/>
              <sz val="10"/>
            </rPr>
            <t xml:space="preserve"> 5.5 of 12 — a starting estimate. — Start: 5, the role's accountability scope — what it answers for.; Moved +0.5: the survey / manager mapping marks it business-critical.; Managers and heads: overwrite this rating on the Weightage sheet with the business impact you see — the score updates at once.; Ladder: B2 = Visible effect on a team's or client portfolio's revenue, quality or compliance · B3 = Shapes the results of a practice or several teams</t>
          </r>
        </is>
      </c>
      <c r="X24" s="12" t="inlineStr">
        <is>
          <r>
            <rPr>
              <rFont val="Calibri"/>
              <b val="1"/>
              <sz val="10"/>
            </rPr>
            <t>Market level:</t>
          </r>
          <r>
            <rPr>
              <rFont val="Calibri"/>
              <sz val="10"/>
            </rPr>
            <t xml:space="preserve"> P4 / M3 · SFIA 4–5
</t>
          </r>
          <r>
            <rPr>
              <rFont val="Calibri"/>
              <b val="1"/>
              <sz val="10"/>
            </rPr>
            <t>Typical title:</t>
          </r>
          <r>
            <rPr>
              <rFont val="Calibri"/>
              <sz val="10"/>
            </rPr>
            <t xml:space="preserve"> Senior Product Manager
</t>
          </r>
          <r>
            <rPr>
              <rFont val="Calibri"/>
              <b val="1"/>
              <sz val="10"/>
            </rPr>
            <t>At peers:</t>
          </r>
          <r>
            <rPr>
              <rFont val="Calibri"/>
              <sz val="10"/>
            </rPr>
            <t xml:space="preserve"> IRIS Vs Competitor Benchmark — SaaS product ladder: Senior PM
</t>
          </r>
          <r>
            <rPr>
              <rFont val="Calibri"/>
              <b val="1"/>
              <sz val="10"/>
            </rPr>
            <t>Typical experience:</t>
          </r>
          <r>
            <rPr>
              <rFont val="Calibri"/>
              <sz val="10"/>
            </rPr>
            <t xml:space="preserve"> 6–10 yrs · IRIS guide 6–9
</t>
          </r>
          <r>
            <rPr>
              <rFont val="Calibri"/>
              <b val="1"/>
              <sz val="10"/>
            </rPr>
            <t>Standard:</t>
          </r>
          <r>
            <rPr>
              <rFont val="Calibri"/>
              <sz val="10"/>
            </rPr>
            <t xml:space="preserve"> Pragmatic Institute Framework; AIPMM</t>
          </r>
        </is>
      </c>
      <c r="Y24" s="12" t="inlineStr">
        <is>
          <r>
            <rPr>
              <rFont val="Calibri"/>
              <sz val="10"/>
            </rPr>
            <t xml:space="preserve">✓ HRIS: 8.1 yrs, PGDM, 0 direct reports
✓ Survey: 20 of 20 questions answered
✓ KRAs: self, manager-set, quarterly
✓ Manager mapping: rating, potential, 9-box
✗ Job description: not on file
</t>
          </r>
          <r>
            <rPr>
              <rFont val="Calibri"/>
              <b val="1"/>
              <sz val="10"/>
            </rPr>
            <t>Confidence:</t>
          </r>
          <r>
            <rPr>
              <rFont val="Calibri"/>
              <sz val="10"/>
            </rPr>
            <t xml:space="preserve"> Low</t>
          </r>
        </is>
      </c>
      <c r="Z24" s="81" t="inlineStr">
        <is>
          <r>
            <rPr>
              <rFont val="Calibri"/>
              <color rgb="009C5700"/>
              <sz val="10"/>
            </rPr>
            <t xml:space="preserve">• </t>
          </r>
          <r>
            <rPr>
              <rFont val="Calibri"/>
              <b val="1"/>
              <color rgb="009C5700"/>
              <sz val="10"/>
            </rPr>
            <t>Title check:</t>
          </r>
          <r>
            <rPr>
              <rFont val="Calibri"/>
              <color rgb="009C5700"/>
              <sz val="10"/>
            </rPr>
            <t xml:space="preserve"> Market-standard role title</t>
          </r>
        </is>
      </c>
      <c r="AA24" s="12" t="inlineStr">
        <is>
          <t>Nothing outstanding</t>
        </is>
      </c>
      <c r="AB24" s="12" t="inlineStr">
        <is>
          <r>
            <rPr>
              <rFont val="Calibri"/>
              <b val="1"/>
              <sz val="10"/>
            </rPr>
            <t>What the role answers for:</t>
          </r>
          <r>
            <rPr>
              <rFont val="Calibri"/>
              <sz val="10"/>
            </rPr>
            <t xml:space="preserve"> One team or a client portfolio.
</t>
          </r>
          <r>
            <rPr>
              <rFont val="Calibri"/>
              <b val="1"/>
              <sz val="10"/>
            </rPr>
            <t>Accountability &amp; Impact rating:</t>
          </r>
          <r>
            <rPr>
              <rFont val="Calibri"/>
              <sz val="10"/>
            </rPr>
            <t xml:space="preserve"> 5 of 12 · B2-level impact.
From the survey and manager mapping — critical role: yes; successor named: no.
</t>
          </r>
          <r>
            <rPr>
              <rFont val="Calibri"/>
              <b val="1"/>
              <sz val="10"/>
            </rPr>
            <t>If the work is missed · role-holders' themes:</t>
          </r>
          <r>
            <rPr>
              <rFont val="Calibri"/>
              <sz val="10"/>
            </rPr>
            <t xml:space="preserve"> delays · customer · delayed · revenue.
Manager talent mapping — Latest rating: 4 · Potential: High · 9-Box Grid placement: High Impact / Growth Talent.</t>
          </r>
        </is>
      </c>
      <c r="AC24" s="79" t="n"/>
      <c r="AD24" s="79" t="n"/>
      <c r="AE24" s="79" t="n"/>
      <c r="AF24" s="12" t="n">
        <v>5.5</v>
      </c>
    </row>
    <row r="25" ht="379" customHeight="1">
      <c r="A25" s="12" t="inlineStr">
        <is>
          <t>IRISDT0023</t>
        </is>
      </c>
      <c r="B25" s="10" t="inlineStr">
        <is>
          <t>Sachinam Sawant</t>
        </is>
      </c>
      <c r="C25" s="12" t="inlineStr">
        <is>
          <t>Product Management</t>
        </is>
      </c>
      <c r="D25" s="12" t="inlineStr">
        <is>
          <t>Regulatory &amp; Policy Lead</t>
        </is>
      </c>
      <c r="E25" s="75" t="inlineStr">
        <is>
          <t>Product Manager</t>
        </is>
      </c>
      <c r="F25" s="12" t="inlineStr">
        <is>
          <t>Product Management</t>
        </is>
      </c>
      <c r="G25" s="12" t="inlineStr">
        <is>
          <t>Product Management</t>
        </is>
      </c>
      <c r="H25" s="12" t="inlineStr">
        <is>
          <t>IC</t>
        </is>
      </c>
      <c r="I25" s="38" t="inlineStr">
        <is>
          <t>Not in current mapping files</t>
        </is>
      </c>
      <c r="J25" s="20" t="inlineStr">
        <is>
          <t>B2</t>
        </is>
      </c>
      <c r="K25" s="21" t="inlineStr">
        <is>
          <t>Senior Specialist</t>
        </is>
      </c>
      <c r="L25" s="83" t="inlineStr">
        <is>
          <t>● Newly mapped</t>
        </is>
      </c>
      <c r="M25" s="12" t="inlineStr">
        <is>
          <t>Datatech · Product Management · Band B · Expert / POD Lead</t>
        </is>
      </c>
      <c r="N25" s="38" t="n">
        <v>4.5</v>
      </c>
      <c r="O25" s="38" t="n">
        <v>4.5</v>
      </c>
      <c r="P25" s="38" t="n">
        <v>4.5</v>
      </c>
      <c r="Q25" s="38" t="n">
        <v>3.5</v>
      </c>
      <c r="R25" s="38" t="n">
        <v>5.5</v>
      </c>
      <c r="S25" s="77" t="n">
        <v>4.5</v>
      </c>
      <c r="T25" s="78">
        <f>IF(OR($M25="",COUNT(N25,O25,P25,Q25,R25,S25)&lt;6),"",IFERROR(N25*INDEX(WM_C,MATCH($M25,WM_KEY,0))+O25*INDEX(WM_AU,MATCH($M25,WM_KEY,0))+P25*INDEX(WM_AC,MATCH($M25,WM_KEY,0))+Q25*INDEX(WM_L,MATCH($M25,WM_KEY,0))+R25*INDEX(WM_E,MATCH($M25,WM_KEY,0))+S25*INDEX(WM_BI,MATCH($M25,WM_KEY,0)),""))</f>
        <v>4.55</v>
      </c>
      <c r="U25" s="38" t="str">
        <f>IF(T25="","",INDEX({"A1","A2","A3","B1","B2","B3","C1","C2","D1","D2","E1","E2"},MAX(1,MIN(12,ROUND(T25,0)))))</f>
        <v>B2</v>
      </c>
      <c r="V25" s="12" t="inlineStr">
        <is>
          <r>
            <rPr>
              <rFont val="Calibri"/>
              <sz val="10"/>
            </rPr>
            <t xml:space="preserve">New level B2 · Senior Specialist. Current level on record: Not in current mapping files. Change: ● Newly mapped.
Score 4.55 on the ladder scale → indicated level B2.
</t>
          </r>
          <r>
            <rPr>
              <rFont val="Calibri"/>
              <b val="1"/>
              <sz val="10"/>
            </rPr>
            <t>Weights:</t>
          </r>
          <r>
            <rPr>
              <rFont val="Calibri"/>
              <sz val="10"/>
            </rPr>
            <t xml:space="preserve"> Complexity 46% · Autonomy 22% · Accountability 10% · Experience 10% · Business impact 7% · Leadership 5%
</t>
          </r>
          <r>
            <rPr>
              <rFont val="Calibri"/>
              <b val="1"/>
              <sz val="10"/>
            </rPr>
            <t>Why:</t>
          </r>
          <r>
            <rPr>
              <rFont val="Calibri"/>
              <sz val="10"/>
            </rPr>
            <t xml:space="preserve"> specialists are judged mainly on depth of expertise, then on what they decide alone, what they answer for and their impact.
</t>
          </r>
          <r>
            <rPr>
              <rFont val="Calibri"/>
              <b val="1"/>
              <sz val="10"/>
            </rPr>
            <t>Type of work in the department:</t>
          </r>
          <r>
            <rPr>
              <rFont val="Calibri"/>
              <sz val="10"/>
            </rPr>
            <t xml:space="preserve"> product roles decide trade-offs, so Autonomy +5 and Complexity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 </t>
          </r>
          <r>
            <rPr>
              <rFont val="Calibri"/>
              <b val="1"/>
              <sz val="10"/>
            </rPr>
            <t>Provisional:</t>
          </r>
          <r>
            <rPr>
              <rFont val="Calibri"/>
              <sz val="10"/>
            </rPr>
            <t xml:space="preserve"> the experience record looks incomplete, so this level is kept until HR confirms it.
</t>
          </r>
          <r>
            <rPr>
              <rFont val="Calibri"/>
              <b val="1"/>
              <sz val="10"/>
            </rPr>
            <t>Final level:</t>
          </r>
          <r>
            <rPr>
              <rFont val="Calibri"/>
              <sz val="10"/>
            </rPr>
            <t xml:space="preserve"> B2.</t>
          </r>
        </is>
      </c>
      <c r="W25" s="12" t="inlineStr">
        <is>
          <r>
            <rPr>
              <rFont val="Calibri"/>
              <b val="1"/>
              <sz val="10"/>
            </rPr>
            <t>Complexity &amp; Expertise:</t>
          </r>
          <r>
            <rPr>
              <rFont val="Calibri"/>
              <sz val="10"/>
            </rPr>
            <t xml:space="preserve"> 4.5 of 12 · between B1 and B2 — Start: 5.0 · manager / senior specialist title; Evidence reads like B1: Interprets regulatory law changes, specifies software changes to developers, tests output, liaises with GSTIN → moved down 0.5
</t>
          </r>
          <r>
            <rPr>
              <rFont val="Calibri"/>
              <b val="1"/>
              <sz val="10"/>
            </rPr>
            <t>Autonomy &amp; Decision:</t>
          </r>
          <r>
            <rPr>
              <rFont val="Calibri"/>
              <sz val="10"/>
            </rPr>
            <t xml:space="preserve"> 4.5 of 12 · between B1 and B2 — Start: 5.0 · manager / senior specialist title; Evidence reads like A2: Only stated independent decision is attending knowledge webinars → moved down 0.5
</t>
          </r>
          <r>
            <rPr>
              <rFont val="Calibri"/>
              <b val="1"/>
              <sz val="10"/>
            </rPr>
            <t>Accountability &amp; Impact:</t>
          </r>
          <r>
            <rPr>
              <rFont val="Calibri"/>
              <sz val="10"/>
            </rPr>
            <t xml:space="preserve"> 4.5 of 12 · between B1 and B2 — Start: 5.0 · manager / senior specialist title; Evidence reads like A3: A wrong reading of the law leads to compliance problems for users → moved down 0.5
</t>
          </r>
          <r>
            <rPr>
              <rFont val="Calibri"/>
              <b val="1"/>
              <sz val="10"/>
            </rPr>
            <t>Leadership &amp; Strategy:</t>
          </r>
          <r>
            <rPr>
              <rFont val="Calibri"/>
              <sz val="10"/>
            </rPr>
            <t xml:space="preserve"> 3.5 of 12 · between A3 and B1 — Start: 4.0 · individual contributor, so influence only; Evidence reads like A1: Communicates with developers; no guidance or leadership of others described → moved down 0.5; Team: 0 direct reports · IC
</t>
          </r>
          <r>
            <rPr>
              <rFont val="Calibri"/>
              <b val="1"/>
              <sz val="10"/>
            </rPr>
            <t>Experience &amp; Qualification:</t>
          </r>
          <r>
            <rPr>
              <rFont val="Calibri"/>
              <sz val="10"/>
            </rPr>
            <t xml:space="preserve"> 5.5 of 12 · between B2 and B3 — Experience: not on record · input needed from HR, so set at the role's own level: it neither helps nor hurts; Qualification: CA · professional, relevant to the work → +1.0
</t>
          </r>
          <r>
            <rPr>
              <rFont val="Calibri"/>
              <b val="1"/>
              <sz val="10"/>
            </rPr>
            <t>Business Impact:</t>
          </r>
          <r>
            <rPr>
              <rFont val="Calibri"/>
              <sz val="10"/>
            </rPr>
            <t xml:space="preserve"> 4.5 of 12 — a starting estimate. — Start: 4.5, the role's accountability scope — what it answers for.; No survey or manager-mapping signal on criticality: kept at the start point.; Managers and heads: overwrite this rating on the Weightage sheet with the business impact you see — the score updates at once.; Ladder: B1 = Moves a module's, product area's or client account's results · B2 = Visible effect on a team's or client portfolio's revenue, quality or compliance</t>
          </r>
        </is>
      </c>
      <c r="X25" s="12" t="inlineStr">
        <is>
          <r>
            <rPr>
              <rFont val="Calibri"/>
              <b val="1"/>
              <sz val="10"/>
            </rPr>
            <t>Market level:</t>
          </r>
          <r>
            <rPr>
              <rFont val="Calibri"/>
              <sz val="10"/>
            </rPr>
            <t xml:space="preserve"> P4 / M3 · SFIA 4–5
</t>
          </r>
          <r>
            <rPr>
              <rFont val="Calibri"/>
              <b val="1"/>
              <sz val="10"/>
            </rPr>
            <t>Typical title:</t>
          </r>
          <r>
            <rPr>
              <rFont val="Calibri"/>
              <sz val="10"/>
            </rPr>
            <t xml:space="preserve"> Senior Product Manager
</t>
          </r>
          <r>
            <rPr>
              <rFont val="Calibri"/>
              <b val="1"/>
              <sz val="10"/>
            </rPr>
            <t>At peers:</t>
          </r>
          <r>
            <rPr>
              <rFont val="Calibri"/>
              <sz val="10"/>
            </rPr>
            <t xml:space="preserve"> IRIS Vs Competitor Benchmark — SaaS product ladder: Senior PM
</t>
          </r>
          <r>
            <rPr>
              <rFont val="Calibri"/>
              <b val="1"/>
              <sz val="10"/>
            </rPr>
            <t>Typical experience:</t>
          </r>
          <r>
            <rPr>
              <rFont val="Calibri"/>
              <sz val="10"/>
            </rPr>
            <t xml:space="preserve"> 6–10 yrs · IRIS guide 6–9
</t>
          </r>
          <r>
            <rPr>
              <rFont val="Calibri"/>
              <b val="1"/>
              <sz val="10"/>
            </rPr>
            <t>Standard:</t>
          </r>
          <r>
            <rPr>
              <rFont val="Calibri"/>
              <sz val="10"/>
            </rPr>
            <t xml:space="preserve"> Pragmatic Institute Framework; AIPMM</t>
          </r>
        </is>
      </c>
      <c r="Y25" s="12" t="inlineStr">
        <is>
          <r>
            <rPr>
              <rFont val="Calibri"/>
              <sz val="10"/>
            </rPr>
            <t xml:space="preserve">✗ HRIS: experience missing, CA, 0 direct reports
✓ Survey: 20 of 20 questions answered
✗ KRAs: none on file
✓ Manager mapping: rating, 9-box
✗ Job description: not on file
</t>
          </r>
          <r>
            <rPr>
              <rFont val="Calibri"/>
              <b val="1"/>
              <sz val="10"/>
            </rPr>
            <t>Confidence:</t>
          </r>
          <r>
            <rPr>
              <rFont val="Calibri"/>
              <sz val="10"/>
            </rPr>
            <t xml:space="preserve"> Low</t>
          </r>
        </is>
      </c>
      <c r="Z25" s="81" t="inlineStr">
        <is>
          <r>
            <rPr>
              <rFont val="Calibri"/>
              <color rgb="009C5700"/>
              <sz val="10"/>
            </rPr>
            <t xml:space="preserve">• </t>
          </r>
          <r>
            <rPr>
              <rFont val="Calibri"/>
              <b val="1"/>
              <color rgb="009C5700"/>
              <sz val="10"/>
            </rPr>
            <t>Provisional:</t>
          </r>
          <r>
            <rPr>
              <rFont val="Calibri"/>
              <color rgb="009C5700"/>
              <sz val="10"/>
            </rPr>
            <t xml:space="preserve"> experience to be confirmed by HR
• </t>
          </r>
          <r>
            <rPr>
              <rFont val="Calibri"/>
              <b val="1"/>
              <color rgb="009C5700"/>
              <sz val="10"/>
            </rPr>
            <t>Title check:</t>
          </r>
          <r>
            <rPr>
              <rFont val="Calibri"/>
              <color rgb="009C5700"/>
              <sz val="10"/>
            </rPr>
            <t xml:space="preserve"> Market-standard role title</t>
          </r>
        </is>
      </c>
      <c r="AA25" s="84" t="inlineStr">
        <is>
          <t>• Total experience · outside + at IRIS — HR — HRIS
• Confirm prior experience · provisional placement — HR</t>
        </is>
      </c>
      <c r="AB25" s="12" t="inlineStr">
        <is>
          <r>
            <rPr>
              <rFont val="Calibri"/>
              <b val="1"/>
              <sz val="10"/>
            </rPr>
            <t>What the role answers for:</t>
          </r>
          <r>
            <rPr>
              <rFont val="Calibri"/>
              <sz val="10"/>
            </rPr>
            <t xml:space="preserve"> One team or a client portfolio.
</t>
          </r>
          <r>
            <rPr>
              <rFont val="Calibri"/>
              <b val="1"/>
              <sz val="10"/>
            </rPr>
            <t>Accountability &amp; Impact rating:</t>
          </r>
          <r>
            <rPr>
              <rFont val="Calibri"/>
              <sz val="10"/>
            </rPr>
            <t xml:space="preserve"> 4.5 of 12 · B1-level impact.
</t>
          </r>
          <r>
            <rPr>
              <rFont val="Calibri"/>
              <b val="1"/>
              <sz val="10"/>
            </rPr>
            <t>If the work is missed · role-holders' themes:</t>
          </r>
          <r>
            <rPr>
              <rFont val="Calibri"/>
              <sz val="10"/>
            </rPr>
            <t xml:space="preserve"> delays · customer · delayed · revenue.
Manager talent mapping — Latest rating: Not rated · manager · 9-Box Grid placement: Not placed · manager.</t>
          </r>
        </is>
      </c>
      <c r="AC25" s="79" t="n"/>
      <c r="AD25" s="79" t="n"/>
      <c r="AE25" s="79" t="n"/>
      <c r="AF25" s="12" t="n">
        <v>4.5</v>
      </c>
    </row>
    <row r="26" ht="379" customHeight="1">
      <c r="A26" s="12" t="inlineStr">
        <is>
          <t>IRISDT0024</t>
        </is>
      </c>
      <c r="B26" s="10" t="inlineStr">
        <is>
          <t>Ayushi Maurya</t>
        </is>
      </c>
      <c r="C26" s="12" t="inlineStr">
        <is>
          <t>Product Management</t>
        </is>
      </c>
      <c r="D26" s="12" t="inlineStr">
        <is>
          <t>Product Manager</t>
        </is>
      </c>
      <c r="E26" s="75" t="inlineStr">
        <is>
          <t>Associate Product Manager</t>
        </is>
      </c>
      <c r="F26" s="12" t="inlineStr">
        <is>
          <t>Product Management</t>
        </is>
      </c>
      <c r="G26" s="12" t="inlineStr">
        <is>
          <t>Product Management</t>
        </is>
      </c>
      <c r="H26" s="12" t="inlineStr">
        <is>
          <t>IC</t>
        </is>
      </c>
      <c r="I26" s="38" t="inlineStr">
        <is>
          <t>Not in current mapping files</t>
        </is>
      </c>
      <c r="J26" s="20" t="inlineStr">
        <is>
          <t>B1</t>
        </is>
      </c>
      <c r="K26" s="21" t="inlineStr">
        <is>
          <t>Specialist</t>
        </is>
      </c>
      <c r="L26" s="83" t="inlineStr">
        <is>
          <t>● Newly mapped</t>
        </is>
      </c>
      <c r="M26" s="12" t="inlineStr">
        <is>
          <t>Datatech · Product Management · Band B · Expert / POD Lead</t>
        </is>
      </c>
      <c r="N26" s="38" t="n">
        <v>4</v>
      </c>
      <c r="O26" s="38" t="n">
        <v>4</v>
      </c>
      <c r="P26" s="38" t="n">
        <v>4</v>
      </c>
      <c r="Q26" s="38" t="n">
        <v>3</v>
      </c>
      <c r="R26" s="38" t="n">
        <v>4.5</v>
      </c>
      <c r="S26" s="77" t="n">
        <v>4</v>
      </c>
      <c r="T26" s="78">
        <f>IF(OR($M26="",COUNT(N26,O26,P26,Q26,R26,S26)&lt;6),"",IFERROR(N26*INDEX(WM_C,MATCH($M26,WM_KEY,0))+O26*INDEX(WM_AU,MATCH($M26,WM_KEY,0))+P26*INDEX(WM_AC,MATCH($M26,WM_KEY,0))+Q26*INDEX(WM_L,MATCH($M26,WM_KEY,0))+R26*INDEX(WM_E,MATCH($M26,WM_KEY,0))+S26*INDEX(WM_BI,MATCH($M26,WM_KEY,0)),""))</f>
        <v>4</v>
      </c>
      <c r="U26" s="38" t="str">
        <f>IF(T26="","",INDEX({"A1","A2","A3","B1","B2","B3","C1","C2","D1","D2","E1","E2"},MAX(1,MIN(12,ROUND(T26,0)))))</f>
        <v>B1</v>
      </c>
      <c r="V26" s="12" t="inlineStr">
        <is>
          <r>
            <rPr>
              <rFont val="Calibri"/>
              <sz val="10"/>
            </rPr>
            <t xml:space="preserve">New level B1 · Specialist. Current level on record: Not in current mapping files. Change: ● Newly mapped.
Score 4.00 on the ladder scale → indicated level B1.
</t>
          </r>
          <r>
            <rPr>
              <rFont val="Calibri"/>
              <b val="1"/>
              <sz val="10"/>
            </rPr>
            <t>Weights:</t>
          </r>
          <r>
            <rPr>
              <rFont val="Calibri"/>
              <sz val="10"/>
            </rPr>
            <t xml:space="preserve"> Complexity 46% · Autonomy 22% · Accountability 10% · Experience 10% · Business impact 7% · Leadership 5%
</t>
          </r>
          <r>
            <rPr>
              <rFont val="Calibri"/>
              <b val="1"/>
              <sz val="10"/>
            </rPr>
            <t>Why:</t>
          </r>
          <r>
            <rPr>
              <rFont val="Calibri"/>
              <sz val="10"/>
            </rPr>
            <t xml:space="preserve"> specialists are judged mainly on depth of expertise, then on what they decide alone, what they answer for and their impact.
</t>
          </r>
          <r>
            <rPr>
              <rFont val="Calibri"/>
              <b val="1"/>
              <sz val="10"/>
            </rPr>
            <t>Type of work in the department:</t>
          </r>
          <r>
            <rPr>
              <rFont val="Calibri"/>
              <sz val="10"/>
            </rPr>
            <t xml:space="preserve"> product roles decide trade-offs, so Autonomy +5 and Complexity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 </t>
          </r>
          <r>
            <rPr>
              <rFont val="Calibri"/>
              <b val="1"/>
              <sz val="10"/>
            </rPr>
            <t>Provisional:</t>
          </r>
          <r>
            <rPr>
              <rFont val="Calibri"/>
              <sz val="10"/>
            </rPr>
            <t xml:space="preserve"> the experience record looks incomplete, so this level is kept until HR confirms it.
</t>
          </r>
          <r>
            <rPr>
              <rFont val="Calibri"/>
              <b val="1"/>
              <sz val="10"/>
            </rPr>
            <t>Final level:</t>
          </r>
          <r>
            <rPr>
              <rFont val="Calibri"/>
              <sz val="10"/>
            </rPr>
            <t xml:space="preserve"> B1.</t>
          </r>
        </is>
      </c>
      <c r="W26" s="12" t="inlineStr">
        <is>
          <r>
            <rPr>
              <rFont val="Calibri"/>
              <b val="1"/>
              <sz val="10"/>
            </rPr>
            <t>Complexity &amp; Expertise:</t>
          </r>
          <r>
            <rPr>
              <rFont val="Calibri"/>
              <sz val="10"/>
            </rPr>
            <t xml:space="preserve"> 4 of 12 — Start: 5.0 · manager / senior specialist title; Evidence reads like A3: Primary and secondary research on new sectors, app engagement analysis, communication planning, sprint management → moved down 1
</t>
          </r>
          <r>
            <rPr>
              <rFont val="Calibri"/>
              <b val="1"/>
              <sz val="10"/>
            </rPr>
            <t>Autonomy &amp; Decision:</t>
          </r>
          <r>
            <rPr>
              <rFont val="Calibri"/>
              <sz val="10"/>
            </rPr>
            <t xml:space="preserve"> 4 of 12 — Start: 5.0 · manager / senior specialist title; Evidence reads like A2: Only stated independent decision is communication experiments → moved down 1
</t>
          </r>
          <r>
            <rPr>
              <rFont val="Calibri"/>
              <b val="1"/>
              <sz val="10"/>
            </rPr>
            <t>Accountability &amp; Impact:</t>
          </r>
          <r>
            <rPr>
              <rFont val="Calibri"/>
              <sz val="10"/>
            </rPr>
            <t xml:space="preserve"> 4 of 12 — Start: 5.0 · manager / senior specialist title; Evidence reads like A3: Accountable for app engagement and identifying the field for a new product launch → moved down 1
</t>
          </r>
          <r>
            <rPr>
              <rFont val="Calibri"/>
              <b val="1"/>
              <sz val="10"/>
            </rPr>
            <t>Leadership &amp; Strategy:</t>
          </r>
          <r>
            <rPr>
              <rFont val="Calibri"/>
              <sz val="10"/>
            </rPr>
            <t xml:space="preserve"> 3 of 12 — Start: 4.0 · individual contributor, so influence only; Evidence reads like A1: No guidance or leadership of others described → moved down 1; Team: 0 direct reports · IC
</t>
          </r>
          <r>
            <rPr>
              <rFont val="Calibri"/>
              <b val="1"/>
              <sz val="10"/>
            </rPr>
            <t>Experience &amp; Qualification:</t>
          </r>
          <r>
            <rPr>
              <rFont val="Calibri"/>
              <sz val="10"/>
            </rPr>
            <t xml:space="preserve"> 4.5 of 12 · between B1 and B2 — Experience: not on record · input needed from HR, so set at the role's own level: it neither helps nor hurts; Qualification: M.Tech · postgraduate, relevant to the work → +0.5
</t>
          </r>
          <r>
            <rPr>
              <rFont val="Calibri"/>
              <b val="1"/>
              <sz val="10"/>
            </rPr>
            <t>Business Impact:</t>
          </r>
          <r>
            <rPr>
              <rFont val="Calibri"/>
              <sz val="10"/>
            </rPr>
            <t xml:space="preserve"> 4 of 12 — a starting estimate. — Start: 4, the role's accountability scope — what it answers for.; No survey or manager-mapping signal on criticality: kept at the start point.; Managers and heads: overwrite this rating on the Weightage sheet with the business impact you see — the score updates at once.; Ladder: B1 = Moves a module's, product area's or client account's results</t>
          </r>
        </is>
      </c>
      <c r="X26" s="12" t="inlineStr">
        <is>
          <r>
            <rPr>
              <rFont val="Calibri"/>
              <b val="1"/>
              <sz val="10"/>
            </rPr>
            <t>Market level:</t>
          </r>
          <r>
            <rPr>
              <rFont val="Calibri"/>
              <sz val="10"/>
            </rPr>
            <t xml:space="preserve"> P3 / M2 · SFIA 4 Enable
</t>
          </r>
          <r>
            <rPr>
              <rFont val="Calibri"/>
              <b val="1"/>
              <sz val="10"/>
            </rPr>
            <t>Typical title:</t>
          </r>
          <r>
            <rPr>
              <rFont val="Calibri"/>
              <sz val="10"/>
            </rPr>
            <t xml:space="preserve"> Product Manager
</t>
          </r>
          <r>
            <rPr>
              <rFont val="Calibri"/>
              <b val="1"/>
              <sz val="10"/>
            </rPr>
            <t>At peers:</t>
          </r>
          <r>
            <rPr>
              <rFont val="Calibri"/>
              <sz val="10"/>
            </rPr>
            <t xml:space="preserve"> IRIS Vs Competitor Benchmark — SaaS product ladder: Product Manager
</t>
          </r>
          <r>
            <rPr>
              <rFont val="Calibri"/>
              <b val="1"/>
              <sz val="10"/>
            </rPr>
            <t>Typical experience:</t>
          </r>
          <r>
            <rPr>
              <rFont val="Calibri"/>
              <sz val="10"/>
            </rPr>
            <t xml:space="preserve"> 4–8 yrs · IRIS guide 4–7
</t>
          </r>
          <r>
            <rPr>
              <rFont val="Calibri"/>
              <b val="1"/>
              <sz val="10"/>
            </rPr>
            <t>Standard:</t>
          </r>
          <r>
            <rPr>
              <rFont val="Calibri"/>
              <sz val="10"/>
            </rPr>
            <t xml:space="preserve"> Pragmatic Institute Framework; AIPMM</t>
          </r>
        </is>
      </c>
      <c r="Y26" s="12" t="inlineStr">
        <is>
          <r>
            <rPr>
              <rFont val="Calibri"/>
              <sz val="10"/>
            </rPr>
            <t xml:space="preserve">✗ HRIS: experience missing, M.Tech, 0 direct reports
✓ Survey: 20 of 20 questions answered
✗ KRAs: none on file
✓ Manager mapping: rating, 9-box
✗ Job description: not on file
</t>
          </r>
          <r>
            <rPr>
              <rFont val="Calibri"/>
              <b val="1"/>
              <sz val="10"/>
            </rPr>
            <t>Confidence:</t>
          </r>
          <r>
            <rPr>
              <rFont val="Calibri"/>
              <sz val="10"/>
            </rPr>
            <t xml:space="preserve"> Low</t>
          </r>
        </is>
      </c>
      <c r="Z26" s="81" t="inlineStr">
        <is>
          <r>
            <rPr>
              <rFont val="Calibri"/>
              <color rgb="009C5700"/>
              <sz val="10"/>
            </rPr>
            <t xml:space="preserve">• </t>
          </r>
          <r>
            <rPr>
              <rFont val="Calibri"/>
              <b val="1"/>
              <color rgb="009C5700"/>
              <sz val="10"/>
            </rPr>
            <t>Provisional:</t>
          </r>
          <r>
            <rPr>
              <rFont val="Calibri"/>
              <color rgb="009C5700"/>
              <sz val="10"/>
            </rPr>
            <t xml:space="preserve"> experience to be confirmed by HR
• </t>
          </r>
          <r>
            <rPr>
              <rFont val="Calibri"/>
              <b val="1"/>
              <color rgb="009C5700"/>
              <sz val="10"/>
            </rPr>
            <t>Title check:</t>
          </r>
          <r>
            <rPr>
              <rFont val="Calibri"/>
              <color rgb="009C5700"/>
              <sz val="10"/>
            </rPr>
            <t xml:space="preserve"> Market-standard role title</t>
          </r>
        </is>
      </c>
      <c r="AA26" s="84" t="inlineStr">
        <is>
          <t>• Total experience · outside + at IRIS — HR — HRIS
• Confirm prior experience · provisional placement — HR</t>
        </is>
      </c>
      <c r="AB26" s="12" t="inlineStr">
        <is>
          <r>
            <rPr>
              <rFont val="Calibri"/>
              <b val="1"/>
              <sz val="10"/>
            </rPr>
            <t>What the role answers for:</t>
          </r>
          <r>
            <rPr>
              <rFont val="Calibri"/>
              <sz val="10"/>
            </rPr>
            <t xml:space="preserve"> A domain or a small team.
</t>
          </r>
          <r>
            <rPr>
              <rFont val="Calibri"/>
              <b val="1"/>
              <sz val="10"/>
            </rPr>
            <t>Accountability &amp; Impact rating:</t>
          </r>
          <r>
            <rPr>
              <rFont val="Calibri"/>
              <sz val="10"/>
            </rPr>
            <t xml:space="preserve"> 4 of 12 · B1-level impact.
</t>
          </r>
          <r>
            <rPr>
              <rFont val="Calibri"/>
              <b val="1"/>
              <sz val="10"/>
            </rPr>
            <t>If the work is missed · role-holders' themes:</t>
          </r>
          <r>
            <rPr>
              <rFont val="Calibri"/>
              <sz val="10"/>
            </rPr>
            <t xml:space="preserve"> delayed · roadmap · customer.
Manager talent mapping — Latest rating: Not rated · manager · 9-Box Grid placement: Not placed · manager.</t>
          </r>
        </is>
      </c>
      <c r="AC26" s="79" t="n"/>
      <c r="AD26" s="79" t="n"/>
      <c r="AE26" s="79" t="n"/>
      <c r="AF26" s="12" t="n">
        <v>4</v>
      </c>
    </row>
    <row r="27" ht="379" customHeight="1">
      <c r="A27" s="12" t="inlineStr">
        <is>
          <t>IRISDT0021</t>
        </is>
      </c>
      <c r="B27" s="10" t="inlineStr">
        <is>
          <t>Gaurav Bansal</t>
        </is>
      </c>
      <c r="C27" s="12" t="inlineStr">
        <is>
          <t>Product Management</t>
        </is>
      </c>
      <c r="D27" s="12" t="inlineStr">
        <is>
          <t>Product Manager</t>
        </is>
      </c>
      <c r="E27" s="75" t="inlineStr">
        <is>
          <t>Associate Product Manager</t>
        </is>
      </c>
      <c r="F27" s="12" t="inlineStr">
        <is>
          <t>Product Management</t>
        </is>
      </c>
      <c r="G27" s="12" t="inlineStr">
        <is>
          <t>Product Management</t>
        </is>
      </c>
      <c r="H27" s="12" t="inlineStr">
        <is>
          <t>IC</t>
        </is>
      </c>
      <c r="I27" s="38" t="inlineStr">
        <is>
          <t>Not in current mapping files</t>
        </is>
      </c>
      <c r="J27" s="20" t="inlineStr">
        <is>
          <t>B1</t>
        </is>
      </c>
      <c r="K27" s="21" t="inlineStr">
        <is>
          <t>Specialist</t>
        </is>
      </c>
      <c r="L27" s="83" t="inlineStr">
        <is>
          <t>● Newly mapped</t>
        </is>
      </c>
      <c r="M27" s="12" t="inlineStr">
        <is>
          <t>Datatech · Product Management · Band B · Expert / POD Lead</t>
        </is>
      </c>
      <c r="N27" s="38" t="n">
        <v>4.5</v>
      </c>
      <c r="O27" s="38" t="n">
        <v>4.5</v>
      </c>
      <c r="P27" s="38" t="n">
        <v>4.5</v>
      </c>
      <c r="Q27" s="38" t="n">
        <v>3.5</v>
      </c>
      <c r="R27" s="38" t="n">
        <v>2.5</v>
      </c>
      <c r="S27" s="77" t="n">
        <v>4.5</v>
      </c>
      <c r="T27" s="78">
        <f>IF(OR($M27="",COUNT(N27,O27,P27,Q27,R27,S27)&lt;6),"",IFERROR(N27*INDEX(WM_C,MATCH($M27,WM_KEY,0))+O27*INDEX(WM_AU,MATCH($M27,WM_KEY,0))+P27*INDEX(WM_AC,MATCH($M27,WM_KEY,0))+Q27*INDEX(WM_L,MATCH($M27,WM_KEY,0))+R27*INDEX(WM_E,MATCH($M27,WM_KEY,0))+S27*INDEX(WM_BI,MATCH($M27,WM_KEY,0)),""))</f>
        <v>4.25</v>
      </c>
      <c r="U27" s="38" t="str">
        <f>IF(T27="","",INDEX({"A1","A2","A3","B1","B2","B3","C1","C2","D1","D2","E1","E2"},MAX(1,MIN(12,ROUND(T27,0)))))</f>
        <v>B1</v>
      </c>
      <c r="V27" s="12" t="inlineStr">
        <is>
          <r>
            <rPr>
              <rFont val="Calibri"/>
              <sz val="10"/>
            </rPr>
            <t xml:space="preserve">New level B1 · Specialist. Current level on record: Not in current mapping files. Change: ● Newly mapped.
Score 4.25 on the ladder scale → indicated level B1.
</t>
          </r>
          <r>
            <rPr>
              <rFont val="Calibri"/>
              <b val="1"/>
              <sz val="10"/>
            </rPr>
            <t>Weights:</t>
          </r>
          <r>
            <rPr>
              <rFont val="Calibri"/>
              <sz val="10"/>
            </rPr>
            <t xml:space="preserve"> Complexity 46% · Autonomy 22% · Accountability 10% · Experience 10% · Business impact 7% · Leadership 5%
</t>
          </r>
          <r>
            <rPr>
              <rFont val="Calibri"/>
              <b val="1"/>
              <sz val="10"/>
            </rPr>
            <t>Why:</t>
          </r>
          <r>
            <rPr>
              <rFont val="Calibri"/>
              <sz val="10"/>
            </rPr>
            <t xml:space="preserve"> specialists are judged mainly on depth of expertise, then on what they decide alone, what they answer for and their impact.
</t>
          </r>
          <r>
            <rPr>
              <rFont val="Calibri"/>
              <b val="1"/>
              <sz val="10"/>
            </rPr>
            <t>Type of work in the department:</t>
          </r>
          <r>
            <rPr>
              <rFont val="Calibri"/>
              <sz val="10"/>
            </rPr>
            <t xml:space="preserve"> product roles decide trade-offs, so Autonomy +5 and Complexity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27" s="12" t="inlineStr">
        <is>
          <r>
            <rPr>
              <rFont val="Calibri"/>
              <b val="1"/>
              <sz val="10"/>
            </rPr>
            <t>Complexity &amp; Expertise:</t>
          </r>
          <r>
            <rPr>
              <rFont val="Calibri"/>
              <sz val="10"/>
            </rPr>
            <t xml:space="preserve"> 4.5 of 12 · between B1 and B2 — Start: 5.0 · manager / senior specialist title; Evidence reads like A3: Product work for the SCF vertical: research, target audience, performance tracking, QA; few specifics → moved down 0.5
</t>
          </r>
          <r>
            <rPr>
              <rFont val="Calibri"/>
              <b val="1"/>
              <sz val="10"/>
            </rPr>
            <t>Autonomy &amp; Decision:</t>
          </r>
          <r>
            <rPr>
              <rFont val="Calibri"/>
              <sz val="10"/>
            </rPr>
            <t xml:space="preserve"> 4.5 of 12 · between B1 and B2 — Start: 5.0 · manager / senior specialist title; Evidence reads like A3: Decides the target audience for the SCF product → moved down 0.5
</t>
          </r>
          <r>
            <rPr>
              <rFont val="Calibri"/>
              <b val="1"/>
              <sz val="10"/>
            </rPr>
            <t>Accountability &amp; Impact:</t>
          </r>
          <r>
            <rPr>
              <rFont val="Calibri"/>
              <sz val="10"/>
            </rPr>
            <t xml:space="preserve"> 4.5 of 12 · between B1 and B2 — Start: 5.0 · manager / senior specialist title; Evidence reads like B1: Owns the supply chain finance product and its monetisation → moved down 0.5
</t>
          </r>
          <r>
            <rPr>
              <rFont val="Calibri"/>
              <b val="1"/>
              <sz val="10"/>
            </rPr>
            <t>Leadership &amp; Strategy:</t>
          </r>
          <r>
            <rPr>
              <rFont val="Calibri"/>
              <sz val="10"/>
            </rPr>
            <t xml:space="preserve"> 3.5 of 12 · between A3 and B1 — Start: 4.0 · individual contributor, so influence only; Evidence reads like A1: Coordinates with sales, operations, dev and design; no guidance of others described → moved down 0.5; Team: 0 direct reports · IC
</t>
          </r>
          <r>
            <rPr>
              <rFont val="Calibri"/>
              <b val="1"/>
              <sz val="10"/>
            </rPr>
            <t>Experience &amp; Qualification:</t>
          </r>
          <r>
            <rPr>
              <rFont val="Calibri"/>
              <sz val="10"/>
            </rPr>
            <t xml:space="preserve"> 2.5 of 12 · between A2 and A3 — Experience: 2.4 yrs total · 2.2 before IRIS + 0.2 at IRIS = 2.7 on the experience scale; Qualification: B.Tech · graduate → no change
</t>
          </r>
          <r>
            <rPr>
              <rFont val="Calibri"/>
              <b val="1"/>
              <sz val="10"/>
            </rPr>
            <t>Business Impact:</t>
          </r>
          <r>
            <rPr>
              <rFont val="Calibri"/>
              <sz val="10"/>
            </rPr>
            <t xml:space="preserve"> 4.5 of 12 — a starting estimate. — Start: 4.5, the role's accountability scope — what it answers for.; No survey or manager-mapping signal on criticality: kept at the start point.; Managers and heads: overwrite this rating on the Weightage sheet with the business impact you see — the score updates at once.; Ladder: B1 = Moves a module's, product area's or client account's results · B2 = Visible effect on a team's or client portfolio's revenue, quality or compliance</t>
          </r>
        </is>
      </c>
      <c r="X27" s="12" t="inlineStr">
        <is>
          <r>
            <rPr>
              <rFont val="Calibri"/>
              <b val="1"/>
              <sz val="10"/>
            </rPr>
            <t>Market level:</t>
          </r>
          <r>
            <rPr>
              <rFont val="Calibri"/>
              <sz val="10"/>
            </rPr>
            <t xml:space="preserve"> P3 / M2 · SFIA 4 Enable
</t>
          </r>
          <r>
            <rPr>
              <rFont val="Calibri"/>
              <b val="1"/>
              <sz val="10"/>
            </rPr>
            <t>Typical title:</t>
          </r>
          <r>
            <rPr>
              <rFont val="Calibri"/>
              <sz val="10"/>
            </rPr>
            <t xml:space="preserve"> Product Manager
</t>
          </r>
          <r>
            <rPr>
              <rFont val="Calibri"/>
              <b val="1"/>
              <sz val="10"/>
            </rPr>
            <t>At peers:</t>
          </r>
          <r>
            <rPr>
              <rFont val="Calibri"/>
              <sz val="10"/>
            </rPr>
            <t xml:space="preserve"> IRIS Vs Competitor Benchmark — SaaS product ladder: Product Manager
</t>
          </r>
          <r>
            <rPr>
              <rFont val="Calibri"/>
              <b val="1"/>
              <sz val="10"/>
            </rPr>
            <t>Typical experience:</t>
          </r>
          <r>
            <rPr>
              <rFont val="Calibri"/>
              <sz val="10"/>
            </rPr>
            <t xml:space="preserve"> 4–8 yrs · IRIS guide 4–7
</t>
          </r>
          <r>
            <rPr>
              <rFont val="Calibri"/>
              <b val="1"/>
              <sz val="10"/>
            </rPr>
            <t>Standard:</t>
          </r>
          <r>
            <rPr>
              <rFont val="Calibri"/>
              <sz val="10"/>
            </rPr>
            <t xml:space="preserve"> Pragmatic Institute Framework; AIPMM</t>
          </r>
        </is>
      </c>
      <c r="Y27" s="12" t="inlineStr">
        <is>
          <r>
            <rPr>
              <rFont val="Calibri"/>
              <sz val="10"/>
            </rPr>
            <t xml:space="preserve">✓ HRIS: 2.4 yrs, B.Tech, 0 direct reports
✓ Survey: 20 of 20 questions answered
✗ KRAs: none on file
✓ Manager mapping: rating, 9-box
✗ Job description: not on file
</t>
          </r>
          <r>
            <rPr>
              <rFont val="Calibri"/>
              <b val="1"/>
              <sz val="10"/>
            </rPr>
            <t>Confidence:</t>
          </r>
          <r>
            <rPr>
              <rFont val="Calibri"/>
              <sz val="10"/>
            </rPr>
            <t xml:space="preserve"> Medium</t>
          </r>
        </is>
      </c>
      <c r="Z27" s="81" t="inlineStr">
        <is>
          <r>
            <rPr>
              <rFont val="Calibri"/>
              <color rgb="009C5700"/>
              <sz val="10"/>
            </rPr>
            <t xml:space="preserve">• </t>
          </r>
          <r>
            <rPr>
              <rFont val="Calibri"/>
              <b val="1"/>
              <color rgb="009C5700"/>
              <sz val="10"/>
            </rPr>
            <t>Title check:</t>
          </r>
          <r>
            <rPr>
              <rFont val="Calibri"/>
              <color rgb="009C5700"/>
              <sz val="10"/>
            </rPr>
            <t xml:space="preserve"> Market-standard role title</t>
          </r>
        </is>
      </c>
      <c r="AA27" s="12" t="inlineStr">
        <is>
          <t>Nothing outstanding</t>
        </is>
      </c>
      <c r="AB27" s="12" t="inlineStr">
        <is>
          <r>
            <rPr>
              <rFont val="Calibri"/>
              <b val="1"/>
              <sz val="10"/>
            </rPr>
            <t>What the role answers for:</t>
          </r>
          <r>
            <rPr>
              <rFont val="Calibri"/>
              <sz val="10"/>
            </rPr>
            <t xml:space="preserve"> A domain or a small team.
</t>
          </r>
          <r>
            <rPr>
              <rFont val="Calibri"/>
              <b val="1"/>
              <sz val="10"/>
            </rPr>
            <t>Accountability &amp; Impact rating:</t>
          </r>
          <r>
            <rPr>
              <rFont val="Calibri"/>
              <sz val="10"/>
            </rPr>
            <t xml:space="preserve"> 4.5 of 12 · B1-level impact.
</t>
          </r>
          <r>
            <rPr>
              <rFont val="Calibri"/>
              <b val="1"/>
              <sz val="10"/>
            </rPr>
            <t>If the work is missed · role-holders' themes:</t>
          </r>
          <r>
            <rPr>
              <rFont val="Calibri"/>
              <sz val="10"/>
            </rPr>
            <t xml:space="preserve"> delayed · roadmap · customer.
Manager talent mapping — Latest rating: Not rated · manager · 9-Box Grid placement: Not placed · manager.</t>
          </r>
        </is>
      </c>
      <c r="AC27" s="79" t="n"/>
      <c r="AD27" s="79" t="n"/>
      <c r="AE27" s="79" t="n"/>
      <c r="AF27" s="12" t="n">
        <v>4.5</v>
      </c>
    </row>
    <row r="28" ht="379" customHeight="1">
      <c r="A28" s="12" t="inlineStr">
        <is>
          <t>IRISDTC005</t>
        </is>
      </c>
      <c r="B28" s="10" t="inlineStr">
        <is>
          <t>Smita Londhe</t>
        </is>
      </c>
      <c r="C28" s="12" t="inlineStr">
        <is>
          <t>Quality Assurance</t>
        </is>
      </c>
      <c r="D28" s="12" t="inlineStr">
        <is>
          <t>QA Engineer</t>
        </is>
      </c>
      <c r="E28" s="75" t="inlineStr">
        <is>
          <t>Senior QA Automation Engineer</t>
        </is>
      </c>
      <c r="F28" s="12" t="inlineStr">
        <is>
          <t>Quality Assurance</t>
        </is>
      </c>
      <c r="G28" s="12" t="inlineStr">
        <is>
          <t>Test Automation</t>
        </is>
      </c>
      <c r="H28" s="12" t="inlineStr">
        <is>
          <t>IC</t>
        </is>
      </c>
      <c r="I28" s="38" t="inlineStr">
        <is>
          <t>Not in current mapping files</t>
        </is>
      </c>
      <c r="J28" s="16" t="inlineStr">
        <is>
          <t>A3</t>
        </is>
      </c>
      <c r="K28" s="17" t="inlineStr">
        <is>
          <t>Senior Associate</t>
        </is>
      </c>
      <c r="L28" s="83" t="inlineStr">
        <is>
          <t>● Newly mapped</t>
        </is>
      </c>
      <c r="M28" s="12" t="inlineStr">
        <is>
          <t>Datatech · Quality Assurance · Band A · Early career</t>
        </is>
      </c>
      <c r="N28" s="38" t="n">
        <v>2</v>
      </c>
      <c r="O28" s="38" t="n">
        <v>2</v>
      </c>
      <c r="P28" s="38" t="n">
        <v>2.5</v>
      </c>
      <c r="Q28" s="38" t="n">
        <v>1</v>
      </c>
      <c r="R28" s="38" t="n">
        <v>4</v>
      </c>
      <c r="S28" s="77" t="n">
        <v>2.5</v>
      </c>
      <c r="T28" s="78">
        <f>IF(OR($M28="",COUNT(N28,O28,P28,Q28,R28,S28)&lt;6),"",IFERROR(N28*INDEX(WM_C,MATCH($M28,WM_KEY,0))+O28*INDEX(WM_AU,MATCH($M28,WM_KEY,0))+P28*INDEX(WM_AC,MATCH($M28,WM_KEY,0))+Q28*INDEX(WM_L,MATCH($M28,WM_KEY,0))+R28*INDEX(WM_E,MATCH($M28,WM_KEY,0))+S28*INDEX(WM_BI,MATCH($M28,WM_KEY,0)),""))</f>
        <v>2.25</v>
      </c>
      <c r="U28" s="38" t="str">
        <f>IF(T28="","",INDEX({"A1","A2","A3","B1","B2","B3","C1","C2","D1","D2","E1","E2"},MAX(1,MIN(12,ROUND(T28,0)))))</f>
        <v>A2</v>
      </c>
      <c r="V28" s="12" t="inlineStr">
        <is>
          <r>
            <rPr>
              <rFont val="Calibri"/>
              <sz val="10"/>
            </rPr>
            <t xml:space="preserve">New level A3 · Senior Associate. Current level on record: Not in current mapping files. Change: ● Newly mapped.
Score 2.25 on the ladder scale → indicated level A2.
</t>
          </r>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 </t>
          </r>
          <r>
            <rPr>
              <rFont val="Calibri"/>
              <b val="1"/>
              <sz val="10"/>
            </rPr>
            <t>Raised to A3:</t>
          </r>
          <r>
            <rPr>
              <rFont val="Calibri"/>
              <sz val="10"/>
            </rPr>
            <t xml:space="preserve"> 3.7 years' experience is 2 years or more.
</t>
          </r>
          <r>
            <rPr>
              <rFont val="Calibri"/>
              <b val="1"/>
              <sz val="10"/>
            </rPr>
            <t>Final level:</t>
          </r>
          <r>
            <rPr>
              <rFont val="Calibri"/>
              <sz val="10"/>
            </rPr>
            <t xml:space="preserve"> A3.</t>
          </r>
        </is>
      </c>
      <c r="W28" s="12" t="inlineStr">
        <is>
          <r>
            <rPr>
              <rFont val="Calibri"/>
              <b val="1"/>
              <sz val="10"/>
            </rPr>
            <t>Complexity &amp; Expertise:</t>
          </r>
          <r>
            <rPr>
              <rFont val="Calibri"/>
              <sz val="10"/>
            </rPr>
            <t xml:space="preserve"> 2 of 12 — Start: 2.0 · practitioner title; Evidence reads like A2: Manual, API, mobile, functional and regression testing with some automation; described generically → matches the start
</t>
          </r>
          <r>
            <rPr>
              <rFont val="Calibri"/>
              <b val="1"/>
              <sz val="10"/>
            </rPr>
            <t>Autonomy &amp; Decision:</t>
          </r>
          <r>
            <rPr>
              <rFont val="Calibri"/>
              <sz val="10"/>
            </rPr>
            <t xml:space="preserve"> 2 of 12 — Start: 2.0 · practitioner title; Evidence reads like A2: States 'scope and defect decision' only; no detail → matches the start
</t>
          </r>
          <r>
            <rPr>
              <rFont val="Calibri"/>
              <b val="1"/>
              <sz val="10"/>
            </rPr>
            <t>Accountability &amp; Impact:</t>
          </r>
          <r>
            <rPr>
              <rFont val="Calibri"/>
              <sz val="10"/>
            </rPr>
            <t xml:space="preserve"> 2.5 of 12 · between A2 and A3 — Start: 2.0 · practitioner title; Evidence reads like A3: Accountable for release validation and QA sign-off before production → moved up 0.5
</t>
          </r>
          <r>
            <rPr>
              <rFont val="Calibri"/>
              <b val="1"/>
              <sz val="10"/>
            </rPr>
            <t>Leadership &amp; Strategy:</t>
          </r>
          <r>
            <rPr>
              <rFont val="Calibri"/>
              <sz val="10"/>
            </rPr>
            <t xml:space="preserve"> 1 of 12 — not counted: the weight is 0% at this level — Start: 1.0 · individual contributor, so influence only; Evidence reads like A1: No guiding or leading of others described → matches the start; Team: 0 direct reports · IC
</t>
          </r>
          <r>
            <rPr>
              <rFont val="Calibri"/>
              <b val="1"/>
              <sz val="10"/>
            </rPr>
            <t>Experience &amp; Qualification:</t>
          </r>
          <r>
            <rPr>
              <rFont val="Calibri"/>
              <sz val="10"/>
            </rPr>
            <t xml:space="preserve"> 4 of 12 — Experience: 3.7 yrs total · 3.6 before IRIS + 0.1 at IRIS = 3.3 on the experience scale; Note: the record looks incomplete, so this is a minimum · HR to confirm; Qualification: M.E · postgraduate, relevant to the work → +0.5
</t>
          </r>
          <r>
            <rPr>
              <rFont val="Calibri"/>
              <b val="1"/>
              <sz val="10"/>
            </rPr>
            <t>Business Impact:</t>
          </r>
          <r>
            <rPr>
              <rFont val="Calibri"/>
              <sz val="10"/>
            </rPr>
            <t xml:space="preserve"> 2.5 of 12 — a starting estimate. — Start: 2.5,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 · A3 = A process or client deliverable depends on this work</t>
          </r>
        </is>
      </c>
      <c r="X28" s="12" t="inlineStr">
        <is>
          <r>
            <rPr>
              <rFont val="Calibri"/>
              <b val="1"/>
              <sz val="10"/>
            </rPr>
            <t>Market level:</t>
          </r>
          <r>
            <rPr>
              <rFont val="Calibri"/>
              <sz val="10"/>
            </rPr>
            <t xml:space="preserve"> P2 · SFIA 3 Apply
</t>
          </r>
          <r>
            <rPr>
              <rFont val="Calibri"/>
              <b val="1"/>
              <sz val="10"/>
            </rPr>
            <t>Typical title:</t>
          </r>
          <r>
            <rPr>
              <rFont val="Calibri"/>
              <sz val="10"/>
            </rPr>
            <t xml:space="preserve"> QA Engineer
</t>
          </r>
          <r>
            <rPr>
              <rFont val="Calibri"/>
              <b val="1"/>
              <sz val="10"/>
            </rPr>
            <t>At peers:</t>
          </r>
          <r>
            <rPr>
              <rFont val="Calibri"/>
              <sz val="10"/>
            </rPr>
            <t xml:space="preserve"> Workiva – SE · Broadridge India – SE · Nasdaq / AxiomSL – SE
</t>
          </r>
          <r>
            <rPr>
              <rFont val="Calibri"/>
              <b val="1"/>
              <sz val="10"/>
            </rPr>
            <t>Typical experience:</t>
          </r>
          <r>
            <rPr>
              <rFont val="Calibri"/>
              <sz val="10"/>
            </rPr>
            <t xml:space="preserve"> 2–5 yrs · IRIS guide 2–4
</t>
          </r>
          <r>
            <rPr>
              <rFont val="Calibri"/>
              <b val="1"/>
              <sz val="10"/>
            </rPr>
            <t>Standard:</t>
          </r>
          <r>
            <rPr>
              <rFont val="Calibri"/>
              <sz val="10"/>
            </rPr>
            <t xml:space="preserve"> ISTQB Foundation → Advanced → Expert; SFIA testing</t>
          </r>
        </is>
      </c>
      <c r="Y28" s="12" t="inlineStr">
        <is>
          <r>
            <rPr>
              <rFont val="Calibri"/>
              <sz val="10"/>
            </rPr>
            <t xml:space="preserve">✓ HRIS: 3.7 yrs, M.E, 0 direct reports
✓ Survey: 20 of 20 questions answered
✗ KRAs: none on file
✓ Manager mapping: rating, 9-box
✗ Job description: not on file
</t>
          </r>
          <r>
            <rPr>
              <rFont val="Calibri"/>
              <b val="1"/>
              <sz val="10"/>
            </rPr>
            <t>Confidence:</t>
          </r>
          <r>
            <rPr>
              <rFont val="Calibri"/>
              <sz val="10"/>
            </rPr>
            <t xml:space="preserve"> Low</t>
          </r>
        </is>
      </c>
      <c r="Z28" s="12" t="inlineStr">
        <is>
          <t>—</t>
        </is>
      </c>
      <c r="AA28" s="84" t="inlineStr">
        <is>
          <t>• Correct the experience record — HR</t>
        </is>
      </c>
      <c r="AB28"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2.5 of 12 · A2-level impact.
</t>
          </r>
          <r>
            <rPr>
              <rFont val="Calibri"/>
              <b val="1"/>
              <sz val="10"/>
            </rPr>
            <t>If the work is missed · role-holders' themes:</t>
          </r>
          <r>
            <rPr>
              <rFont val="Calibri"/>
              <sz val="10"/>
            </rPr>
            <t xml:space="preserve"> testing · product · defects.
</t>
          </r>
          <r>
            <rPr>
              <rFont val="Calibri"/>
              <b val="1"/>
              <sz val="10"/>
            </rPr>
            <t>Measured on · manager-set KRA themes:</t>
          </r>
          <r>
            <rPr>
              <rFont val="Calibri"/>
              <sz val="10"/>
            </rPr>
            <t xml:space="preserve"> test coverage · business · automation · knowledge · activities · comprehensive.
Manager talent mapping — Latest rating: Not rated · manager · 9-Box Grid placement: Not placed · manager.</t>
          </r>
        </is>
      </c>
      <c r="AC28" s="79" t="n"/>
      <c r="AD28" s="79" t="n"/>
      <c r="AE28" s="79" t="n"/>
      <c r="AF28" s="12" t="n">
        <v>2.5</v>
      </c>
    </row>
    <row r="29" ht="379" customHeight="1">
      <c r="A29" s="12" t="inlineStr">
        <is>
          <t>IRISDT0014</t>
        </is>
      </c>
      <c r="B29" s="10" t="inlineStr">
        <is>
          <t>Supriya Patil</t>
        </is>
      </c>
      <c r="C29" s="12" t="inlineStr">
        <is>
          <t>Quality Assurance</t>
        </is>
      </c>
      <c r="D29" s="12" t="inlineStr">
        <is>
          <t>QA Engineer</t>
        </is>
      </c>
      <c r="E29" s="75" t="inlineStr">
        <is>
          <t>Senior QA Engineer</t>
        </is>
      </c>
      <c r="F29" s="12" t="inlineStr">
        <is>
          <t>Quality Assurance</t>
        </is>
      </c>
      <c r="G29" s="12" t="inlineStr">
        <is>
          <t>Functional &amp; Domain Testing</t>
        </is>
      </c>
      <c r="H29" s="12" t="inlineStr">
        <is>
          <t>IC</t>
        </is>
      </c>
      <c r="I29" s="38" t="inlineStr">
        <is>
          <t>L3 – Professional / Associate</t>
        </is>
      </c>
      <c r="J29" s="16" t="inlineStr">
        <is>
          <t>A3</t>
        </is>
      </c>
      <c r="K29" s="17" t="inlineStr">
        <is>
          <t>Senior Associate</t>
        </is>
      </c>
      <c r="L29" s="82" t="inlineStr">
        <is>
          <t>▲ Up</t>
        </is>
      </c>
      <c r="M29" s="12" t="inlineStr">
        <is>
          <t>Datatech · Quality Assurance · Band A · Early career</t>
        </is>
      </c>
      <c r="N29" s="38" t="n">
        <v>2</v>
      </c>
      <c r="O29" s="38" t="n">
        <v>2</v>
      </c>
      <c r="P29" s="38" t="n">
        <v>2.5</v>
      </c>
      <c r="Q29" s="38" t="n">
        <v>1</v>
      </c>
      <c r="R29" s="38" t="n">
        <v>5</v>
      </c>
      <c r="S29" s="77" t="n">
        <v>3</v>
      </c>
      <c r="T29" s="78">
        <f>IF(OR($M29="",COUNT(N29,O29,P29,Q29,R29,S29)&lt;6),"",IFERROR(N29*INDEX(WM_C,MATCH($M29,WM_KEY,0))+O29*INDEX(WM_AU,MATCH($M29,WM_KEY,0))+P29*INDEX(WM_AC,MATCH($M29,WM_KEY,0))+Q29*INDEX(WM_L,MATCH($M29,WM_KEY,0))+R29*INDEX(WM_E,MATCH($M29,WM_KEY,0))+S29*INDEX(WM_BI,MATCH($M29,WM_KEY,0)),""))</f>
        <v>2.38</v>
      </c>
      <c r="U29" s="38" t="str">
        <f>IF(T29="","",INDEX({"A1","A2","A3","B1","B2","B3","C1","C2","D1","D2","E1","E2"},MAX(1,MIN(12,ROUND(T29,0)))))</f>
        <v>A2</v>
      </c>
      <c r="V29" s="12" t="inlineStr">
        <is>
          <r>
            <rPr>
              <rFont val="Calibri"/>
              <sz val="10"/>
            </rPr>
            <t xml:space="preserve">New level A3 · Senior Associate. Current level on record: L3 – Professional / Associate. Change: ▲ Up.
Score 2.38 on the ladder scale → indicated level A2.
</t>
          </r>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 </t>
          </r>
          <r>
            <rPr>
              <rFont val="Calibri"/>
              <b val="1"/>
              <sz val="10"/>
            </rPr>
            <t>Raised to A3:</t>
          </r>
          <r>
            <rPr>
              <rFont val="Calibri"/>
              <sz val="10"/>
            </rPr>
            <t xml:space="preserve"> 7.3 years' experience is 2 years or more.
</t>
          </r>
          <r>
            <rPr>
              <rFont val="Calibri"/>
              <b val="1"/>
              <sz val="10"/>
            </rPr>
            <t>Final level:</t>
          </r>
          <r>
            <rPr>
              <rFont val="Calibri"/>
              <sz val="10"/>
            </rPr>
            <t xml:space="preserve"> A3.</t>
          </r>
        </is>
      </c>
      <c r="W29" s="12" t="inlineStr">
        <is>
          <r>
            <rPr>
              <rFont val="Calibri"/>
              <b val="1"/>
              <sz val="10"/>
            </rPr>
            <t>Complexity &amp; Expertise:</t>
          </r>
          <r>
            <rPr>
              <rFont val="Calibri"/>
              <sz val="10"/>
            </rPr>
            <t xml:space="preserve"> 2 of 12 — Start: 2.0 · practitioner title; Evidence reads like A2: Analyses requirements, writes and executes test cases, logs and verifies bugs; manual, API, mobile testing → matches the start; KRA: “1. Defect Leakage Rate: defects found in production ÷ total defects for that release. Target: &lt; 5%. Reviewed per release, averaged…”
</t>
          </r>
          <r>
            <rPr>
              <rFont val="Calibri"/>
              <b val="1"/>
              <sz val="10"/>
            </rPr>
            <t>Autonomy &amp; Decision:</t>
          </r>
          <r>
            <rPr>
              <rFont val="Calibri"/>
              <sz val="10"/>
            </rPr>
            <t xml:space="preserve"> 2 of 12 — Start: 2.0 · practitioner title; Evidence reads like A2: Decides prioritisation of bug retests; escalates when needed → matches the start
</t>
          </r>
          <r>
            <rPr>
              <rFont val="Calibri"/>
              <b val="1"/>
              <sz val="10"/>
            </rPr>
            <t>Accountability &amp; Impact:</t>
          </r>
          <r>
            <rPr>
              <rFont val="Calibri"/>
              <sz val="10"/>
            </rPr>
            <t xml:space="preserve"> 2.5 of 12 · between A2 and A3 — Start: 2.0 · practitioner title; Evidence reads like A3: Owns sign-off decisions; a signed-off feature breaking in production reflects on own testing → moved up 0.5; KRA: “1. Defect Leakage Rate: defects found in production ÷ total defects for that release. Target: &lt; 5%. Reviewed per release, averaged…”
</t>
          </r>
          <r>
            <rPr>
              <rFont val="Calibri"/>
              <b val="1"/>
              <sz val="10"/>
            </rPr>
            <t>Leadership &amp; Strategy:</t>
          </r>
          <r>
            <rPr>
              <rFont val="Calibri"/>
              <sz val="10"/>
            </rPr>
            <t xml:space="preserve"> 1 of 12 — not counted: the weight is 0% at this level — Start: 1.0 · individual contributor, so influence only; Evidence reads like A1: No guiding or leading of others described → matches the start; Team: 0 direct reports · IC
</t>
          </r>
          <r>
            <rPr>
              <rFont val="Calibri"/>
              <b val="1"/>
              <sz val="10"/>
            </rPr>
            <t>Experience &amp; Qualification:</t>
          </r>
          <r>
            <rPr>
              <rFont val="Calibri"/>
              <sz val="10"/>
            </rPr>
            <t xml:space="preserve"> 5 of 12 — Experience: 7.3 yrs total · 6.7 before IRIS + 0.6 at IRIS = 4.9 on the experience scale; Qualification: B.E · graduate, relevant to the work → no change
</t>
          </r>
          <r>
            <rPr>
              <rFont val="Calibri"/>
              <b val="1"/>
              <sz val="10"/>
            </rPr>
            <t>Business Impact:</t>
          </r>
          <r>
            <rPr>
              <rFont val="Calibri"/>
              <sz val="10"/>
            </rPr>
            <t xml:space="preserve"> 3 of 12 — a starting estimate. — Start: 2.5,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t>
          </r>
        </is>
      </c>
      <c r="X29" s="12" t="inlineStr">
        <is>
          <r>
            <rPr>
              <rFont val="Calibri"/>
              <b val="1"/>
              <sz val="10"/>
            </rPr>
            <t>Market level:</t>
          </r>
          <r>
            <rPr>
              <rFont val="Calibri"/>
              <sz val="10"/>
            </rPr>
            <t xml:space="preserve"> P2 · SFIA 3 Apply
</t>
          </r>
          <r>
            <rPr>
              <rFont val="Calibri"/>
              <b val="1"/>
              <sz val="10"/>
            </rPr>
            <t>Typical title:</t>
          </r>
          <r>
            <rPr>
              <rFont val="Calibri"/>
              <sz val="10"/>
            </rPr>
            <t xml:space="preserve"> QA Engineer
</t>
          </r>
          <r>
            <rPr>
              <rFont val="Calibri"/>
              <b val="1"/>
              <sz val="10"/>
            </rPr>
            <t>At peers:</t>
          </r>
          <r>
            <rPr>
              <rFont val="Calibri"/>
              <sz val="10"/>
            </rPr>
            <t xml:space="preserve"> Workiva – SE · Broadridge India – SE · Nasdaq / AxiomSL – SE
</t>
          </r>
          <r>
            <rPr>
              <rFont val="Calibri"/>
              <b val="1"/>
              <sz val="10"/>
            </rPr>
            <t>Typical experience:</t>
          </r>
          <r>
            <rPr>
              <rFont val="Calibri"/>
              <sz val="10"/>
            </rPr>
            <t xml:space="preserve"> 2–5 yrs · IRIS guide 2–4
</t>
          </r>
          <r>
            <rPr>
              <rFont val="Calibri"/>
              <b val="1"/>
              <sz val="10"/>
            </rPr>
            <t>Standard:</t>
          </r>
          <r>
            <rPr>
              <rFont val="Calibri"/>
              <sz val="10"/>
            </rPr>
            <t xml:space="preserve"> ISTQB Foundation → Advanced → Expert; SFIA testing</t>
          </r>
        </is>
      </c>
      <c r="Y29" s="12" t="inlineStr">
        <is>
          <r>
            <rPr>
              <rFont val="Calibri"/>
              <sz val="10"/>
            </rPr>
            <t xml:space="preserve">✓ HRIS: 7.3 yrs, B.E, 0 direct reports
✓ Survey: 20 of 20 questions answered
✓ KRAs: manager-set, quarterly
✓ Manager mapping: rating, potential, 9-box
✗ Job description: not on file
</t>
          </r>
          <r>
            <rPr>
              <rFont val="Calibri"/>
              <b val="1"/>
              <sz val="10"/>
            </rPr>
            <t>Confidence:</t>
          </r>
          <r>
            <rPr>
              <rFont val="Calibri"/>
              <sz val="10"/>
            </rPr>
            <t xml:space="preserve"> High</t>
          </r>
        </is>
      </c>
      <c r="Z29" s="12" t="inlineStr">
        <is>
          <t>—</t>
        </is>
      </c>
      <c r="AA29" s="12" t="inlineStr">
        <is>
          <t>Nothing outstanding</t>
        </is>
      </c>
      <c r="AB29"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2.5 of 12 · A2-level impact.
From the survey and manager mapping — critical role: yes; successor named: no.
</t>
          </r>
          <r>
            <rPr>
              <rFont val="Calibri"/>
              <b val="1"/>
              <sz val="10"/>
            </rPr>
            <t>If the work is missed · role-holders' themes:</t>
          </r>
          <r>
            <rPr>
              <rFont val="Calibri"/>
              <sz val="10"/>
            </rPr>
            <t xml:space="preserve"> rework · production · client · customer.
</t>
          </r>
          <r>
            <rPr>
              <rFont val="Calibri"/>
              <b val="1"/>
              <sz val="10"/>
            </rPr>
            <t>Measured on · manager-set KRA themes:</t>
          </r>
          <r>
            <rPr>
              <rFont val="Calibri"/>
              <sz val="10"/>
            </rPr>
            <t xml:space="preserve"> project · quality · production · knowledge · test.
Manager talent mapping — Latest rating: 3 · Potential: Medium · 9-Box Grid placement: Core Contributor.</t>
          </r>
        </is>
      </c>
      <c r="AC29" s="79" t="n"/>
      <c r="AD29" s="79" t="n"/>
      <c r="AE29" s="79" t="n"/>
      <c r="AF29" s="12" t="n">
        <v>3</v>
      </c>
    </row>
    <row r="30" ht="379" customHeight="1">
      <c r="A30" s="12" t="inlineStr">
        <is>
          <t>IRISDT0019</t>
        </is>
      </c>
      <c r="B30" s="10" t="inlineStr">
        <is>
          <t>Abhishek Gite</t>
        </is>
      </c>
      <c r="C30" s="12" t="inlineStr">
        <is>
          <t>Sales</t>
        </is>
      </c>
      <c r="D30" s="12" t="inlineStr">
        <is>
          <t>Head - Sales and Alliances</t>
        </is>
      </c>
      <c r="E30" s="75" t="inlineStr">
        <is>
          <t>Principal – Sales</t>
        </is>
      </c>
      <c r="F30" s="12" t="inlineStr">
        <is>
          <t>Sales &amp; Business Development</t>
        </is>
      </c>
      <c r="G30" s="12" t="inlineStr">
        <is>
          <t>Sales Leadership</t>
        </is>
      </c>
      <c r="H30" s="12" t="inlineStr">
        <is>
          <t>IC</t>
        </is>
      </c>
      <c r="I30" s="38" t="inlineStr">
        <is>
          <t>Not in current mapping files</t>
        </is>
      </c>
      <c r="J30" s="24" t="inlineStr">
        <is>
          <t>C1</t>
        </is>
      </c>
      <c r="K30" s="25" t="inlineStr">
        <is>
          <t>Principal</t>
        </is>
      </c>
      <c r="L30" s="83" t="inlineStr">
        <is>
          <t>● Newly mapped</t>
        </is>
      </c>
      <c r="M30" s="12" t="inlineStr">
        <is>
          <t>Datatech · Sales · Band C · Principal expert</t>
        </is>
      </c>
      <c r="N30" s="38" t="n">
        <v>8</v>
      </c>
      <c r="O30" s="38" t="n">
        <v>8</v>
      </c>
      <c r="P30" s="38" t="n">
        <v>8</v>
      </c>
      <c r="Q30" s="38" t="n">
        <v>7</v>
      </c>
      <c r="R30" s="38" t="n">
        <v>11.5</v>
      </c>
      <c r="S30" s="77" t="n">
        <v>8</v>
      </c>
      <c r="T30" s="78">
        <f>IF(OR($M30="",COUNT(N30,O30,P30,Q30,R30,S30)&lt;6),"",IFERROR(N30*INDEX(WM_C,MATCH($M30,WM_KEY,0))+O30*INDEX(WM_AU,MATCH($M30,WM_KEY,0))+P30*INDEX(WM_AC,MATCH($M30,WM_KEY,0))+Q30*INDEX(WM_L,MATCH($M30,WM_KEY,0))+R30*INDEX(WM_E,MATCH($M30,WM_KEY,0))+S30*INDEX(WM_BI,MATCH($M30,WM_KEY,0)),""))</f>
        <v>8.125</v>
      </c>
      <c r="U30" s="38" t="str">
        <f>IF(T30="","",INDEX({"A1","A2","A3","B1","B2","B3","C1","C2","D1","D2","E1","E2"},MAX(1,MIN(12,ROUND(T30,0)))))</f>
        <v>C2</v>
      </c>
      <c r="V30" s="12" t="inlineStr">
        <is>
          <r>
            <rPr>
              <rFont val="Calibri"/>
              <sz val="10"/>
            </rPr>
            <t xml:space="preserve">New level C1 · Principal. Current level on record: Not in current mapping files. Change: ● Newly mapped.
Score 8.12 on the ladder scale → indicated level C2.
</t>
          </r>
          <r>
            <rPr>
              <rFont val="Calibri"/>
              <b val="1"/>
              <sz val="10"/>
            </rPr>
            <t>Weights:</t>
          </r>
          <r>
            <rPr>
              <rFont val="Calibri"/>
              <sz val="10"/>
            </rPr>
            <t xml:space="preserve"> Complexity 49% · Autonomy 23% · Business impact 13% · Accountability 5% · Leadership 5% · Experience 5%
</t>
          </r>
          <r>
            <rPr>
              <rFont val="Calibri"/>
              <b val="1"/>
              <sz val="10"/>
            </rPr>
            <t>Why:</t>
          </r>
          <r>
            <rPr>
              <rFont val="Calibri"/>
              <sz val="10"/>
            </rPr>
            <t xml:space="preserve"> a principal is judged mainly on expertise across products; experience counts only 5%.
</t>
          </r>
          <r>
            <rPr>
              <rFont val="Calibri"/>
              <b val="1"/>
              <sz val="10"/>
            </rPr>
            <t>Type of work in the department:</t>
          </r>
          <r>
            <rPr>
              <rFont val="Calibri"/>
              <sz val="10"/>
            </rPr>
            <t xml:space="preserve"> sales and marketing are judged on pipeline and revenue, so Business Impact +5, Autonomy +5,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 </t>
          </r>
          <r>
            <rPr>
              <rFont val="Calibri"/>
              <b val="1"/>
              <sz val="10"/>
            </rPr>
            <t>Held at C1 instead of C2:</t>
          </r>
          <r>
            <rPr>
              <rFont val="Calibri"/>
              <sz val="10"/>
            </rPr>
            <t xml:space="preserve"> C2 needs a whole function or a company-wide discipline, and the org chart does not show this yet.
</t>
          </r>
          <r>
            <rPr>
              <rFont val="Calibri"/>
              <b val="1"/>
              <sz val="10"/>
            </rPr>
            <t>Final level:</t>
          </r>
          <r>
            <rPr>
              <rFont val="Calibri"/>
              <sz val="10"/>
            </rPr>
            <t xml:space="preserve"> C1.</t>
          </r>
        </is>
      </c>
      <c r="W30" s="12" t="inlineStr">
        <is>
          <r>
            <rPr>
              <rFont val="Calibri"/>
              <b val="1"/>
              <sz val="10"/>
            </rPr>
            <t>Complexity &amp; Expertise:</t>
          </r>
          <r>
            <rPr>
              <rFont val="Calibri"/>
              <sz val="10"/>
            </rPr>
            <t xml:space="preserve"> 8 of 12 — Start: 8.0 · head-of-function title; Evidence: no survey answers or KRAs on file → rating stays at the start
</t>
          </r>
          <r>
            <rPr>
              <rFont val="Calibri"/>
              <b val="1"/>
              <sz val="10"/>
            </rPr>
            <t>Autonomy &amp; Decision:</t>
          </r>
          <r>
            <rPr>
              <rFont val="Calibri"/>
              <sz val="10"/>
            </rPr>
            <t xml:space="preserve"> 8 of 12 — Start: 8.0 · head-of-function title; Evidence: no survey answers or KRAs on file → rating stays at the start
</t>
          </r>
          <r>
            <rPr>
              <rFont val="Calibri"/>
              <b val="1"/>
              <sz val="10"/>
            </rPr>
            <t>Accountability &amp; Impact:</t>
          </r>
          <r>
            <rPr>
              <rFont val="Calibri"/>
              <sz val="10"/>
            </rPr>
            <t xml:space="preserve"> 8 of 12 — Start: 8.0 · head-of-function title; Evidence: no survey answers or KRAs on file → rating stays at the start
</t>
          </r>
          <r>
            <rPr>
              <rFont val="Calibri"/>
              <b val="1"/>
              <sz val="10"/>
            </rPr>
            <t>Leadership &amp; Strategy:</t>
          </r>
          <r>
            <rPr>
              <rFont val="Calibri"/>
              <sz val="10"/>
            </rPr>
            <t xml:space="preserve"> 7 of 12 — Start: 7.0 · individual contributor, so influence only; Evidence: no survey answers or KRAs on file → rating stays at the start; Team: 0 direct reports · IC
</t>
          </r>
          <r>
            <rPr>
              <rFont val="Calibri"/>
              <b val="1"/>
              <sz val="10"/>
            </rPr>
            <t>Experience &amp; Qualification:</t>
          </r>
          <r>
            <rPr>
              <rFont val="Calibri"/>
              <sz val="10"/>
            </rPr>
            <t xml:space="preserve"> 11.5 of 12 · between E1 and E2 — Experience: 24.3 yrs total · 24.0 before IRIS + 0.3 at IRIS = 11.1 on the experience scale; Qualification: MBA · postgraduate, relevant to the work → +0.5
</t>
          </r>
          <r>
            <rPr>
              <rFont val="Calibri"/>
              <b val="1"/>
              <sz val="10"/>
            </rPr>
            <t>Business Impact:</t>
          </r>
          <r>
            <rPr>
              <rFont val="Calibri"/>
              <sz val="10"/>
            </rPr>
            <t xml:space="preserve"> 8 of 12 — a starting estimate. — Start: 8, the role's accountability scope — what it answers for.; No survey or manager-mapping signal on criticality: kept at the start point.; Managers and heads: overwrite this rating on the Weightage sheet with the business impact you see — the score updates at once.; Ladder: C2 = Drives a function's or department's results and costs</t>
          </r>
        </is>
      </c>
      <c r="X30" s="12" t="inlineStr">
        <is>
          <r>
            <rPr>
              <rFont val="Calibri"/>
              <b val="1"/>
              <sz val="10"/>
            </rPr>
            <t>Market level:</t>
          </r>
          <r>
            <rPr>
              <rFont val="Calibri"/>
              <sz val="10"/>
            </rPr>
            <t xml:space="preserve"> P6 / M5 · SFIA 5–6
</t>
          </r>
          <r>
            <rPr>
              <rFont val="Calibri"/>
              <b val="1"/>
              <sz val="10"/>
            </rPr>
            <t>Typical title:</t>
          </r>
          <r>
            <rPr>
              <rFont val="Calibri"/>
              <sz val="10"/>
            </rPr>
            <t xml:space="preserve"> —
</t>
          </r>
          <r>
            <rPr>
              <rFont val="Calibri"/>
              <b val="1"/>
              <sz val="10"/>
            </rPr>
            <t>At peers:</t>
          </r>
          <r>
            <rPr>
              <rFont val="Calibri"/>
              <sz val="10"/>
            </rPr>
            <t xml:space="preserve"> IRIS Vs Competitor Benchmark — SaaS sales ladder — IC: Strategic / Principal AE · IRIS Vs Competitor Benchmark — SaaS sales ladder — management: Regional Sales Head
</t>
          </r>
          <r>
            <rPr>
              <rFont val="Calibri"/>
              <b val="1"/>
              <sz val="10"/>
            </rPr>
            <t>Typical experience:</t>
          </r>
          <r>
            <rPr>
              <rFont val="Calibri"/>
              <sz val="10"/>
            </rPr>
            <t xml:space="preserve"> 12–17 yrs · IRIS guide 10–14
</t>
          </r>
          <r>
            <rPr>
              <rFont val="Calibri"/>
              <b val="1"/>
              <sz val="10"/>
            </rPr>
            <t>Standard:</t>
          </r>
          <r>
            <rPr>
              <rFont val="Calibri"/>
              <sz val="10"/>
            </rPr>
            <t xml:space="preserve"> SaaS sales ladder; MEDDICC-style qualification</t>
          </r>
        </is>
      </c>
      <c r="Y30" s="12" t="inlineStr">
        <is>
          <r>
            <rPr>
              <rFont val="Calibri"/>
              <sz val="10"/>
            </rPr>
            <t xml:space="preserve">✓ HRIS: 24.3 yrs, MBA, 0 direct reports
✗ Survey: no response
✗ KRAs: none on file
✓ Manager mapping: rating, 9-box — filled from talent-mapping files: rating · tentative Q1
✗ Job description: not on file
</t>
          </r>
          <r>
            <rPr>
              <rFont val="Calibri"/>
              <b val="1"/>
              <sz val="10"/>
            </rPr>
            <t>Confidence:</t>
          </r>
          <r>
            <rPr>
              <rFont val="Calibri"/>
              <sz val="10"/>
            </rPr>
            <t xml:space="preserve"> Low</t>
          </r>
        </is>
      </c>
      <c r="Z30" s="81" t="inlineStr">
        <is>
          <r>
            <rPr>
              <rFont val="Calibri"/>
              <color rgb="009C5700"/>
              <sz val="10"/>
            </rPr>
            <t xml:space="preserve">• </t>
          </r>
          <r>
            <rPr>
              <rFont val="Calibri"/>
              <b val="1"/>
              <color rgb="009C5700"/>
              <sz val="10"/>
            </rPr>
            <t>Senior title held at this level by the structural gate:</t>
          </r>
          <r>
            <rPr>
              <rFont val="Calibri"/>
              <color rgb="009C5700"/>
              <sz val="10"/>
            </rPr>
            <t xml:space="preserve"> confirm the scope</t>
          </r>
        </is>
      </c>
      <c r="AA30" s="84" t="inlineStr">
        <is>
          <t>• Survey response or KRAs describing the work · nothing on file — Employee + manager
• Confirm structure behind the senior title · org chart — Business head</t>
        </is>
      </c>
      <c r="AB30" s="12" t="inlineStr">
        <is>
          <r>
            <rPr>
              <rFont val="Calibri"/>
              <b val="1"/>
              <sz val="10"/>
            </rPr>
            <t>What the role answers for:</t>
          </r>
          <r>
            <rPr>
              <rFont val="Calibri"/>
              <sz val="10"/>
            </rPr>
            <t xml:space="preserve"> Sub-function results or domain quality across products.
</t>
          </r>
          <r>
            <rPr>
              <rFont val="Calibri"/>
              <b val="1"/>
              <sz val="10"/>
            </rPr>
            <t>Accountability &amp; Impact rating:</t>
          </r>
          <r>
            <rPr>
              <rFont val="Calibri"/>
              <sz val="10"/>
            </rPr>
            <t xml:space="preserve"> 8 of 12 · C2-level impact.
</t>
          </r>
          <r>
            <rPr>
              <rFont val="Calibri"/>
              <b val="1"/>
              <sz val="10"/>
            </rPr>
            <t>If the work is missed · role-holders' themes:</t>
          </r>
          <r>
            <rPr>
              <rFont val="Calibri"/>
              <sz val="10"/>
            </rPr>
            <t xml:space="preserve"> revenue · opportunities · lost.
Manager talent mapping — Latest rating: 3 · 9-Box Grid placement: Core Contributor.</t>
          </r>
        </is>
      </c>
      <c r="AC30" s="79" t="n"/>
      <c r="AD30" s="79" t="n"/>
      <c r="AE30" s="79" t="n"/>
      <c r="AF30" s="12" t="n">
        <v>8</v>
      </c>
    </row>
    <row r="31" ht="379" customHeight="1">
      <c r="A31" s="12" t="inlineStr">
        <is>
          <t>IRISDT0006</t>
        </is>
      </c>
      <c r="B31" s="10" t="inlineStr">
        <is>
          <t>Sanghamitra Saxena</t>
        </is>
      </c>
      <c r="C31" s="12" t="inlineStr">
        <is>
          <t>Technology</t>
        </is>
      </c>
      <c r="D31" s="12" t="inlineStr">
        <is>
          <t>Solution Architect</t>
        </is>
      </c>
      <c r="E31" s="12" t="inlineStr">
        <is>
          <t>Solution Architect</t>
        </is>
      </c>
      <c r="F31" s="12" t="inlineStr">
        <is>
          <t>Engineering &amp; Architecture</t>
        </is>
      </c>
      <c r="G31" s="12" t="inlineStr">
        <is>
          <t>Solution &amp; Technical Architecture</t>
        </is>
      </c>
      <c r="H31" s="12" t="inlineStr">
        <is>
          <t>IC</t>
        </is>
      </c>
      <c r="I31" s="38" t="inlineStr">
        <is>
          <t>L3 – Professional / Associate</t>
        </is>
      </c>
      <c r="J31" s="24" t="inlineStr">
        <is>
          <t>C1</t>
        </is>
      </c>
      <c r="K31" s="25" t="inlineStr">
        <is>
          <t>Principal</t>
        </is>
      </c>
      <c r="L31" s="82" t="inlineStr">
        <is>
          <t>▲ Up</t>
        </is>
      </c>
      <c r="M31" s="12" t="inlineStr">
        <is>
          <t>Datatech · Technology · Band C · Principal expert</t>
        </is>
      </c>
      <c r="N31" s="38" t="n">
        <v>7</v>
      </c>
      <c r="O31" s="38" t="n">
        <v>7</v>
      </c>
      <c r="P31" s="38" t="n">
        <v>7</v>
      </c>
      <c r="Q31" s="38" t="n">
        <v>6</v>
      </c>
      <c r="R31" s="38" t="n">
        <v>7.5</v>
      </c>
      <c r="S31" s="77" t="n">
        <v>7.5</v>
      </c>
      <c r="T31" s="78">
        <f>IF(OR($M31="",COUNT(N31,O31,P31,Q31,R31,S31)&lt;6),"",IFERROR(N31*INDEX(WM_C,MATCH($M31,WM_KEY,0))+O31*INDEX(WM_AU,MATCH($M31,WM_KEY,0))+P31*INDEX(WM_AC,MATCH($M31,WM_KEY,0))+Q31*INDEX(WM_L,MATCH($M31,WM_KEY,0))+R31*INDEX(WM_E,MATCH($M31,WM_KEY,0))+S31*INDEX(WM_BI,MATCH($M31,WM_KEY,0)),""))</f>
        <v>7.015</v>
      </c>
      <c r="U31" s="38" t="str">
        <f>IF(T31="","",INDEX({"A1","A2","A3","B1","B2","B3","C1","C2","D1","D2","E1","E2"},MAX(1,MIN(12,ROUND(T31,0)))))</f>
        <v>C1</v>
      </c>
      <c r="V31" s="12" t="inlineStr">
        <is>
          <r>
            <rPr>
              <rFont val="Calibri"/>
              <sz val="10"/>
            </rPr>
            <t xml:space="preserve">New level C1 · Principal. Current level on record: L3 – Professional / Associate. Change: ▲ Up.
Score 7.01 on the ladder scale → indicated level C1.
</t>
          </r>
          <r>
            <rPr>
              <rFont val="Calibri"/>
              <b val="1"/>
              <sz val="10"/>
            </rPr>
            <t>Weights:</t>
          </r>
          <r>
            <rPr>
              <rFont val="Calibri"/>
              <sz val="10"/>
            </rPr>
            <t xml:space="preserve"> Complexity 59% · Autonomy 18% · Business impact 8% · Accountability 5% · Leadership 5% · Experience 5%
</t>
          </r>
          <r>
            <rPr>
              <rFont val="Calibri"/>
              <b val="1"/>
              <sz val="10"/>
            </rPr>
            <t>Why:</t>
          </r>
          <r>
            <rPr>
              <rFont val="Calibri"/>
              <sz val="10"/>
            </rPr>
            <t xml:space="preserve"> a principal is judged mainly on expertise across products; experience counts only 5%.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31" s="12" t="inlineStr">
        <is>
          <r>
            <rPr>
              <rFont val="Calibri"/>
              <b val="1"/>
              <sz val="10"/>
            </rPr>
            <t>Complexity &amp; Expertise:</t>
          </r>
          <r>
            <rPr>
              <rFont val="Calibri"/>
              <sz val="10"/>
            </rPr>
            <t xml:space="preserve"> 7 of 12 — Start: 7.0 · principal / architect title; Evidence: no survey answers or KRAs on file → rating stays at the start
</t>
          </r>
          <r>
            <rPr>
              <rFont val="Calibri"/>
              <b val="1"/>
              <sz val="10"/>
            </rPr>
            <t>Autonomy &amp; Decision:</t>
          </r>
          <r>
            <rPr>
              <rFont val="Calibri"/>
              <sz val="10"/>
            </rPr>
            <t xml:space="preserve"> 7 of 12 — Start: 7.0 · principal / architect title; Evidence: no survey answers or KRAs on file → rating stays at the start
</t>
          </r>
          <r>
            <rPr>
              <rFont val="Calibri"/>
              <b val="1"/>
              <sz val="10"/>
            </rPr>
            <t>Accountability &amp; Impact:</t>
          </r>
          <r>
            <rPr>
              <rFont val="Calibri"/>
              <sz val="10"/>
            </rPr>
            <t xml:space="preserve"> 7 of 12 — Start: 7.0 · principal / architect title; Evidence: no survey answers or KRAs on file → rating stays at the start
</t>
          </r>
          <r>
            <rPr>
              <rFont val="Calibri"/>
              <b val="1"/>
              <sz val="10"/>
            </rPr>
            <t>Leadership &amp; Strategy:</t>
          </r>
          <r>
            <rPr>
              <rFont val="Calibri"/>
              <sz val="10"/>
            </rPr>
            <t xml:space="preserve"> 6 of 12 — Start: 6.0 · individual contributor, so influence only; Evidence: no survey answers or KRAs on file → rating stays at the start; Team: 0 direct reports · IC
</t>
          </r>
          <r>
            <rPr>
              <rFont val="Calibri"/>
              <b val="1"/>
              <sz val="10"/>
            </rPr>
            <t>Experience &amp; Qualification:</t>
          </r>
          <r>
            <rPr>
              <rFont val="Calibri"/>
              <sz val="10"/>
            </rPr>
            <t xml:space="preserve"> 7.5 of 12 · between C1 and C2 — Experience: 12.5 yrs total · 11.3 before IRIS + 1.2 at IRIS = 7.2 on the experience scale; Qualification: M.Tech · postgraduate, relevant to the work → +0.5
</t>
          </r>
          <r>
            <rPr>
              <rFont val="Calibri"/>
              <b val="1"/>
              <sz val="10"/>
            </rPr>
            <t>Business Impact:</t>
          </r>
          <r>
            <rPr>
              <rFont val="Calibri"/>
              <sz val="10"/>
            </rPr>
            <t xml:space="preserve"> 7.5 of 12 — a starting estimate. — Start: 7, the role's accountability scope — what it answers for.; Moved +0.5: the survey / manager mapping marks it business-critical.; Managers and heads: overwrite this rating on the Weightage sheet with the business impact you see — the score updates at once.; Ladder: C1 = Changes results across a sub-function or across products · C2 = Drives a function's or department's results and costs</t>
          </r>
        </is>
      </c>
      <c r="X31" s="12" t="inlineStr">
        <is>
          <r>
            <rPr>
              <rFont val="Calibri"/>
              <b val="1"/>
              <sz val="10"/>
            </rPr>
            <t>Market level:</t>
          </r>
          <r>
            <rPr>
              <rFont val="Calibri"/>
              <sz val="10"/>
            </rPr>
            <t xml:space="preserve"> P6 / M5 · SFIA 5–6
</t>
          </r>
          <r>
            <rPr>
              <rFont val="Calibri"/>
              <b val="1"/>
              <sz val="10"/>
            </rPr>
            <t>Typical title:</t>
          </r>
          <r>
            <rPr>
              <rFont val="Calibri"/>
              <sz val="10"/>
            </rPr>
            <t xml:space="preserve"> Chief / Enterprise Architect
</t>
          </r>
          <r>
            <rPr>
              <rFont val="Calibri"/>
              <b val="1"/>
              <sz val="10"/>
            </rPr>
            <t>At peers:</t>
          </r>
          <r>
            <rPr>
              <rFont val="Calibri"/>
              <sz val="10"/>
            </rPr>
            <t xml:space="preserve"> Nasdaq / AxiomSL – Principal SE · Salesforce – PMTS · Atlassian – P60 Principal · 10+ yrs
</t>
          </r>
          <r>
            <rPr>
              <rFont val="Calibri"/>
              <b val="1"/>
              <sz val="10"/>
            </rPr>
            <t>Typical experience:</t>
          </r>
          <r>
            <rPr>
              <rFont val="Calibri"/>
              <sz val="10"/>
            </rPr>
            <t xml:space="preserve"> 12–17 yrs · IRIS guide 10–14
</t>
          </r>
          <r>
            <rPr>
              <rFont val="Calibri"/>
              <b val="1"/>
              <sz val="10"/>
            </rPr>
            <t>Standard:</t>
          </r>
          <r>
            <rPr>
              <rFont val="Calibri"/>
              <sz val="10"/>
            </rPr>
            <t xml:space="preserve"> SFIA 9; TOGAF</t>
          </r>
        </is>
      </c>
      <c r="Y31" s="12" t="inlineStr">
        <is>
          <r>
            <rPr>
              <rFont val="Calibri"/>
              <sz val="10"/>
            </rPr>
            <t xml:space="preserve">✓ HRIS: 12.5 yrs, M.Tech, 0 direct reports
✗ Survey: no response
✗ KRAs: none on file
✓ Manager mapping: rating, 9-box
✗ Job description: not on file
</t>
          </r>
          <r>
            <rPr>
              <rFont val="Calibri"/>
              <b val="1"/>
              <sz val="10"/>
            </rPr>
            <t>Confidence:</t>
          </r>
          <r>
            <rPr>
              <rFont val="Calibri"/>
              <sz val="10"/>
            </rPr>
            <t xml:space="preserve"> Low</t>
          </r>
        </is>
      </c>
      <c r="Z31" s="12" t="inlineStr">
        <is>
          <t>—</t>
        </is>
      </c>
      <c r="AA31" s="84" t="inlineStr">
        <is>
          <t>• Survey response or KRAs describing the work · nothing on file — Employee + manager</t>
        </is>
      </c>
      <c r="AB31" s="12" t="inlineStr">
        <is>
          <r>
            <rPr>
              <rFont val="Calibri"/>
              <b val="1"/>
              <sz val="10"/>
            </rPr>
            <t>What the role answers for:</t>
          </r>
          <r>
            <rPr>
              <rFont val="Calibri"/>
              <sz val="10"/>
            </rPr>
            <t xml:space="preserve"> Sub-function results or domain quality across products.
</t>
          </r>
          <r>
            <rPr>
              <rFont val="Calibri"/>
              <b val="1"/>
              <sz val="10"/>
            </rPr>
            <t>Accountability &amp; Impact rating:</t>
          </r>
          <r>
            <rPr>
              <rFont val="Calibri"/>
              <sz val="10"/>
            </rPr>
            <t xml:space="preserve"> 7 of 12 · C1-level impact.
From the survey and manager mapping — critical role: yes; successor named: no.
</t>
          </r>
          <r>
            <rPr>
              <rFont val="Calibri"/>
              <b val="1"/>
              <sz val="10"/>
            </rPr>
            <t>If the work is missed · role-holders' themes:</t>
          </r>
          <r>
            <rPr>
              <rFont val="Calibri"/>
              <sz val="10"/>
            </rPr>
            <t xml:space="preserve"> client · time · rework.
Manager talent mapping — Latest rating: 3 · 9-Box Grid placement: Future Leader.</t>
          </r>
        </is>
      </c>
      <c r="AC31" s="79" t="n"/>
      <c r="AD31" s="79" t="n"/>
      <c r="AE31" s="79" t="n"/>
      <c r="AF31" s="12" t="n">
        <v>7.5</v>
      </c>
    </row>
    <row r="32" ht="379" customHeight="1">
      <c r="A32" s="12" t="inlineStr">
        <is>
          <t>IRISDTC002</t>
        </is>
      </c>
      <c r="B32" s="10" t="inlineStr">
        <is>
          <t>Akshay Shetty</t>
        </is>
      </c>
      <c r="C32" s="12" t="inlineStr">
        <is>
          <t>Technology</t>
        </is>
      </c>
      <c r="D32" s="12" t="inlineStr">
        <is>
          <t>Consultant -Lead Developer</t>
        </is>
      </c>
      <c r="E32" s="75" t="inlineStr">
        <is>
          <t>Senior Technical Specialist – POD Lead</t>
        </is>
      </c>
      <c r="F32" s="12" t="inlineStr">
        <is>
          <t>Engineering &amp; Development</t>
        </is>
      </c>
      <c r="G32" s="12" t="inlineStr">
        <is>
          <t>Backend Development</t>
        </is>
      </c>
      <c r="H32" s="12" t="inlineStr">
        <is>
          <t>POD Lead</t>
        </is>
      </c>
      <c r="I32" s="38" t="inlineStr">
        <is>
          <t>L5 – Lead · IC</t>
        </is>
      </c>
      <c r="J32" s="20" t="inlineStr">
        <is>
          <t>B2</t>
        </is>
      </c>
      <c r="K32" s="21" t="inlineStr">
        <is>
          <t>Senior Specialist · POD Lead</t>
        </is>
      </c>
      <c r="L32" s="80" t="inlineStr">
        <is>
          <t>▼ Down · pay &amp; title protected</t>
        </is>
      </c>
      <c r="M32" s="12" t="inlineStr">
        <is>
          <t>Datatech · Technology · Band B · Expert / POD Lead</t>
        </is>
      </c>
      <c r="N32" s="38" t="n">
        <v>4.5</v>
      </c>
      <c r="O32" s="38" t="n">
        <v>4.5</v>
      </c>
      <c r="P32" s="38" t="n">
        <v>4</v>
      </c>
      <c r="Q32" s="38" t="n">
        <v>3.5</v>
      </c>
      <c r="R32" s="38" t="n">
        <v>6.5</v>
      </c>
      <c r="S32" s="77" t="n">
        <v>4</v>
      </c>
      <c r="T32" s="78">
        <f>IF(OR($M32="",COUNT(N32,O32,P32,Q32,R32,S32)&lt;6),"",IFERROR(N32*INDEX(WM_C,MATCH($M32,WM_KEY,0))+O32*INDEX(WM_AU,MATCH($M32,WM_KEY,0))+P32*INDEX(WM_AC,MATCH($M32,WM_KEY,0))+Q32*INDEX(WM_L,MATCH($M32,WM_KEY,0))+R32*INDEX(WM_E,MATCH($M32,WM_KEY,0))+S32*INDEX(WM_BI,MATCH($M32,WM_KEY,0)),""))</f>
        <v>4.59</v>
      </c>
      <c r="U32" s="38" t="str">
        <f>IF(T32="","",INDEX({"A1","A2","A3","B1","B2","B3","C1","C2","D1","D2","E1","E2"},MAX(1,MIN(12,ROUND(T32,0)))))</f>
        <v>B2</v>
      </c>
      <c r="V32" s="12" t="inlineStr">
        <is>
          <r>
            <rPr>
              <rFont val="Calibri"/>
              <sz val="10"/>
            </rPr>
            <t xml:space="preserve">New level B2 · Senior Specialist · POD Lead. Current level on record: L5 – Lead · IC. Change: ▼ Down · pay &amp; title protected.
Score 4.59 on the ladder scale → indicated level B2.
</t>
          </r>
          <r>
            <rPr>
              <rFont val="Calibri"/>
              <b val="1"/>
              <sz val="10"/>
            </rPr>
            <t>Weights:</t>
          </r>
          <r>
            <rPr>
              <rFont val="Calibri"/>
              <sz val="10"/>
            </rPr>
            <t xml:space="preserve"> Complexity 56% · Autonomy 17% · Experience 10% · Business impact 7% · Accountability 5% · Leadership 5%
</t>
          </r>
          <r>
            <rPr>
              <rFont val="Calibri"/>
              <b val="1"/>
              <sz val="10"/>
            </rPr>
            <t>Why:</t>
          </r>
          <r>
            <rPr>
              <rFont val="Calibri"/>
              <sz val="10"/>
            </rPr>
            <t xml:space="preserve"> specialists are judged mainly on depth of expertise, then on what they decide alone, what they answer for and their impact.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
</t>
          </r>
          <r>
            <rPr>
              <rFont val="Calibri"/>
              <b val="1"/>
              <sz val="10"/>
            </rPr>
            <t>The new level is below the current one:</t>
          </r>
          <r>
            <rPr>
              <rFont val="Calibri"/>
              <sz val="10"/>
            </rPr>
            <t xml:space="preserve"> pay and title are protected for one cycle, with a review date.</t>
          </r>
        </is>
      </c>
      <c r="W32" s="12" t="inlineStr">
        <is>
          <r>
            <rPr>
              <rFont val="Calibri"/>
              <b val="1"/>
              <sz val="10"/>
            </rPr>
            <t>Complexity &amp; Expertise:</t>
          </r>
          <r>
            <rPr>
              <rFont val="Calibri"/>
              <sz val="10"/>
            </rPr>
            <t xml:space="preserve"> 4.5 of 12 · between B1 and B2 — Start: 5.0 · manager / senior specialist title; Evidence reads like B1: Manager note only: end-to-end design and deployment of assigned modules with complex or high-risk features → moved down 0.5; KRA: “1. End-to-end design and deployment of modules assigned covering complex or high-risk features 2. Drive significant tech-debt or…”
</t>
          </r>
          <r>
            <rPr>
              <rFont val="Calibri"/>
              <b val="1"/>
              <sz val="10"/>
            </rPr>
            <t>Autonomy &amp; Decision:</t>
          </r>
          <r>
            <rPr>
              <rFont val="Calibri"/>
              <sz val="10"/>
            </rPr>
            <t xml:space="preserve"> 4.5 of 12 · between B1 and B2 — Start: 5.0 · manager / senior specialist title; Evidence reads like A3: No survey; note implies design calls on own assigned modules, nothing wider → moved down 0.5
</t>
          </r>
          <r>
            <rPr>
              <rFont val="Calibri"/>
              <b val="1"/>
              <sz val="10"/>
            </rPr>
            <t>Accountability &amp; Impact:</t>
          </r>
          <r>
            <rPr>
              <rFont val="Calibri"/>
              <sz val="10"/>
            </rPr>
            <t xml:space="preserve"> 4 of 12 — Start: 4.5 · manager / senior specialist title; 2 direct reports; Evidence reads like A3: Note: assigned modules end to end, change failure rate, vulnerability remediation → moved down 0.5; KRA: “1. End-to-end design and deployment of modules assigned covering complex or high-risk features 2. Drive significant tech-debt or…”
</t>
          </r>
          <r>
            <rPr>
              <rFont val="Calibri"/>
              <b val="1"/>
              <sz val="10"/>
            </rPr>
            <t>Leadership &amp; Strategy:</t>
          </r>
          <r>
            <rPr>
              <rFont val="Calibri"/>
              <sz val="10"/>
            </rPr>
            <t xml:space="preserve"> 3.5 of 12 · between A3 and B1 — Start: 4.0; Evidence reads like A3: 2 direct reports in HR data; no leadership activity described → moved down 0.5; Team: 2 direct reports · POD Lead
</t>
          </r>
          <r>
            <rPr>
              <rFont val="Calibri"/>
              <b val="1"/>
              <sz val="10"/>
            </rPr>
            <t>Experience &amp; Qualification:</t>
          </r>
          <r>
            <rPr>
              <rFont val="Calibri"/>
              <sz val="10"/>
            </rPr>
            <t xml:space="preserve"> 6.5 of 12 · between B3 and C1 — Experience: 10.1 yrs total · 9.2 before IRIS + 0.9 at IRIS = 6.0 on the experience scale; Qualification: M.Sc · postgraduate, relevant to the work → +0.5
</t>
          </r>
          <r>
            <rPr>
              <rFont val="Calibri"/>
              <b val="1"/>
              <sz val="10"/>
            </rPr>
            <t>Business Impact:</t>
          </r>
          <r>
            <rPr>
              <rFont val="Calibri"/>
              <sz val="10"/>
            </rPr>
            <t xml:space="preserve"> 4 of 12 — a starting estimate. — Start: 4, the role's accountability scope — what it answers for.; No survey or manager-mapping signal on criticality: kept at the start point.; Managers and heads: overwrite this rating on the Weightage sheet with the business impact you see — the score updates at once.; Ladder: B1 = Moves a module's, product area's or client account's results</t>
          </r>
        </is>
      </c>
      <c r="X32" s="12" t="inlineStr">
        <is>
          <r>
            <rPr>
              <rFont val="Calibri"/>
              <b val="1"/>
              <sz val="10"/>
            </rPr>
            <t>Market level:</t>
          </r>
          <r>
            <rPr>
              <rFont val="Calibri"/>
              <sz val="10"/>
            </rPr>
            <t xml:space="preserve"> P4 / M3 · SFIA 4–5
</t>
          </r>
          <r>
            <rPr>
              <rFont val="Calibri"/>
              <b val="1"/>
              <sz val="10"/>
            </rPr>
            <t>Typical title:</t>
          </r>
          <r>
            <rPr>
              <rFont val="Calibri"/>
              <sz val="10"/>
            </rPr>
            <t xml:space="preserve"> Lead / Staff Engineer
</t>
          </r>
          <r>
            <rPr>
              <rFont val="Calibri"/>
              <b val="1"/>
              <sz val="10"/>
            </rPr>
            <t>At peers:</t>
          </r>
          <r>
            <rPr>
              <rFont val="Calibri"/>
              <sz val="10"/>
            </rPr>
            <t xml:space="preserve"> Workiva – Senior SE · Broadridge India – Lead SE · Nasdaq / AxiomSL – Senior SE
</t>
          </r>
          <r>
            <rPr>
              <rFont val="Calibri"/>
              <b val="1"/>
              <sz val="10"/>
            </rPr>
            <t>Typical experience:</t>
          </r>
          <r>
            <rPr>
              <rFont val="Calibri"/>
              <sz val="10"/>
            </rPr>
            <t xml:space="preserve"> 6–10 yrs · IRIS guide 6–9
</t>
          </r>
          <r>
            <rPr>
              <rFont val="Calibri"/>
              <b val="1"/>
              <sz val="10"/>
            </rPr>
            <t>Standard:</t>
          </r>
          <r>
            <rPr>
              <rFont val="Calibri"/>
              <sz val="10"/>
            </rPr>
            <t xml:space="preserve"> SFIA 9; OWASP secure coding</t>
          </r>
        </is>
      </c>
      <c r="Y32" s="12" t="inlineStr">
        <is>
          <r>
            <rPr>
              <rFont val="Calibri"/>
              <sz val="10"/>
            </rPr>
            <t xml:space="preserve">✓ HRIS: 10.1 yrs, M.Sc, 2 direct reports
✗ Survey: no response
✓ KRAs: manager-set, quarterly
✓ Manager mapping: rating, potential, 9-box
✗ Job description: not on file
</t>
          </r>
          <r>
            <rPr>
              <rFont val="Calibri"/>
              <b val="1"/>
              <sz val="10"/>
            </rPr>
            <t>Confidence:</t>
          </r>
          <r>
            <rPr>
              <rFont val="Calibri"/>
              <sz val="10"/>
            </rPr>
            <t xml:space="preserve"> Medium</t>
          </r>
        </is>
      </c>
      <c r="Z32" s="81" t="inlineStr">
        <is>
          <r>
            <rPr>
              <rFont val="Calibri"/>
              <color rgb="009C5700"/>
              <sz val="10"/>
            </rPr>
            <t xml:space="preserve">• </t>
          </r>
          <r>
            <rPr>
              <rFont val="Calibri"/>
              <b val="1"/>
              <color rgb="009C5700"/>
              <sz val="10"/>
            </rPr>
            <t>Moves down:</t>
          </r>
          <r>
            <rPr>
              <rFont val="Calibri"/>
              <color rgb="009C5700"/>
              <sz val="10"/>
            </rPr>
            <t xml:space="preserve"> protected for one cycle</t>
          </r>
        </is>
      </c>
      <c r="AA32" s="12" t="inlineStr">
        <is>
          <t>Nothing outstanding</t>
        </is>
      </c>
      <c r="AB32" s="12" t="inlineStr">
        <is>
          <r>
            <rPr>
              <rFont val="Calibri"/>
              <b val="1"/>
              <sz val="10"/>
            </rPr>
            <t>What the role answers for:</t>
          </r>
          <r>
            <rPr>
              <rFont val="Calibri"/>
              <sz val="10"/>
            </rPr>
            <t xml:space="preserve"> One team or a client portfolio.
</t>
          </r>
          <r>
            <rPr>
              <rFont val="Calibri"/>
              <b val="1"/>
              <sz val="10"/>
            </rPr>
            <t>Accountability &amp; Impact rating:</t>
          </r>
          <r>
            <rPr>
              <rFont val="Calibri"/>
              <sz val="10"/>
            </rPr>
            <t xml:space="preserve"> 4 of 12 · B1-level impact.
Leads 2 direct reports.
</t>
          </r>
          <r>
            <rPr>
              <rFont val="Calibri"/>
              <b val="1"/>
              <sz val="10"/>
            </rPr>
            <t>If the work is missed · role-holders' themes:</t>
          </r>
          <r>
            <rPr>
              <rFont val="Calibri"/>
              <sz val="10"/>
            </rPr>
            <t xml:space="preserve"> rework · client · impact · production · issues.
</t>
          </r>
          <r>
            <rPr>
              <rFont val="Calibri"/>
              <b val="1"/>
              <sz val="10"/>
            </rPr>
            <t>Measured on · manager-set KRA themes:</t>
          </r>
          <r>
            <rPr>
              <rFont val="Calibri"/>
              <sz val="10"/>
            </rPr>
            <t xml:space="preserve"> modules · coverage · complete · components · committed · sprint.
Manager talent mapping — Latest rating: 2 · Potential: Low · 9-Box Grid placement: Performance Risk.</t>
          </r>
        </is>
      </c>
      <c r="AC32" s="79" t="n"/>
      <c r="AD32" s="79" t="n"/>
      <c r="AE32" s="79" t="n"/>
      <c r="AF32" s="12" t="n">
        <v>4</v>
      </c>
    </row>
    <row r="33" ht="379" customHeight="1">
      <c r="A33" s="12" t="inlineStr">
        <is>
          <t>IRISDT0020</t>
        </is>
      </c>
      <c r="B33" s="10" t="inlineStr">
        <is>
          <t>Utkarsh Sagar Bafana</t>
        </is>
      </c>
      <c r="C33" s="12" t="inlineStr">
        <is>
          <t>Technology</t>
        </is>
      </c>
      <c r="D33" s="12" t="inlineStr">
        <is>
          <t>UX Designer</t>
        </is>
      </c>
      <c r="E33" s="75" t="inlineStr">
        <is>
          <t>Senior Product Designer</t>
        </is>
      </c>
      <c r="F33" s="12" t="inlineStr">
        <is>
          <t>Design &amp; Creative</t>
        </is>
      </c>
      <c r="G33" s="12" t="inlineStr">
        <is>
          <t>UX / UI Design</t>
        </is>
      </c>
      <c r="H33" s="12" t="inlineStr">
        <is>
          <t>IC</t>
        </is>
      </c>
      <c r="I33" s="38" t="inlineStr">
        <is>
          <t>Not in current mapping files</t>
        </is>
      </c>
      <c r="J33" s="16" t="inlineStr">
        <is>
          <t>A3</t>
        </is>
      </c>
      <c r="K33" s="17" t="inlineStr">
        <is>
          <t>Senior Associate</t>
        </is>
      </c>
      <c r="L33" s="83" t="inlineStr">
        <is>
          <t>● Newly mapped</t>
        </is>
      </c>
      <c r="M33" s="12" t="inlineStr">
        <is>
          <t>Datatech · Technology · Band A · Early career</t>
        </is>
      </c>
      <c r="N33" s="38" t="n">
        <v>2.5</v>
      </c>
      <c r="O33" s="38" t="n">
        <v>2.5</v>
      </c>
      <c r="P33" s="38" t="n">
        <v>2.5</v>
      </c>
      <c r="Q33" s="38" t="n">
        <v>1.5</v>
      </c>
      <c r="R33" s="38" t="n">
        <v>3.5</v>
      </c>
      <c r="S33" s="77" t="n">
        <v>2.5</v>
      </c>
      <c r="T33" s="78">
        <f>IF(OR($M33="",COUNT(N33,O33,P33,Q33,R33,S33)&lt;6),"",IFERROR(N33*INDEX(WM_C,MATCH($M33,WM_KEY,0))+O33*INDEX(WM_AU,MATCH($M33,WM_KEY,0))+P33*INDEX(WM_AC,MATCH($M33,WM_KEY,0))+Q33*INDEX(WM_L,MATCH($M33,WM_KEY,0))+R33*INDEX(WM_E,MATCH($M33,WM_KEY,0))+S33*INDEX(WM_BI,MATCH($M33,WM_KEY,0)),""))</f>
        <v>2.6</v>
      </c>
      <c r="U33" s="38" t="str">
        <f>IF(T33="","",INDEX({"A1","A2","A3","B1","B2","B3","C1","C2","D1","D2","E1","E2"},MAX(1,MIN(12,ROUND(T33,0)))))</f>
        <v>A3</v>
      </c>
      <c r="V33" s="12" t="inlineStr">
        <is>
          <r>
            <rPr>
              <rFont val="Calibri"/>
              <sz val="10"/>
            </rPr>
            <t xml:space="preserve">New level A3 · Senior Associate. Current level on record: Not in current mapping files. Change: ● Newly mapped.
Score 2.60 on the ladder scale → indicated level A3.
</t>
          </r>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33" s="12" t="inlineStr">
        <is>
          <r>
            <rPr>
              <rFont val="Calibri"/>
              <b val="1"/>
              <sz val="10"/>
            </rPr>
            <t>Complexity &amp; Expertise:</t>
          </r>
          <r>
            <rPr>
              <rFont val="Calibri"/>
              <sz val="10"/>
            </rPr>
            <t xml:space="preserve"> 2.5 of 12 · between A2 and A3 — Start: 3.0 · senior practitioner title; Evidence reads like A2: Research, information architecture, wireframes, UI and interaction design in Figma; no harder cases shown → moved down 0.5
</t>
          </r>
          <r>
            <rPr>
              <rFont val="Calibri"/>
              <b val="1"/>
              <sz val="10"/>
            </rPr>
            <t>Autonomy &amp; Decision:</t>
          </r>
          <r>
            <rPr>
              <rFont val="Calibri"/>
              <sz val="10"/>
            </rPr>
            <t xml:space="preserve"> 2.5 of 12 · between A2 and A3 — Start: 3.0 · senior practitioner title; Evidence reads like A2: Only 'ideating solutions' named; changes design on feedback → moved down 0.5
</t>
          </r>
          <r>
            <rPr>
              <rFont val="Calibri"/>
              <b val="1"/>
              <sz val="10"/>
            </rPr>
            <t>Accountability &amp; Impact:</t>
          </r>
          <r>
            <rPr>
              <rFont val="Calibri"/>
              <sz val="10"/>
            </rPr>
            <t xml:space="preserve"> 2.5 of 12 · between A2 and A3 — Start: 3.0 · senior practitioner title; Evidence reads like A2: Wireframes and UI designs handed to developers → moved down 0.5
</t>
          </r>
          <r>
            <rPr>
              <rFont val="Calibri"/>
              <b val="1"/>
              <sz val="10"/>
            </rPr>
            <t>Leadership &amp; Strategy:</t>
          </r>
          <r>
            <rPr>
              <rFont val="Calibri"/>
              <sz val="10"/>
            </rPr>
            <t xml:space="preserve"> 1.5 of 12 · between A1 and A2 — not counted: the weight is 0% at this level — Start: 2.0 · individual contributor, so influence only; Evidence reads like A1: None described → moved down 0.5; Team: 0 direct reports · IC
</t>
          </r>
          <r>
            <rPr>
              <rFont val="Calibri"/>
              <b val="1"/>
              <sz val="10"/>
            </rPr>
            <t>Experience &amp; Qualification:</t>
          </r>
          <r>
            <rPr>
              <rFont val="Calibri"/>
              <sz val="10"/>
            </rPr>
            <t xml:space="preserve"> 3.5 of 12 · between A3 and B1 — Experience: 4.6 yrs total · 4.4 before IRIS + 0.2 at IRIS = 3.6 on the experience scale; Qualification: Bachelors of Vocational Studies · graduate → no change
</t>
          </r>
          <r>
            <rPr>
              <rFont val="Calibri"/>
              <b val="1"/>
              <sz val="10"/>
            </rPr>
            <t>Business Impact:</t>
          </r>
          <r>
            <rPr>
              <rFont val="Calibri"/>
              <sz val="10"/>
            </rPr>
            <t xml:space="preserve"> 2.5 of 12 — a starting estimate. — Start: 2.5,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 · A3 = A process or client deliverable depends on this work</t>
          </r>
        </is>
      </c>
      <c r="X33" s="12" t="inlineStr">
        <is>
          <r>
            <rPr>
              <rFont val="Calibri"/>
              <b val="1"/>
              <sz val="10"/>
            </rPr>
            <t>Market level:</t>
          </r>
          <r>
            <rPr>
              <rFont val="Calibri"/>
              <sz val="10"/>
            </rPr>
            <t xml:space="preserve"> P2 · SFIA 3 Apply
</t>
          </r>
          <r>
            <rPr>
              <rFont val="Calibri"/>
              <b val="1"/>
              <sz val="10"/>
            </rPr>
            <t>Typical title:</t>
          </r>
          <r>
            <rPr>
              <rFont val="Calibri"/>
              <sz val="10"/>
            </rPr>
            <t xml:space="preserve"> Designer
</t>
          </r>
          <r>
            <rPr>
              <rFont val="Calibri"/>
              <b val="1"/>
              <sz val="10"/>
            </rPr>
            <t>At peers:</t>
          </r>
          <r>
            <rPr>
              <rFont val="Calibri"/>
              <sz val="10"/>
            </rPr>
            <t xml:space="preserve"> IRIS Vs Competitor Benchmark — UX / design ladder: Designer
</t>
          </r>
          <r>
            <rPr>
              <rFont val="Calibri"/>
              <b val="1"/>
              <sz val="10"/>
            </rPr>
            <t>Typical experience:</t>
          </r>
          <r>
            <rPr>
              <rFont val="Calibri"/>
              <sz val="10"/>
            </rPr>
            <t xml:space="preserve"> 2–5 yrs · IRIS guide 2–4
</t>
          </r>
          <r>
            <rPr>
              <rFont val="Calibri"/>
              <b val="1"/>
              <sz val="10"/>
            </rPr>
            <t>Standard:</t>
          </r>
          <r>
            <rPr>
              <rFont val="Calibri"/>
              <sz val="10"/>
            </rPr>
            <t xml:space="preserve"> UX career ladder Junior → Designer → Senior → Lead → Principal; WCAG accessibility</t>
          </r>
        </is>
      </c>
      <c r="Y33" s="12" t="inlineStr">
        <is>
          <r>
            <rPr>
              <rFont val="Calibri"/>
              <sz val="10"/>
            </rPr>
            <t xml:space="preserve">✓ HRIS: 4.6 yrs, Bachelors of Vocational Studies, 0 direct reports
✓ Survey: 20 of 20 questions answered
✗ KRAs: none on file
✓ Manager mapping: rating, 9-box
✗ Job description: not on file
</t>
          </r>
          <r>
            <rPr>
              <rFont val="Calibri"/>
              <b val="1"/>
              <sz val="10"/>
            </rPr>
            <t>Confidence:</t>
          </r>
          <r>
            <rPr>
              <rFont val="Calibri"/>
              <sz val="10"/>
            </rPr>
            <t xml:space="preserve"> Medium</t>
          </r>
        </is>
      </c>
      <c r="Z33" s="12" t="inlineStr">
        <is>
          <t>—</t>
        </is>
      </c>
      <c r="AA33" s="12" t="inlineStr">
        <is>
          <t>Nothing outstanding</t>
        </is>
      </c>
      <c r="AB33"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2.5 of 12 · A2-level impact.
Manager talent mapping — Latest rating: Not rated · manager · 9-Box Grid placement: Not placed · manager.</t>
          </r>
        </is>
      </c>
      <c r="AC33" s="79" t="n"/>
      <c r="AD33" s="79" t="n"/>
      <c r="AE33" s="79" t="n"/>
      <c r="AF33" s="12" t="n">
        <v>2.5</v>
      </c>
    </row>
    <row r="34" ht="379" customHeight="1">
      <c r="A34" s="12" t="inlineStr">
        <is>
          <t>IRISDT0002</t>
        </is>
      </c>
      <c r="B34" s="10" t="inlineStr">
        <is>
          <t>Niraj Santosh Patil</t>
        </is>
      </c>
      <c r="C34" s="12" t="inlineStr">
        <is>
          <t>Technology</t>
        </is>
      </c>
      <c r="D34" s="12" t="inlineStr">
        <is>
          <t>Junior Software Engineer</t>
        </is>
      </c>
      <c r="E34" s="75" t="inlineStr">
        <is>
          <t>Senior Software Engineer</t>
        </is>
      </c>
      <c r="F34" s="12" t="inlineStr">
        <is>
          <t>Engineering &amp; Development</t>
        </is>
      </c>
      <c r="G34" s="12" t="inlineStr">
        <is>
          <t>Backend Development</t>
        </is>
      </c>
      <c r="H34" s="12" t="inlineStr">
        <is>
          <t>IC</t>
        </is>
      </c>
      <c r="I34" s="38" t="inlineStr">
        <is>
          <t>L2 – Trainee</t>
        </is>
      </c>
      <c r="J34" s="16" t="inlineStr">
        <is>
          <t>A3</t>
        </is>
      </c>
      <c r="K34" s="17" t="inlineStr">
        <is>
          <t>Senior Associate</t>
        </is>
      </c>
      <c r="L34" s="82" t="inlineStr">
        <is>
          <t>▲ Up</t>
        </is>
      </c>
      <c r="M34" s="12" t="inlineStr">
        <is>
          <t>Datatech · Technology · Band A · Early career</t>
        </is>
      </c>
      <c r="N34" s="38" t="n">
        <v>2</v>
      </c>
      <c r="O34" s="38" t="n">
        <v>2</v>
      </c>
      <c r="P34" s="38" t="n">
        <v>2</v>
      </c>
      <c r="Q34" s="38" t="n">
        <v>1</v>
      </c>
      <c r="R34" s="38" t="n">
        <v>2.5</v>
      </c>
      <c r="S34" s="77" t="n">
        <v>2.5</v>
      </c>
      <c r="T34" s="78">
        <f>IF(OR($M34="",COUNT(N34,O34,P34,Q34,R34,S34)&lt;6),"",IFERROR(N34*INDEX(WM_C,MATCH($M34,WM_KEY,0))+O34*INDEX(WM_AU,MATCH($M34,WM_KEY,0))+P34*INDEX(WM_AC,MATCH($M34,WM_KEY,0))+Q34*INDEX(WM_L,MATCH($M34,WM_KEY,0))+R34*INDEX(WM_E,MATCH($M34,WM_KEY,0))+S34*INDEX(WM_BI,MATCH($M34,WM_KEY,0)),""))</f>
        <v>2.08</v>
      </c>
      <c r="U34" s="38" t="str">
        <f>IF(T34="","",INDEX({"A1","A2","A3","B1","B2","B3","C1","C2","D1","D2","E1","E2"},MAX(1,MIN(12,ROUND(T34,0)))))</f>
        <v>A2</v>
      </c>
      <c r="V34" s="12" t="inlineStr">
        <is>
          <r>
            <rPr>
              <rFont val="Calibri"/>
              <sz val="10"/>
            </rPr>
            <t xml:space="preserve">New level A3 · Senior Associate. Current level on record: L2 – Trainee. Change: ▲ Up.
Score 2.08 on the ladder scale → indicated level A2.
</t>
          </r>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 </t>
          </r>
          <r>
            <rPr>
              <rFont val="Calibri"/>
              <b val="1"/>
              <sz val="10"/>
            </rPr>
            <t>Raised to A3:</t>
          </r>
          <r>
            <rPr>
              <rFont val="Calibri"/>
              <sz val="10"/>
            </rPr>
            <t xml:space="preserve"> 2.3 years' experience is 2 years or more.
</t>
          </r>
          <r>
            <rPr>
              <rFont val="Calibri"/>
              <b val="1"/>
              <sz val="10"/>
            </rPr>
            <t>Final level:</t>
          </r>
          <r>
            <rPr>
              <rFont val="Calibri"/>
              <sz val="10"/>
            </rPr>
            <t xml:space="preserve"> A3.</t>
          </r>
        </is>
      </c>
      <c r="W34" s="12" t="inlineStr">
        <is>
          <r>
            <rPr>
              <rFont val="Calibri"/>
              <b val="1"/>
              <sz val="10"/>
            </rPr>
            <t>Complexity &amp; Expertise:</t>
          </r>
          <r>
            <rPr>
              <rFont val="Calibri"/>
              <sz val="10"/>
            </rPr>
            <t xml:space="preserve"> 2 of 12 — Start: 2.0 · practitioner title; Evidence: no survey answers or KRAs on file → rating stays at the start; KRA: “1. Committed scope delivered per sprint — ≥ 85%. Averaged for quarter 2. Crash-free sessions — ≥ 99.5% · shared with QA 3. Change failure…”
</t>
          </r>
          <r>
            <rPr>
              <rFont val="Calibri"/>
              <b val="1"/>
              <sz val="10"/>
            </rPr>
            <t>Autonomy &amp; Decision:</t>
          </r>
          <r>
            <rPr>
              <rFont val="Calibri"/>
              <sz val="10"/>
            </rPr>
            <t xml:space="preserve"> 2 of 12 — Start: 2.0 · practitioner title; Evidence: no survey answers or KRAs on file → rating stays at the start
</t>
          </r>
          <r>
            <rPr>
              <rFont val="Calibri"/>
              <b val="1"/>
              <sz val="10"/>
            </rPr>
            <t>Accountability &amp; Impact:</t>
          </r>
          <r>
            <rPr>
              <rFont val="Calibri"/>
              <sz val="10"/>
            </rPr>
            <t xml:space="preserve"> 2 of 12 — Start: 2.0 · practitioner title; Evidence: no survey answers or KRAs on file → rating stays at the start; KRA: “1. Committed scope delivered per sprint — ≥ 85%. Averaged for quarter 2. Crash-free sessions — ≥ 99.5% · shared with QA 3. Change failure…”
</t>
          </r>
          <r>
            <rPr>
              <rFont val="Calibri"/>
              <b val="1"/>
              <sz val="10"/>
            </rPr>
            <t>Leadership &amp; Strategy:</t>
          </r>
          <r>
            <rPr>
              <rFont val="Calibri"/>
              <sz val="10"/>
            </rPr>
            <t xml:space="preserve"> 1 of 12 — not counted: the weight is 0% at this level — Start: 1.0 · individual contributor, so influence only; Evidence: no survey answers or KRAs on file → rating stays at the start; Team: 0 direct reports · IC
</t>
          </r>
          <r>
            <rPr>
              <rFont val="Calibri"/>
              <b val="1"/>
              <sz val="10"/>
            </rPr>
            <t>Experience &amp; Qualification:</t>
          </r>
          <r>
            <rPr>
              <rFont val="Calibri"/>
              <sz val="10"/>
            </rPr>
            <t xml:space="preserve"> 2.5 of 12 · between A2 and A3 — Experience: 2.3 yrs total · 2.3 at IRIS; none recorded before IRIS = 2.6 on the experience scale; Qualification: B.Tech · graduate, relevant to the work → no change
</t>
          </r>
          <r>
            <rPr>
              <rFont val="Calibri"/>
              <b val="1"/>
              <sz val="10"/>
            </rPr>
            <t>Business Impact:</t>
          </r>
          <r>
            <rPr>
              <rFont val="Calibri"/>
              <sz val="10"/>
            </rPr>
            <t xml:space="preserve"> 2.5 of 12 — a starting estimate. — Start: 2, the role's accountability scope — what it answers for.; Moved +0.5: the survey / manager mapping marks it business-critical.; Managers and heads: overwrite this rating on the Weightage sheet with the business impact you see — the score updates at once.; Ladder: A2 = Own deliverables feed a team's output and turnaround · A3 = A process or client deliverable depends on this work</t>
          </r>
        </is>
      </c>
      <c r="X34" s="12" t="inlineStr">
        <is>
          <r>
            <rPr>
              <rFont val="Calibri"/>
              <b val="1"/>
              <sz val="10"/>
            </rPr>
            <t>Market level:</t>
          </r>
          <r>
            <rPr>
              <rFont val="Calibri"/>
              <sz val="10"/>
            </rPr>
            <t xml:space="preserve"> P2 · SFIA 3 Apply
</t>
          </r>
          <r>
            <rPr>
              <rFont val="Calibri"/>
              <b val="1"/>
              <sz val="10"/>
            </rPr>
            <t>Typical title:</t>
          </r>
          <r>
            <rPr>
              <rFont val="Calibri"/>
              <sz val="10"/>
            </rPr>
            <t xml:space="preserve"> Software Engineer
</t>
          </r>
          <r>
            <rPr>
              <rFont val="Calibri"/>
              <b val="1"/>
              <sz val="10"/>
            </rPr>
            <t>At peers:</t>
          </r>
          <r>
            <rPr>
              <rFont val="Calibri"/>
              <sz val="10"/>
            </rPr>
            <t xml:space="preserve"> Workiva – SE · Broadridge India – SE · Nasdaq / AxiomSL – SE
</t>
          </r>
          <r>
            <rPr>
              <rFont val="Calibri"/>
              <b val="1"/>
              <sz val="10"/>
            </rPr>
            <t>Typical experience:</t>
          </r>
          <r>
            <rPr>
              <rFont val="Calibri"/>
              <sz val="10"/>
            </rPr>
            <t xml:space="preserve"> 2–5 yrs · IRIS guide 2–4
</t>
          </r>
          <r>
            <rPr>
              <rFont val="Calibri"/>
              <b val="1"/>
              <sz val="10"/>
            </rPr>
            <t>Standard:</t>
          </r>
          <r>
            <rPr>
              <rFont val="Calibri"/>
              <sz val="10"/>
            </rPr>
            <t xml:space="preserve"> SFIA 9; OWASP secure coding</t>
          </r>
        </is>
      </c>
      <c r="Y34" s="12" t="inlineStr">
        <is>
          <r>
            <rPr>
              <rFont val="Calibri"/>
              <sz val="10"/>
            </rPr>
            <t xml:space="preserve">✓ HRIS: 2.3 yrs, B.Tech, 0 direct reports
✓ Survey: 20 of 20 questions answered
✓ KRAs: manager-set, quarterly
✓ Manager mapping: rating, potential, 9-box
✗ Job description: not on file
</t>
          </r>
          <r>
            <rPr>
              <rFont val="Calibri"/>
              <b val="1"/>
              <sz val="10"/>
            </rPr>
            <t>Confidence:</t>
          </r>
          <r>
            <rPr>
              <rFont val="Calibri"/>
              <sz val="10"/>
            </rPr>
            <t xml:space="preserve"> Low</t>
          </r>
        </is>
      </c>
      <c r="Z34" s="12" t="inlineStr">
        <is>
          <t>—</t>
        </is>
      </c>
      <c r="AA34" s="12" t="inlineStr">
        <is>
          <t>Nothing outstanding</t>
        </is>
      </c>
      <c r="AB34"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 of 12 · A2-level impact.
From the survey and manager mapping — critical role: yes; successor named: no.
</t>
          </r>
          <r>
            <rPr>
              <rFont val="Calibri"/>
              <b val="1"/>
              <sz val="10"/>
            </rPr>
            <t>If the work is missed · role-holders' themes:</t>
          </r>
          <r>
            <rPr>
              <rFont val="Calibri"/>
              <sz val="10"/>
            </rPr>
            <t xml:space="preserve"> delays · impact · rework.
</t>
          </r>
          <r>
            <rPr>
              <rFont val="Calibri"/>
              <b val="1"/>
              <sz val="10"/>
            </rPr>
            <t>Measured on · manager-set KRA themes:</t>
          </r>
          <r>
            <rPr>
              <rFont val="Calibri"/>
              <sz val="10"/>
            </rPr>
            <t xml:space="preserve"> year · coverage · code · quality · deliver · assigned.
Manager talent mapping — Latest rating: 2 · Potential: Low · 9-Box Grid placement: Performance Risk.</t>
          </r>
        </is>
      </c>
      <c r="AC34" s="79" t="n"/>
      <c r="AD34" s="79" t="n"/>
      <c r="AE34" s="79" t="n"/>
      <c r="AF34" s="12" t="n">
        <v>2.5</v>
      </c>
    </row>
    <row r="35" ht="379" customHeight="1">
      <c r="A35" s="12" t="inlineStr">
        <is>
          <t>IRISDT0018</t>
        </is>
      </c>
      <c r="B35" s="10" t="inlineStr">
        <is>
          <t>Shivam Dhumal</t>
        </is>
      </c>
      <c r="C35" s="12" t="inlineStr">
        <is>
          <t>Technology</t>
        </is>
      </c>
      <c r="D35" s="12" t="inlineStr">
        <is>
          <t>Software Engineer</t>
        </is>
      </c>
      <c r="E35" s="75" t="inlineStr">
        <is>
          <t>Senior Software Engineer</t>
        </is>
      </c>
      <c r="F35" s="12" t="inlineStr">
        <is>
          <t>Engineering &amp; Development</t>
        </is>
      </c>
      <c r="G35" s="12" t="inlineStr">
        <is>
          <t>Backend Development</t>
        </is>
      </c>
      <c r="H35" s="12" t="inlineStr">
        <is>
          <t>IC</t>
        </is>
      </c>
      <c r="I35" s="38" t="inlineStr">
        <is>
          <t>L3 – Professional / Associate</t>
        </is>
      </c>
      <c r="J35" s="16" t="inlineStr">
        <is>
          <t>A3</t>
        </is>
      </c>
      <c r="K35" s="17" t="inlineStr">
        <is>
          <t>Senior Associate</t>
        </is>
      </c>
      <c r="L35" s="82" t="inlineStr">
        <is>
          <t>▲ Up</t>
        </is>
      </c>
      <c r="M35" s="12" t="inlineStr">
        <is>
          <t>Datatech · Technology · Band A · Early career</t>
        </is>
      </c>
      <c r="N35" s="38" t="n">
        <v>2.5</v>
      </c>
      <c r="O35" s="38" t="n">
        <v>2</v>
      </c>
      <c r="P35" s="38" t="n">
        <v>2.5</v>
      </c>
      <c r="Q35" s="38" t="n">
        <v>1</v>
      </c>
      <c r="R35" s="38" t="n">
        <v>3.5</v>
      </c>
      <c r="S35" s="77" t="n">
        <v>3</v>
      </c>
      <c r="T35" s="78">
        <f>IF(OR($M35="",COUNT(N35,O35,P35,Q35,R35,S35)&lt;6),"",IFERROR(N35*INDEX(WM_C,MATCH($M35,WM_KEY,0))+O35*INDEX(WM_AU,MATCH($M35,WM_KEY,0))+P35*INDEX(WM_AC,MATCH($M35,WM_KEY,0))+Q35*INDEX(WM_L,MATCH($M35,WM_KEY,0))+R35*INDEX(WM_E,MATCH($M35,WM_KEY,0))+S35*INDEX(WM_BI,MATCH($M35,WM_KEY,0)),""))</f>
        <v>2.55</v>
      </c>
      <c r="U35" s="38" t="str">
        <f>IF(T35="","",INDEX({"A1","A2","A3","B1","B2","B3","C1","C2","D1","D2","E1","E2"},MAX(1,MIN(12,ROUND(T35,0)))))</f>
        <v>A3</v>
      </c>
      <c r="V35" s="12" t="inlineStr">
        <is>
          <r>
            <rPr>
              <rFont val="Calibri"/>
              <sz val="10"/>
            </rPr>
            <t xml:space="preserve">New level A3 · Senior Associate. Current level on record: L3 – Professional / Associate. Change: ▲ Up.
Score 2.55 on the ladder scale → indicated level A3.
</t>
          </r>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35" s="12" t="inlineStr">
        <is>
          <r>
            <rPr>
              <rFont val="Calibri"/>
              <b val="1"/>
              <sz val="10"/>
            </rPr>
            <t>Complexity &amp; Expertise:</t>
          </r>
          <r>
            <rPr>
              <rFont val="Calibri"/>
              <sz val="10"/>
            </rPr>
            <t xml:space="preserve"> 2.5 of 12 · between A2 and A3 — Start: 2.0 · practitioner title; Evidence: rated like 36 colleagues in the same role and department · own answers too general to rate → moved +0.5; KRA: “1. Committed scope delivered per sprint — ≥ 85%. Averaged for quarter 2. Crash-free sessions — ≥ 99.5% · shared with QA 3. Change failure…”
</t>
          </r>
          <r>
            <rPr>
              <rFont val="Calibri"/>
              <b val="1"/>
              <sz val="10"/>
            </rPr>
            <t>Autonomy &amp; Decision:</t>
          </r>
          <r>
            <rPr>
              <rFont val="Calibri"/>
              <sz val="10"/>
            </rPr>
            <t xml:space="preserve"> 2 of 12 — Start: 2.0 · practitioner title; Evidence: rated like 36 colleagues in the same role and department · own answers too general to rate → no change
</t>
          </r>
          <r>
            <rPr>
              <rFont val="Calibri"/>
              <b val="1"/>
              <sz val="10"/>
            </rPr>
            <t>Accountability &amp; Impact:</t>
          </r>
          <r>
            <rPr>
              <rFont val="Calibri"/>
              <sz val="10"/>
            </rPr>
            <t xml:space="preserve"> 2.5 of 12 · between A2 and A3 — Start: 2.0 · practitioner title; Evidence: rated like 36 colleagues in the same role and department · own answers too general to rate → moved +0.5; KRA: “1. Committed scope delivered per sprint — ≥ 85%. Averaged for quarter 2. Crash-free sessions — ≥ 99.5% · shared with QA 3. Change failure…”
</t>
          </r>
          <r>
            <rPr>
              <rFont val="Calibri"/>
              <b val="1"/>
              <sz val="10"/>
            </rPr>
            <t>Leadership &amp; Strategy:</t>
          </r>
          <r>
            <rPr>
              <rFont val="Calibri"/>
              <sz val="10"/>
            </rPr>
            <t xml:space="preserve"> 1 of 12 — not counted: the weight is 0% at this level — Start: 1.0 · individual contributor, so influence only; Evidence: rated like 36 colleagues in the same role and department · own answers too general to rate → no change; Team: 0 direct reports · IC
</t>
          </r>
          <r>
            <rPr>
              <rFont val="Calibri"/>
              <b val="1"/>
              <sz val="10"/>
            </rPr>
            <t>Experience &amp; Qualification:</t>
          </r>
          <r>
            <rPr>
              <rFont val="Calibri"/>
              <sz val="10"/>
            </rPr>
            <t xml:space="preserve"> 3.5 of 12 · between A3 and B1 — Experience: 4.6 yrs total · 4.1 before IRIS + 0.5 at IRIS = 3.6 on the experience scale; Qualification: B.Tech · graduate, relevant to the work → no change
</t>
          </r>
          <r>
            <rPr>
              <rFont val="Calibri"/>
              <b val="1"/>
              <sz val="10"/>
            </rPr>
            <t>Business Impact:</t>
          </r>
          <r>
            <rPr>
              <rFont val="Calibri"/>
              <sz val="10"/>
            </rPr>
            <t xml:space="preserve"> 3 of 12 — a starting estimate. — Start: 2.5,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t>
          </r>
        </is>
      </c>
      <c r="X35" s="12" t="inlineStr">
        <is>
          <r>
            <rPr>
              <rFont val="Calibri"/>
              <b val="1"/>
              <sz val="10"/>
            </rPr>
            <t>Market level:</t>
          </r>
          <r>
            <rPr>
              <rFont val="Calibri"/>
              <sz val="10"/>
            </rPr>
            <t xml:space="preserve"> P2 · SFIA 3 Apply
</t>
          </r>
          <r>
            <rPr>
              <rFont val="Calibri"/>
              <b val="1"/>
              <sz val="10"/>
            </rPr>
            <t>Typical title:</t>
          </r>
          <r>
            <rPr>
              <rFont val="Calibri"/>
              <sz val="10"/>
            </rPr>
            <t xml:space="preserve"> Software Engineer
</t>
          </r>
          <r>
            <rPr>
              <rFont val="Calibri"/>
              <b val="1"/>
              <sz val="10"/>
            </rPr>
            <t>At peers:</t>
          </r>
          <r>
            <rPr>
              <rFont val="Calibri"/>
              <sz val="10"/>
            </rPr>
            <t xml:space="preserve"> Workiva – SE · Broadridge India – SE · Nasdaq / AxiomSL – SE
</t>
          </r>
          <r>
            <rPr>
              <rFont val="Calibri"/>
              <b val="1"/>
              <sz val="10"/>
            </rPr>
            <t>Typical experience:</t>
          </r>
          <r>
            <rPr>
              <rFont val="Calibri"/>
              <sz val="10"/>
            </rPr>
            <t xml:space="preserve"> 2–5 yrs · IRIS guide 2–4
</t>
          </r>
          <r>
            <rPr>
              <rFont val="Calibri"/>
              <b val="1"/>
              <sz val="10"/>
            </rPr>
            <t>Standard:</t>
          </r>
          <r>
            <rPr>
              <rFont val="Calibri"/>
              <sz val="10"/>
            </rPr>
            <t xml:space="preserve"> SFIA 9; OWASP secure coding</t>
          </r>
        </is>
      </c>
      <c r="Y35" s="12" t="inlineStr">
        <is>
          <r>
            <rPr>
              <rFont val="Calibri"/>
              <sz val="10"/>
            </rPr>
            <t xml:space="preserve">✓ HRIS: 4.6 yrs, B.Tech, 0 direct reports
✓ Survey: 20 of 20 questions answered
✓ KRAs: manager-set, quarterly
✓ Manager mapping: rating, potential, 9-box
✗ Job description: not on file
</t>
          </r>
          <r>
            <rPr>
              <rFont val="Calibri"/>
              <b val="1"/>
              <sz val="10"/>
            </rPr>
            <t>Confidence:</t>
          </r>
          <r>
            <rPr>
              <rFont val="Calibri"/>
              <sz val="10"/>
            </rPr>
            <t xml:space="preserve"> Low</t>
          </r>
        </is>
      </c>
      <c r="Z35" s="12" t="inlineStr">
        <is>
          <t>—</t>
        </is>
      </c>
      <c r="AA35" s="12" t="inlineStr">
        <is>
          <t>Nothing outstanding</t>
        </is>
      </c>
      <c r="AB35"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2.5 of 12 · A2-level impact.
From the survey and manager mapping — critical role: yes; successor named: no.
</t>
          </r>
          <r>
            <rPr>
              <rFont val="Calibri"/>
              <b val="1"/>
              <sz val="10"/>
            </rPr>
            <t>If the work is missed · role-holders' themes:</t>
          </r>
          <r>
            <rPr>
              <rFont val="Calibri"/>
              <sz val="10"/>
            </rPr>
            <t xml:space="preserve"> delays · impact · rework.
</t>
          </r>
          <r>
            <rPr>
              <rFont val="Calibri"/>
              <b val="1"/>
              <sz val="10"/>
            </rPr>
            <t>Measured on · manager-set KRA themes:</t>
          </r>
          <r>
            <rPr>
              <rFont val="Calibri"/>
              <sz val="10"/>
            </rPr>
            <t xml:space="preserve"> year · coverage · code · quality · deliver · assigned.
Manager talent mapping — Latest rating: 3 · Potential: Medium · 9-Box Grid placement: Emerging Talent.</t>
          </r>
        </is>
      </c>
      <c r="AC35" s="79" t="n"/>
      <c r="AD35" s="79" t="n"/>
      <c r="AE35" s="79" t="n"/>
      <c r="AF35" s="12" t="n">
        <v>3</v>
      </c>
    </row>
    <row r="36" ht="379" customHeight="1">
      <c r="A36" s="12" t="inlineStr">
        <is>
          <t>IRISDT0004</t>
        </is>
      </c>
      <c r="B36" s="10" t="inlineStr">
        <is>
          <t>Krishnadev Arya</t>
        </is>
      </c>
      <c r="C36" s="12" t="inlineStr">
        <is>
          <t>Technology</t>
        </is>
      </c>
      <c r="D36" s="12" t="inlineStr">
        <is>
          <t>Junior Software Engineer</t>
        </is>
      </c>
      <c r="E36" s="75" t="inlineStr">
        <is>
          <t>Software Engineer</t>
        </is>
      </c>
      <c r="F36" s="12" t="inlineStr">
        <is>
          <t>Engineering &amp; Development</t>
        </is>
      </c>
      <c r="G36" s="12" t="inlineStr">
        <is>
          <t>Backend Development</t>
        </is>
      </c>
      <c r="H36" s="12" t="inlineStr">
        <is>
          <t>IC</t>
        </is>
      </c>
      <c r="I36" s="38" t="inlineStr">
        <is>
          <t>L3 – Professional / Associate</t>
        </is>
      </c>
      <c r="J36" s="16" t="inlineStr">
        <is>
          <t>A2</t>
        </is>
      </c>
      <c r="K36" s="17" t="inlineStr">
        <is>
          <t>Associate</t>
        </is>
      </c>
      <c r="L36" s="76" t="inlineStr">
        <is>
          <t>• Same level</t>
        </is>
      </c>
      <c r="M36" s="12" t="inlineStr">
        <is>
          <t>Datatech · Technology · Band A · Early career</t>
        </is>
      </c>
      <c r="N36" s="38" t="n">
        <v>2</v>
      </c>
      <c r="O36" s="38" t="n">
        <v>2</v>
      </c>
      <c r="P36" s="38" t="n">
        <v>2</v>
      </c>
      <c r="Q36" s="38" t="n">
        <v>1</v>
      </c>
      <c r="R36" s="38" t="n">
        <v>2.5</v>
      </c>
      <c r="S36" s="77" t="n">
        <v>2.5</v>
      </c>
      <c r="T36" s="78">
        <f>IF(OR($M36="",COUNT(N36,O36,P36,Q36,R36,S36)&lt;6),"",IFERROR(N36*INDEX(WM_C,MATCH($M36,WM_KEY,0))+O36*INDEX(WM_AU,MATCH($M36,WM_KEY,0))+P36*INDEX(WM_AC,MATCH($M36,WM_KEY,0))+Q36*INDEX(WM_L,MATCH($M36,WM_KEY,0))+R36*INDEX(WM_E,MATCH($M36,WM_KEY,0))+S36*INDEX(WM_BI,MATCH($M36,WM_KEY,0)),""))</f>
        <v>2.08</v>
      </c>
      <c r="U36" s="38" t="str">
        <f>IF(T36="","",INDEX({"A1","A2","A3","B1","B2","B3","C1","C2","D1","D2","E1","E2"},MAX(1,MIN(12,ROUND(T36,0)))))</f>
        <v>A2</v>
      </c>
      <c r="V36" s="12" t="inlineStr">
        <is>
          <r>
            <rPr>
              <rFont val="Calibri"/>
              <sz val="10"/>
            </rPr>
            <t xml:space="preserve">New level A2 · Associate. Current level on record: L3 – Professional / Associate. Change: • Same level.
Score 2.08 on the ladder scale → indicated level A2.
</t>
          </r>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36" s="12" t="inlineStr">
        <is>
          <r>
            <rPr>
              <rFont val="Calibri"/>
              <b val="1"/>
              <sz val="10"/>
            </rPr>
            <t>Complexity &amp; Expertise:</t>
          </r>
          <r>
            <rPr>
              <rFont val="Calibri"/>
              <sz val="10"/>
            </rPr>
            <t xml:space="preserve"> 2 of 12 — Start: 2.0 · practitioner title; Evidence: no survey answers or KRAs on file → rating stays at the start; KRA: “1. Committed scope delivered per sprint — ≥ 85%. Averaged for quarter 2. Crash-free sessions — ≥ 99.5% · shared with QA 3. Change failure…”
</t>
          </r>
          <r>
            <rPr>
              <rFont val="Calibri"/>
              <b val="1"/>
              <sz val="10"/>
            </rPr>
            <t>Autonomy &amp; Decision:</t>
          </r>
          <r>
            <rPr>
              <rFont val="Calibri"/>
              <sz val="10"/>
            </rPr>
            <t xml:space="preserve"> 2 of 12 — Start: 2.0 · practitioner title; Evidence: no survey answers or KRAs on file → rating stays at the start
</t>
          </r>
          <r>
            <rPr>
              <rFont val="Calibri"/>
              <b val="1"/>
              <sz val="10"/>
            </rPr>
            <t>Accountability &amp; Impact:</t>
          </r>
          <r>
            <rPr>
              <rFont val="Calibri"/>
              <sz val="10"/>
            </rPr>
            <t xml:space="preserve"> 2 of 12 — Start: 2.0 · practitioner title; Evidence: no survey answers or KRAs on file → rating stays at the start; KRA: “1. Committed scope delivered per sprint — ≥ 85%. Averaged for quarter 2. Crash-free sessions — ≥ 99.5% · shared with QA 3. Change failure…”
</t>
          </r>
          <r>
            <rPr>
              <rFont val="Calibri"/>
              <b val="1"/>
              <sz val="10"/>
            </rPr>
            <t>Leadership &amp; Strategy:</t>
          </r>
          <r>
            <rPr>
              <rFont val="Calibri"/>
              <sz val="10"/>
            </rPr>
            <t xml:space="preserve"> 1 of 12 — not counted: the weight is 0% at this level — Start: 1.0 · individual contributor, so influence only; Evidence: no survey answers or KRAs on file → rating stays at the start; Team: 0 direct reports · IC
</t>
          </r>
          <r>
            <rPr>
              <rFont val="Calibri"/>
              <b val="1"/>
              <sz val="10"/>
            </rPr>
            <t>Experience &amp; Qualification:</t>
          </r>
          <r>
            <rPr>
              <rFont val="Calibri"/>
              <sz val="10"/>
            </rPr>
            <t xml:space="preserve"> 2.5 of 12 · between A2 and A3 — Experience: 1.7 yrs total · 1.7 at IRIS; none recorded before IRIS = 2.4 on the experience scale; Qualification: B.E · graduate, relevant to the work → no change
</t>
          </r>
          <r>
            <rPr>
              <rFont val="Calibri"/>
              <b val="1"/>
              <sz val="10"/>
            </rPr>
            <t>Business Impact:</t>
          </r>
          <r>
            <rPr>
              <rFont val="Calibri"/>
              <sz val="10"/>
            </rPr>
            <t xml:space="preserve"> 2.5 of 12 — a starting estimate. — Start: 2, the role's accountability scope — what it answers for.; Moved +0.5: the survey / manager mapping marks it business-critical.; Managers and heads: overwrite this rating on the Weightage sheet with the business impact you see — the score updates at once.; Ladder: A2 = Own deliverables feed a team's output and turnaround · A3 = A process or client deliverable depends on this work</t>
          </r>
        </is>
      </c>
      <c r="X36" s="12" t="inlineStr">
        <is>
          <r>
            <rPr>
              <rFont val="Calibri"/>
              <b val="1"/>
              <sz val="10"/>
            </rPr>
            <t>Market level:</t>
          </r>
          <r>
            <rPr>
              <rFont val="Calibri"/>
              <sz val="10"/>
            </rPr>
            <t xml:space="preserve"> P1–P2 · SFIA 2 Assist
</t>
          </r>
          <r>
            <rPr>
              <rFont val="Calibri"/>
              <b val="1"/>
              <sz val="10"/>
            </rPr>
            <t>Typical title:</t>
          </r>
          <r>
            <rPr>
              <rFont val="Calibri"/>
              <sz val="10"/>
            </rPr>
            <t xml:space="preserve"> Associate Software Engineer / Software Engineer
</t>
          </r>
          <r>
            <rPr>
              <rFont val="Calibri"/>
              <b val="1"/>
              <sz val="10"/>
            </rPr>
            <t>At peers:</t>
          </r>
          <r>
            <rPr>
              <rFont val="Calibri"/>
              <sz val="10"/>
            </rPr>
            <t xml:space="preserve"> Workiva – Associate SE · Broadridge India – SE · Nasdaq / AxiomSL – SE
</t>
          </r>
          <r>
            <rPr>
              <rFont val="Calibri"/>
              <b val="1"/>
              <sz val="10"/>
            </rPr>
            <t>Typical experience:</t>
          </r>
          <r>
            <rPr>
              <rFont val="Calibri"/>
              <sz val="10"/>
            </rPr>
            <t xml:space="preserve"> 0–3 yrs · IRIS guide 0–2
</t>
          </r>
          <r>
            <rPr>
              <rFont val="Calibri"/>
              <b val="1"/>
              <sz val="10"/>
            </rPr>
            <t>Standard:</t>
          </r>
          <r>
            <rPr>
              <rFont val="Calibri"/>
              <sz val="10"/>
            </rPr>
            <t xml:space="preserve"> SFIA 9; OWASP secure coding</t>
          </r>
        </is>
      </c>
      <c r="Y36" s="12" t="inlineStr">
        <is>
          <r>
            <rPr>
              <rFont val="Calibri"/>
              <sz val="10"/>
            </rPr>
            <t xml:space="preserve">✓ HRIS: 1.7 yrs, B.E, 0 direct reports
✓ Survey: 20 of 20 questions answered
✓ KRAs: manager-set, quarterly
✓ Manager mapping: rating, potential, 9-box
✗ Job description: not on file
</t>
          </r>
          <r>
            <rPr>
              <rFont val="Calibri"/>
              <b val="1"/>
              <sz val="10"/>
            </rPr>
            <t>Confidence:</t>
          </r>
          <r>
            <rPr>
              <rFont val="Calibri"/>
              <sz val="10"/>
            </rPr>
            <t xml:space="preserve"> Low</t>
          </r>
        </is>
      </c>
      <c r="Z36" s="12" t="inlineStr">
        <is>
          <t>—</t>
        </is>
      </c>
      <c r="AA36" s="12" t="inlineStr">
        <is>
          <t>Nothing outstanding</t>
        </is>
      </c>
      <c r="AB36" s="12" t="inlineStr">
        <is>
          <r>
            <rPr>
              <rFont val="Calibri"/>
              <b val="1"/>
              <sz val="10"/>
            </rPr>
            <t>What the role answers for:</t>
          </r>
          <r>
            <rPr>
              <rFont val="Calibri"/>
              <sz val="10"/>
            </rPr>
            <t xml:space="preserve"> Own deliverables · accuracy, TAT.
</t>
          </r>
          <r>
            <rPr>
              <rFont val="Calibri"/>
              <b val="1"/>
              <sz val="10"/>
            </rPr>
            <t>Accountability &amp; Impact rating:</t>
          </r>
          <r>
            <rPr>
              <rFont val="Calibri"/>
              <sz val="10"/>
            </rPr>
            <t xml:space="preserve"> 2 of 12 · A2-level impact.
From the survey and manager mapping — critical role: yes; successor named: no.
</t>
          </r>
          <r>
            <rPr>
              <rFont val="Calibri"/>
              <b val="1"/>
              <sz val="10"/>
            </rPr>
            <t>If the work is missed · role-holders' themes:</t>
          </r>
          <r>
            <rPr>
              <rFont val="Calibri"/>
              <sz val="10"/>
            </rPr>
            <t xml:space="preserve"> rework · incorrectly · issues · delays.
</t>
          </r>
          <r>
            <rPr>
              <rFont val="Calibri"/>
              <b val="1"/>
              <sz val="10"/>
            </rPr>
            <t>Measured on · manager-set KRA themes:</t>
          </r>
          <r>
            <rPr>
              <rFont val="Calibri"/>
              <sz val="10"/>
            </rPr>
            <t xml:space="preserve"> improve · deliver · modules · committed · coverage · automated.
Manager talent mapping — Latest rating: 2 · Potential: Low · 9-Box Grid placement: Performance Risk.</t>
          </r>
        </is>
      </c>
      <c r="AC36" s="79" t="n"/>
      <c r="AD36" s="79" t="n"/>
      <c r="AE36" s="79" t="n"/>
      <c r="AF36" s="12" t="n">
        <v>2.5</v>
      </c>
    </row>
    <row r="37" ht="80" customHeight="1">
      <c r="A37" s="12" t="inlineStr">
        <is>
          <t>IRISDTN001</t>
        </is>
      </c>
      <c r="B37" s="10" t="inlineStr">
        <is>
          <t>Riyanka Dey</t>
        </is>
      </c>
      <c r="C37" s="12" t="inlineStr">
        <is>
          <t>Technology</t>
        </is>
      </c>
      <c r="D37" s="12" t="inlineStr">
        <is>
          <t>Intern</t>
        </is>
      </c>
      <c r="E37" s="75" t="inlineStr">
        <is>
          <t>Intern – Product Operations &amp; Research</t>
        </is>
      </c>
      <c r="F37" s="12" t="inlineStr">
        <is>
          <t>Product Management</t>
        </is>
      </c>
      <c r="G37" s="12" t="inlineStr">
        <is>
          <t>Product Operations &amp; Research</t>
        </is>
      </c>
      <c r="H37" s="12" t="inlineStr">
        <is>
          <t>IC</t>
        </is>
      </c>
      <c r="I37" s="38" t="inlineStr">
        <is>
          <t>Not in current mapping files</t>
        </is>
      </c>
      <c r="J37" s="16" t="inlineStr">
        <is>
          <t>A1</t>
        </is>
      </c>
      <c r="K37" s="17" t="inlineStr">
        <is>
          <t>Intern / Trainee</t>
        </is>
      </c>
      <c r="L37" s="83" t="inlineStr">
        <is>
          <t>● Newly mapped</t>
        </is>
      </c>
      <c r="M37" s="12" t="inlineStr">
        <is>
          <t>—</t>
        </is>
      </c>
      <c r="N37" s="38" t="inlineStr">
        <is>
          <t>—</t>
        </is>
      </c>
      <c r="O37" s="38" t="inlineStr">
        <is>
          <t>—</t>
        </is>
      </c>
      <c r="P37" s="38" t="inlineStr">
        <is>
          <t>—</t>
        </is>
      </c>
      <c r="Q37" s="38" t="inlineStr">
        <is>
          <t>—</t>
        </is>
      </c>
      <c r="R37" s="38" t="inlineStr">
        <is>
          <t>—</t>
        </is>
      </c>
      <c r="S37" s="77" t="inlineStr">
        <is>
          <t>—</t>
        </is>
      </c>
      <c r="T37" s="78" t="inlineStr">
        <is>
          <t>—</t>
        </is>
      </c>
      <c r="U37" s="38" t="inlineStr">
        <is>
          <t>Not scored</t>
        </is>
      </c>
      <c r="V37" s="12" t="inlineStr">
        <is>
          <t>New level A1 · Intern / Trainee. Current level on record: Not in current mapping files. Change: ● Newly mapped.
Interns and first-year trainees start at A1.</t>
        </is>
      </c>
      <c r="W37" s="12" t="inlineStr">
        <is>
          <r>
            <rPr>
              <rFont val="Calibri"/>
              <b val="1"/>
              <sz val="10"/>
            </rPr>
            <t>Not scored:</t>
          </r>
          <r>
            <rPr>
              <rFont val="Calibri"/>
              <sz val="10"/>
            </rPr>
            <t xml:space="preserve"> interns and first-year trainees start at A1.</t>
          </r>
        </is>
      </c>
      <c r="X37" s="12" t="inlineStr">
        <is>
          <r>
            <rPr>
              <rFont val="Calibri"/>
              <b val="1"/>
              <sz val="10"/>
            </rPr>
            <t>Market level:</t>
          </r>
          <r>
            <rPr>
              <rFont val="Calibri"/>
              <sz val="10"/>
            </rPr>
            <t xml:space="preserve"> Entry / P1 · intern · SFIA 1 Follow
</t>
          </r>
          <r>
            <rPr>
              <rFont val="Calibri"/>
              <b val="1"/>
              <sz val="10"/>
            </rPr>
            <t>Typical title:</t>
          </r>
          <r>
            <rPr>
              <rFont val="Calibri"/>
              <sz val="10"/>
            </rPr>
            <t xml:space="preserve"> Product Analyst
</t>
          </r>
          <r>
            <rPr>
              <rFont val="Calibri"/>
              <b val="1"/>
              <sz val="10"/>
            </rPr>
            <t>Standard:</t>
          </r>
          <r>
            <rPr>
              <rFont val="Calibri"/>
              <sz val="10"/>
            </rPr>
            <t xml:space="preserve"> Pragmatic Institute Framework; AIPMM</t>
          </r>
        </is>
      </c>
      <c r="Y37" s="12" t="inlineStr">
        <is>
          <r>
            <rPr>
              <rFont val="Calibri"/>
              <sz val="10"/>
            </rPr>
            <t xml:space="preserve">✓ HRIS: 0.6 yrs, B.E, 0 direct reports
✓ Survey: 20 of 20 questions answered
✗ KRAs: none on file
✓ Manager mapping: rating, 9-box
✗ Job description: not on file
</t>
          </r>
          <r>
            <rPr>
              <rFont val="Calibri"/>
              <b val="1"/>
              <sz val="10"/>
            </rPr>
            <t>Confidence:</t>
          </r>
          <r>
            <rPr>
              <rFont val="Calibri"/>
              <sz val="10"/>
            </rPr>
            <t xml:space="preserve"> Medium</t>
          </r>
        </is>
      </c>
      <c r="Z37" s="12" t="inlineStr">
        <is>
          <t>—</t>
        </is>
      </c>
      <c r="AA37" s="12" t="inlineStr">
        <is>
          <t>Nothing outstanding</t>
        </is>
      </c>
      <c r="AB37" s="12" t="inlineStr">
        <is>
          <r>
            <rPr>
              <rFont val="Calibri"/>
              <b val="1"/>
              <sz val="10"/>
            </rPr>
            <t>What the role answers for:</t>
          </r>
          <r>
            <rPr>
              <rFont val="Calibri"/>
              <sz val="10"/>
            </rPr>
            <t xml:space="preserve"> Learning tasks.
Manager talent mapping — Latest rating: Not rated · manager · 9-Box Grid placement: Not placed · manager.</t>
          </r>
        </is>
      </c>
      <c r="AC37" s="79" t="n"/>
      <c r="AD37" s="79" t="n"/>
      <c r="AE37" s="79" t="n"/>
      <c r="AF37" s="12" t="inlineStr">
        <is>
          <t>—</t>
        </is>
      </c>
    </row>
    <row r="38" ht="93" customHeight="1">
      <c r="A38" s="12" t="inlineStr">
        <is>
          <t>No Emp ID · external consultant</t>
        </is>
      </c>
      <c r="B38" s="10" t="inlineStr">
        <is>
          <t>Sadhan Kumar</t>
        </is>
      </c>
      <c r="C38" s="12" t="inlineStr">
        <is>
          <t>Technology</t>
        </is>
      </c>
      <c r="D38" s="12" t="inlineStr">
        <is>
          <t>Consultant</t>
        </is>
      </c>
      <c r="E38" s="75" t="inlineStr">
        <is>
          <t>Associate Consultant – Software Development</t>
        </is>
      </c>
      <c r="F38" s="12" t="inlineStr">
        <is>
          <t>Engineering &amp; Development</t>
        </is>
      </c>
      <c r="G38" s="12" t="inlineStr">
        <is>
          <t>Backend Development</t>
        </is>
      </c>
      <c r="H38" s="12" t="inlineStr">
        <is>
          <t>Consultant</t>
        </is>
      </c>
      <c r="I38" s="38" t="inlineStr">
        <is>
          <t>—</t>
        </is>
      </c>
      <c r="J38" s="32" t="inlineStr">
        <is>
          <t>X1</t>
        </is>
      </c>
      <c r="K38" s="33" t="inlineStr">
        <is>
          <t>Associate Consultant</t>
        </is>
      </c>
      <c r="L38" s="76" t="inlineStr">
        <is>
          <t>• Same level</t>
        </is>
      </c>
      <c r="M38" s="12" t="inlineStr">
        <is>
          <t>—</t>
        </is>
      </c>
      <c r="N38" s="38" t="inlineStr">
        <is>
          <t>—</t>
        </is>
      </c>
      <c r="O38" s="38" t="inlineStr">
        <is>
          <t>—</t>
        </is>
      </c>
      <c r="P38" s="38" t="inlineStr">
        <is>
          <t>—</t>
        </is>
      </c>
      <c r="Q38" s="38" t="inlineStr">
        <is>
          <t>—</t>
        </is>
      </c>
      <c r="R38" s="38" t="inlineStr">
        <is>
          <t>—</t>
        </is>
      </c>
      <c r="S38" s="77" t="inlineStr">
        <is>
          <t>—</t>
        </is>
      </c>
      <c r="T38" s="78" t="inlineStr">
        <is>
          <t>—</t>
        </is>
      </c>
      <c r="U38" s="38" t="inlineStr">
        <is>
          <t>Not scored</t>
        </is>
      </c>
      <c r="V38" s="12" t="inlineStr">
        <is>
          <t>New level X1 · Associate Consultant. Current level on record: —. Change: • Same level.
Consultants sit outside the career ladder, at X1–X3 by the scope of their statement of work.</t>
        </is>
      </c>
      <c r="W38" s="12" t="inlineStr">
        <is>
          <r>
            <rPr>
              <rFont val="Calibri"/>
              <b val="1"/>
              <sz val="10"/>
            </rPr>
            <t>Not scored:</t>
          </r>
          <r>
            <rPr>
              <rFont val="Calibri"/>
              <sz val="10"/>
            </rPr>
            <t xml:space="preserve"> consultants sit outside the career ladder · X1–X3, by the scope of their statement of work.</t>
          </r>
        </is>
      </c>
      <c r="X38" s="12" t="inlineStr">
        <is>
          <r>
            <rPr>
              <rFont val="Calibri"/>
              <b val="1"/>
              <sz val="10"/>
            </rPr>
            <t>Consultant:</t>
          </r>
          <r>
            <rPr>
              <rFont val="Calibri"/>
              <sz val="10"/>
            </rPr>
            <t xml:space="preserve"> priced by rate card under the statement of work.</t>
          </r>
        </is>
      </c>
      <c r="Y38" s="12" t="inlineStr">
        <is>
          <r>
            <rPr>
              <rFont val="Calibri"/>
              <sz val="10"/>
            </rPr>
            <t xml:space="preserve">✗ HRIS: experience missing, qualification missing, 0 direct reports
✗ Survey: no response
✗ KRAs: none on file
✓ Manager mapping: rating
✗ Job description: not on file
</t>
          </r>
          <r>
            <rPr>
              <rFont val="Calibri"/>
              <b val="1"/>
              <sz val="10"/>
            </rPr>
            <t>Confidence:</t>
          </r>
          <r>
            <rPr>
              <rFont val="Calibri"/>
              <sz val="10"/>
            </rPr>
            <t xml:space="preserve"> —</t>
          </r>
        </is>
      </c>
      <c r="Z38" s="12" t="inlineStr">
        <is>
          <t>—</t>
        </is>
      </c>
      <c r="AA38" s="12" t="inlineStr">
        <is>
          <t>Nothing outstanding</t>
        </is>
      </c>
      <c r="AB38" s="12" t="inlineStr">
        <is>
          <r>
            <rPr>
              <rFont val="Calibri"/>
              <b val="1"/>
              <sz val="10"/>
            </rPr>
            <t>What the role answers for:</t>
          </r>
          <r>
            <rPr>
              <rFont val="Calibri"/>
              <sz val="10"/>
            </rPr>
            <t xml:space="preserve"> —.
</t>
          </r>
          <r>
            <rPr>
              <rFont val="Calibri"/>
              <b val="1"/>
              <sz val="10"/>
            </rPr>
            <t>If the work is missed · role-holders' themes:</t>
          </r>
          <r>
            <rPr>
              <rFont val="Calibri"/>
              <sz val="10"/>
            </rPr>
            <t xml:space="preserve"> delays · rework · issues · impact.
Manager talent mapping — Latest rating: Not rated · manager.</t>
          </r>
        </is>
      </c>
      <c r="AC38" s="79" t="n"/>
      <c r="AD38" s="79" t="n"/>
      <c r="AE38" s="79" t="n"/>
      <c r="AF38" s="12" t="inlineStr">
        <is>
          <t>—</t>
        </is>
      </c>
    </row>
    <row r="39" ht="93" customHeight="1">
      <c r="A39" s="12" t="inlineStr">
        <is>
          <t>No Emp ID · external consultant</t>
        </is>
      </c>
      <c r="B39" s="10" t="inlineStr">
        <is>
          <t>Sohel Yadav</t>
        </is>
      </c>
      <c r="C39" s="12" t="inlineStr">
        <is>
          <t>Technology</t>
        </is>
      </c>
      <c r="D39" s="12" t="inlineStr">
        <is>
          <t>Consultant</t>
        </is>
      </c>
      <c r="E39" s="75" t="inlineStr">
        <is>
          <t>Associate Consultant – Software Development</t>
        </is>
      </c>
      <c r="F39" s="12" t="inlineStr">
        <is>
          <t>Engineering &amp; Development</t>
        </is>
      </c>
      <c r="G39" s="12" t="inlineStr">
        <is>
          <t>Backend Development</t>
        </is>
      </c>
      <c r="H39" s="12" t="inlineStr">
        <is>
          <t>Consultant</t>
        </is>
      </c>
      <c r="I39" s="38" t="inlineStr">
        <is>
          <t>—</t>
        </is>
      </c>
      <c r="J39" s="32" t="inlineStr">
        <is>
          <t>X1</t>
        </is>
      </c>
      <c r="K39" s="33" t="inlineStr">
        <is>
          <t>Associate Consultant</t>
        </is>
      </c>
      <c r="L39" s="76" t="inlineStr">
        <is>
          <t>• Same level</t>
        </is>
      </c>
      <c r="M39" s="12" t="inlineStr">
        <is>
          <t>—</t>
        </is>
      </c>
      <c r="N39" s="38" t="inlineStr">
        <is>
          <t>—</t>
        </is>
      </c>
      <c r="O39" s="38" t="inlineStr">
        <is>
          <t>—</t>
        </is>
      </c>
      <c r="P39" s="38" t="inlineStr">
        <is>
          <t>—</t>
        </is>
      </c>
      <c r="Q39" s="38" t="inlineStr">
        <is>
          <t>—</t>
        </is>
      </c>
      <c r="R39" s="38" t="inlineStr">
        <is>
          <t>—</t>
        </is>
      </c>
      <c r="S39" s="77" t="inlineStr">
        <is>
          <t>—</t>
        </is>
      </c>
      <c r="T39" s="78" t="inlineStr">
        <is>
          <t>—</t>
        </is>
      </c>
      <c r="U39" s="38" t="inlineStr">
        <is>
          <t>Not scored</t>
        </is>
      </c>
      <c r="V39" s="12" t="inlineStr">
        <is>
          <t>New level X1 · Associate Consultant. Current level on record: —. Change: • Same level.
Consultants sit outside the career ladder, at X1–X3 by the scope of their statement of work.</t>
        </is>
      </c>
      <c r="W39" s="12" t="inlineStr">
        <is>
          <r>
            <rPr>
              <rFont val="Calibri"/>
              <b val="1"/>
              <sz val="10"/>
            </rPr>
            <t>Not scored:</t>
          </r>
          <r>
            <rPr>
              <rFont val="Calibri"/>
              <sz val="10"/>
            </rPr>
            <t xml:space="preserve"> consultants sit outside the career ladder · X1–X3, by the scope of their statement of work.</t>
          </r>
        </is>
      </c>
      <c r="X39" s="12" t="inlineStr">
        <is>
          <r>
            <rPr>
              <rFont val="Calibri"/>
              <b val="1"/>
              <sz val="10"/>
            </rPr>
            <t>Consultant:</t>
          </r>
          <r>
            <rPr>
              <rFont val="Calibri"/>
              <sz val="10"/>
            </rPr>
            <t xml:space="preserve"> priced by rate card under the statement of work.</t>
          </r>
        </is>
      </c>
      <c r="Y39" s="12" t="inlineStr">
        <is>
          <r>
            <rPr>
              <rFont val="Calibri"/>
              <sz val="10"/>
            </rPr>
            <t xml:space="preserve">✗ HRIS: experience missing, qualification missing, 0 direct reports
✗ Survey: no response
✗ KRAs: none on file
✓ Manager mapping: rating
✗ Job description: not on file
</t>
          </r>
          <r>
            <rPr>
              <rFont val="Calibri"/>
              <b val="1"/>
              <sz val="10"/>
            </rPr>
            <t>Confidence:</t>
          </r>
          <r>
            <rPr>
              <rFont val="Calibri"/>
              <sz val="10"/>
            </rPr>
            <t xml:space="preserve"> —</t>
          </r>
        </is>
      </c>
      <c r="Z39" s="12" t="inlineStr">
        <is>
          <t>—</t>
        </is>
      </c>
      <c r="AA39" s="12" t="inlineStr">
        <is>
          <t>Nothing outstanding</t>
        </is>
      </c>
      <c r="AB39" s="12" t="inlineStr">
        <is>
          <r>
            <rPr>
              <rFont val="Calibri"/>
              <b val="1"/>
              <sz val="10"/>
            </rPr>
            <t>What the role answers for:</t>
          </r>
          <r>
            <rPr>
              <rFont val="Calibri"/>
              <sz val="10"/>
            </rPr>
            <t xml:space="preserve"> —.
</t>
          </r>
          <r>
            <rPr>
              <rFont val="Calibri"/>
              <b val="1"/>
              <sz val="10"/>
            </rPr>
            <t>If the work is missed · role-holders' themes:</t>
          </r>
          <r>
            <rPr>
              <rFont val="Calibri"/>
              <sz val="10"/>
            </rPr>
            <t xml:space="preserve"> delays · rework · issues · impact.
Manager talent mapping — Latest rating: Not rated · manager.</t>
          </r>
        </is>
      </c>
      <c r="AC39" s="79" t="n"/>
      <c r="AD39" s="79" t="n"/>
      <c r="AE39" s="79" t="n"/>
      <c r="AF39" s="12" t="inlineStr">
        <is>
          <t>—</t>
        </is>
      </c>
    </row>
    <row r="40" ht="93" customHeight="1">
      <c r="A40" s="12" t="inlineStr">
        <is>
          <t>No Emp ID · in-house consultant</t>
        </is>
      </c>
      <c r="B40" s="10" t="inlineStr">
        <is>
          <t>Vivek Kumar</t>
        </is>
      </c>
      <c r="C40" s="12" t="inlineStr">
        <is>
          <t>Technology</t>
        </is>
      </c>
      <c r="D40" s="12" t="inlineStr">
        <is>
          <t>Consultant</t>
        </is>
      </c>
      <c r="E40" s="75" t="inlineStr">
        <is>
          <t>Associate Consultant – Software Development</t>
        </is>
      </c>
      <c r="F40" s="12" t="inlineStr">
        <is>
          <t>Engineering &amp; Development</t>
        </is>
      </c>
      <c r="G40" s="12" t="inlineStr">
        <is>
          <t>Backend Development</t>
        </is>
      </c>
      <c r="H40" s="12" t="inlineStr">
        <is>
          <t>Consultant</t>
        </is>
      </c>
      <c r="I40" s="38" t="inlineStr">
        <is>
          <t>Not in current mapping files</t>
        </is>
      </c>
      <c r="J40" s="32" t="inlineStr">
        <is>
          <t>X1</t>
        </is>
      </c>
      <c r="K40" s="33" t="inlineStr">
        <is>
          <t>Associate Consultant</t>
        </is>
      </c>
      <c r="L40" s="76" t="inlineStr">
        <is>
          <t>• Same level</t>
        </is>
      </c>
      <c r="M40" s="12" t="inlineStr">
        <is>
          <t>—</t>
        </is>
      </c>
      <c r="N40" s="38" t="inlineStr">
        <is>
          <t>—</t>
        </is>
      </c>
      <c r="O40" s="38" t="inlineStr">
        <is>
          <t>—</t>
        </is>
      </c>
      <c r="P40" s="38" t="inlineStr">
        <is>
          <t>—</t>
        </is>
      </c>
      <c r="Q40" s="38" t="inlineStr">
        <is>
          <t>—</t>
        </is>
      </c>
      <c r="R40" s="38" t="inlineStr">
        <is>
          <t>—</t>
        </is>
      </c>
      <c r="S40" s="77" t="inlineStr">
        <is>
          <t>—</t>
        </is>
      </c>
      <c r="T40" s="78" t="inlineStr">
        <is>
          <t>—</t>
        </is>
      </c>
      <c r="U40" s="38" t="inlineStr">
        <is>
          <t>Not scored</t>
        </is>
      </c>
      <c r="V40" s="12" t="inlineStr">
        <is>
          <t>New level X1 · Associate Consultant. Current level on record: Not in current mapping files. Change: • Same level.
Consultants sit outside the career ladder, at X1–X3 by the scope of their statement of work.</t>
        </is>
      </c>
      <c r="W40" s="12" t="inlineStr">
        <is>
          <r>
            <rPr>
              <rFont val="Calibri"/>
              <b val="1"/>
              <sz val="10"/>
            </rPr>
            <t>Not scored:</t>
          </r>
          <r>
            <rPr>
              <rFont val="Calibri"/>
              <sz val="10"/>
            </rPr>
            <t xml:space="preserve"> consultants sit outside the career ladder · X1–X3, by the scope of their statement of work.</t>
          </r>
        </is>
      </c>
      <c r="X40" s="12" t="inlineStr">
        <is>
          <r>
            <rPr>
              <rFont val="Calibri"/>
              <b val="1"/>
              <sz val="10"/>
            </rPr>
            <t>Consultant:</t>
          </r>
          <r>
            <rPr>
              <rFont val="Calibri"/>
              <sz val="10"/>
            </rPr>
            <t xml:space="preserve"> priced by rate card under the statement of work.</t>
          </r>
        </is>
      </c>
      <c r="Y40" s="12" t="inlineStr">
        <is>
          <r>
            <rPr>
              <rFont val="Calibri"/>
              <sz val="10"/>
            </rPr>
            <t xml:space="preserve">✗ HRIS: experience missing, qualification missing, 0 direct reports
✗ Survey: no response
✗ KRAs: none on file
✓ Manager mapping: rating
✗ Job description: not on file
</t>
          </r>
          <r>
            <rPr>
              <rFont val="Calibri"/>
              <b val="1"/>
              <sz val="10"/>
            </rPr>
            <t>Confidence:</t>
          </r>
          <r>
            <rPr>
              <rFont val="Calibri"/>
              <sz val="10"/>
            </rPr>
            <t xml:space="preserve"> —</t>
          </r>
        </is>
      </c>
      <c r="Z40" s="12" t="inlineStr">
        <is>
          <t>—</t>
        </is>
      </c>
      <c r="AA40" s="12" t="inlineStr">
        <is>
          <t>Nothing outstanding</t>
        </is>
      </c>
      <c r="AB40" s="12" t="inlineStr">
        <is>
          <r>
            <rPr>
              <rFont val="Calibri"/>
              <b val="1"/>
              <sz val="10"/>
            </rPr>
            <t>What the role answers for:</t>
          </r>
          <r>
            <rPr>
              <rFont val="Calibri"/>
              <sz val="10"/>
            </rPr>
            <t xml:space="preserve"> —.
</t>
          </r>
          <r>
            <rPr>
              <rFont val="Calibri"/>
              <b val="1"/>
              <sz val="10"/>
            </rPr>
            <t>If the work is missed · role-holders' themes:</t>
          </r>
          <r>
            <rPr>
              <rFont val="Calibri"/>
              <sz val="10"/>
            </rPr>
            <t xml:space="preserve"> delays · rework · issues · impact.
Manager talent mapping — Latest rating: Not rated · manager.</t>
          </r>
        </is>
      </c>
      <c r="AC40" s="79" t="n"/>
      <c r="AD40" s="79" t="n"/>
      <c r="AE40" s="79" t="n"/>
      <c r="AF40" s="12" t="inlineStr">
        <is>
          <t>—</t>
        </is>
      </c>
    </row>
  </sheetData>
  <mergeCells count="14">
    <mergeCell ref="AC5:AF5"/>
    <mergeCell ref="J4:K4"/>
    <mergeCell ref="L4:M4"/>
    <mergeCell ref="A5:C5"/>
    <mergeCell ref="D5:L5"/>
    <mergeCell ref="V5:X5"/>
    <mergeCell ref="A1:AF1"/>
    <mergeCell ref="A4:D4"/>
    <mergeCell ref="M5:U5"/>
    <mergeCell ref="A3:AF3"/>
    <mergeCell ref="H4:I4"/>
    <mergeCell ref="N4:P4"/>
    <mergeCell ref="Y5:AB5"/>
    <mergeCell ref="A2:AF2"/>
  </mergeCells>
  <dataValidations count="2">
    <dataValidation sqref="AC7:AC40" showDropDown="0" showInputMessage="0" showErrorMessage="0" allowBlank="1" type="list">
      <formula1>"Agree,Change,Discuss"</formula1>
    </dataValidation>
    <dataValidation sqref="S7:S40" showDropDown="0" showInputMessage="0" showErrorMessage="1" allowBlank="1" errorTitle="Business Impact rating" error="Enter a rating from 1 to 12; half points are allowed." type="decimal" operator="between">
      <formula1>1</formula1>
      <formula2>12</formula2>
    </dataValidation>
  </dataValidations>
  <hyperlinks>
    <hyperlink xmlns:r="http://schemas.openxmlformats.org/officeDocument/2006/relationships" ref="AG1" r:id="rId1"/>
  </hyperlinks>
  <pageMargins left="0.4" right="0.4" top="0.5" bottom="0.5" header="0.5" footer="0.5"/>
  <pageSetup orientation="landscape" paperSize="8" fitToHeight="0" fitToWidth="1"/>
  <headerFooter>
    <oddHeader/>
    <oddFooter>&amp;LIRIS · Job Architecture &amp; Job Design · Final v1.12 · October 2026 · Internal — Confidential&amp;RPage &amp;P of &amp;N</oddFooter>
    <evenHeader/>
    <evenFooter/>
    <firstHeader/>
    <firstFooter/>
  </headerFooter>
  <legacyDrawing xmlns:r="http://schemas.openxmlformats.org/officeDocument/2006/relationships" r:id="anysvml"/>
  <tableParts count="1">
    <tablePart xmlns:r="http://schemas.openxmlformats.org/officeDocument/2006/relationships" r:id="rId2"/>
  </tableParts>
</worksheet>
</file>

<file path=xl/worksheets/sheet4.xml><?xml version="1.0" encoding="utf-8"?>
<worksheet xmlns="http://schemas.openxmlformats.org/spreadsheetml/2006/main">
  <sheetPr>
    <tabColor rgb="00C55A11"/>
    <outlinePr summaryBelow="1" summaryRight="1"/>
    <pageSetUpPr fitToPage="1"/>
  </sheetPr>
  <dimension ref="A1:W41"/>
  <sheetViews>
    <sheetView showGridLines="0" zoomScale="85" workbookViewId="0">
      <pane xSplit="3" ySplit="6" topLeftCell="D7" activePane="bottomRight" state="frozen"/>
      <selection pane="topRight" activeCell="A1" sqref="A1"/>
      <selection pane="bottomLeft" activeCell="A1" sqref="A1"/>
      <selection pane="bottomRight" activeCell="A1" sqref="A1"/>
    </sheetView>
  </sheetViews>
  <sheetFormatPr baseColWidth="8" defaultRowHeight="15"/>
  <cols>
    <col width="9" customWidth="1" min="1" max="1"/>
    <col width="16" customWidth="1" min="2" max="2"/>
    <col width="20" customWidth="1" min="3" max="3"/>
    <col width="6" customWidth="1" min="4" max="4"/>
    <col width="14" customWidth="1" min="5" max="5"/>
    <col width="8" customWidth="1" min="6" max="6"/>
    <col width="24" customWidth="1" min="7" max="7"/>
    <col width="24" customWidth="1" min="8" max="8"/>
    <col width="16" customWidth="1" min="9" max="9"/>
    <col width="42" customWidth="1" min="10" max="10"/>
    <col width="42" customWidth="1" min="11" max="11"/>
    <col width="28" customWidth="1" min="12" max="12"/>
    <col width="32" customWidth="1" min="13" max="13"/>
    <col width="30" customWidth="1" min="14" max="14"/>
    <col width="46" customWidth="1" min="15" max="15"/>
    <col width="24" customWidth="1" min="16" max="16"/>
    <col width="34" customWidth="1" min="17" max="17"/>
    <col width="30" customWidth="1" min="18" max="18"/>
    <col width="40" customWidth="1" min="19" max="19"/>
    <col width="32" customWidth="1" min="20" max="20"/>
    <col width="26" customWidth="1" min="21" max="21"/>
    <col width="22" customWidth="1" min="22" max="22"/>
    <col width="13" customWidth="1" min="23" max="23"/>
  </cols>
  <sheetData>
    <row r="1" ht="34" customHeight="1">
      <c r="A1" s="1" t="inlineStr">
        <is>
          <t>Roles — every role held here, as defined once for all of IRIS</t>
        </is>
      </c>
      <c r="W1" s="99" t="inlineStr">
        <is>
          <t>◂ Start Here</t>
        </is>
      </c>
    </row>
    <row r="2" ht="30" customHeight="1">
      <c r="A2" s="3" t="inlineStr">
        <is>
          <t>Sheet 3 · One row per role · job family × sub-family × level × track. Purpose and responsibilities are written in catalogue language · the sub-family definition and the level standard, followed by the common themes in the role-holders' own answers where 3+ answered · the role, else its sub-family — 'Evidence basis' says which. The level requirements are the framework's, the same for every role at that level.</t>
        </is>
      </c>
    </row>
    <row r="3">
      <c r="A3" s="4" t="inlineStr">
        <is>
          <t>IRIS · Job Architecture &amp; Job Design · Final v1.12 · October 2026 · Internal — Confidential</t>
        </is>
      </c>
    </row>
    <row r="4"/>
    <row r="5" ht="30" customHeight="1">
      <c r="A5" s="64" t="inlineStr">
        <is>
          <t>ROLE</t>
        </is>
      </c>
      <c r="J5" s="65" t="inlineStr">
        <is>
          <t>WHAT THE ROLE IS FOR AND DOES</t>
        </is>
      </c>
      <c r="O5" s="66" t="inlineStr">
        <is>
          <t>WHAT THE LEVEL REQUIRES</t>
        </is>
      </c>
      <c r="R5" s="67" t="inlineStr">
        <is>
          <t>DISCIPLINE DETAIL · Career Architecture V2</t>
        </is>
      </c>
      <c r="T5" s="68" t="inlineStr">
        <is>
          <t>MARKET &amp; CAREER</t>
        </is>
      </c>
      <c r="V5" s="69" t="inlineStr">
        <is>
          <t>EVIDENCE</t>
        </is>
      </c>
    </row>
    <row r="6" ht="44" customHeight="1">
      <c r="A6" s="70" t="inlineStr">
        <is>
          <t>Catalogue ID</t>
        </is>
      </c>
      <c r="B6" s="70" t="inlineStr">
        <is>
          <t>Job family</t>
        </is>
      </c>
      <c r="C6" s="70" t="inlineStr">
        <is>
          <t>Sub-family</t>
        </is>
      </c>
      <c r="D6" s="70" t="inlineStr">
        <is>
          <t>Level</t>
        </is>
      </c>
      <c r="E6" s="70" t="inlineStr">
        <is>
          <t>Level title</t>
        </is>
      </c>
      <c r="F6" s="70" t="inlineStr">
        <is>
          <t>Track</t>
        </is>
      </c>
      <c r="G6" s="70" t="inlineStr">
        <is>
          <t>Designations used</t>
        </is>
      </c>
      <c r="H6" s="70" t="inlineStr">
        <is>
          <t>Held here by</t>
        </is>
      </c>
      <c r="I6" s="70" t="inlineStr">
        <is>
          <t>Department · s</t>
        </is>
      </c>
      <c r="J6" s="8" t="inlineStr">
        <is>
          <t>Purpose</t>
        </is>
      </c>
      <c r="K6" s="8" t="inlineStr">
        <is>
          <t>Key responsibilities</t>
        </is>
      </c>
      <c r="L6" s="8" t="inlineStr">
        <is>
          <t>Decision rights</t>
        </is>
      </c>
      <c r="M6" s="8" t="inlineStr">
        <is>
          <t>Manager-set KRAs · common themes</t>
        </is>
      </c>
      <c r="N6" s="8" t="inlineStr">
        <is>
          <t>Skills &amp; tools · counts</t>
        </is>
      </c>
      <c r="O6" s="71" t="inlineStr">
        <is>
          <t>Expectations at this level</t>
        </is>
      </c>
      <c r="P6" s="71" t="inlineStr">
        <is>
          <t>Experience &amp; education</t>
        </is>
      </c>
      <c r="Q6" s="71" t="inlineStr">
        <is>
          <t>Must-have competencies &amp; proficiency</t>
        </is>
      </c>
      <c r="R6" s="72" t="inlineStr">
        <is>
          <t>Family boundary</t>
        </is>
      </c>
      <c r="S6" s="72" t="inlineStr">
        <is>
          <t>Discipline expectation, readiness and work sample</t>
        </is>
      </c>
      <c r="T6" s="73" t="inlineStr">
        <is>
          <t>Market equivalent</t>
        </is>
      </c>
      <c r="U6" s="73" t="inlineStr">
        <is>
          <t>Next step</t>
        </is>
      </c>
      <c r="V6" s="74" t="inlineStr">
        <is>
          <t>Evidence basis</t>
        </is>
      </c>
    </row>
    <row r="7">
      <c r="A7" s="85" t="inlineStr">
        <is>
          <t>Data &amp; Analytics</t>
        </is>
      </c>
    </row>
    <row r="8" ht="106" customHeight="1">
      <c r="A8" s="86" t="inlineStr">
        <is>
          <t>RC-043</t>
        </is>
      </c>
      <c r="B8" s="12" t="inlineStr">
        <is>
          <t>Data &amp; Analytics</t>
        </is>
      </c>
      <c r="C8" s="12" t="inlineStr">
        <is>
          <t>MIS &amp; Business Reporting</t>
        </is>
      </c>
      <c r="D8" s="16" t="inlineStr">
        <is>
          <t>A2</t>
        </is>
      </c>
      <c r="E8" s="17" t="inlineStr">
        <is>
          <t>Associate</t>
        </is>
      </c>
      <c r="F8" s="12" t="inlineStr">
        <is>
          <t>IC</t>
        </is>
      </c>
      <c r="G8" s="12" t="inlineStr">
        <is>
          <t>MIS Associate</t>
        </is>
      </c>
      <c r="H8" s="12" t="inlineStr">
        <is>
          <t>Sameeksha More</t>
        </is>
      </c>
      <c r="I8" s="12" t="inlineStr">
        <is>
          <t>Datatech - Outreach</t>
        </is>
      </c>
      <c r="J8" s="12" t="inlineStr">
        <is>
          <t>Builds MIS, dashboards and revenue/ARR forecasts. At A2: standard work delivered independently.</t>
        </is>
      </c>
      <c r="K8" s="12" t="inlineStr">
        <is>
          <t>Builds MIS, dashboards and revenue/ARR forecasts; Standard work of the discipline; Own deliverables · accuracy, TAT</t>
        </is>
      </c>
      <c r="L8" s="12" t="inlineStr">
        <is>
          <t>Chooses own approach within standards</t>
        </is>
      </c>
      <c r="M8" s="12" t="inlineStr">
        <is>
          <t>—</t>
        </is>
      </c>
      <c r="N8" s="12" t="inlineStr">
        <is>
          <t>—</t>
        </is>
      </c>
      <c r="O8" s="12" t="inlineStr">
        <is>
          <r>
            <rPr>
              <rFont val="Calibri"/>
              <b val="1"/>
              <sz val="10"/>
            </rPr>
            <t>Owns:</t>
          </r>
          <r>
            <rPr>
              <rFont val="Calibri"/>
              <sz val="10"/>
            </rPr>
            <t xml:space="preserve"> Standard work delivered independently
</t>
          </r>
          <r>
            <rPr>
              <rFont val="Calibri"/>
              <b val="1"/>
              <sz val="10"/>
            </rPr>
            <t>Complexity:</t>
          </r>
          <r>
            <rPr>
              <rFont val="Calibri"/>
              <sz val="10"/>
            </rPr>
            <t xml:space="preserve"> Standard work of the discipline
</t>
          </r>
          <r>
            <rPr>
              <rFont val="Calibri"/>
              <b val="1"/>
              <sz val="10"/>
            </rPr>
            <t>Decisions:</t>
          </r>
          <r>
            <rPr>
              <rFont val="Calibri"/>
              <sz val="10"/>
            </rPr>
            <t xml:space="preserve"> Chooses own approach within standards
</t>
          </r>
          <r>
            <rPr>
              <rFont val="Calibri"/>
              <b val="1"/>
              <sz val="10"/>
            </rPr>
            <t>Answers for:</t>
          </r>
          <r>
            <rPr>
              <rFont val="Calibri"/>
              <sz val="10"/>
            </rPr>
            <t xml:space="preserve"> Own deliverables · accuracy, TAT
</t>
          </r>
          <r>
            <rPr>
              <rFont val="Calibri"/>
              <b val="1"/>
              <sz val="10"/>
            </rPr>
            <t>Leadership:</t>
          </r>
          <r>
            <rPr>
              <rFont val="Calibri"/>
              <sz val="10"/>
            </rPr>
            <t xml:space="preserve"> Not scored in Band A</t>
          </r>
        </is>
      </c>
      <c r="P8" s="12" t="inlineStr">
        <is>
          <t>0–2 yrs
Graduate · or diploma with experience</t>
        </is>
      </c>
      <c r="Q8" s="12" t="inlineStr">
        <is>
          <t>Core 2 · Future-ready 2 · Functional 2 · Leadership —
★ Data Analytics, BI &amp; Visualisation · Database, SQL &amp; Data Engineering</t>
        </is>
      </c>
      <c r="R8" s="12" t="inlineStr">
        <is>
          <t>Turn data into defensible decisions and models. Includes: BI, decision analysis and data science. Excludes: Financial-data production; software engineering of pipelines.</t>
        </is>
      </c>
      <c r="S8" s="12" t="inlineStr">
        <is>
          <r>
            <rPr>
              <rFont val="Calibri"/>
              <b val="1"/>
              <sz val="10"/>
            </rPr>
            <t>Comparable stage:</t>
          </r>
          <r>
            <rPr>
              <rFont val="Calibri"/>
              <sz val="10"/>
            </rPr>
            <t xml:space="preserve"> DAT01-1 · Junior Data Analyst
</t>
          </r>
          <r>
            <rPr>
              <rFont val="Calibri"/>
              <b val="1"/>
              <sz val="10"/>
            </rPr>
            <t>Complete defined parts under review:</t>
          </r>
          <r>
            <rPr>
              <rFont val="Calibri"/>
              <sz val="10"/>
            </rPr>
            <t xml:space="preserve"> build reconciled metrics and explain their limitations.
</t>
          </r>
          <r>
            <rPr>
              <rFont val="Calibri"/>
              <b val="1"/>
              <sz val="10"/>
            </rPr>
            <t>Ready when:</t>
          </r>
          <r>
            <rPr>
              <rFont val="Calibri"/>
              <sz val="10"/>
            </rPr>
            <t xml:space="preserve"> Repeatable correct delivery, safe escalation and required entry eligibility.
</t>
          </r>
          <r>
            <rPr>
              <rFont val="Calibri"/>
              <b val="1"/>
              <sz val="10"/>
            </rPr>
            <t>Work sample:</t>
          </r>
          <r>
            <rPr>
              <rFont val="Calibri"/>
              <sz val="10"/>
            </rPr>
            <t xml:space="preserve"> A reconciled dashboard with explicit metric definitions and documented decisions</t>
          </r>
        </is>
      </c>
      <c r="T8" s="12" t="inlineStr">
        <is>
          <r>
            <rPr>
              <rFont val="Calibri"/>
              <sz val="10"/>
            </rPr>
            <t xml:space="preserve">Radford / Mercer P1–P2 · SFIA 2 Assist
</t>
          </r>
          <r>
            <rPr>
              <rFont val="Calibri"/>
              <b val="1"/>
              <sz val="10"/>
            </rPr>
            <t>Atlassian company-wide P-levels:</t>
          </r>
          <r>
            <rPr>
              <rFont val="Calibri"/>
              <sz val="10"/>
            </rPr>
            <t xml:space="preserve"> P30 Analyst · IRIS Vs Competitor Benchmark — data analyst ladder: Data Analyst I</t>
          </r>
        </is>
      </c>
      <c r="U8" s="12" t="inlineStr">
        <is>
          <t>A3 · Senior Associate</t>
        </is>
      </c>
      <c r="V8" s="12" t="inlineStr">
        <is>
          <t>Framework only · fewer than 3 answered</t>
        </is>
      </c>
    </row>
    <row r="9">
      <c r="A9" s="85" t="inlineStr">
        <is>
          <t>Design &amp; Creative</t>
        </is>
      </c>
    </row>
    <row r="10" ht="132" customHeight="1">
      <c r="A10" s="86" t="inlineStr">
        <is>
          <t>RC-051</t>
        </is>
      </c>
      <c r="B10" s="12" t="inlineStr">
        <is>
          <t>Design &amp; Creative</t>
        </is>
      </c>
      <c r="C10" s="12" t="inlineStr">
        <is>
          <t>Brand, Graphic &amp; Video Design</t>
        </is>
      </c>
      <c r="D10" s="16" t="inlineStr">
        <is>
          <t>A2</t>
        </is>
      </c>
      <c r="E10" s="17" t="inlineStr">
        <is>
          <t>Associate</t>
        </is>
      </c>
      <c r="F10" s="12" t="inlineStr">
        <is>
          <t>IC</t>
        </is>
      </c>
      <c r="G10" s="12" t="inlineStr">
        <is>
          <t>Designer</t>
        </is>
      </c>
      <c r="H10" s="12" t="inlineStr">
        <is>
          <t>Vaishnavi Dhuri</t>
        </is>
      </c>
      <c r="I10" s="12" t="inlineStr">
        <is>
          <t>Marketing</t>
        </is>
      </c>
      <c r="J10" s="12" t="inlineStr">
        <is>
          <r>
            <rPr>
              <rFont val="Calibri"/>
              <sz val="10"/>
            </rPr>
            <t xml:space="preserve">Creates brand assets, creatives, decks, motion graphics and video. At A2: standard work delivered independently.
</t>
          </r>
          <r>
            <rPr>
              <rFont val="Calibri"/>
              <b val="1"/>
              <sz val="10"/>
            </rPr>
            <t>Common themes in sub-family holders, all levels' answers:</t>
          </r>
          <r>
            <rPr>
              <rFont val="Calibri"/>
              <sz val="10"/>
            </rPr>
            <t xml:space="preserve"> media · social · collaterals · designing · shobhan · reports</t>
          </r>
        </is>
      </c>
      <c r="K10" s="12" t="inlineStr">
        <is>
          <r>
            <rPr>
              <rFont val="Calibri"/>
              <sz val="10"/>
            </rPr>
            <t xml:space="preserve">Creates brand assets, creatives, decks, motion graphics and video; Standard work of the discipline; Own deliverables · accuracy, TAT
</t>
          </r>
          <r>
            <rPr>
              <rFont val="Calibri"/>
              <b val="1"/>
              <sz val="10"/>
            </rPr>
            <t>Common themes in sub-family holders, all levels' answers:</t>
          </r>
          <r>
            <rPr>
              <rFont val="Calibri"/>
              <sz val="10"/>
            </rPr>
            <t xml:space="preserve"> sales · event · collaterals</t>
          </r>
        </is>
      </c>
      <c r="L10" s="12" t="inlineStr">
        <is>
          <r>
            <rPr>
              <rFont val="Calibri"/>
              <sz val="10"/>
            </rPr>
            <t xml:space="preserve">Chooses own approach within standards
</t>
          </r>
          <r>
            <rPr>
              <rFont val="Calibri"/>
              <b val="1"/>
              <sz val="10"/>
            </rPr>
            <t>Common themes in sub-family holders, all levels' answers:</t>
          </r>
          <r>
            <rPr>
              <rFont val="Calibri"/>
              <sz val="10"/>
            </rPr>
            <t xml:space="preserve"> design</t>
          </r>
        </is>
      </c>
      <c r="M10" s="12" t="inlineStr">
        <is>
          <t>—</t>
        </is>
      </c>
      <c r="N10" s="12" t="inlineStr">
        <is>
          <r>
            <rPr>
              <rFont val="Calibri"/>
              <b val="1"/>
              <sz val="10"/>
            </rPr>
            <t>Skills:</t>
          </r>
          <r>
            <rPr>
              <rFont val="Calibri"/>
              <sz val="10"/>
            </rPr>
            <t xml:space="preserve"> Graphic design
</t>
          </r>
          <r>
            <rPr>
              <rFont val="Calibri"/>
              <b val="1"/>
              <sz val="10"/>
            </rPr>
            <t>Tools:</t>
          </r>
          <r>
            <rPr>
              <rFont val="Calibri"/>
              <sz val="10"/>
            </rPr>
            <t xml:space="preserve"> Canva</t>
          </r>
        </is>
      </c>
      <c r="O10" s="12" t="inlineStr">
        <is>
          <r>
            <rPr>
              <rFont val="Calibri"/>
              <b val="1"/>
              <sz val="10"/>
            </rPr>
            <t>Owns:</t>
          </r>
          <r>
            <rPr>
              <rFont val="Calibri"/>
              <sz val="10"/>
            </rPr>
            <t xml:space="preserve"> Standard work delivered independently
</t>
          </r>
          <r>
            <rPr>
              <rFont val="Calibri"/>
              <b val="1"/>
              <sz val="10"/>
            </rPr>
            <t>Complexity:</t>
          </r>
          <r>
            <rPr>
              <rFont val="Calibri"/>
              <sz val="10"/>
            </rPr>
            <t xml:space="preserve"> Standard work of the discipline
</t>
          </r>
          <r>
            <rPr>
              <rFont val="Calibri"/>
              <b val="1"/>
              <sz val="10"/>
            </rPr>
            <t>Decisions:</t>
          </r>
          <r>
            <rPr>
              <rFont val="Calibri"/>
              <sz val="10"/>
            </rPr>
            <t xml:space="preserve"> Chooses own approach within standards
</t>
          </r>
          <r>
            <rPr>
              <rFont val="Calibri"/>
              <b val="1"/>
              <sz val="10"/>
            </rPr>
            <t>Answers for:</t>
          </r>
          <r>
            <rPr>
              <rFont val="Calibri"/>
              <sz val="10"/>
            </rPr>
            <t xml:space="preserve"> Own deliverables · accuracy, TAT
</t>
          </r>
          <r>
            <rPr>
              <rFont val="Calibri"/>
              <b val="1"/>
              <sz val="10"/>
            </rPr>
            <t>Leadership:</t>
          </r>
          <r>
            <rPr>
              <rFont val="Calibri"/>
              <sz val="10"/>
            </rPr>
            <t xml:space="preserve"> Not scored in Band A</t>
          </r>
        </is>
      </c>
      <c r="P10" s="12" t="inlineStr">
        <is>
          <t>0–2 yrs
Graduate · or diploma with experience</t>
        </is>
      </c>
      <c r="Q10" s="12" t="inlineStr">
        <is>
          <t>Core 2 · Future-ready 2 · Functional 2 · Leadership —
★ Product, Platform &amp; Domain Knowledge · Communication &amp; Presentation</t>
        </is>
      </c>
      <c r="R10" s="12" t="inlineStr">
        <is>
          <t>Shape usable experiences and visual communication. Includes: Brand creative, product design and user research. Excludes: Marketing campaign ownership; frontend implementation.</t>
        </is>
      </c>
      <c r="S10" s="12" t="inlineStr">
        <is>
          <r>
            <rPr>
              <rFont val="Calibri"/>
              <b val="1"/>
              <sz val="10"/>
            </rPr>
            <t>Comparable stage:</t>
          </r>
          <r>
            <rPr>
              <rFont val="Calibri"/>
              <sz val="10"/>
            </rPr>
            <t xml:space="preserve"> DES01-1 · Junior Graphic Designer
</t>
          </r>
          <r>
            <rPr>
              <rFont val="Calibri"/>
              <b val="1"/>
              <sz val="10"/>
            </rPr>
            <t>Complete defined parts under review:</t>
          </r>
          <r>
            <rPr>
              <rFont val="Calibri"/>
              <sz val="10"/>
            </rPr>
            <t xml:space="preserve"> produce usable brand assets with correct production specifications.
</t>
          </r>
          <r>
            <rPr>
              <rFont val="Calibri"/>
              <b val="1"/>
              <sz val="10"/>
            </rPr>
            <t>Ready when:</t>
          </r>
          <r>
            <rPr>
              <rFont val="Calibri"/>
              <sz val="10"/>
            </rPr>
            <t xml:space="preserve"> Repeatable correct delivery, safe escalation and required entry eligibility.
</t>
          </r>
          <r>
            <rPr>
              <rFont val="Calibri"/>
              <b val="1"/>
              <sz val="10"/>
            </rPr>
            <t>Work sample:</t>
          </r>
          <r>
            <rPr>
              <rFont val="Calibri"/>
              <sz val="10"/>
            </rPr>
            <t xml:space="preserve"> A brand or creative portfolio with audience fit, design rationale and production quality</t>
          </r>
        </is>
      </c>
      <c r="T10" s="12" t="inlineStr">
        <is>
          <t>Radford / Mercer P1–P2 · SFIA 2 Assist
IRIS Vs Competitor Benchmark — UX / design ladder: Junior Designer</t>
        </is>
      </c>
      <c r="U10" s="12" t="inlineStr">
        <is>
          <t>A3 · Senior Associate</t>
        </is>
      </c>
      <c r="V10" s="12" t="inlineStr">
        <is>
          <t>Framework + sub-family themes · 3+ answered</t>
        </is>
      </c>
    </row>
    <row r="11" ht="106" customHeight="1">
      <c r="A11" s="86" t="inlineStr">
        <is>
          <t>RC-054</t>
        </is>
      </c>
      <c r="B11" s="12" t="inlineStr">
        <is>
          <t>Design &amp; Creative</t>
        </is>
      </c>
      <c r="C11" s="12" t="inlineStr">
        <is>
          <t>UX / UI Design</t>
        </is>
      </c>
      <c r="D11" s="16" t="inlineStr">
        <is>
          <t>A3</t>
        </is>
      </c>
      <c r="E11" s="17" t="inlineStr">
        <is>
          <t>Senior Associate</t>
        </is>
      </c>
      <c r="F11" s="12" t="inlineStr">
        <is>
          <t>IC</t>
        </is>
      </c>
      <c r="G11" s="12" t="inlineStr">
        <is>
          <t>Senior Product Designer</t>
        </is>
      </c>
      <c r="H11" s="12" t="inlineStr">
        <is>
          <t>Utkarsh Sagar Bafana</t>
        </is>
      </c>
      <c r="I11" s="12" t="inlineStr">
        <is>
          <t>Technology</t>
        </is>
      </c>
      <c r="J11" s="12" t="inlineStr">
        <is>
          <t>Designs product screens, flows and prototypes. At A3: varied work; reviews juniors; go-to for a process.</t>
        </is>
      </c>
      <c r="K11" s="12" t="inlineStr">
        <is>
          <t>Designs product screens, flows and prototypes; Varied and non-standard work; handles exceptions; A module / process, or work with client or regulatory consequences</t>
        </is>
      </c>
      <c r="L11" s="12" t="inlineStr">
        <is>
          <t>Technical / QC / client calls on own work</t>
        </is>
      </c>
      <c r="M11" s="12" t="inlineStr">
        <is>
          <t>—</t>
        </is>
      </c>
      <c r="N11" s="12" t="inlineStr">
        <is>
          <t>—</t>
        </is>
      </c>
      <c r="O11" s="12" t="inlineStr">
        <is>
          <r>
            <rPr>
              <rFont val="Calibri"/>
              <b val="1"/>
              <sz val="10"/>
            </rPr>
            <t>Owns:</t>
          </r>
          <r>
            <rPr>
              <rFont val="Calibri"/>
              <sz val="10"/>
            </rPr>
            <t xml:space="preserve"> Varied work; reviews juniors; go-to for a process
</t>
          </r>
          <r>
            <rPr>
              <rFont val="Calibri"/>
              <b val="1"/>
              <sz val="10"/>
            </rPr>
            <t>Complexity:</t>
          </r>
          <r>
            <rPr>
              <rFont val="Calibri"/>
              <sz val="10"/>
            </rPr>
            <t xml:space="preserve"> Varied and non-standard work; handles exceptions
</t>
          </r>
          <r>
            <rPr>
              <rFont val="Calibri"/>
              <b val="1"/>
              <sz val="10"/>
            </rPr>
            <t>Decisions:</t>
          </r>
          <r>
            <rPr>
              <rFont val="Calibri"/>
              <sz val="10"/>
            </rPr>
            <t xml:space="preserve"> Technical / QC / client calls on own work
</t>
          </r>
          <r>
            <rPr>
              <rFont val="Calibri"/>
              <b val="1"/>
              <sz val="10"/>
            </rPr>
            <t>Answers for:</t>
          </r>
          <r>
            <rPr>
              <rFont val="Calibri"/>
              <sz val="10"/>
            </rPr>
            <t xml:space="preserve"> A module / process, or work with client or regulatory consequences
</t>
          </r>
          <r>
            <rPr>
              <rFont val="Calibri"/>
              <b val="1"/>
              <sz val="10"/>
            </rPr>
            <t>Leadership:</t>
          </r>
          <r>
            <rPr>
              <rFont val="Calibri"/>
              <sz val="10"/>
            </rPr>
            <t xml:space="preserve"> Not scored in Band A</t>
          </r>
        </is>
      </c>
      <c r="P11" s="12" t="inlineStr">
        <is>
          <t>2–4 yrs
Graduate; relevant certification preferred</t>
        </is>
      </c>
      <c r="Q11" s="12" t="inlineStr">
        <is>
          <t>Core 2 · Future-ready 2 · Functional 3 · Leadership —
★ Product, Platform &amp; Domain Knowledge · Communication &amp; Presentation</t>
        </is>
      </c>
      <c r="R11" s="12" t="inlineStr">
        <is>
          <t>Shape usable experiences and visual communication. Includes: Brand creative, product design and user research. Excludes: Marketing campaign ownership; frontend implementation.</t>
        </is>
      </c>
      <c r="S11" s="12" t="inlineStr">
        <is>
          <r>
            <rPr>
              <rFont val="Calibri"/>
              <b val="1"/>
              <sz val="10"/>
            </rPr>
            <t>Comparable stage:</t>
          </r>
          <r>
            <rPr>
              <rFont val="Calibri"/>
              <sz val="10"/>
            </rPr>
            <t xml:space="preserve"> DES02-2 · Product Designer
Design and test a usable product workflow.
</t>
          </r>
          <r>
            <rPr>
              <rFont val="Calibri"/>
              <b val="1"/>
              <sz val="10"/>
            </rPr>
            <t>Ready when:</t>
          </r>
          <r>
            <rPr>
              <rFont val="Calibri"/>
              <sz val="10"/>
            </rPr>
            <t xml:space="preserve"> Demonstrate routine delivery plus judgement in bounded exceptions.
</t>
          </r>
          <r>
            <rPr>
              <rFont val="Calibri"/>
              <b val="1"/>
              <sz val="10"/>
            </rPr>
            <t>Work sample:</t>
          </r>
          <r>
            <rPr>
              <rFont val="Calibri"/>
              <sz val="10"/>
            </rPr>
            <t xml:space="preserve"> A validated customer workflow with research evidence, usability measures and implementation review</t>
          </r>
        </is>
      </c>
      <c r="T11" s="12" t="inlineStr">
        <is>
          <t>Radford / Mercer P2 · SFIA 3 Apply
IRIS Vs Competitor Benchmark — UX / design ladder: Designer</t>
        </is>
      </c>
      <c r="U11" s="12" t="inlineStr">
        <is>
          <t>B1 · Specialist</t>
        </is>
      </c>
      <c r="V11" s="12" t="inlineStr">
        <is>
          <t>Framework only · fewer than 3 answered</t>
        </is>
      </c>
    </row>
    <row r="12">
      <c r="A12" s="85" t="inlineStr">
        <is>
          <t>Engineering &amp; Architecture</t>
        </is>
      </c>
    </row>
    <row r="13" ht="119" customHeight="1">
      <c r="A13" s="86" t="inlineStr">
        <is>
          <t>RC-057</t>
        </is>
      </c>
      <c r="B13" s="12" t="inlineStr">
        <is>
          <t>Engineering &amp; Architecture</t>
        </is>
      </c>
      <c r="C13" s="12" t="inlineStr">
        <is>
          <t>Solution &amp; Technical Architecture</t>
        </is>
      </c>
      <c r="D13" s="24" t="inlineStr">
        <is>
          <t>C1</t>
        </is>
      </c>
      <c r="E13" s="25" t="inlineStr">
        <is>
          <t>Principal</t>
        </is>
      </c>
      <c r="F13" s="12" t="inlineStr">
        <is>
          <t>IC</t>
        </is>
      </c>
      <c r="G13" s="12" t="inlineStr">
        <is>
          <t>Technical Architect · Solution Architect</t>
        </is>
      </c>
      <c r="H13" s="12" t="inlineStr">
        <is>
          <t>Sanghamitra Saxena</t>
        </is>
      </c>
      <c r="I13" s="12" t="inlineStr">
        <is>
          <t>Technology</t>
        </is>
      </c>
      <c r="J13" s="12" t="inlineStr">
        <is>
          <r>
            <rPr>
              <rFont val="Calibri"/>
              <sz val="10"/>
            </rPr>
            <t xml:space="preserve">Designs system / solution architecture, integrations and technical standards; guides build teams. At C1: a sub-function, or principal authority across products.
</t>
          </r>
          <r>
            <rPr>
              <rFont val="Calibri"/>
              <b val="1"/>
              <sz val="10"/>
            </rPr>
            <t>Common themes in sub-family holders, all levels' answers:</t>
          </r>
          <r>
            <rPr>
              <rFont val="Calibri"/>
              <sz val="10"/>
            </rPr>
            <t xml:space="preserve"> technical · client · project · design · development · business</t>
          </r>
        </is>
      </c>
      <c r="K13" s="12" t="inlineStr">
        <is>
          <r>
            <rPr>
              <rFont val="Calibri"/>
              <sz val="10"/>
            </rPr>
            <t xml:space="preserve">Designs system / solution architecture, integrations and technical standards; guides build teams; Ambiguous, cross-product problems; Sub-function results or domain quality across products
</t>
          </r>
          <r>
            <rPr>
              <rFont val="Calibri"/>
              <b val="1"/>
              <sz val="10"/>
            </rPr>
            <t>Common themes in sub-family holders, all levels' answers:</t>
          </r>
          <r>
            <rPr>
              <rFont val="Calibri"/>
              <sz val="10"/>
            </rPr>
            <t xml:space="preserve"> client · technical · documentation · solution · architecture · management</t>
          </r>
        </is>
      </c>
      <c r="L13" s="12" t="inlineStr">
        <is>
          <r>
            <rPr>
              <rFont val="Calibri"/>
              <sz val="10"/>
            </rPr>
            <t xml:space="preserve">Sets direction for a sub-function or domain
</t>
          </r>
          <r>
            <rPr>
              <rFont val="Calibri"/>
              <b val="1"/>
              <sz val="10"/>
            </rPr>
            <t>Common themes in sub-family holders, all levels' answers:</t>
          </r>
          <r>
            <rPr>
              <rFont val="Calibri"/>
              <sz val="10"/>
            </rPr>
            <t xml:space="preserve"> technical · approach · design · standards</t>
          </r>
        </is>
      </c>
      <c r="M13" s="12" t="inlineStr">
        <is>
          <t>—</t>
        </is>
      </c>
      <c r="N13" s="12" t="inlineStr">
        <is>
          <r>
            <rPr>
              <rFont val="Calibri"/>
              <b val="1"/>
              <sz val="10"/>
            </rPr>
            <t>Skills:</t>
          </r>
          <r>
            <rPr>
              <rFont val="Calibri"/>
              <sz val="10"/>
            </rPr>
            <t xml:space="preserve"> Java · NET MVC · Spring Boot
</t>
          </r>
          <r>
            <rPr>
              <rFont val="Calibri"/>
              <b val="1"/>
              <sz val="10"/>
            </rPr>
            <t>Tools:</t>
          </r>
          <r>
            <rPr>
              <rFont val="Calibri"/>
              <sz val="10"/>
            </rPr>
            <t xml:space="preserve"> Visual Studio</t>
          </r>
        </is>
      </c>
      <c r="O13" s="12" t="inlineStr">
        <is>
          <r>
            <rPr>
              <rFont val="Calibri"/>
              <b val="1"/>
              <sz val="10"/>
            </rPr>
            <t>Owns:</t>
          </r>
          <r>
            <rPr>
              <rFont val="Calibri"/>
              <sz val="10"/>
            </rPr>
            <t xml:space="preserve"> A sub-function, or principal authority across products
</t>
          </r>
          <r>
            <rPr>
              <rFont val="Calibri"/>
              <b val="1"/>
              <sz val="10"/>
            </rPr>
            <t>Complexity:</t>
          </r>
          <r>
            <rPr>
              <rFont val="Calibri"/>
              <sz val="10"/>
            </rPr>
            <t xml:space="preserve"> Ambiguous, cross-product problems
</t>
          </r>
          <r>
            <rPr>
              <rFont val="Calibri"/>
              <b val="1"/>
              <sz val="10"/>
            </rPr>
            <t>Decisions:</t>
          </r>
          <r>
            <rPr>
              <rFont val="Calibri"/>
              <sz val="10"/>
            </rPr>
            <t xml:space="preserve"> Sets direction for a sub-function or domain
</t>
          </r>
          <r>
            <rPr>
              <rFont val="Calibri"/>
              <b val="1"/>
              <sz val="10"/>
            </rPr>
            <t>Answers for:</t>
          </r>
          <r>
            <rPr>
              <rFont val="Calibri"/>
              <sz val="10"/>
            </rPr>
            <t xml:space="preserve"> Sub-function results or domain quality across products
</t>
          </r>
          <r>
            <rPr>
              <rFont val="Calibri"/>
              <b val="1"/>
              <sz val="10"/>
            </rPr>
            <t>Leadership:</t>
          </r>
          <r>
            <rPr>
              <rFont val="Calibri"/>
              <sz val="10"/>
            </rPr>
            <t xml:space="preserve"> Leads managers or a community of practice</t>
          </r>
        </is>
      </c>
      <c r="P13" s="12" t="inlineStr">
        <is>
          <t>10–14 yrs
Postgraduate / professional qualification preferred</t>
        </is>
      </c>
      <c r="Q13" s="12" t="inlineStr">
        <is>
          <t>Core 4 · Future-ready 4 · Functional 4 · Leadership 4
★ System Design &amp; Architecture · Programming &amp; Tech-Stack Depth</t>
        </is>
      </c>
      <c r="R13" s="12" t="inlineStr">
        <is>
          <t>Define system architecture across components. Includes: Solution design, non-functional trade-offs and architecture standards. Excludes: Presales persuasion alone; routine software delivery.</t>
        </is>
      </c>
      <c r="S13" s="12" t="inlineStr">
        <is>
          <r>
            <rPr>
              <rFont val="Calibri"/>
              <b val="1"/>
              <sz val="10"/>
            </rPr>
            <t>Comparable stage:</t>
          </r>
          <r>
            <rPr>
              <rFont val="Calibri"/>
              <sz val="10"/>
            </rPr>
            <t xml:space="preserve"> ARC01-4 · Principal Solution Architect
Set cross-product architecture principles and govern justified exceptions.
</t>
          </r>
          <r>
            <rPr>
              <rFont val="Calibri"/>
              <b val="1"/>
              <sz val="10"/>
            </rPr>
            <t>Ready when:</t>
          </r>
          <r>
            <rPr>
              <rFont val="Calibri"/>
              <sz val="10"/>
            </rPr>
            <t xml:space="preserve"> Adoption beyond own work; recurring authority and measurable wider outcomes.
</t>
          </r>
          <r>
            <rPr>
              <rFont val="Calibri"/>
              <b val="1"/>
              <sz val="10"/>
            </rPr>
            <t>Work sample:</t>
          </r>
          <r>
            <rPr>
              <rFont val="Calibri"/>
              <sz val="10"/>
            </rPr>
            <t xml:space="preserve"> A design decision record with alternatives, cost and security trade-offs plus implementation validation</t>
          </r>
        </is>
      </c>
      <c r="T13" s="12" t="inlineStr">
        <is>
          <r>
            <rPr>
              <rFont val="Calibri"/>
              <sz val="10"/>
            </rPr>
            <t xml:space="preserve">Radford / Mercer P6 / M5 · SFIA 5–6
</t>
          </r>
          <r>
            <rPr>
              <rFont val="Calibri"/>
              <b val="1"/>
              <sz val="10"/>
            </rPr>
            <t>Nasdaq / AxiomSL:</t>
          </r>
          <r>
            <rPr>
              <rFont val="Calibri"/>
              <sz val="10"/>
            </rPr>
            <t xml:space="preserve"> Principal SE · Salesforce: PMTS · Atlassian: P60 Principal · 10+ yrs · Freshworks: Senior Staff SE</t>
          </r>
        </is>
      </c>
      <c r="U13" s="12" t="inlineStr">
        <is>
          <t>C2 · Senior Principal / Architect</t>
        </is>
      </c>
      <c r="V13" s="12" t="inlineStr">
        <is>
          <t>Framework + sub-family themes · 3+ answered</t>
        </is>
      </c>
    </row>
    <row r="14">
      <c r="A14" s="85" t="inlineStr">
        <is>
          <t>Engineering &amp; Development</t>
        </is>
      </c>
    </row>
    <row r="15" ht="119" customHeight="1">
      <c r="A15" s="86" t="inlineStr">
        <is>
          <t>RC-066</t>
        </is>
      </c>
      <c r="B15" s="12" t="inlineStr">
        <is>
          <t>Engineering &amp; Development</t>
        </is>
      </c>
      <c r="C15" s="12" t="inlineStr">
        <is>
          <t>Backend Development</t>
        </is>
      </c>
      <c r="D15" s="16" t="inlineStr">
        <is>
          <t>A2</t>
        </is>
      </c>
      <c r="E15" s="17" t="inlineStr">
        <is>
          <t>Associate</t>
        </is>
      </c>
      <c r="F15" s="12" t="inlineStr">
        <is>
          <t>IC</t>
        </is>
      </c>
      <c r="G15" s="12" t="inlineStr">
        <is>
          <t>Software Engineer</t>
        </is>
      </c>
      <c r="H15" s="12" t="inlineStr">
        <is>
          <t>Krishnadev Arya</t>
        </is>
      </c>
      <c r="I15" s="12" t="inlineStr">
        <is>
          <t>Technology</t>
        </is>
      </c>
      <c r="J15" s="12" t="inlineStr">
        <is>
          <r>
            <rPr>
              <rFont val="Calibri"/>
              <sz val="10"/>
            </rPr>
            <t xml:space="preserve">Builds back-end services, APIs, processing/validation logic and DB code; fixes defects and delivers change requests. At A2: standard work delivered independently.
</t>
          </r>
          <r>
            <rPr>
              <rFont val="Calibri"/>
              <b val="1"/>
              <sz val="10"/>
            </rPr>
            <t>Common themes in role-holders' answers:</t>
          </r>
          <r>
            <rPr>
              <rFont val="Calibri"/>
              <sz val="10"/>
            </rPr>
            <t xml:space="preserve"> software · time · maintain · take · solutions · efficiency</t>
          </r>
        </is>
      </c>
      <c r="K15" s="12" t="inlineStr">
        <is>
          <r>
            <rPr>
              <rFont val="Calibri"/>
              <sz val="10"/>
            </rPr>
            <t xml:space="preserve">Builds back-end services, APIs, processing/validation logic and DB code; fixes defects and delivers change requests; Standard work of the discipline; Own deliverables · accuracy, TAT
</t>
          </r>
          <r>
            <rPr>
              <rFont val="Calibri"/>
              <b val="1"/>
              <sz val="10"/>
            </rPr>
            <t>Common themes in role-holders' answers:</t>
          </r>
          <r>
            <rPr>
              <rFont val="Calibri"/>
              <sz val="10"/>
            </rPr>
            <t xml:space="preserve"> fixing · quality · bug · development · client · code</t>
          </r>
        </is>
      </c>
      <c r="L15" s="12" t="inlineStr">
        <is>
          <r>
            <rPr>
              <rFont val="Calibri"/>
              <sz val="10"/>
            </rPr>
            <t xml:space="preserve">Chooses own approach within standards
</t>
          </r>
          <r>
            <rPr>
              <rFont val="Calibri"/>
              <b val="1"/>
              <sz val="10"/>
            </rPr>
            <t>Common themes in role-holders' answers:</t>
          </r>
          <r>
            <rPr>
              <rFont val="Calibri"/>
              <sz val="10"/>
            </rPr>
            <t xml:space="preserve"> implement · solutions · issues · structure · design</t>
          </r>
        </is>
      </c>
      <c r="M15" s="12" t="inlineStr">
        <is>
          <r>
            <rPr>
              <rFont val="Calibri"/>
              <b val="1"/>
              <sz val="10"/>
            </rPr>
            <t>Common themes in manager-set KRAs:</t>
          </r>
          <r>
            <rPr>
              <rFont val="Calibri"/>
              <sz val="10"/>
            </rPr>
            <t xml:space="preserve"> improve · deliver · modules · committed · coverage · automated</t>
          </r>
        </is>
      </c>
      <c r="N15" s="12" t="inlineStr">
        <is>
          <r>
            <rPr>
              <rFont val="Calibri"/>
              <b val="1"/>
              <sz val="10"/>
            </rPr>
            <t>Skills:</t>
          </r>
          <r>
            <rPr>
              <rFont val="Calibri"/>
              <sz val="10"/>
            </rPr>
            <t xml:space="preserve"> NET MVC · Java
</t>
          </r>
          <r>
            <rPr>
              <rFont val="Calibri"/>
              <b val="1"/>
              <sz val="10"/>
            </rPr>
            <t>Tools:</t>
          </r>
          <r>
            <rPr>
              <rFont val="Calibri"/>
              <sz val="10"/>
            </rPr>
            <t xml:space="preserve"> Postman · Oracle database</t>
          </r>
        </is>
      </c>
      <c r="O15" s="12" t="inlineStr">
        <is>
          <r>
            <rPr>
              <rFont val="Calibri"/>
              <b val="1"/>
              <sz val="10"/>
            </rPr>
            <t>Owns:</t>
          </r>
          <r>
            <rPr>
              <rFont val="Calibri"/>
              <sz val="10"/>
            </rPr>
            <t xml:space="preserve"> Standard work delivered independently
</t>
          </r>
          <r>
            <rPr>
              <rFont val="Calibri"/>
              <b val="1"/>
              <sz val="10"/>
            </rPr>
            <t>Complexity:</t>
          </r>
          <r>
            <rPr>
              <rFont val="Calibri"/>
              <sz val="10"/>
            </rPr>
            <t xml:space="preserve"> Standard work of the discipline
</t>
          </r>
          <r>
            <rPr>
              <rFont val="Calibri"/>
              <b val="1"/>
              <sz val="10"/>
            </rPr>
            <t>Decisions:</t>
          </r>
          <r>
            <rPr>
              <rFont val="Calibri"/>
              <sz val="10"/>
            </rPr>
            <t xml:space="preserve"> Chooses own approach within standards
</t>
          </r>
          <r>
            <rPr>
              <rFont val="Calibri"/>
              <b val="1"/>
              <sz val="10"/>
            </rPr>
            <t>Answers for:</t>
          </r>
          <r>
            <rPr>
              <rFont val="Calibri"/>
              <sz val="10"/>
            </rPr>
            <t xml:space="preserve"> Own deliverables · accuracy, TAT
</t>
          </r>
          <r>
            <rPr>
              <rFont val="Calibri"/>
              <b val="1"/>
              <sz val="10"/>
            </rPr>
            <t>Leadership:</t>
          </r>
          <r>
            <rPr>
              <rFont val="Calibri"/>
              <sz val="10"/>
            </rPr>
            <t xml:space="preserve"> Not scored in Band A</t>
          </r>
        </is>
      </c>
      <c r="P15" s="12" t="inlineStr">
        <is>
          <t>0–2 yrs
Graduate · or diploma with experience</t>
        </is>
      </c>
      <c r="Q15" s="12" t="inlineStr">
        <is>
          <t>Core 2 · Future-ready 2 · Functional 2 · Leadership —
★ Programming &amp; Tech-Stack Depth · System Design &amp; Architecture</t>
        </is>
      </c>
      <c r="R15" s="12" t="inlineStr">
        <is>
          <t>Build and operate software capabilities. Includes: Application code, data/ML engineering and product reliability. Excludes: Product investment decisions; internal IT service desk.</t>
        </is>
      </c>
      <c r="S15" s="12" t="inlineStr">
        <is>
          <r>
            <rPr>
              <rFont val="Calibri"/>
              <b val="1"/>
              <sz val="10"/>
            </rPr>
            <t>Comparable stage:</t>
          </r>
          <r>
            <rPr>
              <rFont val="Calibri"/>
              <sz val="10"/>
            </rPr>
            <t xml:space="preserve"> ENG01-1 · Associate Software Engineer
</t>
          </r>
          <r>
            <rPr>
              <rFont val="Calibri"/>
              <b val="1"/>
              <sz val="10"/>
            </rPr>
            <t>Complete defined parts under review:</t>
          </r>
          <r>
            <rPr>
              <rFont val="Calibri"/>
              <sz val="10"/>
            </rPr>
            <t xml:space="preserve"> deliver tested apis and services with clear error handling.
</t>
          </r>
          <r>
            <rPr>
              <rFont val="Calibri"/>
              <b val="1"/>
              <sz val="10"/>
            </rPr>
            <t>Ready when:</t>
          </r>
          <r>
            <rPr>
              <rFont val="Calibri"/>
              <sz val="10"/>
            </rPr>
            <t xml:space="preserve"> Repeatable correct delivery, safe escalation and required entry eligibility.
</t>
          </r>
          <r>
            <rPr>
              <rFont val="Calibri"/>
              <b val="1"/>
              <sz val="10"/>
            </rPr>
            <t>Work sample:</t>
          </r>
          <r>
            <rPr>
              <rFont val="Calibri"/>
              <sz val="10"/>
            </rPr>
            <t xml:space="preserve"> A service design and implementation with tests, failure handling and measured production behaviour</t>
          </r>
        </is>
      </c>
      <c r="T15" s="12" t="inlineStr">
        <is>
          <r>
            <rPr>
              <rFont val="Calibri"/>
              <sz val="10"/>
            </rPr>
            <t xml:space="preserve">Radford / Mercer P1–P2 · SFIA 2 Assist
</t>
          </r>
          <r>
            <rPr>
              <rFont val="Calibri"/>
              <b val="1"/>
              <sz val="10"/>
            </rPr>
            <t>Workiva:</t>
          </r>
          <r>
            <rPr>
              <rFont val="Calibri"/>
              <sz val="10"/>
            </rPr>
            <t xml:space="preserve"> Associate SE · Broadridge India: SE · Nasdaq / AxiomSL: SE · Salesforce: AMTS</t>
          </r>
        </is>
      </c>
      <c r="U15" s="12" t="inlineStr">
        <is>
          <t>A3 · Senior Associate</t>
        </is>
      </c>
      <c r="V15" s="12" t="inlineStr">
        <is>
          <t>Framework + role-holders' themes · 3+ answered</t>
        </is>
      </c>
    </row>
    <row r="16" ht="119" customHeight="1">
      <c r="A16" s="86" t="inlineStr">
        <is>
          <t>RC-067</t>
        </is>
      </c>
      <c r="B16" s="12" t="inlineStr">
        <is>
          <t>Engineering &amp; Development</t>
        </is>
      </c>
      <c r="C16" s="12" t="inlineStr">
        <is>
          <t>Backend Development</t>
        </is>
      </c>
      <c r="D16" s="16" t="inlineStr">
        <is>
          <t>A3</t>
        </is>
      </c>
      <c r="E16" s="17" t="inlineStr">
        <is>
          <t>Senior Associate</t>
        </is>
      </c>
      <c r="F16" s="12" t="inlineStr">
        <is>
          <t>IC</t>
        </is>
      </c>
      <c r="G16" s="12" t="inlineStr">
        <is>
          <t>Senior Software Engineer · Technical Specialist</t>
        </is>
      </c>
      <c r="H16" s="12" t="inlineStr">
        <is>
          <t>Niraj Santosh Patil, Shivam Dhumal</t>
        </is>
      </c>
      <c r="I16" s="12" t="inlineStr">
        <is>
          <t>Technology</t>
        </is>
      </c>
      <c r="J16" s="12" t="inlineStr">
        <is>
          <r>
            <rPr>
              <rFont val="Calibri"/>
              <sz val="10"/>
            </rPr>
            <t xml:space="preserve">Builds back-end services, APIs, processing/validation logic and DB code; fixes defects and delivers change requests. At A3: varied work; reviews juniors; go-to for a process.
</t>
          </r>
          <r>
            <rPr>
              <rFont val="Calibri"/>
              <b val="1"/>
              <sz val="10"/>
            </rPr>
            <t>Common themes in role-holders' answers:</t>
          </r>
          <r>
            <rPr>
              <rFont val="Calibri"/>
              <sz val="10"/>
            </rPr>
            <t xml:space="preserve"> software · reliable · solutions · problems · business · develop</t>
          </r>
        </is>
      </c>
      <c r="K16" s="12" t="inlineStr">
        <is>
          <r>
            <rPr>
              <rFont val="Calibri"/>
              <sz val="10"/>
            </rPr>
            <t xml:space="preserve">Builds back-end services, APIs, processing/validation logic and DB code; fixes defects and delivers change requests; Varied and non-standard work; handles exceptions; A module / process, or work with client or regulatory consequences
</t>
          </r>
          <r>
            <rPr>
              <rFont val="Calibri"/>
              <b val="1"/>
              <sz val="10"/>
            </rPr>
            <t>Common themes in role-holders' answers:</t>
          </r>
          <r>
            <rPr>
              <rFont val="Calibri"/>
              <sz val="10"/>
            </rPr>
            <t xml:space="preserve"> development · code · support · technical · quality · issue</t>
          </r>
        </is>
      </c>
      <c r="L16" s="12" t="inlineStr">
        <is>
          <r>
            <rPr>
              <rFont val="Calibri"/>
              <sz val="10"/>
            </rPr>
            <t xml:space="preserve">Technical / QC / client calls on own work
</t>
          </r>
          <r>
            <rPr>
              <rFont val="Calibri"/>
              <b val="1"/>
              <sz val="10"/>
            </rPr>
            <t>Common themes in role-holders' answers:</t>
          </r>
          <r>
            <rPr>
              <rFont val="Calibri"/>
              <sz val="10"/>
            </rPr>
            <t xml:space="preserve"> code · technical · implementation · bug · approach · decisions</t>
          </r>
        </is>
      </c>
      <c r="M16" s="12" t="inlineStr">
        <is>
          <r>
            <rPr>
              <rFont val="Calibri"/>
              <b val="1"/>
              <sz val="10"/>
            </rPr>
            <t>Common themes in manager-set KRAs:</t>
          </r>
          <r>
            <rPr>
              <rFont val="Calibri"/>
              <sz val="10"/>
            </rPr>
            <t xml:space="preserve"> year · coverage · code · quality · deliver · assigned</t>
          </r>
        </is>
      </c>
      <c r="N16" s="12" t="inlineStr">
        <is>
          <r>
            <rPr>
              <rFont val="Calibri"/>
              <b val="1"/>
              <sz val="10"/>
            </rPr>
            <t>Skills:</t>
          </r>
          <r>
            <rPr>
              <rFont val="Calibri"/>
              <sz val="10"/>
            </rPr>
            <t xml:space="preserve"> Java · NET MVC · debugging · AI · Technical knowledge · Software development · Devops · Spring Boot
</t>
          </r>
          <r>
            <rPr>
              <rFont val="Calibri"/>
              <b val="1"/>
              <sz val="10"/>
            </rPr>
            <t>Tools:</t>
          </r>
          <r>
            <rPr>
              <rFont val="Calibri"/>
              <sz val="10"/>
            </rPr>
            <t xml:space="preserve"> VS Code · Visual studio · Claude · Copilot · Git · Excel · Co-pilot · AWS</t>
          </r>
        </is>
      </c>
      <c r="O16" s="12" t="inlineStr">
        <is>
          <r>
            <rPr>
              <rFont val="Calibri"/>
              <b val="1"/>
              <sz val="10"/>
            </rPr>
            <t>Owns:</t>
          </r>
          <r>
            <rPr>
              <rFont val="Calibri"/>
              <sz val="10"/>
            </rPr>
            <t xml:space="preserve"> Varied work; reviews juniors; go-to for a process
</t>
          </r>
          <r>
            <rPr>
              <rFont val="Calibri"/>
              <b val="1"/>
              <sz val="10"/>
            </rPr>
            <t>Complexity:</t>
          </r>
          <r>
            <rPr>
              <rFont val="Calibri"/>
              <sz val="10"/>
            </rPr>
            <t xml:space="preserve"> Varied and non-standard work; handles exceptions
</t>
          </r>
          <r>
            <rPr>
              <rFont val="Calibri"/>
              <b val="1"/>
              <sz val="10"/>
            </rPr>
            <t>Decisions:</t>
          </r>
          <r>
            <rPr>
              <rFont val="Calibri"/>
              <sz val="10"/>
            </rPr>
            <t xml:space="preserve"> Technical / QC / client calls on own work
</t>
          </r>
          <r>
            <rPr>
              <rFont val="Calibri"/>
              <b val="1"/>
              <sz val="10"/>
            </rPr>
            <t>Answers for:</t>
          </r>
          <r>
            <rPr>
              <rFont val="Calibri"/>
              <sz val="10"/>
            </rPr>
            <t xml:space="preserve"> A module / process, or work with client or regulatory consequences
</t>
          </r>
          <r>
            <rPr>
              <rFont val="Calibri"/>
              <b val="1"/>
              <sz val="10"/>
            </rPr>
            <t>Leadership:</t>
          </r>
          <r>
            <rPr>
              <rFont val="Calibri"/>
              <sz val="10"/>
            </rPr>
            <t xml:space="preserve"> Not scored in Band A</t>
          </r>
        </is>
      </c>
      <c r="P16" s="12" t="inlineStr">
        <is>
          <t>2–4 yrs
Graduate; relevant certification preferred</t>
        </is>
      </c>
      <c r="Q16" s="12" t="inlineStr">
        <is>
          <t>Core 2 · Future-ready 2 · Functional 3 · Leadership —
★ Programming &amp; Tech-Stack Depth · System Design &amp; Architecture</t>
        </is>
      </c>
      <c r="R16" s="12" t="inlineStr">
        <is>
          <t>Build and operate software capabilities. Includes: Application code, data/ML engineering and product reliability. Excludes: Product investment decisions; internal IT service desk.</t>
        </is>
      </c>
      <c r="S16" s="12" t="inlineStr">
        <is>
          <r>
            <rPr>
              <rFont val="Calibri"/>
              <b val="1"/>
              <sz val="10"/>
            </rPr>
            <t>Comparable stage:</t>
          </r>
          <r>
            <rPr>
              <rFont val="Calibri"/>
              <sz val="10"/>
            </rPr>
            <t xml:space="preserve"> ENG01-2 · Software Engineer
Deliver tested APIs and services with clear error handling.
</t>
          </r>
          <r>
            <rPr>
              <rFont val="Calibri"/>
              <b val="1"/>
              <sz val="10"/>
            </rPr>
            <t>Ready when:</t>
          </r>
          <r>
            <rPr>
              <rFont val="Calibri"/>
              <sz val="10"/>
            </rPr>
            <t xml:space="preserve"> Demonstrate routine delivery plus judgement in bounded exceptions.
</t>
          </r>
          <r>
            <rPr>
              <rFont val="Calibri"/>
              <b val="1"/>
              <sz val="10"/>
            </rPr>
            <t>Work sample:</t>
          </r>
          <r>
            <rPr>
              <rFont val="Calibri"/>
              <sz val="10"/>
            </rPr>
            <t xml:space="preserve"> A service design and implementation with tests, failure handling and measured production behaviour</t>
          </r>
        </is>
      </c>
      <c r="T16" s="12" t="inlineStr">
        <is>
          <r>
            <rPr>
              <rFont val="Calibri"/>
              <sz val="10"/>
            </rPr>
            <t xml:space="preserve">Radford / Mercer P2 · SFIA 3 Apply
</t>
          </r>
          <r>
            <rPr>
              <rFont val="Calibri"/>
              <b val="1"/>
              <sz val="10"/>
            </rPr>
            <t>Workiva:</t>
          </r>
          <r>
            <rPr>
              <rFont val="Calibri"/>
              <sz val="10"/>
            </rPr>
            <t xml:space="preserve"> SE · Broadridge India: SE · Nasdaq / AxiomSL: SE · Salesforce: MTS</t>
          </r>
        </is>
      </c>
      <c r="U16" s="12" t="inlineStr">
        <is>
          <t>B1 · Specialist</t>
        </is>
      </c>
      <c r="V16" s="12" t="inlineStr">
        <is>
          <t>Framework + role-holders' themes · 3+ answered</t>
        </is>
      </c>
    </row>
    <row r="17" ht="119" customHeight="1">
      <c r="A17" s="86" t="inlineStr">
        <is>
          <t>RC-069</t>
        </is>
      </c>
      <c r="B17" s="12" t="inlineStr">
        <is>
          <t>Engineering &amp; Development</t>
        </is>
      </c>
      <c r="C17" s="12" t="inlineStr">
        <is>
          <t>Backend Development</t>
        </is>
      </c>
      <c r="D17" s="20" t="inlineStr">
        <is>
          <t>B2</t>
        </is>
      </c>
      <c r="E17" s="21" t="inlineStr">
        <is>
          <t>Senior Specialist</t>
        </is>
      </c>
      <c r="F17" s="12" t="inlineStr">
        <is>
          <t>IC</t>
        </is>
      </c>
      <c r="G17" s="12" t="inlineStr">
        <is>
          <t>Senior Technical Specialist – POD Lead · Lead Software Engineer · Lead Software Engineer – POD Lead · Senior Technical Specialist</t>
        </is>
      </c>
      <c r="H17" s="12" t="inlineStr">
        <is>
          <t>Akshay Shetty</t>
        </is>
      </c>
      <c r="I17" s="12" t="inlineStr">
        <is>
          <t>Technology</t>
        </is>
      </c>
      <c r="J17" s="12" t="inlineStr">
        <is>
          <r>
            <rPr>
              <rFont val="Calibri"/>
              <sz val="10"/>
            </rPr>
            <t xml:space="preserve">Builds back-end services, APIs, processing/validation logic and DB code; fixes defects and delivers change requests. At B2: deep domain expertise, or one team.
</t>
          </r>
          <r>
            <rPr>
              <rFont val="Calibri"/>
              <b val="1"/>
              <sz val="10"/>
            </rPr>
            <t>Common themes in role-holders' answers:</t>
          </r>
          <r>
            <rPr>
              <rFont val="Calibri"/>
              <sz val="10"/>
            </rPr>
            <t xml:space="preserve"> solutions · technical · reliable · scalable · software · business</t>
          </r>
        </is>
      </c>
      <c r="K17" s="12" t="inlineStr">
        <is>
          <r>
            <rPr>
              <rFont val="Calibri"/>
              <sz val="10"/>
            </rPr>
            <t xml:space="preserve">Builds back-end services, APIs, processing/validation logic and DB code; fixes defects and delivers change requests; Hardest problems in the domain; One team or a client portfolio
</t>
          </r>
          <r>
            <rPr>
              <rFont val="Calibri"/>
              <b val="1"/>
              <sz val="10"/>
            </rPr>
            <t>Common themes in role-holders' answers:</t>
          </r>
          <r>
            <rPr>
              <rFont val="Calibri"/>
              <sz val="10"/>
            </rPr>
            <t xml:space="preserve"> delivery · technical · code · solution design · ownership · leadership</t>
          </r>
        </is>
      </c>
      <c r="L17" s="12" t="inlineStr">
        <is>
          <r>
            <rPr>
              <rFont val="Calibri"/>
              <sz val="10"/>
            </rPr>
            <t xml:space="preserve">Allocates people and sets team priorities
</t>
          </r>
          <r>
            <rPr>
              <rFont val="Calibri"/>
              <b val="1"/>
              <sz val="10"/>
            </rPr>
            <t>Common themes in role-holders' answers:</t>
          </r>
          <r>
            <rPr>
              <rFont val="Calibri"/>
              <sz val="10"/>
            </rPr>
            <t xml:space="preserve"> technical · approach · design · implementation · ai · code</t>
          </r>
        </is>
      </c>
      <c r="M17" s="12" t="inlineStr">
        <is>
          <r>
            <rPr>
              <rFont val="Calibri"/>
              <b val="1"/>
              <sz val="10"/>
            </rPr>
            <t>Common themes in manager-set KRAs:</t>
          </r>
          <r>
            <rPr>
              <rFont val="Calibri"/>
              <sz val="10"/>
            </rPr>
            <t xml:space="preserve"> modules · coverage · complete · components · committed · sprint</t>
          </r>
        </is>
      </c>
      <c r="N17" s="12" t="inlineStr">
        <is>
          <r>
            <rPr>
              <rFont val="Calibri"/>
              <b val="1"/>
              <sz val="10"/>
            </rPr>
            <t>Skills:</t>
          </r>
          <r>
            <rPr>
              <rFont val="Calibri"/>
              <sz val="10"/>
            </rPr>
            <t xml:space="preserve"> NET MVC · Java</t>
          </r>
        </is>
      </c>
      <c r="O17" s="12" t="inlineStr">
        <is>
          <r>
            <rPr>
              <rFont val="Calibri"/>
              <b val="1"/>
              <sz val="10"/>
            </rPr>
            <t>Owns:</t>
          </r>
          <r>
            <rPr>
              <rFont val="Calibri"/>
              <sz val="10"/>
            </rPr>
            <t xml:space="preserve"> Deep domain expertise, or one team
</t>
          </r>
          <r>
            <rPr>
              <rFont val="Calibri"/>
              <b val="1"/>
              <sz val="10"/>
            </rPr>
            <t>Complexity:</t>
          </r>
          <r>
            <rPr>
              <rFont val="Calibri"/>
              <sz val="10"/>
            </rPr>
            <t xml:space="preserve"> Hardest problems in the domain
</t>
          </r>
          <r>
            <rPr>
              <rFont val="Calibri"/>
              <b val="1"/>
              <sz val="10"/>
            </rPr>
            <t>Decisions:</t>
          </r>
          <r>
            <rPr>
              <rFont val="Calibri"/>
              <sz val="10"/>
            </rPr>
            <t xml:space="preserve"> Allocates people and sets team priorities
</t>
          </r>
          <r>
            <rPr>
              <rFont val="Calibri"/>
              <b val="1"/>
              <sz val="10"/>
            </rPr>
            <t>Answers for:</t>
          </r>
          <r>
            <rPr>
              <rFont val="Calibri"/>
              <sz val="10"/>
            </rPr>
            <t xml:space="preserve"> One team or a client portfolio
</t>
          </r>
          <r>
            <rPr>
              <rFont val="Calibri"/>
              <b val="1"/>
              <sz val="10"/>
            </rPr>
            <t>Leadership:</t>
          </r>
          <r>
            <rPr>
              <rFont val="Calibri"/>
              <sz val="10"/>
            </rPr>
            <t xml:space="preserve"> IC: guides others in the domain · People: manages a team of 6+</t>
          </r>
        </is>
      </c>
      <c r="P17" s="12" t="inlineStr">
        <is>
          <t>6–9 yrs
Graduate or postgraduate; professional qualification preferred</t>
        </is>
      </c>
      <c r="Q17" s="12" t="inlineStr">
        <is>
          <t>Core 3 · Future-ready 3 · Functional 4 · Leadership 2
★ Programming &amp; Tech-Stack Depth · System Design &amp; Architecture</t>
        </is>
      </c>
      <c r="R17" s="12" t="inlineStr">
        <is>
          <t>Build and operate software capabilities. Includes: Application code, data/ML engineering and product reliability. Excludes: Product investment decisions; internal IT service desk.</t>
        </is>
      </c>
      <c r="S17" s="12" t="inlineStr">
        <is>
          <r>
            <rPr>
              <rFont val="Calibri"/>
              <b val="1"/>
              <sz val="10"/>
            </rPr>
            <t>Comparable stage:</t>
          </r>
          <r>
            <rPr>
              <rFont val="Calibri"/>
              <sz val="10"/>
            </rPr>
            <t xml:space="preserve"> ENG01-3 · Senior Software Engineer
Own a service design, security review and production failure analysis.
</t>
          </r>
          <r>
            <rPr>
              <rFont val="Calibri"/>
              <b val="1"/>
              <sz val="10"/>
            </rPr>
            <t>Ready when:</t>
          </r>
          <r>
            <rPr>
              <rFont val="Calibri"/>
              <sz val="10"/>
            </rPr>
            <t xml:space="preserve"> Evidence of complex work, decisions and outcomes beyond routine delivery.
</t>
          </r>
          <r>
            <rPr>
              <rFont val="Calibri"/>
              <b val="1"/>
              <sz val="10"/>
            </rPr>
            <t>Work sample:</t>
          </r>
          <r>
            <rPr>
              <rFont val="Calibri"/>
              <sz val="10"/>
            </rPr>
            <t xml:space="preserve"> A service design and implementation with tests, failure handling and measured production behaviour</t>
          </r>
        </is>
      </c>
      <c r="T17" s="12" t="inlineStr">
        <is>
          <r>
            <rPr>
              <rFont val="Calibri"/>
              <sz val="10"/>
            </rPr>
            <t xml:space="preserve">Radford / Mercer P4 / M3 · SFIA 4–5
</t>
          </r>
          <r>
            <rPr>
              <rFont val="Calibri"/>
              <b val="1"/>
              <sz val="10"/>
            </rPr>
            <t>Workiva:</t>
          </r>
          <r>
            <rPr>
              <rFont val="Calibri"/>
              <sz val="10"/>
            </rPr>
            <t xml:space="preserve"> Senior SE · Broadridge India: Lead SE · Nasdaq / AxiomSL: Senior SE · Salesforce: SMTS</t>
          </r>
        </is>
      </c>
      <c r="U17" s="12" t="inlineStr">
        <is>
          <t>B3 · Lead Specialist</t>
        </is>
      </c>
      <c r="V17" s="12" t="inlineStr">
        <is>
          <t>Framework + role-holders' themes · 3+ answered</t>
        </is>
      </c>
    </row>
    <row r="18" ht="106" customHeight="1">
      <c r="A18" s="86" t="inlineStr">
        <is>
          <t>RC-073</t>
        </is>
      </c>
      <c r="B18" s="12" t="inlineStr">
        <is>
          <t>Engineering &amp; Development</t>
        </is>
      </c>
      <c r="C18" s="12" t="inlineStr">
        <is>
          <t>Backend Development</t>
        </is>
      </c>
      <c r="D18" s="32" t="inlineStr">
        <is>
          <t>X1</t>
        </is>
      </c>
      <c r="E18" s="33" t="inlineStr">
        <is>
          <t>Associate Consultant</t>
        </is>
      </c>
      <c r="F18" s="12" t="inlineStr">
        <is>
          <t>IC</t>
        </is>
      </c>
      <c r="G18" s="12" t="inlineStr">
        <is>
          <t>Associate Consultant – Software Development</t>
        </is>
      </c>
      <c r="H18" s="12" t="inlineStr">
        <is>
          <t>Sadhan Kumar, Sohel Yadav, Vivek Kumar</t>
        </is>
      </c>
      <c r="I18" s="12" t="inlineStr">
        <is>
          <t>Technology</t>
        </is>
      </c>
      <c r="J18" s="12" t="inlineStr">
        <is>
          <r>
            <rPr>
              <rFont val="Calibri"/>
              <sz val="10"/>
            </rPr>
            <t xml:space="preserve">Builds back-end services, APIs, processing/validation logic and DB code; fixes defects and delivers change requests. At X1: defined deliverables under a statement of work · ≈ A2–A3.
</t>
          </r>
          <r>
            <rPr>
              <rFont val="Calibri"/>
              <b val="1"/>
              <sz val="10"/>
            </rPr>
            <t>Common themes in sub-family holders, all levels' answers:</t>
          </r>
          <r>
            <rPr>
              <rFont val="Calibri"/>
              <sz val="10"/>
            </rPr>
            <t xml:space="preserve"> software · solutions · business · reliable · develop · technical</t>
          </r>
        </is>
      </c>
      <c r="K18" s="12" t="inlineStr">
        <is>
          <r>
            <rPr>
              <rFont val="Calibri"/>
              <sz val="10"/>
            </rPr>
            <t xml:space="preserve">Builds back-end services, APIs, processing/validation logic and DB code; fixes defects and delivers change requests
</t>
          </r>
          <r>
            <rPr>
              <rFont val="Calibri"/>
              <b val="1"/>
              <sz val="10"/>
            </rPr>
            <t>Common themes in sub-family holders, all levels' answers:</t>
          </r>
          <r>
            <rPr>
              <rFont val="Calibri"/>
              <sz val="10"/>
            </rPr>
            <t xml:space="preserve"> development · code · quality · technical · support · software</t>
          </r>
        </is>
      </c>
      <c r="L18" s="12" t="inlineStr">
        <is>
          <r>
            <rPr>
              <rFont val="Calibri"/>
              <sz val="10"/>
            </rPr>
            <t xml:space="preserve">Within the statement of work
</t>
          </r>
          <r>
            <rPr>
              <rFont val="Calibri"/>
              <b val="1"/>
              <sz val="10"/>
            </rPr>
            <t>Common themes in sub-family holders, all levels' answers:</t>
          </r>
          <r>
            <rPr>
              <rFont val="Calibri"/>
              <sz val="10"/>
            </rPr>
            <t xml:space="preserve"> technical · code · approach · implementation · decisions · issues</t>
          </r>
        </is>
      </c>
      <c r="M18" s="12" t="inlineStr">
        <is>
          <t>—</t>
        </is>
      </c>
      <c r="N18" s="12" t="inlineStr">
        <is>
          <r>
            <rPr>
              <rFont val="Calibri"/>
              <b val="1"/>
              <sz val="10"/>
            </rPr>
            <t>Skills:</t>
          </r>
          <r>
            <rPr>
              <rFont val="Calibri"/>
              <sz val="10"/>
            </rPr>
            <t xml:space="preserve"> Java · NET MVC · Debugging · AI · SQL · Technical knowledge · Problem Solving · Python
</t>
          </r>
          <r>
            <rPr>
              <rFont val="Calibri"/>
              <b val="1"/>
              <sz val="10"/>
            </rPr>
            <t>Tools:</t>
          </r>
          <r>
            <rPr>
              <rFont val="Calibri"/>
              <sz val="10"/>
            </rPr>
            <t xml:space="preserve"> VS code · Visual studio · Claude · Git · Postman · Oracle Database · Copilot · Excel</t>
          </r>
        </is>
      </c>
      <c r="O18" s="12" t="inlineStr">
        <is>
          <r>
            <rPr>
              <rFont val="Calibri"/>
              <b val="1"/>
              <sz val="10"/>
            </rPr>
            <t>Owns:</t>
          </r>
          <r>
            <rPr>
              <rFont val="Calibri"/>
              <sz val="10"/>
            </rPr>
            <t xml:space="preserve"> Defined deliverables under a statement of work · ≈ A2–A3</t>
          </r>
        </is>
      </c>
      <c r="P18" s="12" t="inlineStr">
        <is>
          <t>0–5 yrs
As for equivalent role</t>
        </is>
      </c>
      <c r="Q18" s="12" t="inlineStr">
        <is>
          <t>Per statement of work
★ Programming &amp; Tech-Stack Depth · System Design &amp; Architecture</t>
        </is>
      </c>
      <c r="R18" s="12" t="inlineStr">
        <is>
          <t>Build and operate software capabilities. Includes: Application code, data/ML engineering and product reliability. Excludes: Product investment decisions; internal IT service desk.</t>
        </is>
      </c>
      <c r="S18" s="12" t="inlineStr">
        <is>
          <t>—</t>
        </is>
      </c>
      <c r="T18" s="12" t="inlineStr">
        <is>
          <t>Radford / Mercer Contractor · SFIA —
—</t>
        </is>
      </c>
      <c r="U18" s="12" t="inlineStr">
        <is>
          <t>—</t>
        </is>
      </c>
      <c r="V18" s="12" t="inlineStr">
        <is>
          <t>Framework + sub-family themes · 3+ answered</t>
        </is>
      </c>
    </row>
    <row r="19">
      <c r="A19" s="85" t="inlineStr">
        <is>
          <t>Executive Leadership</t>
        </is>
      </c>
    </row>
    <row r="20" ht="93" customHeight="1">
      <c r="A20" s="86" t="inlineStr">
        <is>
          <t>RC-091</t>
        </is>
      </c>
      <c r="B20" s="12" t="inlineStr">
        <is>
          <t>Executive Leadership</t>
        </is>
      </c>
      <c r="C20" s="12" t="inlineStr">
        <is>
          <t>Business &amp; Functional Leadership</t>
        </is>
      </c>
      <c r="D20" s="28" t="inlineStr">
        <is>
          <t>D2</t>
        </is>
      </c>
      <c r="E20" s="29" t="inlineStr">
        <is>
          <t>Vice President</t>
        </is>
      </c>
      <c r="F20" s="12" t="inlineStr">
        <is>
          <t>Manager</t>
        </is>
      </c>
      <c r="G20" s="12" t="inlineStr">
        <is>
          <t>Business Head · Business Head – SupTech &amp; Bank-RegTech · Business Head – DataTech</t>
        </is>
      </c>
      <c r="H20" s="12" t="inlineStr">
        <is>
          <t>Shilpa Dhobale</t>
        </is>
      </c>
      <c r="I20" s="12" t="inlineStr">
        <is>
          <t>Datatech Business Head</t>
        </is>
      </c>
      <c r="J20" s="12" t="inlineStr">
        <is>
          <t>Owns a business line or enterprise function end to end. At D2: several business lines or an executive-scope enterprise function.</t>
        </is>
      </c>
      <c r="K20" s="12" t="inlineStr">
        <is>
          <t>Owns a business line or enterprise function end to end; Portfolio-level strategic, financial and regulatory trade-offs; Multi-business results</t>
        </is>
      </c>
      <c r="L20" s="12" t="inlineStr">
        <is>
          <t>Sets direction across business lines</t>
        </is>
      </c>
      <c r="M20" s="12" t="inlineStr">
        <is>
          <t>—</t>
        </is>
      </c>
      <c r="N20" s="12" t="inlineStr">
        <is>
          <r>
            <rPr>
              <rFont val="Calibri"/>
              <b val="1"/>
              <sz val="10"/>
            </rPr>
            <t>Skills:</t>
          </r>
          <r>
            <rPr>
              <rFont val="Calibri"/>
              <sz val="10"/>
            </rPr>
            <t xml:space="preserve"> Product Management</t>
          </r>
        </is>
      </c>
      <c r="O20" s="12" t="inlineStr">
        <is>
          <r>
            <rPr>
              <rFont val="Calibri"/>
              <b val="1"/>
              <sz val="10"/>
            </rPr>
            <t>Owns:</t>
          </r>
          <r>
            <rPr>
              <rFont val="Calibri"/>
              <sz val="10"/>
            </rPr>
            <t xml:space="preserve"> Several business lines or an executive-scope enterprise function
</t>
          </r>
          <r>
            <rPr>
              <rFont val="Calibri"/>
              <b val="1"/>
              <sz val="10"/>
            </rPr>
            <t>Complexity:</t>
          </r>
          <r>
            <rPr>
              <rFont val="Calibri"/>
              <sz val="10"/>
            </rPr>
            <t xml:space="preserve"> Portfolio-level strategic, financial and regulatory trade-offs
</t>
          </r>
          <r>
            <rPr>
              <rFont val="Calibri"/>
              <b val="1"/>
              <sz val="10"/>
            </rPr>
            <t>Decisions:</t>
          </r>
          <r>
            <rPr>
              <rFont val="Calibri"/>
              <sz val="10"/>
            </rPr>
            <t xml:space="preserve"> Sets direction across business lines
</t>
          </r>
          <r>
            <rPr>
              <rFont val="Calibri"/>
              <b val="1"/>
              <sz val="10"/>
            </rPr>
            <t>Answers for:</t>
          </r>
          <r>
            <rPr>
              <rFont val="Calibri"/>
              <sz val="10"/>
            </rPr>
            <t xml:space="preserve"> Multi-business results
</t>
          </r>
          <r>
            <rPr>
              <rFont val="Calibri"/>
              <b val="1"/>
              <sz val="10"/>
            </rPr>
            <t>Leadership:</t>
          </r>
          <r>
            <rPr>
              <rFont val="Calibri"/>
              <sz val="10"/>
            </rPr>
            <t xml:space="preserve"> Builds the leadership team across businesses</t>
          </r>
        </is>
      </c>
      <c r="P20" s="12" t="inlineStr">
        <is>
          <t>18–24 yrs
Postgraduate / professional qualification preferred</t>
        </is>
      </c>
      <c r="Q20" s="12" t="inlineStr">
        <is>
          <t>Core 5 · Future-ready 4 · Functional 4 · Leadership 5
★ Strategic Thinking &amp; Business Acumen · People Leadership &amp; Mentoring</t>
        </is>
      </c>
      <c r="R20" s="12" t="inlineStr">
        <is>
          <t>Integrate enterprise or business outcomes. Includes: Business-unit, enterprise and exceptional expert mandates. Excludes: A generic promotion destination without a new accountable role.</t>
        </is>
      </c>
      <c r="S20" s="12" t="inlineStr">
        <is>
          <r>
            <rPr>
              <rFont val="Calibri"/>
              <b val="1"/>
              <sz val="10"/>
            </rPr>
            <t>Comparable stage:</t>
          </r>
          <r>
            <rPr>
              <rFont val="Calibri"/>
              <sz val="10"/>
            </rPr>
            <t xml:space="preserve"> EX01 · Business Unit Head / General Manager
Own integrated commercial, operational, financial and risk outcomes for a defined business
</t>
          </r>
          <r>
            <rPr>
              <rFont val="Calibri"/>
              <b val="1"/>
              <sz val="10"/>
            </rPr>
            <t>Ready when:</t>
          </r>
          <r>
            <rPr>
              <rFont val="Calibri"/>
              <sz val="10"/>
            </rPr>
            <t xml:space="preserve"> A transition from functional leadership; size and delegated P&amp;L/resource mandate determine level.</t>
          </r>
        </is>
      </c>
      <c r="T20" s="12" t="inlineStr">
        <is>
          <t>Radford / Mercer E3–E4 · SFIA 7 Set strategy
IRIS Vs Market Benchmark — Aon Radford / Mercer executive codes: E3–E4 SVP · IRIS Vs Competitor Benchmark — regtech / SaaS executive titles: SVP</t>
        </is>
      </c>
      <c r="U20" s="12" t="inlineStr">
        <is>
          <t>E1 · —</t>
        </is>
      </c>
      <c r="V20" s="12" t="inlineStr">
        <is>
          <t>Framework only · fewer than 3 answered</t>
        </is>
      </c>
    </row>
    <row r="21">
      <c r="A21" s="85" t="inlineStr">
        <is>
          <t>Marketing &amp; Communications</t>
        </is>
      </c>
    </row>
    <row r="22" ht="119" customHeight="1">
      <c r="A22" s="86" t="inlineStr">
        <is>
          <t>RC-112</t>
        </is>
      </c>
      <c r="B22" s="12" t="inlineStr">
        <is>
          <t>Marketing &amp; Communications</t>
        </is>
      </c>
      <c r="C22" s="12" t="inlineStr">
        <is>
          <t>Content Marketing</t>
        </is>
      </c>
      <c r="D22" s="16" t="inlineStr">
        <is>
          <t>A3</t>
        </is>
      </c>
      <c r="E22" s="17" t="inlineStr">
        <is>
          <t>Senior Associate</t>
        </is>
      </c>
      <c r="F22" s="12" t="inlineStr">
        <is>
          <t>IC</t>
        </is>
      </c>
      <c r="G22" s="12" t="inlineStr">
        <is>
          <t>Senior Content Marketing Associate</t>
        </is>
      </c>
      <c r="H22" s="12" t="inlineStr">
        <is>
          <t>Vasundhara Lella</t>
        </is>
      </c>
      <c r="I22" s="12" t="inlineStr">
        <is>
          <t>Marketing</t>
        </is>
      </c>
      <c r="J22" s="12" t="inlineStr">
        <is>
          <r>
            <rPr>
              <rFont val="Calibri"/>
              <sz val="10"/>
            </rPr>
            <t xml:space="preserve">Writes blogs, web copy, collateral and social content. At A3: varied work; reviews juniors; go-to for a process.
</t>
          </r>
          <r>
            <rPr>
              <rFont val="Calibri"/>
              <b val="1"/>
              <sz val="10"/>
            </rPr>
            <t>Common themes in sub-family holders, all levels' answers:</t>
          </r>
          <r>
            <rPr>
              <rFont val="Calibri"/>
              <sz val="10"/>
            </rPr>
            <t xml:space="preserve"> content · creation · brand · marketing · leads · through</t>
          </r>
        </is>
      </c>
      <c r="K22" s="12" t="inlineStr">
        <is>
          <r>
            <rPr>
              <rFont val="Calibri"/>
              <sz val="10"/>
            </rPr>
            <t xml:space="preserve">Writes blogs, web copy, collateral and social content; Varied and non-standard work; handles exceptions; A module / process, or work with client or regulatory consequences
</t>
          </r>
          <r>
            <rPr>
              <rFont val="Calibri"/>
              <b val="1"/>
              <sz val="10"/>
            </rPr>
            <t>Common themes in sub-family holders, all levels' answers:</t>
          </r>
          <r>
            <rPr>
              <rFont val="Calibri"/>
              <sz val="10"/>
            </rPr>
            <t xml:space="preserve"> content · blogs · week · research · campaign · assets</t>
          </r>
        </is>
      </c>
      <c r="L22" s="12" t="inlineStr">
        <is>
          <r>
            <rPr>
              <rFont val="Calibri"/>
              <sz val="10"/>
            </rPr>
            <t xml:space="preserve">Technical / QC / client calls on own work
</t>
          </r>
          <r>
            <rPr>
              <rFont val="Calibri"/>
              <b val="1"/>
              <sz val="10"/>
            </rPr>
            <t>Common themes in sub-family holders, all levels' answers:</t>
          </r>
          <r>
            <rPr>
              <rFont val="Calibri"/>
              <sz val="10"/>
            </rPr>
            <t xml:space="preserve"> seo · blogs · content</t>
          </r>
        </is>
      </c>
      <c r="M22" s="12" t="inlineStr">
        <is>
          <t>—</t>
        </is>
      </c>
      <c r="N22" s="12" t="inlineStr">
        <is>
          <r>
            <rPr>
              <rFont val="Calibri"/>
              <b val="1"/>
              <sz val="10"/>
            </rPr>
            <t>Skills:</t>
          </r>
          <r>
            <rPr>
              <rFont val="Calibri"/>
              <sz val="10"/>
            </rPr>
            <t xml:space="preserve"> Marketing · Research skills · Content strategy · Copywriting
</t>
          </r>
          <r>
            <rPr>
              <rFont val="Calibri"/>
              <b val="1"/>
              <sz val="10"/>
            </rPr>
            <t>Tools:</t>
          </r>
          <r>
            <rPr>
              <rFont val="Calibri"/>
              <sz val="10"/>
            </rPr>
            <t xml:space="preserve"> Semrush · Google Analytics · Canva · Hubspot · Buffer · Claude</t>
          </r>
        </is>
      </c>
      <c r="O22" s="12" t="inlineStr">
        <is>
          <r>
            <rPr>
              <rFont val="Calibri"/>
              <b val="1"/>
              <sz val="10"/>
            </rPr>
            <t>Owns:</t>
          </r>
          <r>
            <rPr>
              <rFont val="Calibri"/>
              <sz val="10"/>
            </rPr>
            <t xml:space="preserve"> Varied work; reviews juniors; go-to for a process
</t>
          </r>
          <r>
            <rPr>
              <rFont val="Calibri"/>
              <b val="1"/>
              <sz val="10"/>
            </rPr>
            <t>Complexity:</t>
          </r>
          <r>
            <rPr>
              <rFont val="Calibri"/>
              <sz val="10"/>
            </rPr>
            <t xml:space="preserve"> Varied and non-standard work; handles exceptions
</t>
          </r>
          <r>
            <rPr>
              <rFont val="Calibri"/>
              <b val="1"/>
              <sz val="10"/>
            </rPr>
            <t>Decisions:</t>
          </r>
          <r>
            <rPr>
              <rFont val="Calibri"/>
              <sz val="10"/>
            </rPr>
            <t xml:space="preserve"> Technical / QC / client calls on own work
</t>
          </r>
          <r>
            <rPr>
              <rFont val="Calibri"/>
              <b val="1"/>
              <sz val="10"/>
            </rPr>
            <t>Answers for:</t>
          </r>
          <r>
            <rPr>
              <rFont val="Calibri"/>
              <sz val="10"/>
            </rPr>
            <t xml:space="preserve"> A module / process, or work with client or regulatory consequences
</t>
          </r>
          <r>
            <rPr>
              <rFont val="Calibri"/>
              <b val="1"/>
              <sz val="10"/>
            </rPr>
            <t>Leadership:</t>
          </r>
          <r>
            <rPr>
              <rFont val="Calibri"/>
              <sz val="10"/>
            </rPr>
            <t xml:space="preserve"> Not scored in Band A</t>
          </r>
        </is>
      </c>
      <c r="P22" s="12" t="inlineStr">
        <is>
          <t>2–4 yrs
Graduate; relevant certification preferred</t>
        </is>
      </c>
      <c r="Q22" s="12" t="inlineStr">
        <is>
          <t>Core 2 · Future-ready 2 · Functional 3 · Leadership —
★ Marketing Tech &amp; Digital Marketing · Communication &amp; Presentation</t>
        </is>
      </c>
      <c r="R22" s="12" t="inlineStr">
        <is>
          <t>Create market understanding, demand and reputation. Includes: Content, demand, digital, product marketing, operations and communications. Excludes: Account closing; product UX design.</t>
        </is>
      </c>
      <c r="S22" s="12" t="inlineStr">
        <is>
          <r>
            <rPr>
              <rFont val="Calibri"/>
              <b val="1"/>
              <sz val="10"/>
            </rPr>
            <t>Comparable stage:</t>
          </r>
          <r>
            <rPr>
              <rFont val="Calibri"/>
              <sz val="10"/>
            </rPr>
            <t xml:space="preserve"> MKT01-2 · Content Marketing Specialist
Produce accurate content for an identified audience and purpose.
</t>
          </r>
          <r>
            <rPr>
              <rFont val="Calibri"/>
              <b val="1"/>
              <sz val="10"/>
            </rPr>
            <t>Ready when:</t>
          </r>
          <r>
            <rPr>
              <rFont val="Calibri"/>
              <sz val="10"/>
            </rPr>
            <t xml:space="preserve"> Demonstrate routine delivery plus judgement in bounded exceptions.
</t>
          </r>
          <r>
            <rPr>
              <rFont val="Calibri"/>
              <b val="1"/>
              <sz val="10"/>
            </rPr>
            <t>Work sample:</t>
          </r>
          <r>
            <rPr>
              <rFont val="Calibri"/>
              <sz val="10"/>
            </rPr>
            <t xml:space="preserve"> A content portfolio with source accuracy, audience fit and measured qualified engagement</t>
          </r>
        </is>
      </c>
      <c r="T22" s="12" t="inlineStr">
        <is>
          <t>Radford / Mercer P2 · SFIA 3 Apply
IRIS Vs Market Benchmark — CIM proficiency scale: 2–3 · IRIS Vs Competitor Benchmark — SaaS marketing ladder: Marketing Specialist</t>
        </is>
      </c>
      <c r="U22" s="12" t="inlineStr">
        <is>
          <t>B1 · Specialist</t>
        </is>
      </c>
      <c r="V22" s="12" t="inlineStr">
        <is>
          <t>Framework + sub-family themes · 3+ answered</t>
        </is>
      </c>
    </row>
    <row r="23" ht="106" customHeight="1">
      <c r="A23" s="86" t="inlineStr">
        <is>
          <t>RC-117</t>
        </is>
      </c>
      <c r="B23" s="12" t="inlineStr">
        <is>
          <t>Marketing &amp; Communications</t>
        </is>
      </c>
      <c r="C23" s="12" t="inlineStr">
        <is>
          <t>Digital Marketing, Web &amp; Social</t>
        </is>
      </c>
      <c r="D23" s="16" t="inlineStr">
        <is>
          <t>A3</t>
        </is>
      </c>
      <c r="E23" s="17" t="inlineStr">
        <is>
          <t>Senior Associate</t>
        </is>
      </c>
      <c r="F23" s="12" t="inlineStr">
        <is>
          <t>IC</t>
        </is>
      </c>
      <c r="G23" s="12" t="inlineStr">
        <is>
          <t>Senior Digital Marketing Associate</t>
        </is>
      </c>
      <c r="H23" s="12" t="inlineStr">
        <is>
          <t>Lalit Subhash Dhamale</t>
        </is>
      </c>
      <c r="I23" s="12" t="inlineStr">
        <is>
          <t>Marketing</t>
        </is>
      </c>
      <c r="J23" s="12" t="inlineStr">
        <is>
          <t>Runs website, SEO/AEO, social media and online reputation. At A3: varied work; reviews juniors; go-to for a process.</t>
        </is>
      </c>
      <c r="K23" s="12" t="inlineStr">
        <is>
          <t>Runs website, SEO/AEO, social media and online reputation; Varied and non-standard work; handles exceptions; A module / process, or work with client or regulatory consequences</t>
        </is>
      </c>
      <c r="L23" s="12" t="inlineStr">
        <is>
          <t>Technical / QC / client calls on own work</t>
        </is>
      </c>
      <c r="M23" s="12" t="inlineStr">
        <is>
          <t>—</t>
        </is>
      </c>
      <c r="N23" s="12" t="inlineStr">
        <is>
          <r>
            <rPr>
              <rFont val="Calibri"/>
              <b val="1"/>
              <sz val="10"/>
            </rPr>
            <t>Skills:</t>
          </r>
          <r>
            <rPr>
              <rFont val="Calibri"/>
              <sz val="10"/>
            </rPr>
            <t xml:space="preserve"> Marketing</t>
          </r>
        </is>
      </c>
      <c r="O23" s="12" t="inlineStr">
        <is>
          <r>
            <rPr>
              <rFont val="Calibri"/>
              <b val="1"/>
              <sz val="10"/>
            </rPr>
            <t>Owns:</t>
          </r>
          <r>
            <rPr>
              <rFont val="Calibri"/>
              <sz val="10"/>
            </rPr>
            <t xml:space="preserve"> Varied work; reviews juniors; go-to for a process
</t>
          </r>
          <r>
            <rPr>
              <rFont val="Calibri"/>
              <b val="1"/>
              <sz val="10"/>
            </rPr>
            <t>Complexity:</t>
          </r>
          <r>
            <rPr>
              <rFont val="Calibri"/>
              <sz val="10"/>
            </rPr>
            <t xml:space="preserve"> Varied and non-standard work; handles exceptions
</t>
          </r>
          <r>
            <rPr>
              <rFont val="Calibri"/>
              <b val="1"/>
              <sz val="10"/>
            </rPr>
            <t>Decisions:</t>
          </r>
          <r>
            <rPr>
              <rFont val="Calibri"/>
              <sz val="10"/>
            </rPr>
            <t xml:space="preserve"> Technical / QC / client calls on own work
</t>
          </r>
          <r>
            <rPr>
              <rFont val="Calibri"/>
              <b val="1"/>
              <sz val="10"/>
            </rPr>
            <t>Answers for:</t>
          </r>
          <r>
            <rPr>
              <rFont val="Calibri"/>
              <sz val="10"/>
            </rPr>
            <t xml:space="preserve"> A module / process, or work with client or regulatory consequences
</t>
          </r>
          <r>
            <rPr>
              <rFont val="Calibri"/>
              <b val="1"/>
              <sz val="10"/>
            </rPr>
            <t>Leadership:</t>
          </r>
          <r>
            <rPr>
              <rFont val="Calibri"/>
              <sz val="10"/>
            </rPr>
            <t xml:space="preserve"> Not scored in Band A</t>
          </r>
        </is>
      </c>
      <c r="P23" s="12" t="inlineStr">
        <is>
          <t>2–4 yrs
Graduate; relevant certification preferred</t>
        </is>
      </c>
      <c r="Q23" s="12" t="inlineStr">
        <is>
          <t>Core 2 · Future-ready 2 · Functional 3 · Leadership —
★ Marketing Tech &amp; Digital Marketing · Communication &amp; Presentation</t>
        </is>
      </c>
      <c r="R23" s="12" t="inlineStr">
        <is>
          <t>Create market understanding, demand and reputation. Includes: Content, demand, digital, product marketing, operations and communications. Excludes: Account closing; product UX design.</t>
        </is>
      </c>
      <c r="S23" s="12" t="inlineStr">
        <is>
          <r>
            <rPr>
              <rFont val="Calibri"/>
              <b val="1"/>
              <sz val="10"/>
            </rPr>
            <t>Comparable stage:</t>
          </r>
          <r>
            <rPr>
              <rFont val="Calibri"/>
              <sz val="10"/>
            </rPr>
            <t xml:space="preserve"> MKT04-2 · Digital Marketing Specialist
Run instrumented channel campaigns and search improvements.
</t>
          </r>
          <r>
            <rPr>
              <rFont val="Calibri"/>
              <b val="1"/>
              <sz val="10"/>
            </rPr>
            <t>Ready when:</t>
          </r>
          <r>
            <rPr>
              <rFont val="Calibri"/>
              <sz val="10"/>
            </rPr>
            <t xml:space="preserve"> Demonstrate routine delivery plus judgement in bounded exceptions.
</t>
          </r>
          <r>
            <rPr>
              <rFont val="Calibri"/>
              <b val="1"/>
              <sz val="10"/>
            </rPr>
            <t>Work sample:</t>
          </r>
          <r>
            <rPr>
              <rFont val="Calibri"/>
              <sz val="10"/>
            </rPr>
            <t xml:space="preserve"> A channel experiment with trustworthy tracking and measurable conversion improvement</t>
          </r>
        </is>
      </c>
      <c r="T23" s="12" t="inlineStr">
        <is>
          <t>Radford / Mercer P2 · SFIA 3 Apply
IRIS Vs Market Benchmark — CIM proficiency scale: 2–3 · IRIS Vs Competitor Benchmark — SaaS marketing ladder: Marketing Specialist</t>
        </is>
      </c>
      <c r="U23" s="12" t="inlineStr">
        <is>
          <t>B1 · Specialist</t>
        </is>
      </c>
      <c r="V23" s="12" t="inlineStr">
        <is>
          <t>Framework only · fewer than 3 answered</t>
        </is>
      </c>
    </row>
    <row r="24" ht="67" customHeight="1">
      <c r="A24" s="86" t="inlineStr">
        <is>
          <t>RC-118</t>
        </is>
      </c>
      <c r="B24" s="12" t="inlineStr">
        <is>
          <t>Marketing &amp; Communications</t>
        </is>
      </c>
      <c r="C24" s="12" t="inlineStr">
        <is>
          <t>Marketing · role not recorded</t>
        </is>
      </c>
      <c r="D24" s="32" t="inlineStr">
        <is>
          <t>X1</t>
        </is>
      </c>
      <c r="E24" s="33" t="inlineStr">
        <is>
          <t>Associate Consultant</t>
        </is>
      </c>
      <c r="F24" s="12" t="inlineStr">
        <is>
          <t>IC</t>
        </is>
      </c>
      <c r="G24" s="12" t="inlineStr">
        <is>
          <t>Associate Consultant – Demand Generation, Brand &amp; Events</t>
        </is>
      </c>
      <c r="H24" s="12" t="inlineStr">
        <is>
          <t>R Indumathi</t>
        </is>
      </c>
      <c r="I24" s="12" t="inlineStr">
        <is>
          <t>Marketing</t>
        </is>
      </c>
      <c r="J24" s="12" t="inlineStr">
        <is>
          <t>Consultant — work not captured. At X1: defined deliverables under a statement of work · ≈ A2–A3.</t>
        </is>
      </c>
      <c r="K24" s="12" t="inlineStr">
        <is>
          <t>Consultant — work not captured</t>
        </is>
      </c>
      <c r="L24" s="12" t="inlineStr">
        <is>
          <t>Within the statement of work</t>
        </is>
      </c>
      <c r="M24" s="12" t="inlineStr">
        <is>
          <t>—</t>
        </is>
      </c>
      <c r="N24" s="12" t="inlineStr">
        <is>
          <t>—</t>
        </is>
      </c>
      <c r="O24" s="12" t="inlineStr">
        <is>
          <r>
            <rPr>
              <rFont val="Calibri"/>
              <b val="1"/>
              <sz val="10"/>
            </rPr>
            <t>Owns:</t>
          </r>
          <r>
            <rPr>
              <rFont val="Calibri"/>
              <sz val="10"/>
            </rPr>
            <t xml:space="preserve"> Defined deliverables under a statement of work · ≈ A2–A3</t>
          </r>
        </is>
      </c>
      <c r="P24" s="12" t="inlineStr">
        <is>
          <t>0–5 yrs
As for equivalent role</t>
        </is>
      </c>
      <c r="Q24" s="12" t="inlineStr">
        <is>
          <t>Per statement of work
★ Marketing Tech &amp; Digital Marketing · Communication &amp; Presentation</t>
        </is>
      </c>
      <c r="R24" s="12" t="inlineStr">
        <is>
          <t>Create market understanding, demand and reputation. Includes: Content, demand, digital, product marketing, operations and communications. Excludes: Account closing; product UX design.</t>
        </is>
      </c>
      <c r="S24" s="12" t="inlineStr">
        <is>
          <t>—</t>
        </is>
      </c>
      <c r="T24" s="12" t="inlineStr">
        <is>
          <t>Radford / Mercer Contractor · SFIA —
—</t>
        </is>
      </c>
      <c r="U24" s="12" t="inlineStr">
        <is>
          <t>—</t>
        </is>
      </c>
      <c r="V24" s="12" t="inlineStr">
        <is>
          <t>Framework only · fewer than 3 answered</t>
        </is>
      </c>
    </row>
    <row r="25" ht="93" customHeight="1">
      <c r="A25" s="86" t="inlineStr">
        <is>
          <t>RC-119</t>
        </is>
      </c>
      <c r="B25" s="12" t="inlineStr">
        <is>
          <t>Marketing &amp; Communications</t>
        </is>
      </c>
      <c r="C25" s="12" t="inlineStr">
        <is>
          <t>Marketing Leadership</t>
        </is>
      </c>
      <c r="D25" s="20" t="inlineStr">
        <is>
          <t>B2</t>
        </is>
      </c>
      <c r="E25" s="21" t="inlineStr">
        <is>
          <t>Senior Specialist</t>
        </is>
      </c>
      <c r="F25" s="12" t="inlineStr">
        <is>
          <t>IC</t>
        </is>
      </c>
      <c r="G25" s="12" t="inlineStr">
        <is>
          <t>Marketing Specialist – POD Lead</t>
        </is>
      </c>
      <c r="H25" s="12" t="inlineStr">
        <is>
          <t>Ankita Pathak</t>
        </is>
      </c>
      <c r="I25" s="12" t="inlineStr">
        <is>
          <t>Marketing</t>
        </is>
      </c>
      <c r="J25" s="12" t="inlineStr">
        <is>
          <t>Leads the marketing &amp; communications function. At B2: deep domain expertise, or one team.</t>
        </is>
      </c>
      <c r="K25" s="12" t="inlineStr">
        <is>
          <t>Leads the marketing &amp; communications function; Hardest problems in the domain; One team or a client portfolio</t>
        </is>
      </c>
      <c r="L25" s="12" t="inlineStr">
        <is>
          <t>Allocates people and sets team priorities</t>
        </is>
      </c>
      <c r="M25" s="12" t="inlineStr">
        <is>
          <t>—</t>
        </is>
      </c>
      <c r="N25" s="12" t="inlineStr">
        <is>
          <r>
            <rPr>
              <rFont val="Calibri"/>
              <b val="1"/>
              <sz val="10"/>
            </rPr>
            <t>Skills:</t>
          </r>
          <r>
            <rPr>
              <rFont val="Calibri"/>
              <sz val="10"/>
            </rPr>
            <t xml:space="preserve"> Marketing</t>
          </r>
        </is>
      </c>
      <c r="O25" s="12" t="inlineStr">
        <is>
          <r>
            <rPr>
              <rFont val="Calibri"/>
              <b val="1"/>
              <sz val="10"/>
            </rPr>
            <t>Owns:</t>
          </r>
          <r>
            <rPr>
              <rFont val="Calibri"/>
              <sz val="10"/>
            </rPr>
            <t xml:space="preserve"> Deep domain expertise, or one team
</t>
          </r>
          <r>
            <rPr>
              <rFont val="Calibri"/>
              <b val="1"/>
              <sz val="10"/>
            </rPr>
            <t>Complexity:</t>
          </r>
          <r>
            <rPr>
              <rFont val="Calibri"/>
              <sz val="10"/>
            </rPr>
            <t xml:space="preserve"> Hardest problems in the domain
</t>
          </r>
          <r>
            <rPr>
              <rFont val="Calibri"/>
              <b val="1"/>
              <sz val="10"/>
            </rPr>
            <t>Decisions:</t>
          </r>
          <r>
            <rPr>
              <rFont val="Calibri"/>
              <sz val="10"/>
            </rPr>
            <t xml:space="preserve"> Allocates people and sets team priorities
</t>
          </r>
          <r>
            <rPr>
              <rFont val="Calibri"/>
              <b val="1"/>
              <sz val="10"/>
            </rPr>
            <t>Answers for:</t>
          </r>
          <r>
            <rPr>
              <rFont val="Calibri"/>
              <sz val="10"/>
            </rPr>
            <t xml:space="preserve"> One team or a client portfolio
</t>
          </r>
          <r>
            <rPr>
              <rFont val="Calibri"/>
              <b val="1"/>
              <sz val="10"/>
            </rPr>
            <t>Leadership:</t>
          </r>
          <r>
            <rPr>
              <rFont val="Calibri"/>
              <sz val="10"/>
            </rPr>
            <t xml:space="preserve"> IC: guides others in the domain · People: manages a team of 6+</t>
          </r>
        </is>
      </c>
      <c r="P25" s="12" t="inlineStr">
        <is>
          <t>6–9 yrs
Graduate or postgraduate; professional qualification preferred</t>
        </is>
      </c>
      <c r="Q25" s="12" t="inlineStr">
        <is>
          <t>Core 3 · Future-ready 3 · Functional 4 · Leadership 2
★ Marketing Tech &amp; Digital Marketing · Communication &amp; Presentation</t>
        </is>
      </c>
      <c r="R25" s="12" t="inlineStr">
        <is>
          <t>Create market understanding, demand and reputation. Includes: Content, demand, digital, product marketing, operations and communications. Excludes: Account closing; product UX design.</t>
        </is>
      </c>
      <c r="S25" s="12" t="inlineStr">
        <is>
          <r>
            <rPr>
              <rFont val="Calibri"/>
              <b val="1"/>
              <sz val="10"/>
            </rPr>
            <t>Comparable stage:</t>
          </r>
          <r>
            <rPr>
              <rFont val="Calibri"/>
              <sz val="10"/>
            </rPr>
            <t xml:space="preserve"> LD10-1 · Marketing Discipline Manager
Own staffing decisions, performance support, service quality and delegated team resources
</t>
          </r>
          <r>
            <rPr>
              <rFont val="Calibri"/>
              <b val="1"/>
              <sz val="10"/>
            </rPr>
            <t>Ready when:</t>
          </r>
          <r>
            <rPr>
              <rFont val="Calibri"/>
              <sz val="10"/>
            </rPr>
            <t xml:space="preserve"> Do not manufacture three reporting layers. Choose roles the organisation needs. A specialist may remain on an equally valued expert path.</t>
          </r>
        </is>
      </c>
      <c r="T25" s="12" t="inlineStr">
        <is>
          <t>Radford / Mercer P4 / M3 · SFIA 4–5
IRIS Vs Market Benchmark — CIM proficiency scale: 3–4 · IRIS Vs Competitor Benchmark — SaaS marketing ladder: Marketing Manager</t>
        </is>
      </c>
      <c r="U25" s="12" t="inlineStr">
        <is>
          <t>B3 · Lead Specialist</t>
        </is>
      </c>
      <c r="V25" s="12" t="inlineStr">
        <is>
          <t>Framework only · fewer than 3 answered</t>
        </is>
      </c>
    </row>
    <row r="26">
      <c r="A26" s="85" t="inlineStr">
        <is>
          <t>Product Management</t>
        </is>
      </c>
    </row>
    <row r="27" ht="119" customHeight="1">
      <c r="A27" s="86" t="inlineStr">
        <is>
          <t>RC-125</t>
        </is>
      </c>
      <c r="B27" s="12" t="inlineStr">
        <is>
          <t>Product Management</t>
        </is>
      </c>
      <c r="C27" s="12" t="inlineStr">
        <is>
          <t>Product Management</t>
        </is>
      </c>
      <c r="D27" s="20" t="inlineStr">
        <is>
          <t>B1</t>
        </is>
      </c>
      <c r="E27" s="21" t="inlineStr">
        <is>
          <t>Specialist</t>
        </is>
      </c>
      <c r="F27" s="12" t="inlineStr">
        <is>
          <t>IC</t>
        </is>
      </c>
      <c r="G27" s="12" t="inlineStr">
        <is>
          <t>Associate Product Manager – POD Lead · Associate Product Manager</t>
        </is>
      </c>
      <c r="H27" s="12" t="inlineStr">
        <is>
          <t>Ayushi Maurya, Gaurav Bansal</t>
        </is>
      </c>
      <c r="I27" s="12" t="inlineStr">
        <is>
          <t>Product Management</t>
        </is>
      </c>
      <c r="J27" s="12" t="inlineStr">
        <is>
          <r>
            <rPr>
              <rFont val="Calibri"/>
              <sz val="10"/>
            </rPr>
            <t xml:space="preserve">Owns product vision, roadmap, requirements · PRDs, prioritisation and adoption. At B1: a domain / module, or a small team.
</t>
          </r>
          <r>
            <rPr>
              <rFont val="Calibri"/>
              <b val="1"/>
              <sz val="10"/>
            </rPr>
            <t>Common themes in role-holders' answers:</t>
          </r>
          <r>
            <rPr>
              <rFont val="Calibri"/>
              <sz val="10"/>
            </rPr>
            <t xml:space="preserve"> product · management · customers · roadmap · shape · stakeholder</t>
          </r>
        </is>
      </c>
      <c r="K27" s="12" t="inlineStr">
        <is>
          <r>
            <rPr>
              <rFont val="Calibri"/>
              <sz val="10"/>
            </rPr>
            <t xml:space="preserve">Owns product vision, roadmap, requirements · PRDs, prioritisation and adoption; Domain specialist work; A domain or a small team
</t>
          </r>
          <r>
            <rPr>
              <rFont val="Calibri"/>
              <b val="1"/>
              <sz val="10"/>
            </rPr>
            <t>Common themes in role-holders' answers:</t>
          </r>
          <r>
            <rPr>
              <rFont val="Calibri"/>
              <sz val="10"/>
            </rPr>
            <t xml:space="preserve"> research · demos · product · management · customer · analysis</t>
          </r>
        </is>
      </c>
      <c r="L27" s="12" t="inlineStr">
        <is>
          <t>Technical / QC / client calls for the domain</t>
        </is>
      </c>
      <c r="M27" s="12" t="inlineStr">
        <is>
          <t>—</t>
        </is>
      </c>
      <c r="N27" s="12" t="inlineStr">
        <is>
          <r>
            <rPr>
              <rFont val="Calibri"/>
              <b val="1"/>
              <sz val="10"/>
            </rPr>
            <t>Skills:</t>
          </r>
          <r>
            <rPr>
              <rFont val="Calibri"/>
              <sz val="10"/>
            </rPr>
            <t xml:space="preserve"> Product Management · Project management · Product sense · Market research · CA + CE
</t>
          </r>
          <r>
            <rPr>
              <rFont val="Calibri"/>
              <b val="1"/>
              <sz val="10"/>
            </rPr>
            <t>Tools:</t>
          </r>
          <r>
            <rPr>
              <rFont val="Calibri"/>
              <sz val="10"/>
            </rPr>
            <t xml:space="preserve"> Claude · Mixpanel</t>
          </r>
        </is>
      </c>
      <c r="O27" s="12" t="inlineStr">
        <is>
          <r>
            <rPr>
              <rFont val="Calibri"/>
              <b val="1"/>
              <sz val="10"/>
            </rPr>
            <t>Owns:</t>
          </r>
          <r>
            <rPr>
              <rFont val="Calibri"/>
              <sz val="10"/>
            </rPr>
            <t xml:space="preserve"> A domain / module, or a small team
</t>
          </r>
          <r>
            <rPr>
              <rFont val="Calibri"/>
              <b val="1"/>
              <sz val="10"/>
            </rPr>
            <t>Complexity:</t>
          </r>
          <r>
            <rPr>
              <rFont val="Calibri"/>
              <sz val="10"/>
            </rPr>
            <t xml:space="preserve"> Domain specialist work
</t>
          </r>
          <r>
            <rPr>
              <rFont val="Calibri"/>
              <b val="1"/>
              <sz val="10"/>
            </rPr>
            <t>Decisions:</t>
          </r>
          <r>
            <rPr>
              <rFont val="Calibri"/>
              <sz val="10"/>
            </rPr>
            <t xml:space="preserve"> Technical / QC / client calls for the domain
</t>
          </r>
          <r>
            <rPr>
              <rFont val="Calibri"/>
              <b val="1"/>
              <sz val="10"/>
            </rPr>
            <t>Answers for:</t>
          </r>
          <r>
            <rPr>
              <rFont val="Calibri"/>
              <sz val="10"/>
            </rPr>
            <t xml:space="preserve"> A domain or a small team
</t>
          </r>
          <r>
            <rPr>
              <rFont val="Calibri"/>
              <b val="1"/>
              <sz val="10"/>
            </rPr>
            <t>Leadership:</t>
          </r>
          <r>
            <rPr>
              <rFont val="Calibri"/>
              <sz val="10"/>
            </rPr>
            <t xml:space="preserve"> IC: mentors and reviews · People: hands-on team lead of 3–5</t>
          </r>
        </is>
      </c>
      <c r="P27" s="12" t="inlineStr">
        <is>
          <t>4–7 yrs
Graduate + relevant qualification or certification preferred</t>
        </is>
      </c>
      <c r="Q27" s="12" t="inlineStr">
        <is>
          <t>Core 3 · Future-ready 3 · Functional 3 · Leadership 1
★ Product, Platform &amp; Domain Knowledge · Business Analysis &amp; Requirements Engineering</t>
        </is>
      </c>
      <c r="R27" s="12" t="inlineStr">
        <is>
          <t>Choose and organise product outcomes. Includes: Discovery, prioritisation, roadmap decisions and product operations. Excludes: Project schedule ownership alone; user research as a standalone discipline.</t>
        </is>
      </c>
      <c r="S27" s="12" t="inlineStr">
        <is>
          <r>
            <rPr>
              <rFont val="Calibri"/>
              <b val="1"/>
              <sz val="10"/>
            </rPr>
            <t>Comparable stage:</t>
          </r>
          <r>
            <rPr>
              <rFont val="Calibri"/>
              <sz val="10"/>
            </rPr>
            <t xml:space="preserve"> PRO01-3 · Senior Product Manager
Set product strategy and make evidence-based outcome trade-offs.
</t>
          </r>
          <r>
            <rPr>
              <rFont val="Calibri"/>
              <b val="1"/>
              <sz val="10"/>
            </rPr>
            <t>Ready when:</t>
          </r>
          <r>
            <rPr>
              <rFont val="Calibri"/>
              <sz val="10"/>
            </rPr>
            <t xml:space="preserve"> Evidence of complex work, decisions and outcomes beyond routine delivery.
</t>
          </r>
          <r>
            <rPr>
              <rFont val="Calibri"/>
              <b val="1"/>
              <sz val="10"/>
            </rPr>
            <t>Work sample:</t>
          </r>
          <r>
            <rPr>
              <rFont val="Calibri"/>
              <sz val="10"/>
            </rPr>
            <t xml:space="preserve"> A product decision with customer evidence, trade-offs and measured outcomes after launch</t>
          </r>
        </is>
      </c>
      <c r="T27" s="12" t="inlineStr">
        <is>
          <t>Radford / Mercer P3 / M2 · SFIA 4 Enable
IRIS Vs Competitor Benchmark — SaaS product ladder: Product Manager</t>
        </is>
      </c>
      <c r="U27" s="12" t="inlineStr">
        <is>
          <t>B2 · Senior Specialist</t>
        </is>
      </c>
      <c r="V27" s="12" t="inlineStr">
        <is>
          <t>Framework + role-holders' themes · 3+ answered</t>
        </is>
      </c>
    </row>
    <row r="28" ht="119" customHeight="1">
      <c r="A28" s="86" t="inlineStr">
        <is>
          <t>RC-126</t>
        </is>
      </c>
      <c r="B28" s="12" t="inlineStr">
        <is>
          <t>Product Management</t>
        </is>
      </c>
      <c r="C28" s="12" t="inlineStr">
        <is>
          <t>Product Management</t>
        </is>
      </c>
      <c r="D28" s="20" t="inlineStr">
        <is>
          <t>B2</t>
        </is>
      </c>
      <c r="E28" s="21" t="inlineStr">
        <is>
          <t>Senior Specialist</t>
        </is>
      </c>
      <c r="F28" s="12" t="inlineStr">
        <is>
          <t>IC</t>
        </is>
      </c>
      <c r="G28" s="12" t="inlineStr">
        <is>
          <t>Product Manager</t>
        </is>
      </c>
      <c r="H28" s="12" t="inlineStr">
        <is>
          <t>Piyush Raj, Sachinam Sawant</t>
        </is>
      </c>
      <c r="I28" s="12" t="inlineStr">
        <is>
          <t>Product Management</t>
        </is>
      </c>
      <c r="J28" s="12" t="inlineStr">
        <is>
          <r>
            <rPr>
              <rFont val="Calibri"/>
              <sz val="10"/>
            </rPr>
            <t xml:space="preserve">Owns product vision, roadmap, requirements · PRDs, prioritisation and adoption. At B2: deep domain expertise, or one team.
</t>
          </r>
          <r>
            <rPr>
              <rFont val="Calibri"/>
              <b val="1"/>
              <sz val="10"/>
            </rPr>
            <t>Common themes in sub-family holders, all levels' answers:</t>
          </r>
          <r>
            <rPr>
              <rFont val="Calibri"/>
              <sz val="10"/>
            </rPr>
            <t xml:space="preserve"> product · market · business · customers · management · revenue</t>
          </r>
        </is>
      </c>
      <c r="K28" s="12" t="inlineStr">
        <is>
          <r>
            <rPr>
              <rFont val="Calibri"/>
              <sz val="10"/>
            </rPr>
            <t xml:space="preserve">Owns product vision, roadmap, requirements · PRDs, prioritisation and adoption; Hardest problems in the domain; One team or a client portfolio
</t>
          </r>
          <r>
            <rPr>
              <rFont val="Calibri"/>
              <b val="1"/>
              <sz val="10"/>
            </rPr>
            <t>Common themes in sub-family holders, all levels' answers:</t>
          </r>
          <r>
            <rPr>
              <rFont val="Calibri"/>
              <sz val="10"/>
            </rPr>
            <t xml:space="preserve"> product · roadmap · management · customer · research · implementation</t>
          </r>
        </is>
      </c>
      <c r="L28" s="12" t="inlineStr">
        <is>
          <r>
            <rPr>
              <rFont val="Calibri"/>
              <sz val="10"/>
            </rPr>
            <t xml:space="preserve">Allocates people and sets team priorities
</t>
          </r>
          <r>
            <rPr>
              <rFont val="Calibri"/>
              <b val="1"/>
              <sz val="10"/>
            </rPr>
            <t>Common themes in sub-family holders, all levels' answers:</t>
          </r>
          <r>
            <rPr>
              <rFont val="Calibri"/>
              <sz val="10"/>
            </rPr>
            <t xml:space="preserve"> research · priorities · approach · roadmap · product · stakeholders</t>
          </r>
        </is>
      </c>
      <c r="M28" s="12" t="inlineStr">
        <is>
          <t>—</t>
        </is>
      </c>
      <c r="N28" s="12" t="inlineStr">
        <is>
          <r>
            <rPr>
              <rFont val="Calibri"/>
              <b val="1"/>
              <sz val="10"/>
            </rPr>
            <t>Skills:</t>
          </r>
          <r>
            <rPr>
              <rFont val="Calibri"/>
              <sz val="10"/>
            </rPr>
            <t xml:space="preserve"> Product Management · stakeholder management · Market research · Project management · Product sense · Data analysis · ESG · CA + CE
</t>
          </r>
          <r>
            <rPr>
              <rFont val="Calibri"/>
              <b val="1"/>
              <sz val="10"/>
            </rPr>
            <t>Tools:</t>
          </r>
          <r>
            <rPr>
              <rFont val="Calibri"/>
              <sz val="10"/>
            </rPr>
            <t xml:space="preserve"> Claude · Excel · Mixpanel · MoEngage · Figma</t>
          </r>
        </is>
      </c>
      <c r="O28" s="12" t="inlineStr">
        <is>
          <r>
            <rPr>
              <rFont val="Calibri"/>
              <b val="1"/>
              <sz val="10"/>
            </rPr>
            <t>Owns:</t>
          </r>
          <r>
            <rPr>
              <rFont val="Calibri"/>
              <sz val="10"/>
            </rPr>
            <t xml:space="preserve"> Deep domain expertise, or one team
</t>
          </r>
          <r>
            <rPr>
              <rFont val="Calibri"/>
              <b val="1"/>
              <sz val="10"/>
            </rPr>
            <t>Complexity:</t>
          </r>
          <r>
            <rPr>
              <rFont val="Calibri"/>
              <sz val="10"/>
            </rPr>
            <t xml:space="preserve"> Hardest problems in the domain
</t>
          </r>
          <r>
            <rPr>
              <rFont val="Calibri"/>
              <b val="1"/>
              <sz val="10"/>
            </rPr>
            <t>Decisions:</t>
          </r>
          <r>
            <rPr>
              <rFont val="Calibri"/>
              <sz val="10"/>
            </rPr>
            <t xml:space="preserve"> Allocates people and sets team priorities
</t>
          </r>
          <r>
            <rPr>
              <rFont val="Calibri"/>
              <b val="1"/>
              <sz val="10"/>
            </rPr>
            <t>Answers for:</t>
          </r>
          <r>
            <rPr>
              <rFont val="Calibri"/>
              <sz val="10"/>
            </rPr>
            <t xml:space="preserve"> One team or a client portfolio
</t>
          </r>
          <r>
            <rPr>
              <rFont val="Calibri"/>
              <b val="1"/>
              <sz val="10"/>
            </rPr>
            <t>Leadership:</t>
          </r>
          <r>
            <rPr>
              <rFont val="Calibri"/>
              <sz val="10"/>
            </rPr>
            <t xml:space="preserve"> IC: guides others in the domain · People: manages a team of 6+</t>
          </r>
        </is>
      </c>
      <c r="P28" s="12" t="inlineStr">
        <is>
          <t>6–9 yrs
Graduate or postgraduate; professional qualification preferred</t>
        </is>
      </c>
      <c r="Q28" s="12" t="inlineStr">
        <is>
          <t>Core 3 · Future-ready 3 · Functional 4 · Leadership 2
★ Product, Platform &amp; Domain Knowledge · Business Analysis &amp; Requirements Engineering</t>
        </is>
      </c>
      <c r="R28" s="12" t="inlineStr">
        <is>
          <t>Choose and organise product outcomes. Includes: Discovery, prioritisation, roadmap decisions and product operations. Excludes: Project schedule ownership alone; user research as a standalone discipline.</t>
        </is>
      </c>
      <c r="S28" s="12" t="inlineStr">
        <is>
          <r>
            <rPr>
              <rFont val="Calibri"/>
              <b val="1"/>
              <sz val="10"/>
            </rPr>
            <t>Comparable stage:</t>
          </r>
          <r>
            <rPr>
              <rFont val="Calibri"/>
              <sz val="10"/>
            </rPr>
            <t xml:space="preserve"> PRO01-3 · Senior Product Manager
Set product strategy and make evidence-based outcome trade-offs.
</t>
          </r>
          <r>
            <rPr>
              <rFont val="Calibri"/>
              <b val="1"/>
              <sz val="10"/>
            </rPr>
            <t>Ready when:</t>
          </r>
          <r>
            <rPr>
              <rFont val="Calibri"/>
              <sz val="10"/>
            </rPr>
            <t xml:space="preserve"> Evidence of complex work, decisions and outcomes beyond routine delivery.
</t>
          </r>
          <r>
            <rPr>
              <rFont val="Calibri"/>
              <b val="1"/>
              <sz val="10"/>
            </rPr>
            <t>Work sample:</t>
          </r>
          <r>
            <rPr>
              <rFont val="Calibri"/>
              <sz val="10"/>
            </rPr>
            <t xml:space="preserve"> A product decision with customer evidence, trade-offs and measured outcomes after launch</t>
          </r>
        </is>
      </c>
      <c r="T28" s="12" t="inlineStr">
        <is>
          <t>Radford / Mercer P4 / M3 · SFIA 4–5
IRIS Vs Competitor Benchmark — SaaS product ladder: Senior PM</t>
        </is>
      </c>
      <c r="U28" s="12" t="inlineStr">
        <is>
          <t>B3 · Lead Specialist</t>
        </is>
      </c>
      <c r="V28" s="12" t="inlineStr">
        <is>
          <t>Framework + sub-family themes · 3+ answered</t>
        </is>
      </c>
    </row>
    <row r="29" ht="93" customHeight="1">
      <c r="A29" s="86" t="inlineStr">
        <is>
          <t>RC-127</t>
        </is>
      </c>
      <c r="B29" s="12" t="inlineStr">
        <is>
          <t>Product Management</t>
        </is>
      </c>
      <c r="C29" s="12" t="inlineStr">
        <is>
          <t>Product Management</t>
        </is>
      </c>
      <c r="D29" s="20" t="inlineStr">
        <is>
          <t>B2</t>
        </is>
      </c>
      <c r="E29" s="21" t="inlineStr">
        <is>
          <t>Manager</t>
        </is>
      </c>
      <c r="F29" s="12" t="inlineStr">
        <is>
          <t>Manager</t>
        </is>
      </c>
      <c r="G29" s="12" t="inlineStr">
        <is>
          <t>Product Manager</t>
        </is>
      </c>
      <c r="H29" s="12" t="inlineStr">
        <is>
          <t>Nilesh Majumdar</t>
        </is>
      </c>
      <c r="I29" s="12" t="inlineStr">
        <is>
          <t>Product Management</t>
        </is>
      </c>
      <c r="J29" s="12" t="inlineStr">
        <is>
          <r>
            <rPr>
              <rFont val="Calibri"/>
              <sz val="10"/>
            </rPr>
            <t xml:space="preserve">Owns product vision, roadmap, requirements · PRDs, prioritisation and adoption. At B2: deep domain expertise, or one team.
</t>
          </r>
          <r>
            <rPr>
              <rFont val="Calibri"/>
              <b val="1"/>
              <sz val="10"/>
            </rPr>
            <t>Common themes in role-holders' answers:</t>
          </r>
          <r>
            <rPr>
              <rFont val="Calibri"/>
              <sz val="10"/>
            </rPr>
            <t xml:space="preserve"> product · market · delivery · business · revenue</t>
          </r>
        </is>
      </c>
      <c r="K29" s="12" t="inlineStr">
        <is>
          <r>
            <rPr>
              <rFont val="Calibri"/>
              <sz val="10"/>
            </rPr>
            <t xml:space="preserve">Owns product vision, roadmap, requirements · PRDs, prioritisation and adoption; Hardest problems in the domain; One team or a client portfolio
</t>
          </r>
          <r>
            <rPr>
              <rFont val="Calibri"/>
              <b val="1"/>
              <sz val="10"/>
            </rPr>
            <t>Common themes in role-holders' answers:</t>
          </r>
          <r>
            <rPr>
              <rFont val="Calibri"/>
              <sz val="10"/>
            </rPr>
            <t xml:space="preserve"> product · implementation · client · management · delivery</t>
          </r>
        </is>
      </c>
      <c r="L29" s="12" t="inlineStr">
        <is>
          <r>
            <rPr>
              <rFont val="Calibri"/>
              <sz val="10"/>
            </rPr>
            <t xml:space="preserve">Allocates people and sets team priorities
</t>
          </r>
          <r>
            <rPr>
              <rFont val="Calibri"/>
              <b val="1"/>
              <sz val="10"/>
            </rPr>
            <t>Common themes in role-holders' answers:</t>
          </r>
          <r>
            <rPr>
              <rFont val="Calibri"/>
              <sz val="10"/>
            </rPr>
            <t xml:space="preserve"> research</t>
          </r>
        </is>
      </c>
      <c r="M29" s="12" t="inlineStr">
        <is>
          <r>
            <rPr>
              <rFont val="Calibri"/>
              <b val="1"/>
              <sz val="10"/>
            </rPr>
            <t>Common themes in manager-set KRAs:</t>
          </r>
          <r>
            <rPr>
              <rFont val="Calibri"/>
              <sz val="10"/>
            </rPr>
            <t xml:space="preserve"> development participation · cash · market requirements · tech learning · support organizational · profitability</t>
          </r>
        </is>
      </c>
      <c r="N29" s="12" t="inlineStr">
        <is>
          <r>
            <rPr>
              <rFont val="Calibri"/>
              <b val="1"/>
              <sz val="10"/>
            </rPr>
            <t>Skills:</t>
          </r>
          <r>
            <rPr>
              <rFont val="Calibri"/>
              <sz val="10"/>
            </rPr>
            <t xml:space="preserve"> Product management</t>
          </r>
        </is>
      </c>
      <c r="O29" s="12" t="inlineStr">
        <is>
          <r>
            <rPr>
              <rFont val="Calibri"/>
              <b val="1"/>
              <sz val="10"/>
            </rPr>
            <t>Owns:</t>
          </r>
          <r>
            <rPr>
              <rFont val="Calibri"/>
              <sz val="10"/>
            </rPr>
            <t xml:space="preserve"> Deep domain expertise, or one team
</t>
          </r>
          <r>
            <rPr>
              <rFont val="Calibri"/>
              <b val="1"/>
              <sz val="10"/>
            </rPr>
            <t>Complexity:</t>
          </r>
          <r>
            <rPr>
              <rFont val="Calibri"/>
              <sz val="10"/>
            </rPr>
            <t xml:space="preserve"> Hardest problems in the domain
</t>
          </r>
          <r>
            <rPr>
              <rFont val="Calibri"/>
              <b val="1"/>
              <sz val="10"/>
            </rPr>
            <t>Decisions:</t>
          </r>
          <r>
            <rPr>
              <rFont val="Calibri"/>
              <sz val="10"/>
            </rPr>
            <t xml:space="preserve"> Allocates people and sets team priorities
</t>
          </r>
          <r>
            <rPr>
              <rFont val="Calibri"/>
              <b val="1"/>
              <sz val="10"/>
            </rPr>
            <t>Answers for:</t>
          </r>
          <r>
            <rPr>
              <rFont val="Calibri"/>
              <sz val="10"/>
            </rPr>
            <t xml:space="preserve"> One team or a client portfolio
</t>
          </r>
          <r>
            <rPr>
              <rFont val="Calibri"/>
              <b val="1"/>
              <sz val="10"/>
            </rPr>
            <t>Leadership:</t>
          </r>
          <r>
            <rPr>
              <rFont val="Calibri"/>
              <sz val="10"/>
            </rPr>
            <t xml:space="preserve"> IC: guides others in the domain · People: manages a team of 6+</t>
          </r>
        </is>
      </c>
      <c r="P29" s="12" t="inlineStr">
        <is>
          <t>6–9 yrs
Graduate or postgraduate; professional qualification preferred</t>
        </is>
      </c>
      <c r="Q29" s="12" t="inlineStr">
        <is>
          <t>Core 3 · Future-ready 3 · Functional 4 · Leadership 3
★ Product, Platform &amp; Domain Knowledge · Business Analysis &amp; Requirements Engineering</t>
        </is>
      </c>
      <c r="R29" s="12" t="inlineStr">
        <is>
          <t>Choose and organise product outcomes. Includes: Discovery, prioritisation, roadmap decisions and product operations. Excludes: Project schedule ownership alone; user research as a standalone discipline.</t>
        </is>
      </c>
      <c r="S29" s="12" t="inlineStr">
        <is>
          <r>
            <rPr>
              <rFont val="Calibri"/>
              <b val="1"/>
              <sz val="10"/>
            </rPr>
            <t>Comparable stage:</t>
          </r>
          <r>
            <rPr>
              <rFont val="Calibri"/>
              <sz val="10"/>
            </rPr>
            <t xml:space="preserve"> LD12-1 · Group Product Manager
Own staffing decisions, performance support, service quality and delegated team resources
</t>
          </r>
          <r>
            <rPr>
              <rFont val="Calibri"/>
              <b val="1"/>
              <sz val="10"/>
            </rPr>
            <t>Ready when:</t>
          </r>
          <r>
            <rPr>
              <rFont val="Calibri"/>
              <sz val="10"/>
            </rPr>
            <t xml:space="preserve"> Do not manufacture three reporting layers. Choose roles the organisation needs. A specialist may remain on an equally valued expert path.</t>
          </r>
        </is>
      </c>
      <c r="T29" s="12" t="inlineStr">
        <is>
          <t>Radford / Mercer P4 / M3 · SFIA 4–5
IRIS Vs Competitor Benchmark — SaaS product ladder: Senior PM</t>
        </is>
      </c>
      <c r="U29" s="12" t="inlineStr">
        <is>
          <t>B3 · Lead Specialist</t>
        </is>
      </c>
      <c r="V29" s="12" t="inlineStr">
        <is>
          <t>Framework + role-holders' themes · 3+ answered</t>
        </is>
      </c>
    </row>
    <row r="30" ht="119" customHeight="1">
      <c r="A30" s="86" t="inlineStr">
        <is>
          <t>RC-129</t>
        </is>
      </c>
      <c r="B30" s="12" t="inlineStr">
        <is>
          <t>Product Management</t>
        </is>
      </c>
      <c r="C30" s="12" t="inlineStr">
        <is>
          <t>Product Operations &amp; Research</t>
        </is>
      </c>
      <c r="D30" s="16" t="inlineStr">
        <is>
          <t>A1</t>
        </is>
      </c>
      <c r="E30" s="17" t="inlineStr">
        <is>
          <t>Intern / Trainee</t>
        </is>
      </c>
      <c r="F30" s="12" t="inlineStr">
        <is>
          <t>IC</t>
        </is>
      </c>
      <c r="G30" s="12" t="inlineStr">
        <is>
          <t>Intern – Product Operations &amp; Research</t>
        </is>
      </c>
      <c r="H30" s="12" t="inlineStr">
        <is>
          <t>Riyanka Dey</t>
        </is>
      </c>
      <c r="I30" s="12" t="inlineStr">
        <is>
          <t>Technology</t>
        </is>
      </c>
      <c r="J30" s="12" t="inlineStr">
        <is>
          <t>Coordinates product activities and produces market / competitor research. At A1: learning the role; all work reviewed.</t>
        </is>
      </c>
      <c r="K30" s="12" t="inlineStr">
        <is>
          <t>Coordinates product activities and produces market / competitor research; Learning; follows worked examples; Learning tasks</t>
        </is>
      </c>
      <c r="L30" s="12" t="inlineStr">
        <is>
          <t>Needs approval / close guidance</t>
        </is>
      </c>
      <c r="M30" s="12" t="inlineStr">
        <is>
          <t>—</t>
        </is>
      </c>
      <c r="N30" s="12" t="inlineStr">
        <is>
          <t>—</t>
        </is>
      </c>
      <c r="O30" s="12" t="inlineStr">
        <is>
          <r>
            <rPr>
              <rFont val="Calibri"/>
              <b val="1"/>
              <sz val="10"/>
            </rPr>
            <t>Owns:</t>
          </r>
          <r>
            <rPr>
              <rFont val="Calibri"/>
              <sz val="10"/>
            </rPr>
            <t xml:space="preserve"> Learning the role; all work reviewed
</t>
          </r>
          <r>
            <rPr>
              <rFont val="Calibri"/>
              <b val="1"/>
              <sz val="10"/>
            </rPr>
            <t>Complexity:</t>
          </r>
          <r>
            <rPr>
              <rFont val="Calibri"/>
              <sz val="10"/>
            </rPr>
            <t xml:space="preserve"> Learning; follows worked examples
</t>
          </r>
          <r>
            <rPr>
              <rFont val="Calibri"/>
              <b val="1"/>
              <sz val="10"/>
            </rPr>
            <t>Decisions:</t>
          </r>
          <r>
            <rPr>
              <rFont val="Calibri"/>
              <sz val="10"/>
            </rPr>
            <t xml:space="preserve"> Needs approval / close guidance
</t>
          </r>
          <r>
            <rPr>
              <rFont val="Calibri"/>
              <b val="1"/>
              <sz val="10"/>
            </rPr>
            <t>Answers for:</t>
          </r>
          <r>
            <rPr>
              <rFont val="Calibri"/>
              <sz val="10"/>
            </rPr>
            <t xml:space="preserve"> Learning tasks
</t>
          </r>
          <r>
            <rPr>
              <rFont val="Calibri"/>
              <b val="1"/>
              <sz val="10"/>
            </rPr>
            <t>Leadership:</t>
          </r>
          <r>
            <rPr>
              <rFont val="Calibri"/>
              <sz val="10"/>
            </rPr>
            <t xml:space="preserve"> Not scored in Band A</t>
          </r>
        </is>
      </c>
      <c r="P30" s="12" t="inlineStr">
        <is>
          <t>0 yrs · fresher / intern
Pursuing or completed graduation / diploma</t>
        </is>
      </c>
      <c r="Q30" s="12" t="inlineStr">
        <is>
          <t>Core 1 · Future-ready 1 · Functional 1 · Leadership —
★ Product, Platform &amp; Domain Knowledge · Business Analysis &amp; Requirements Engineering</t>
        </is>
      </c>
      <c r="R30" s="12" t="inlineStr">
        <is>
          <t>Choose and organise product outcomes. Includes: Discovery, prioritisation, roadmap decisions and product operations. Excludes: Project schedule ownership alone; user research as a standalone discipline.</t>
        </is>
      </c>
      <c r="S30" s="12" t="inlineStr">
        <is>
          <r>
            <rPr>
              <rFont val="Calibri"/>
              <b val="1"/>
              <sz val="10"/>
            </rPr>
            <t>Comparable stage:</t>
          </r>
          <r>
            <rPr>
              <rFont val="Calibri"/>
              <sz val="10"/>
            </rPr>
            <t xml:space="preserve"> PRO02-0 · Product Operations Intern
</t>
          </r>
          <r>
            <rPr>
              <rFont val="Calibri"/>
              <b val="1"/>
              <sz val="10"/>
            </rPr>
            <t>Assist with a supervised work sample:</t>
          </r>
          <r>
            <rPr>
              <rFont val="Calibri"/>
              <sz val="10"/>
            </rPr>
            <t xml:space="preserve"> maintain feedback, planning and product decision records.
</t>
          </r>
          <r>
            <rPr>
              <rFont val="Calibri"/>
              <b val="1"/>
              <sz val="10"/>
            </rPr>
            <t>Ready when:</t>
          </r>
          <r>
            <rPr>
              <rFont val="Calibri"/>
              <sz val="10"/>
            </rPr>
            <t xml:space="preserve"> Reviewed learning assignment; no independent material sign-off.
</t>
          </r>
          <r>
            <rPr>
              <rFont val="Calibri"/>
              <b val="1"/>
              <sz val="10"/>
            </rPr>
            <t>Work sample:</t>
          </r>
          <r>
            <rPr>
              <rFont val="Calibri"/>
              <sz val="10"/>
            </rPr>
            <t xml:space="preserve"> A repeatable product-decision process with reliable evidence and clear decision ownership</t>
          </r>
        </is>
      </c>
      <c r="T30" s="12" t="inlineStr">
        <is>
          <t>Radford / Mercer Entry / P1 · intern · SFIA 1 Follow
—</t>
        </is>
      </c>
      <c r="U30" s="12" t="inlineStr">
        <is>
          <t>A2 · Associate</t>
        </is>
      </c>
      <c r="V30" s="12" t="inlineStr">
        <is>
          <t>Framework only · fewer than 3 answered</t>
        </is>
      </c>
    </row>
    <row r="31">
      <c r="A31" s="85" t="inlineStr">
        <is>
          <t>Quality Assurance</t>
        </is>
      </c>
    </row>
    <row r="32" ht="106" customHeight="1">
      <c r="A32" s="86" t="inlineStr">
        <is>
          <t>RC-141</t>
        </is>
      </c>
      <c r="B32" s="12" t="inlineStr">
        <is>
          <t>Quality Assurance</t>
        </is>
      </c>
      <c r="C32" s="12" t="inlineStr">
        <is>
          <t>Functional &amp; Domain Testing</t>
        </is>
      </c>
      <c r="D32" s="16" t="inlineStr">
        <is>
          <t>A3</t>
        </is>
      </c>
      <c r="E32" s="17" t="inlineStr">
        <is>
          <t>Senior Associate</t>
        </is>
      </c>
      <c r="F32" s="12" t="inlineStr">
        <is>
          <t>IC</t>
        </is>
      </c>
      <c r="G32" s="12" t="inlineStr">
        <is>
          <t>Senior QA Engineer · QA Specialist</t>
        </is>
      </c>
      <c r="H32" s="12" t="inlineStr">
        <is>
          <t>Supriya Patil</t>
        </is>
      </c>
      <c r="I32" s="12" t="inlineStr">
        <is>
          <t>Quality Assurance</t>
        </is>
      </c>
      <c r="J32" s="12" t="inlineStr">
        <is>
          <r>
            <rPr>
              <rFont val="Calibri"/>
              <sz val="10"/>
            </rPr>
            <t xml:space="preserve">Designs and executes functional, regression and domain/AI-feature test cases; logs defects; supports sign-off. At A3: varied work; reviews juniors; go-to for a process.
</t>
          </r>
          <r>
            <rPr>
              <rFont val="Calibri"/>
              <b val="1"/>
              <sz val="10"/>
            </rPr>
            <t>Common themes in role-holders' answers:</t>
          </r>
          <r>
            <rPr>
              <rFont val="Calibri"/>
              <sz val="10"/>
            </rPr>
            <t xml:space="preserve"> software · product · user · quality · works · requirements</t>
          </r>
        </is>
      </c>
      <c r="K32" s="12" t="inlineStr">
        <is>
          <r>
            <rPr>
              <rFont val="Calibri"/>
              <sz val="10"/>
            </rPr>
            <t xml:space="preserve">Designs and executes functional, regression and domain/AI-feature test cases; logs defects; supports sign-off; Varied and non-standard work; handles exceptions; A module / process, or work with client or regulatory consequences
</t>
          </r>
          <r>
            <rPr>
              <rFont val="Calibri"/>
              <b val="1"/>
              <sz val="10"/>
            </rPr>
            <t>Common themes in role-holders' answers:</t>
          </r>
          <r>
            <rPr>
              <rFont val="Calibri"/>
              <sz val="10"/>
            </rPr>
            <t xml:space="preserve"> test · regression · defect · case · reporting · execution</t>
          </r>
        </is>
      </c>
      <c r="L32" s="12" t="inlineStr">
        <is>
          <r>
            <rPr>
              <rFont val="Calibri"/>
              <sz val="10"/>
            </rPr>
            <t xml:space="preserve">Technical / QC / client calls on own work
</t>
          </r>
          <r>
            <rPr>
              <rFont val="Calibri"/>
              <b val="1"/>
              <sz val="10"/>
            </rPr>
            <t>Common themes in role-holders' answers:</t>
          </r>
          <r>
            <rPr>
              <rFont val="Calibri"/>
              <sz val="10"/>
            </rPr>
            <t xml:space="preserve"> testing · prioritize · scenarios · independently · cases · routine</t>
          </r>
        </is>
      </c>
      <c r="M32" s="12" t="inlineStr">
        <is>
          <r>
            <rPr>
              <rFont val="Calibri"/>
              <b val="1"/>
              <sz val="10"/>
            </rPr>
            <t>Common themes in manager-set KRAs:</t>
          </r>
          <r>
            <rPr>
              <rFont val="Calibri"/>
              <sz val="10"/>
            </rPr>
            <t xml:space="preserve"> project · qa · quality · production · knowledge · test</t>
          </r>
        </is>
      </c>
      <c r="N32" s="12" t="inlineStr">
        <is>
          <r>
            <rPr>
              <rFont val="Calibri"/>
              <b val="1"/>
              <sz val="10"/>
            </rPr>
            <t>Skills:</t>
          </r>
          <r>
            <rPr>
              <rFont val="Calibri"/>
              <sz val="10"/>
            </rPr>
            <t xml:space="preserve"> Software testing · regression testing · Test case design · Manual Testing · Execution · Test case execution
</t>
          </r>
          <r>
            <rPr>
              <rFont val="Calibri"/>
              <b val="1"/>
              <sz val="10"/>
            </rPr>
            <t>Tools:</t>
          </r>
          <r>
            <rPr>
              <rFont val="Calibri"/>
              <sz val="10"/>
            </rPr>
            <t xml:space="preserve"> Quickscrum · Mail access · Test management tool · Bug tracking tool · POSTMAN</t>
          </r>
        </is>
      </c>
      <c r="O32" s="12" t="inlineStr">
        <is>
          <r>
            <rPr>
              <rFont val="Calibri"/>
              <b val="1"/>
              <sz val="10"/>
            </rPr>
            <t>Owns:</t>
          </r>
          <r>
            <rPr>
              <rFont val="Calibri"/>
              <sz val="10"/>
            </rPr>
            <t xml:space="preserve"> Varied work; reviews juniors; go-to for a process
</t>
          </r>
          <r>
            <rPr>
              <rFont val="Calibri"/>
              <b val="1"/>
              <sz val="10"/>
            </rPr>
            <t>Complexity:</t>
          </r>
          <r>
            <rPr>
              <rFont val="Calibri"/>
              <sz val="10"/>
            </rPr>
            <t xml:space="preserve"> Varied and non-standard work; handles exceptions
</t>
          </r>
          <r>
            <rPr>
              <rFont val="Calibri"/>
              <b val="1"/>
              <sz val="10"/>
            </rPr>
            <t>Decisions:</t>
          </r>
          <r>
            <rPr>
              <rFont val="Calibri"/>
              <sz val="10"/>
            </rPr>
            <t xml:space="preserve"> Technical / QC / client calls on own work
</t>
          </r>
          <r>
            <rPr>
              <rFont val="Calibri"/>
              <b val="1"/>
              <sz val="10"/>
            </rPr>
            <t>Answers for:</t>
          </r>
          <r>
            <rPr>
              <rFont val="Calibri"/>
              <sz val="10"/>
            </rPr>
            <t xml:space="preserve"> A module / process, or work with client or regulatory consequences
</t>
          </r>
          <r>
            <rPr>
              <rFont val="Calibri"/>
              <b val="1"/>
              <sz val="10"/>
            </rPr>
            <t>Leadership:</t>
          </r>
          <r>
            <rPr>
              <rFont val="Calibri"/>
              <sz val="10"/>
            </rPr>
            <t xml:space="preserve"> Not scored in Band A</t>
          </r>
        </is>
      </c>
      <c r="P32" s="12" t="inlineStr">
        <is>
          <t>2–4 yrs
Graduate; relevant certification preferred</t>
        </is>
      </c>
      <c r="Q32" s="12" t="inlineStr">
        <is>
          <t>Core 2 · Future-ready 2 · Functional 3 · Leadership —
★ Test Automation &amp; QA Engineering · Product, Platform &amp; Domain Knowledge</t>
        </is>
      </c>
      <c r="R32" s="12" t="inlineStr">
        <is>
          <t>Provide systematic product-quality assurance. Includes: Test design, automation, risk-based coverage and quality architecture. Excludes: Data-production checking where the primary output is data.</t>
        </is>
      </c>
      <c r="S32" s="12" t="inlineStr">
        <is>
          <r>
            <rPr>
              <rFont val="Calibri"/>
              <b val="1"/>
              <sz val="10"/>
            </rPr>
            <t>Comparable stage:</t>
          </r>
          <r>
            <rPr>
              <rFont val="Calibri"/>
              <sz val="10"/>
            </rPr>
            <t xml:space="preserve"> QA01-2 · Test Engineer
Design tests from requirements and report reproducible defects.
</t>
          </r>
          <r>
            <rPr>
              <rFont val="Calibri"/>
              <b val="1"/>
              <sz val="10"/>
            </rPr>
            <t>Ready when:</t>
          </r>
          <r>
            <rPr>
              <rFont val="Calibri"/>
              <sz val="10"/>
            </rPr>
            <t xml:space="preserve"> Demonstrate routine delivery plus judgement in bounded exceptions.
</t>
          </r>
          <r>
            <rPr>
              <rFont val="Calibri"/>
              <b val="1"/>
              <sz val="10"/>
            </rPr>
            <t>Work sample:</t>
          </r>
          <r>
            <rPr>
              <rFont val="Calibri"/>
              <sz val="10"/>
            </rPr>
            <t xml:space="preserve"> A risk-based test plan with traceability, reproducible defects and release recommendation</t>
          </r>
        </is>
      </c>
      <c r="T32" s="12" t="inlineStr">
        <is>
          <r>
            <rPr>
              <rFont val="Calibri"/>
              <sz val="10"/>
            </rPr>
            <t xml:space="preserve">Radford / Mercer P2 · SFIA 3 Apply
</t>
          </r>
          <r>
            <rPr>
              <rFont val="Calibri"/>
              <b val="1"/>
              <sz val="10"/>
            </rPr>
            <t>Workiva:</t>
          </r>
          <r>
            <rPr>
              <rFont val="Calibri"/>
              <sz val="10"/>
            </rPr>
            <t xml:space="preserve"> SE · Broadridge India: SE · Nasdaq / AxiomSL: SE · IRIS Vs Market Benchmark — ISTQB certification pathway: Foundation</t>
          </r>
        </is>
      </c>
      <c r="U32" s="12" t="inlineStr">
        <is>
          <t>B1 · Specialist</t>
        </is>
      </c>
      <c r="V32" s="12" t="inlineStr">
        <is>
          <t>Framework + role-holders' themes · 3+ answered</t>
        </is>
      </c>
    </row>
    <row r="33" ht="106" customHeight="1">
      <c r="A33" s="86" t="inlineStr">
        <is>
          <t>RC-146</t>
        </is>
      </c>
      <c r="B33" s="12" t="inlineStr">
        <is>
          <t>Quality Assurance</t>
        </is>
      </c>
      <c r="C33" s="12" t="inlineStr">
        <is>
          <t>Test Automation</t>
        </is>
      </c>
      <c r="D33" s="16" t="inlineStr">
        <is>
          <t>A3</t>
        </is>
      </c>
      <c r="E33" s="17" t="inlineStr">
        <is>
          <t>Senior Associate</t>
        </is>
      </c>
      <c r="F33" s="12" t="inlineStr">
        <is>
          <t>IC</t>
        </is>
      </c>
      <c r="G33" s="12" t="inlineStr">
        <is>
          <t>Senior QA Automation Engineer</t>
        </is>
      </c>
      <c r="H33" s="12" t="inlineStr">
        <is>
          <t>Smita Londhe</t>
        </is>
      </c>
      <c r="I33" s="12" t="inlineStr">
        <is>
          <t>Quality Assurance</t>
        </is>
      </c>
      <c r="J33" s="12" t="inlineStr">
        <is>
          <r>
            <rPr>
              <rFont val="Calibri"/>
              <sz val="10"/>
            </rPr>
            <t xml:space="preserve">Builds and runs automated UI/API test suites integrated with CI. At A3: varied work; reviews juniors; go-to for a process.
</t>
          </r>
          <r>
            <rPr>
              <rFont val="Calibri"/>
              <b val="1"/>
              <sz val="10"/>
            </rPr>
            <t>Common themes in role-holders' answers:</t>
          </r>
          <r>
            <rPr>
              <rFont val="Calibri"/>
              <sz val="10"/>
            </rPr>
            <t xml:space="preserve"> early · product · quality · automation · tests · testing</t>
          </r>
        </is>
      </c>
      <c r="K33" s="12" t="inlineStr">
        <is>
          <r>
            <rPr>
              <rFont val="Calibri"/>
              <sz val="10"/>
            </rPr>
            <t xml:space="preserve">Builds and runs automated UI/API test suites integrated with CI; Varied and non-standard work; handles exceptions; A module / process, or work with client or regulatory consequences
</t>
          </r>
          <r>
            <rPr>
              <rFont val="Calibri"/>
              <b val="1"/>
              <sz val="10"/>
            </rPr>
            <t>Common themes in role-holders' answers:</t>
          </r>
          <r>
            <rPr>
              <rFont val="Calibri"/>
              <sz val="10"/>
            </rPr>
            <t xml:space="preserve"> testing · scripts · defects · testcase · automation · report</t>
          </r>
        </is>
      </c>
      <c r="L33" s="12" t="inlineStr">
        <is>
          <r>
            <rPr>
              <rFont val="Calibri"/>
              <sz val="10"/>
            </rPr>
            <t xml:space="preserve">Technical / QC / client calls on own work
</t>
          </r>
          <r>
            <rPr>
              <rFont val="Calibri"/>
              <b val="1"/>
              <sz val="10"/>
            </rPr>
            <t>Common themes in role-holders' answers:</t>
          </r>
          <r>
            <rPr>
              <rFont val="Calibri"/>
              <sz val="10"/>
            </rPr>
            <t xml:space="preserve"> testing</t>
          </r>
        </is>
      </c>
      <c r="M33" s="12" t="inlineStr">
        <is>
          <r>
            <rPr>
              <rFont val="Calibri"/>
              <b val="1"/>
              <sz val="10"/>
            </rPr>
            <t>Common themes in manager-set KRAs:</t>
          </r>
          <r>
            <rPr>
              <rFont val="Calibri"/>
              <sz val="10"/>
            </rPr>
            <t xml:space="preserve"> test coverage · business · automation · knowledge · activities · comprehensive</t>
          </r>
        </is>
      </c>
      <c r="N33" s="12" t="inlineStr">
        <is>
          <r>
            <rPr>
              <rFont val="Calibri"/>
              <b val="1"/>
              <sz val="10"/>
            </rPr>
            <t>Skills:</t>
          </r>
          <r>
            <rPr>
              <rFont val="Calibri"/>
              <sz val="10"/>
            </rPr>
            <t xml:space="preserve"> Software Testing · Manual testing · Playwright
</t>
          </r>
          <r>
            <rPr>
              <rFont val="Calibri"/>
              <b val="1"/>
              <sz val="10"/>
            </rPr>
            <t>Tools:</t>
          </r>
          <r>
            <rPr>
              <rFont val="Calibri"/>
              <sz val="10"/>
            </rPr>
            <t xml:space="preserve"> Postman</t>
          </r>
        </is>
      </c>
      <c r="O33" s="12" t="inlineStr">
        <is>
          <r>
            <rPr>
              <rFont val="Calibri"/>
              <b val="1"/>
              <sz val="10"/>
            </rPr>
            <t>Owns:</t>
          </r>
          <r>
            <rPr>
              <rFont val="Calibri"/>
              <sz val="10"/>
            </rPr>
            <t xml:space="preserve"> Varied work; reviews juniors; go-to for a process
</t>
          </r>
          <r>
            <rPr>
              <rFont val="Calibri"/>
              <b val="1"/>
              <sz val="10"/>
            </rPr>
            <t>Complexity:</t>
          </r>
          <r>
            <rPr>
              <rFont val="Calibri"/>
              <sz val="10"/>
            </rPr>
            <t xml:space="preserve"> Varied and non-standard work; handles exceptions
</t>
          </r>
          <r>
            <rPr>
              <rFont val="Calibri"/>
              <b val="1"/>
              <sz val="10"/>
            </rPr>
            <t>Decisions:</t>
          </r>
          <r>
            <rPr>
              <rFont val="Calibri"/>
              <sz val="10"/>
            </rPr>
            <t xml:space="preserve"> Technical / QC / client calls on own work
</t>
          </r>
          <r>
            <rPr>
              <rFont val="Calibri"/>
              <b val="1"/>
              <sz val="10"/>
            </rPr>
            <t>Answers for:</t>
          </r>
          <r>
            <rPr>
              <rFont val="Calibri"/>
              <sz val="10"/>
            </rPr>
            <t xml:space="preserve"> A module / process, or work with client or regulatory consequences
</t>
          </r>
          <r>
            <rPr>
              <rFont val="Calibri"/>
              <b val="1"/>
              <sz val="10"/>
            </rPr>
            <t>Leadership:</t>
          </r>
          <r>
            <rPr>
              <rFont val="Calibri"/>
              <sz val="10"/>
            </rPr>
            <t xml:space="preserve"> Not scored in Band A</t>
          </r>
        </is>
      </c>
      <c r="P33" s="12" t="inlineStr">
        <is>
          <t>2–4 yrs
Graduate; relevant certification preferred</t>
        </is>
      </c>
      <c r="Q33" s="12" t="inlineStr">
        <is>
          <t>Core 2 · Future-ready 2 · Functional 3 · Leadership —
★ Test Automation &amp; QA Engineering · Product, Platform &amp; Domain Knowledge</t>
        </is>
      </c>
      <c r="R33" s="12" t="inlineStr">
        <is>
          <t>Provide systematic product-quality assurance. Includes: Test design, automation, risk-based coverage and quality architecture. Excludes: Data-production checking where the primary output is data.</t>
        </is>
      </c>
      <c r="S33" s="12" t="inlineStr">
        <is>
          <r>
            <rPr>
              <rFont val="Calibri"/>
              <b val="1"/>
              <sz val="10"/>
            </rPr>
            <t>Comparable stage:</t>
          </r>
          <r>
            <rPr>
              <rFont val="Calibri"/>
              <sz val="10"/>
            </rPr>
            <t xml:space="preserve"> QA02-2 · Test Automation Engineer / SDET
Build reliable automated tests with useful failure signals.
</t>
          </r>
          <r>
            <rPr>
              <rFont val="Calibri"/>
              <b val="1"/>
              <sz val="10"/>
            </rPr>
            <t>Ready when:</t>
          </r>
          <r>
            <rPr>
              <rFont val="Calibri"/>
              <sz val="10"/>
            </rPr>
            <t xml:space="preserve"> Demonstrate routine delivery plus judgement in bounded exceptions.
</t>
          </r>
          <r>
            <rPr>
              <rFont val="Calibri"/>
              <b val="1"/>
              <sz val="10"/>
            </rPr>
            <t>Work sample:</t>
          </r>
          <r>
            <rPr>
              <rFont val="Calibri"/>
              <sz val="10"/>
            </rPr>
            <t xml:space="preserve"> A maintained automation suite with reliable signals and reduced regression effort</t>
          </r>
        </is>
      </c>
      <c r="T33" s="12" t="inlineStr">
        <is>
          <r>
            <rPr>
              <rFont val="Calibri"/>
              <sz val="10"/>
            </rPr>
            <t xml:space="preserve">Radford / Mercer P2 · SFIA 3 Apply
</t>
          </r>
          <r>
            <rPr>
              <rFont val="Calibri"/>
              <b val="1"/>
              <sz val="10"/>
            </rPr>
            <t>Workiva:</t>
          </r>
          <r>
            <rPr>
              <rFont val="Calibri"/>
              <sz val="10"/>
            </rPr>
            <t xml:space="preserve"> SE · Broadridge India: SE · Nasdaq / AxiomSL: SE · IRIS Vs Market Benchmark — ISTQB certification pathway: Foundation</t>
          </r>
        </is>
      </c>
      <c r="U33" s="12" t="inlineStr">
        <is>
          <t>B1 · Specialist</t>
        </is>
      </c>
      <c r="V33" s="12" t="inlineStr">
        <is>
          <t>Framework + role-holders' themes · 3+ answered</t>
        </is>
      </c>
    </row>
    <row r="34">
      <c r="A34" s="85" t="inlineStr">
        <is>
          <t>Sales &amp; Business Development</t>
        </is>
      </c>
    </row>
    <row r="35" ht="106" customHeight="1">
      <c r="A35" s="86" t="inlineStr">
        <is>
          <t>RC-155</t>
        </is>
      </c>
      <c r="B35" s="12" t="inlineStr">
        <is>
          <t>Sales &amp; Business Development</t>
        </is>
      </c>
      <c r="C35" s="12" t="inlineStr">
        <is>
          <t>Field Outreach &amp; Programme Sales</t>
        </is>
      </c>
      <c r="D35" s="16" t="inlineStr">
        <is>
          <t>A2</t>
        </is>
      </c>
      <c r="E35" s="17" t="inlineStr">
        <is>
          <t>Associate</t>
        </is>
      </c>
      <c r="F35" s="12" t="inlineStr">
        <is>
          <t>IC</t>
        </is>
      </c>
      <c r="G35" s="12" t="inlineStr">
        <is>
          <t>Program Executive</t>
        </is>
      </c>
      <c r="H35" s="12" t="inlineStr">
        <is>
          <t>Jothi Pillai, Vaibhav Dukare</t>
        </is>
      </c>
      <c r="I35" s="12" t="inlineStr">
        <is>
          <t>Datatech - Outreach</t>
        </is>
      </c>
      <c r="J35" s="12" t="inlineStr">
        <is>
          <r>
            <rPr>
              <rFont val="Calibri"/>
              <sz val="10"/>
            </rPr>
            <t xml:space="preserve">Onboards MSMEs and partners in the field; generates programme leads and engagement. At A2: standard work delivered independently.
</t>
          </r>
          <r>
            <rPr>
              <rFont val="Calibri"/>
              <b val="1"/>
              <sz val="10"/>
            </rPr>
            <t>Common themes in sub-family holders, all levels' answers:</t>
          </r>
          <r>
            <rPr>
              <rFont val="Calibri"/>
              <sz val="10"/>
            </rPr>
            <t xml:space="preserve"> msme · business · relationships · building · partners · services</t>
          </r>
        </is>
      </c>
      <c r="K35" s="12" t="inlineStr">
        <is>
          <r>
            <rPr>
              <rFont val="Calibri"/>
              <sz val="10"/>
            </rPr>
            <t xml:space="preserve">Onboards MSMEs and partners in the field; generates programme leads and engagement; Standard work of the discipline; Own deliverables · accuracy, TAT
</t>
          </r>
          <r>
            <rPr>
              <rFont val="Calibri"/>
              <b val="1"/>
              <sz val="10"/>
            </rPr>
            <t>Common themes in sub-family holders, all levels' answers:</t>
          </r>
          <r>
            <rPr>
              <rFont val="Calibri"/>
              <sz val="10"/>
            </rPr>
            <t xml:space="preserve"> business · loan · management · development · relationship · lead</t>
          </r>
        </is>
      </c>
      <c r="L35" s="12" t="inlineStr">
        <is>
          <r>
            <rPr>
              <rFont val="Calibri"/>
              <sz val="10"/>
            </rPr>
            <t xml:space="preserve">Chooses own approach within standards
</t>
          </r>
          <r>
            <rPr>
              <rFont val="Calibri"/>
              <b val="1"/>
              <sz val="10"/>
            </rPr>
            <t>Common themes in sub-family holders, all levels' answers:</t>
          </r>
          <r>
            <rPr>
              <rFont val="Calibri"/>
              <sz val="10"/>
            </rPr>
            <t xml:space="preserve"> leads · identify · business · potential · follow · sales</t>
          </r>
        </is>
      </c>
      <c r="M35" s="12" t="inlineStr">
        <is>
          <r>
            <rPr>
              <rFont val="Calibri"/>
              <b val="1"/>
              <sz val="10"/>
            </rPr>
            <t>Common themes in manager-set KRAs:</t>
          </r>
          <r>
            <rPr>
              <rFont val="Calibri"/>
              <sz val="10"/>
            </rPr>
            <t xml:space="preserve"> ramping quarter · weightage bhr · applications achieve · sales · sell · ratio ramping</t>
          </r>
        </is>
      </c>
      <c r="N35" s="12" t="inlineStr">
        <is>
          <r>
            <rPr>
              <rFont val="Calibri"/>
              <b val="1"/>
              <sz val="10"/>
            </rPr>
            <t>Skills:</t>
          </r>
          <r>
            <rPr>
              <rFont val="Calibri"/>
              <sz val="10"/>
            </rPr>
            <t xml:space="preserve"> Sales · Business development
</t>
          </r>
          <r>
            <rPr>
              <rFont val="Calibri"/>
              <b val="1"/>
              <sz val="10"/>
            </rPr>
            <t>Tools:</t>
          </r>
          <r>
            <rPr>
              <rFont val="Calibri"/>
              <sz val="10"/>
            </rPr>
            <t xml:space="preserve"> CRM · WhatsApp · email</t>
          </r>
        </is>
      </c>
      <c r="O35" s="12" t="inlineStr">
        <is>
          <r>
            <rPr>
              <rFont val="Calibri"/>
              <b val="1"/>
              <sz val="10"/>
            </rPr>
            <t>Owns:</t>
          </r>
          <r>
            <rPr>
              <rFont val="Calibri"/>
              <sz val="10"/>
            </rPr>
            <t xml:space="preserve"> Standard work delivered independently
</t>
          </r>
          <r>
            <rPr>
              <rFont val="Calibri"/>
              <b val="1"/>
              <sz val="10"/>
            </rPr>
            <t>Complexity:</t>
          </r>
          <r>
            <rPr>
              <rFont val="Calibri"/>
              <sz val="10"/>
            </rPr>
            <t xml:space="preserve"> Standard work of the discipline
</t>
          </r>
          <r>
            <rPr>
              <rFont val="Calibri"/>
              <b val="1"/>
              <sz val="10"/>
            </rPr>
            <t>Decisions:</t>
          </r>
          <r>
            <rPr>
              <rFont val="Calibri"/>
              <sz val="10"/>
            </rPr>
            <t xml:space="preserve"> Chooses own approach within standards
</t>
          </r>
          <r>
            <rPr>
              <rFont val="Calibri"/>
              <b val="1"/>
              <sz val="10"/>
            </rPr>
            <t>Answers for:</t>
          </r>
          <r>
            <rPr>
              <rFont val="Calibri"/>
              <sz val="10"/>
            </rPr>
            <t xml:space="preserve"> Own deliverables · accuracy, TAT
</t>
          </r>
          <r>
            <rPr>
              <rFont val="Calibri"/>
              <b val="1"/>
              <sz val="10"/>
            </rPr>
            <t>Leadership:</t>
          </r>
          <r>
            <rPr>
              <rFont val="Calibri"/>
              <sz val="10"/>
            </rPr>
            <t xml:space="preserve"> Not scored in Band A</t>
          </r>
        </is>
      </c>
      <c r="P35" s="12" t="inlineStr">
        <is>
          <t>0–2 yrs
Graduate · or diploma with experience</t>
        </is>
      </c>
      <c r="Q35" s="12" t="inlineStr">
        <is>
          <t>Core 2 · Future-ready 2 · Functional 2 · Leadership —
★ Sales, Negotiation &amp; Account Growth · Marketing Tech &amp; Digital Marketing</t>
        </is>
      </c>
      <c r="R35" s="12" t="inlineStr">
        <is>
          <t>Create and convert commercial opportunities. Includes: Prospecting, account sales, alliances, presales and sales operations. Excludes: Customer adoption unless sales accountability is primary.</t>
        </is>
      </c>
      <c r="S35" s="12" t="inlineStr">
        <is>
          <r>
            <rPr>
              <rFont val="Calibri"/>
              <b val="1"/>
              <sz val="10"/>
            </rPr>
            <t>Comparable stage:</t>
          </r>
          <r>
            <rPr>
              <rFont val="Calibri"/>
              <sz val="10"/>
            </rPr>
            <t xml:space="preserve"> SAL03-1 · Sales Associate
</t>
          </r>
          <r>
            <rPr>
              <rFont val="Calibri"/>
              <b val="1"/>
              <sz val="10"/>
            </rPr>
            <t>Complete defined parts under review:</t>
          </r>
          <r>
            <rPr>
              <rFont val="Calibri"/>
              <sz val="10"/>
            </rPr>
            <t xml:space="preserve"> own territory visits, needs analysis and contracted sales.
</t>
          </r>
          <r>
            <rPr>
              <rFont val="Calibri"/>
              <b val="1"/>
              <sz val="10"/>
            </rPr>
            <t>Ready when:</t>
          </r>
          <r>
            <rPr>
              <rFont val="Calibri"/>
              <sz val="10"/>
            </rPr>
            <t xml:space="preserve"> Repeatable correct delivery, safe escalation and required entry eligibility.
</t>
          </r>
          <r>
            <rPr>
              <rFont val="Calibri"/>
              <b val="1"/>
              <sz val="10"/>
            </rPr>
            <t>Work sample:</t>
          </r>
          <r>
            <rPr>
              <rFont val="Calibri"/>
              <sz val="10"/>
            </rPr>
            <t xml:space="preserve"> A field programme with consent-aware leads, quality conversions and transparent reporting</t>
          </r>
        </is>
      </c>
      <c r="T35" s="12" t="inlineStr">
        <is>
          <t>Radford / Mercer P1–P2 · SFIA 2 Assist
IRIS Vs Competitor Benchmark — SaaS sales ladder — IC: SDR / BDR</t>
        </is>
      </c>
      <c r="U35" s="12" t="inlineStr">
        <is>
          <t>A3 · Senior Associate</t>
        </is>
      </c>
      <c r="V35" s="12" t="inlineStr">
        <is>
          <t>Framework + sub-family themes · 3+ answered</t>
        </is>
      </c>
    </row>
    <row r="36" ht="119" customHeight="1">
      <c r="A36" s="86" t="inlineStr">
        <is>
          <t>RC-156</t>
        </is>
      </c>
      <c r="B36" s="12" t="inlineStr">
        <is>
          <t>Sales &amp; Business Development</t>
        </is>
      </c>
      <c r="C36" s="12" t="inlineStr">
        <is>
          <t>Field Outreach &amp; Programme Sales</t>
        </is>
      </c>
      <c r="D36" s="16" t="inlineStr">
        <is>
          <t>A3</t>
        </is>
      </c>
      <c r="E36" s="17" t="inlineStr">
        <is>
          <t>Senior Associate</t>
        </is>
      </c>
      <c r="F36" s="12" t="inlineStr">
        <is>
          <t>IC</t>
        </is>
      </c>
      <c r="G36" s="12" t="inlineStr">
        <is>
          <t>Senior Program Executive</t>
        </is>
      </c>
      <c r="H36" s="12" t="inlineStr">
        <is>
          <t>Bharati Durgaprasad Paranjape, Lakshmikantha RN, Nalini Niranjan Damisetti</t>
        </is>
      </c>
      <c r="I36" s="12" t="inlineStr">
        <is>
          <t>Datatech - Outreach</t>
        </is>
      </c>
      <c r="J36" s="12" t="inlineStr">
        <is>
          <r>
            <rPr>
              <rFont val="Calibri"/>
              <sz val="10"/>
            </rPr>
            <t xml:space="preserve">Onboards MSMEs and partners in the field; generates programme leads and engagement. At A3: varied work; reviews juniors; go-to for a process.
</t>
          </r>
          <r>
            <rPr>
              <rFont val="Calibri"/>
              <b val="1"/>
              <sz val="10"/>
            </rPr>
            <t>Common themes in role-holders' answers:</t>
          </r>
          <r>
            <rPr>
              <rFont val="Calibri"/>
              <sz val="10"/>
            </rPr>
            <t xml:space="preserve"> partners · business · services · msme</t>
          </r>
        </is>
      </c>
      <c r="K36" s="12" t="inlineStr">
        <is>
          <t>Onboards MSMEs and partners in the field; generates programme leads and engagement; Varied and non-standard work; handles exceptions; A module / process, or work with client or regulatory consequences</t>
        </is>
      </c>
      <c r="L36" s="12" t="inlineStr">
        <is>
          <r>
            <rPr>
              <rFont val="Calibri"/>
              <sz val="10"/>
            </rPr>
            <t xml:space="preserve">Technical / QC / client calls on own work
</t>
          </r>
          <r>
            <rPr>
              <rFont val="Calibri"/>
              <b val="1"/>
              <sz val="10"/>
            </rPr>
            <t>Common themes in role-holders' answers:</t>
          </r>
          <r>
            <rPr>
              <rFont val="Calibri"/>
              <sz val="10"/>
            </rPr>
            <t xml:space="preserve"> leads</t>
          </r>
        </is>
      </c>
      <c r="M36" s="12" t="inlineStr">
        <is>
          <r>
            <rPr>
              <rFont val="Calibri"/>
              <b val="1"/>
              <sz val="10"/>
            </rPr>
            <t>Common themes in manager-set KRAs:</t>
          </r>
          <r>
            <rPr>
              <rFont val="Calibri"/>
              <sz val="10"/>
            </rPr>
            <t xml:space="preserve"> month quarter · minimum msmes · applications quarter · business · bhr units · onboard minimum</t>
          </r>
        </is>
      </c>
      <c r="N36" s="12" t="inlineStr">
        <is>
          <r>
            <rPr>
              <rFont val="Calibri"/>
              <b val="1"/>
              <sz val="10"/>
            </rPr>
            <t>Skills:</t>
          </r>
          <r>
            <rPr>
              <rFont val="Calibri"/>
              <sz val="10"/>
            </rPr>
            <t xml:space="preserve"> Sales</t>
          </r>
        </is>
      </c>
      <c r="O36" s="12" t="inlineStr">
        <is>
          <r>
            <rPr>
              <rFont val="Calibri"/>
              <b val="1"/>
              <sz val="10"/>
            </rPr>
            <t>Owns:</t>
          </r>
          <r>
            <rPr>
              <rFont val="Calibri"/>
              <sz val="10"/>
            </rPr>
            <t xml:space="preserve"> Varied work; reviews juniors; go-to for a process
</t>
          </r>
          <r>
            <rPr>
              <rFont val="Calibri"/>
              <b val="1"/>
              <sz val="10"/>
            </rPr>
            <t>Complexity:</t>
          </r>
          <r>
            <rPr>
              <rFont val="Calibri"/>
              <sz val="10"/>
            </rPr>
            <t xml:space="preserve"> Varied and non-standard work; handles exceptions
</t>
          </r>
          <r>
            <rPr>
              <rFont val="Calibri"/>
              <b val="1"/>
              <sz val="10"/>
            </rPr>
            <t>Decisions:</t>
          </r>
          <r>
            <rPr>
              <rFont val="Calibri"/>
              <sz val="10"/>
            </rPr>
            <t xml:space="preserve"> Technical / QC / client calls on own work
</t>
          </r>
          <r>
            <rPr>
              <rFont val="Calibri"/>
              <b val="1"/>
              <sz val="10"/>
            </rPr>
            <t>Answers for:</t>
          </r>
          <r>
            <rPr>
              <rFont val="Calibri"/>
              <sz val="10"/>
            </rPr>
            <t xml:space="preserve"> A module / process, or work with client or regulatory consequences
</t>
          </r>
          <r>
            <rPr>
              <rFont val="Calibri"/>
              <b val="1"/>
              <sz val="10"/>
            </rPr>
            <t>Leadership:</t>
          </r>
          <r>
            <rPr>
              <rFont val="Calibri"/>
              <sz val="10"/>
            </rPr>
            <t xml:space="preserve"> Not scored in Band A</t>
          </r>
        </is>
      </c>
      <c r="P36" s="12" t="inlineStr">
        <is>
          <t>2–4 yrs
Graduate; relevant certification preferred</t>
        </is>
      </c>
      <c r="Q36" s="12" t="inlineStr">
        <is>
          <t>Core 2 · Future-ready 2 · Functional 3 · Leadership —
★ Sales, Negotiation &amp; Account Growth · Marketing Tech &amp; Digital Marketing</t>
        </is>
      </c>
      <c r="R36" s="12" t="inlineStr">
        <is>
          <t>Create and convert commercial opportunities. Includes: Prospecting, account sales, alliances, presales and sales operations. Excludes: Customer adoption unless sales accountability is primary.</t>
        </is>
      </c>
      <c r="S36" s="12" t="inlineStr">
        <is>
          <r>
            <rPr>
              <rFont val="Calibri"/>
              <b val="1"/>
              <sz val="10"/>
            </rPr>
            <t>Comparable stage:</t>
          </r>
          <r>
            <rPr>
              <rFont val="Calibri"/>
              <sz val="10"/>
            </rPr>
            <t xml:space="preserve"> SAL03-2 · Field Sales Executive
Own territory visits, needs analysis and contracted sales.
</t>
          </r>
          <r>
            <rPr>
              <rFont val="Calibri"/>
              <b val="1"/>
              <sz val="10"/>
            </rPr>
            <t>Ready when:</t>
          </r>
          <r>
            <rPr>
              <rFont val="Calibri"/>
              <sz val="10"/>
            </rPr>
            <t xml:space="preserve"> Demonstrate routine delivery plus judgement in bounded exceptions.
</t>
          </r>
          <r>
            <rPr>
              <rFont val="Calibri"/>
              <b val="1"/>
              <sz val="10"/>
            </rPr>
            <t>Work sample:</t>
          </r>
          <r>
            <rPr>
              <rFont val="Calibri"/>
              <sz val="10"/>
            </rPr>
            <t xml:space="preserve"> A field programme with consent-aware leads, quality conversions and transparent reporting</t>
          </r>
        </is>
      </c>
      <c r="T36" s="12" t="inlineStr">
        <is>
          <t>Radford / Mercer P2 · SFIA 3 Apply
IRIS Vs Competitor Benchmark — SaaS sales ladder — IC: Senior SDR</t>
        </is>
      </c>
      <c r="U36" s="12" t="inlineStr">
        <is>
          <t>B1 · Specialist</t>
        </is>
      </c>
      <c r="V36" s="12" t="inlineStr">
        <is>
          <t>Framework + role-holders' themes · 3+ answered</t>
        </is>
      </c>
    </row>
    <row r="37" ht="119" customHeight="1">
      <c r="A37" s="86" t="inlineStr">
        <is>
          <t>RC-157</t>
        </is>
      </c>
      <c r="B37" s="12" t="inlineStr">
        <is>
          <t>Sales &amp; Business Development</t>
        </is>
      </c>
      <c r="C37" s="12" t="inlineStr">
        <is>
          <t>Field Outreach &amp; Programme Sales</t>
        </is>
      </c>
      <c r="D37" s="20" t="inlineStr">
        <is>
          <t>B2</t>
        </is>
      </c>
      <c r="E37" s="21" t="inlineStr">
        <is>
          <t>Senior Specialist</t>
        </is>
      </c>
      <c r="F37" s="12" t="inlineStr">
        <is>
          <t>IC</t>
        </is>
      </c>
      <c r="G37" s="12" t="inlineStr">
        <is>
          <t>Senior Program Specialist – POD Lead</t>
        </is>
      </c>
      <c r="H37" s="12" t="inlineStr">
        <is>
          <t>Jeevan Khokale</t>
        </is>
      </c>
      <c r="I37" s="12" t="inlineStr">
        <is>
          <t>Datatech - Outreach</t>
        </is>
      </c>
      <c r="J37" s="12" t="inlineStr">
        <is>
          <r>
            <rPr>
              <rFont val="Calibri"/>
              <sz val="10"/>
            </rPr>
            <t xml:space="preserve">Onboards MSMEs and partners in the field; generates programme leads and engagement. At B2: deep domain expertise, or one team.
</t>
          </r>
          <r>
            <rPr>
              <rFont val="Calibri"/>
              <b val="1"/>
              <sz val="10"/>
            </rPr>
            <t>Common themes in sub-family holders, all levels' answers:</t>
          </r>
          <r>
            <rPr>
              <rFont val="Calibri"/>
              <sz val="10"/>
            </rPr>
            <t xml:space="preserve"> msme · business · relationships · building · partners · services</t>
          </r>
        </is>
      </c>
      <c r="K37" s="12" t="inlineStr">
        <is>
          <r>
            <rPr>
              <rFont val="Calibri"/>
              <sz val="10"/>
            </rPr>
            <t xml:space="preserve">Onboards MSMEs and partners in the field; generates programme leads and engagement; Hardest problems in the domain; One team or a client portfolio
</t>
          </r>
          <r>
            <rPr>
              <rFont val="Calibri"/>
              <b val="1"/>
              <sz val="10"/>
            </rPr>
            <t>Common themes in sub-family holders, all levels' answers:</t>
          </r>
          <r>
            <rPr>
              <rFont val="Calibri"/>
              <sz val="10"/>
            </rPr>
            <t xml:space="preserve"> business · loan · management · development · relationship · lead</t>
          </r>
        </is>
      </c>
      <c r="L37" s="12" t="inlineStr">
        <is>
          <r>
            <rPr>
              <rFont val="Calibri"/>
              <sz val="10"/>
            </rPr>
            <t xml:space="preserve">Allocates people and sets team priorities
</t>
          </r>
          <r>
            <rPr>
              <rFont val="Calibri"/>
              <b val="1"/>
              <sz val="10"/>
            </rPr>
            <t>Common themes in sub-family holders, all levels' answers:</t>
          </r>
          <r>
            <rPr>
              <rFont val="Calibri"/>
              <sz val="10"/>
            </rPr>
            <t xml:space="preserve"> leads · identify · business · potential · follow · sales</t>
          </r>
        </is>
      </c>
      <c r="M37" s="12" t="inlineStr">
        <is>
          <t>—</t>
        </is>
      </c>
      <c r="N37" s="12" t="inlineStr">
        <is>
          <r>
            <rPr>
              <rFont val="Calibri"/>
              <b val="1"/>
              <sz val="10"/>
            </rPr>
            <t>Skills:</t>
          </r>
          <r>
            <rPr>
              <rFont val="Calibri"/>
              <sz val="10"/>
            </rPr>
            <t xml:space="preserve"> Sales · Business development
</t>
          </r>
          <r>
            <rPr>
              <rFont val="Calibri"/>
              <b val="1"/>
              <sz val="10"/>
            </rPr>
            <t>Tools:</t>
          </r>
          <r>
            <rPr>
              <rFont val="Calibri"/>
              <sz val="10"/>
            </rPr>
            <t xml:space="preserve"> CRM · WhatsApp · email</t>
          </r>
        </is>
      </c>
      <c r="O37" s="12" t="inlineStr">
        <is>
          <r>
            <rPr>
              <rFont val="Calibri"/>
              <b val="1"/>
              <sz val="10"/>
            </rPr>
            <t>Owns:</t>
          </r>
          <r>
            <rPr>
              <rFont val="Calibri"/>
              <sz val="10"/>
            </rPr>
            <t xml:space="preserve"> Deep domain expertise, or one team
</t>
          </r>
          <r>
            <rPr>
              <rFont val="Calibri"/>
              <b val="1"/>
              <sz val="10"/>
            </rPr>
            <t>Complexity:</t>
          </r>
          <r>
            <rPr>
              <rFont val="Calibri"/>
              <sz val="10"/>
            </rPr>
            <t xml:space="preserve"> Hardest problems in the domain
</t>
          </r>
          <r>
            <rPr>
              <rFont val="Calibri"/>
              <b val="1"/>
              <sz val="10"/>
            </rPr>
            <t>Decisions:</t>
          </r>
          <r>
            <rPr>
              <rFont val="Calibri"/>
              <sz val="10"/>
            </rPr>
            <t xml:space="preserve"> Allocates people and sets team priorities
</t>
          </r>
          <r>
            <rPr>
              <rFont val="Calibri"/>
              <b val="1"/>
              <sz val="10"/>
            </rPr>
            <t>Answers for:</t>
          </r>
          <r>
            <rPr>
              <rFont val="Calibri"/>
              <sz val="10"/>
            </rPr>
            <t xml:space="preserve"> One team or a client portfolio
</t>
          </r>
          <r>
            <rPr>
              <rFont val="Calibri"/>
              <b val="1"/>
              <sz val="10"/>
            </rPr>
            <t>Leadership:</t>
          </r>
          <r>
            <rPr>
              <rFont val="Calibri"/>
              <sz val="10"/>
            </rPr>
            <t xml:space="preserve"> IC: guides others in the domain · People: manages a team of 6+</t>
          </r>
        </is>
      </c>
      <c r="P37" s="12" t="inlineStr">
        <is>
          <t>6–9 yrs
Graduate or postgraduate; professional qualification preferred</t>
        </is>
      </c>
      <c r="Q37" s="12" t="inlineStr">
        <is>
          <t>Core 3 · Future-ready 3 · Functional 4 · Leadership 2
★ Sales, Negotiation &amp; Account Growth · Marketing Tech &amp; Digital Marketing</t>
        </is>
      </c>
      <c r="R37" s="12" t="inlineStr">
        <is>
          <t>Create and convert commercial opportunities. Includes: Prospecting, account sales, alliances, presales and sales operations. Excludes: Customer adoption unless sales accountability is primary.</t>
        </is>
      </c>
      <c r="S37" s="12" t="inlineStr">
        <is>
          <r>
            <rPr>
              <rFont val="Calibri"/>
              <b val="1"/>
              <sz val="10"/>
            </rPr>
            <t>Comparable stage:</t>
          </r>
          <r>
            <rPr>
              <rFont val="Calibri"/>
              <sz val="10"/>
            </rPr>
            <t xml:space="preserve"> SAL03-3 · Senior Field Sales Executive
Develop major accounts and resolve channel or commercial conflicts.
</t>
          </r>
          <r>
            <rPr>
              <rFont val="Calibri"/>
              <b val="1"/>
              <sz val="10"/>
            </rPr>
            <t>Ready when:</t>
          </r>
          <r>
            <rPr>
              <rFont val="Calibri"/>
              <sz val="10"/>
            </rPr>
            <t xml:space="preserve"> Evidence of complex work, decisions and outcomes beyond routine delivery.
</t>
          </r>
          <r>
            <rPr>
              <rFont val="Calibri"/>
              <b val="1"/>
              <sz val="10"/>
            </rPr>
            <t>Work sample:</t>
          </r>
          <r>
            <rPr>
              <rFont val="Calibri"/>
              <sz val="10"/>
            </rPr>
            <t xml:space="preserve"> A field programme with consent-aware leads, quality conversions and transparent reporting</t>
          </r>
        </is>
      </c>
      <c r="T37" s="12" t="inlineStr">
        <is>
          <t>Radford / Mercer P4 / M3 · SFIA 4–5
IRIS Vs Competitor Benchmark — SaaS sales ladder — IC: Mid-Market AE · IRIS Vs Competitor Benchmark — SaaS sales ladder — management: Sales Manager</t>
        </is>
      </c>
      <c r="U37" s="12" t="inlineStr">
        <is>
          <t>B3 · Lead Specialist</t>
        </is>
      </c>
      <c r="V37" s="12" t="inlineStr">
        <is>
          <t>Framework + sub-family themes · 3+ answered</t>
        </is>
      </c>
    </row>
    <row r="38" ht="93" customHeight="1">
      <c r="A38" s="86" t="inlineStr">
        <is>
          <t>RC-158</t>
        </is>
      </c>
      <c r="B38" s="12" t="inlineStr">
        <is>
          <t>Sales &amp; Business Development</t>
        </is>
      </c>
      <c r="C38" s="12" t="inlineStr">
        <is>
          <t>Field Outreach &amp; Programme Sales</t>
        </is>
      </c>
      <c r="D38" s="20" t="inlineStr">
        <is>
          <t>B2</t>
        </is>
      </c>
      <c r="E38" s="21" t="inlineStr">
        <is>
          <t>Manager</t>
        </is>
      </c>
      <c r="F38" s="12" t="inlineStr">
        <is>
          <t>Manager</t>
        </is>
      </c>
      <c r="G38" s="12" t="inlineStr">
        <is>
          <t>Program Manager – Outreach</t>
        </is>
      </c>
      <c r="H38" s="12" t="inlineStr">
        <is>
          <t>Raghin Nair</t>
        </is>
      </c>
      <c r="I38" s="12" t="inlineStr">
        <is>
          <t>Datatech - Outreach</t>
        </is>
      </c>
      <c r="J38" s="12" t="inlineStr">
        <is>
          <r>
            <rPr>
              <rFont val="Calibri"/>
              <sz val="10"/>
            </rPr>
            <t xml:space="preserve">Onboards MSMEs and partners in the field; generates programme leads and engagement. At B2: deep domain expertise, or one team.
</t>
          </r>
          <r>
            <rPr>
              <rFont val="Calibri"/>
              <b val="1"/>
              <sz val="10"/>
            </rPr>
            <t>Common themes in sub-family holders, all levels' answers:</t>
          </r>
          <r>
            <rPr>
              <rFont val="Calibri"/>
              <sz val="10"/>
            </rPr>
            <t xml:space="preserve"> msme · business · relationships · building · partners · services</t>
          </r>
        </is>
      </c>
      <c r="K38" s="12" t="inlineStr">
        <is>
          <r>
            <rPr>
              <rFont val="Calibri"/>
              <sz val="10"/>
            </rPr>
            <t xml:space="preserve">Onboards MSMEs and partners in the field; generates programme leads and engagement; Hardest problems in the domain; One team or a client portfolio
</t>
          </r>
          <r>
            <rPr>
              <rFont val="Calibri"/>
              <b val="1"/>
              <sz val="10"/>
            </rPr>
            <t>Common themes in sub-family holders, all levels' answers:</t>
          </r>
          <r>
            <rPr>
              <rFont val="Calibri"/>
              <sz val="10"/>
            </rPr>
            <t xml:space="preserve"> business · loan · management · development · relationship · lead</t>
          </r>
        </is>
      </c>
      <c r="L38" s="12" t="inlineStr">
        <is>
          <r>
            <rPr>
              <rFont val="Calibri"/>
              <sz val="10"/>
            </rPr>
            <t xml:space="preserve">Allocates people and sets team priorities
</t>
          </r>
          <r>
            <rPr>
              <rFont val="Calibri"/>
              <b val="1"/>
              <sz val="10"/>
            </rPr>
            <t>Common themes in sub-family holders, all levels' answers:</t>
          </r>
          <r>
            <rPr>
              <rFont val="Calibri"/>
              <sz val="10"/>
            </rPr>
            <t xml:space="preserve"> leads · identify · business · potential · follow · sales</t>
          </r>
        </is>
      </c>
      <c r="M38" s="12" t="inlineStr">
        <is>
          <t>—</t>
        </is>
      </c>
      <c r="N38" s="12" t="inlineStr">
        <is>
          <r>
            <rPr>
              <rFont val="Calibri"/>
              <b val="1"/>
              <sz val="10"/>
            </rPr>
            <t>Skills:</t>
          </r>
          <r>
            <rPr>
              <rFont val="Calibri"/>
              <sz val="10"/>
            </rPr>
            <t xml:space="preserve"> Sales · Business development
</t>
          </r>
          <r>
            <rPr>
              <rFont val="Calibri"/>
              <b val="1"/>
              <sz val="10"/>
            </rPr>
            <t>Tools:</t>
          </r>
          <r>
            <rPr>
              <rFont val="Calibri"/>
              <sz val="10"/>
            </rPr>
            <t xml:space="preserve"> CRM · WhatsApp · email</t>
          </r>
        </is>
      </c>
      <c r="O38" s="12" t="inlineStr">
        <is>
          <r>
            <rPr>
              <rFont val="Calibri"/>
              <b val="1"/>
              <sz val="10"/>
            </rPr>
            <t>Owns:</t>
          </r>
          <r>
            <rPr>
              <rFont val="Calibri"/>
              <sz val="10"/>
            </rPr>
            <t xml:space="preserve"> Deep domain expertise, or one team
</t>
          </r>
          <r>
            <rPr>
              <rFont val="Calibri"/>
              <b val="1"/>
              <sz val="10"/>
            </rPr>
            <t>Complexity:</t>
          </r>
          <r>
            <rPr>
              <rFont val="Calibri"/>
              <sz val="10"/>
            </rPr>
            <t xml:space="preserve"> Hardest problems in the domain
</t>
          </r>
          <r>
            <rPr>
              <rFont val="Calibri"/>
              <b val="1"/>
              <sz val="10"/>
            </rPr>
            <t>Decisions:</t>
          </r>
          <r>
            <rPr>
              <rFont val="Calibri"/>
              <sz val="10"/>
            </rPr>
            <t xml:space="preserve"> Allocates people and sets team priorities
</t>
          </r>
          <r>
            <rPr>
              <rFont val="Calibri"/>
              <b val="1"/>
              <sz val="10"/>
            </rPr>
            <t>Answers for:</t>
          </r>
          <r>
            <rPr>
              <rFont val="Calibri"/>
              <sz val="10"/>
            </rPr>
            <t xml:space="preserve"> One team or a client portfolio
</t>
          </r>
          <r>
            <rPr>
              <rFont val="Calibri"/>
              <b val="1"/>
              <sz val="10"/>
            </rPr>
            <t>Leadership:</t>
          </r>
          <r>
            <rPr>
              <rFont val="Calibri"/>
              <sz val="10"/>
            </rPr>
            <t xml:space="preserve"> IC: guides others in the domain · People: manages a team of 6+</t>
          </r>
        </is>
      </c>
      <c r="P38" s="12" t="inlineStr">
        <is>
          <t>6–9 yrs
Graduate or postgraduate; professional qualification preferred</t>
        </is>
      </c>
      <c r="Q38" s="12" t="inlineStr">
        <is>
          <t>Core 3 · Future-ready 3 · Functional 4 · Leadership 3
★ Sales, Negotiation &amp; Account Growth · Marketing Tech &amp; Digital Marketing</t>
        </is>
      </c>
      <c r="R38" s="12" t="inlineStr">
        <is>
          <t>Create and convert commercial opportunities. Includes: Prospecting, account sales, alliances, presales and sales operations. Excludes: Customer adoption unless sales accountability is primary.</t>
        </is>
      </c>
      <c r="S38" s="12" t="inlineStr">
        <is>
          <r>
            <rPr>
              <rFont val="Calibri"/>
              <b val="1"/>
              <sz val="10"/>
            </rPr>
            <t>Comparable stage:</t>
          </r>
          <r>
            <rPr>
              <rFont val="Calibri"/>
              <sz val="10"/>
            </rPr>
            <t xml:space="preserve"> LD05-1 · Sales / Sales Development Manager
Own staffing decisions, performance support, service quality and delegated team resources
</t>
          </r>
          <r>
            <rPr>
              <rFont val="Calibri"/>
              <b val="1"/>
              <sz val="10"/>
            </rPr>
            <t>Ready when:</t>
          </r>
          <r>
            <rPr>
              <rFont val="Calibri"/>
              <sz val="10"/>
            </rPr>
            <t xml:space="preserve"> Do not manufacture three reporting layers. Choose roles the organisation needs. A specialist may remain on an equally valued expert path.</t>
          </r>
        </is>
      </c>
      <c r="T38" s="12" t="inlineStr">
        <is>
          <t>Radford / Mercer P4 / M3 · SFIA 4–5
IRIS Vs Competitor Benchmark — SaaS sales ladder — IC: Mid-Market AE · IRIS Vs Competitor Benchmark — SaaS sales ladder — management: Sales Manager</t>
        </is>
      </c>
      <c r="U38" s="12" t="inlineStr">
        <is>
          <t>B3 · Lead Specialist</t>
        </is>
      </c>
      <c r="V38" s="12" t="inlineStr">
        <is>
          <t>Framework + sub-family themes · 3+ answered</t>
        </is>
      </c>
    </row>
    <row r="39" ht="93" customHeight="1">
      <c r="A39" s="86" t="inlineStr">
        <is>
          <t>RC-170</t>
        </is>
      </c>
      <c r="B39" s="12" t="inlineStr">
        <is>
          <t>Sales &amp; Business Development</t>
        </is>
      </c>
      <c r="C39" s="12" t="inlineStr">
        <is>
          <t>Sales Leadership</t>
        </is>
      </c>
      <c r="D39" s="24" t="inlineStr">
        <is>
          <t>C1</t>
        </is>
      </c>
      <c r="E39" s="25" t="inlineStr">
        <is>
          <t>Principal</t>
        </is>
      </c>
      <c r="F39" s="12" t="inlineStr">
        <is>
          <t>IC</t>
        </is>
      </c>
      <c r="G39" s="12" t="inlineStr">
        <is>
          <t>Principal – Enterprise Sales · Principal – Sales</t>
        </is>
      </c>
      <c r="H39" s="12" t="inlineStr">
        <is>
          <t>Abhishek Gite</t>
        </is>
      </c>
      <c r="I39" s="12" t="inlineStr">
        <is>
          <t>Sales</t>
        </is>
      </c>
      <c r="J39" s="12" t="inlineStr">
        <is>
          <r>
            <rPr>
              <rFont val="Calibri"/>
              <sz val="10"/>
            </rPr>
            <t xml:space="preserve">Leads the sales &amp; business development function. At C1: a sub-function, or principal authority across products.
</t>
          </r>
          <r>
            <rPr>
              <rFont val="Calibri"/>
              <b val="1"/>
              <sz val="10"/>
            </rPr>
            <t>Common themes in sub-family holders, all levels' answers:</t>
          </r>
          <r>
            <rPr>
              <rFont val="Calibri"/>
              <sz val="10"/>
            </rPr>
            <t xml:space="preserve"> client · follow till · negotiations · details sdr · understand · call</t>
          </r>
        </is>
      </c>
      <c r="K39" s="12" t="inlineStr">
        <is>
          <r>
            <rPr>
              <rFont val="Calibri"/>
              <sz val="10"/>
            </rPr>
            <t xml:space="preserve">Leads the sales &amp; business development function; Ambiguous, cross-product problems; Sub-function results or domain quality across products
</t>
          </r>
          <r>
            <rPr>
              <rFont val="Calibri"/>
              <b val="1"/>
              <sz val="10"/>
            </rPr>
            <t>Common themes in sub-family holders, all levels' answers:</t>
          </r>
          <r>
            <rPr>
              <rFont val="Calibri"/>
              <sz val="10"/>
            </rPr>
            <t xml:space="preserve"> building · partner</t>
          </r>
        </is>
      </c>
      <c r="L39" s="12" t="inlineStr">
        <is>
          <t>Sets direction for a sub-function or domain</t>
        </is>
      </c>
      <c r="M39" s="12" t="inlineStr">
        <is>
          <t>—</t>
        </is>
      </c>
      <c r="N39" s="12" t="inlineStr">
        <is>
          <r>
            <rPr>
              <rFont val="Calibri"/>
              <b val="1"/>
              <sz val="10"/>
            </rPr>
            <t>Skills:</t>
          </r>
          <r>
            <rPr>
              <rFont val="Calibri"/>
              <sz val="10"/>
            </rPr>
            <t xml:space="preserve"> Sales</t>
          </r>
        </is>
      </c>
      <c r="O39" s="12" t="inlineStr">
        <is>
          <r>
            <rPr>
              <rFont val="Calibri"/>
              <b val="1"/>
              <sz val="10"/>
            </rPr>
            <t>Owns:</t>
          </r>
          <r>
            <rPr>
              <rFont val="Calibri"/>
              <sz val="10"/>
            </rPr>
            <t xml:space="preserve"> A sub-function, or principal authority across products
</t>
          </r>
          <r>
            <rPr>
              <rFont val="Calibri"/>
              <b val="1"/>
              <sz val="10"/>
            </rPr>
            <t>Complexity:</t>
          </r>
          <r>
            <rPr>
              <rFont val="Calibri"/>
              <sz val="10"/>
            </rPr>
            <t xml:space="preserve"> Ambiguous, cross-product problems
</t>
          </r>
          <r>
            <rPr>
              <rFont val="Calibri"/>
              <b val="1"/>
              <sz val="10"/>
            </rPr>
            <t>Decisions:</t>
          </r>
          <r>
            <rPr>
              <rFont val="Calibri"/>
              <sz val="10"/>
            </rPr>
            <t xml:space="preserve"> Sets direction for a sub-function or domain
</t>
          </r>
          <r>
            <rPr>
              <rFont val="Calibri"/>
              <b val="1"/>
              <sz val="10"/>
            </rPr>
            <t>Answers for:</t>
          </r>
          <r>
            <rPr>
              <rFont val="Calibri"/>
              <sz val="10"/>
            </rPr>
            <t xml:space="preserve"> Sub-function results or domain quality across products
</t>
          </r>
          <r>
            <rPr>
              <rFont val="Calibri"/>
              <b val="1"/>
              <sz val="10"/>
            </rPr>
            <t>Leadership:</t>
          </r>
          <r>
            <rPr>
              <rFont val="Calibri"/>
              <sz val="10"/>
            </rPr>
            <t xml:space="preserve"> Leads managers or a community of practice</t>
          </r>
        </is>
      </c>
      <c r="P39" s="12" t="inlineStr">
        <is>
          <t>10–14 yrs
Postgraduate / professional qualification preferred</t>
        </is>
      </c>
      <c r="Q39" s="12" t="inlineStr">
        <is>
          <t>Core 4 · Future-ready 4 · Functional 4 · Leadership 4
★ Sales, Negotiation &amp; Account Growth · Marketing Tech &amp; Digital Marketing</t>
        </is>
      </c>
      <c r="R39" s="12" t="inlineStr">
        <is>
          <t>Create and convert commercial opportunities. Includes: Prospecting, account sales, alliances, presales and sales operations. Excludes: Customer adoption unless sales accountability is primary.</t>
        </is>
      </c>
      <c r="S39" s="12" t="inlineStr">
        <is>
          <r>
            <rPr>
              <rFont val="Calibri"/>
              <b val="1"/>
              <sz val="10"/>
            </rPr>
            <t>Comparable stage:</t>
          </r>
          <r>
            <rPr>
              <rFont val="Calibri"/>
              <sz val="10"/>
            </rPr>
            <t xml:space="preserve"> LD05-2 · Head / VP of Sales
Own integrated function strategy, capacity, controls and cross-team trade-offs
</t>
          </r>
          <r>
            <rPr>
              <rFont val="Calibri"/>
              <b val="1"/>
              <sz val="10"/>
            </rPr>
            <t>Ready when:</t>
          </r>
          <r>
            <rPr>
              <rFont val="Calibri"/>
              <sz val="10"/>
            </rPr>
            <t xml:space="preserve"> Do not manufacture three reporting layers. Choose roles the organisation needs. A specialist may remain on an equally valued expert path.</t>
          </r>
        </is>
      </c>
      <c r="T39" s="12" t="inlineStr">
        <is>
          <t>Radford / Mercer P6 / M5 · SFIA 5–6
IRIS Vs Competitor Benchmark — SaaS sales ladder — IC: Strategic / Principal AE · IRIS Vs Competitor Benchmark — SaaS sales ladder — management: Regional Sales Head</t>
        </is>
      </c>
      <c r="U39" s="12" t="inlineStr">
        <is>
          <t>C2 · Senior Principal / Architect</t>
        </is>
      </c>
      <c r="V39" s="12" t="inlineStr">
        <is>
          <t>Framework + sub-family themes · 3+ answered</t>
        </is>
      </c>
    </row>
    <row r="40">
      <c r="A40" s="85" t="inlineStr">
        <is>
          <t>Unassigned</t>
        </is>
      </c>
    </row>
    <row r="41" ht="67" customHeight="1">
      <c r="A41" s="86" t="inlineStr">
        <is>
          <t>RC-175</t>
        </is>
      </c>
      <c r="B41" s="12" t="inlineStr">
        <is>
          <t>Unassigned</t>
        </is>
      </c>
      <c r="C41" s="12" t="inlineStr">
        <is>
          <t>Role not recorded · external consultant</t>
        </is>
      </c>
      <c r="D41" s="32" t="inlineStr">
        <is>
          <t>X1</t>
        </is>
      </c>
      <c r="E41" s="33" t="inlineStr">
        <is>
          <t>Associate Consultant</t>
        </is>
      </c>
      <c r="F41" s="12" t="inlineStr">
        <is>
          <t>IC</t>
        </is>
      </c>
      <c r="G41" s="12" t="inlineStr">
        <is>
          <t>Associate Consultant – Software Development</t>
        </is>
      </c>
      <c r="H41" s="12" t="inlineStr">
        <is>
          <t>Arindam Bose, Shweta Vijay</t>
        </is>
      </c>
      <c r="I41" s="12" t="inlineStr">
        <is>
          <t>Not provided · HRIS</t>
        </is>
      </c>
      <c r="J41" s="12" t="inlineStr">
        <is>
          <t>No department or role data. At X1: defined deliverables under a statement of work · ≈ A2–A3.</t>
        </is>
      </c>
      <c r="K41" s="12" t="inlineStr">
        <is>
          <t>No department or role data</t>
        </is>
      </c>
      <c r="L41" s="12" t="inlineStr">
        <is>
          <t>Within the statement of work</t>
        </is>
      </c>
      <c r="M41" s="12" t="inlineStr">
        <is>
          <t>—</t>
        </is>
      </c>
      <c r="N41" s="12" t="inlineStr">
        <is>
          <t>—</t>
        </is>
      </c>
      <c r="O41" s="12" t="inlineStr">
        <is>
          <r>
            <rPr>
              <rFont val="Calibri"/>
              <b val="1"/>
              <sz val="10"/>
            </rPr>
            <t>Owns:</t>
          </r>
          <r>
            <rPr>
              <rFont val="Calibri"/>
              <sz val="10"/>
            </rPr>
            <t xml:space="preserve"> Defined deliverables under a statement of work · ≈ A2–A3</t>
          </r>
        </is>
      </c>
      <c r="P41" s="12" t="inlineStr">
        <is>
          <t>0–5 yrs
As for equivalent role</t>
        </is>
      </c>
      <c r="Q41" s="12" t="inlineStr">
        <is>
          <t>Per statement of work
★ —</t>
        </is>
      </c>
      <c r="R41" s="12" t="inlineStr">
        <is>
          <t>—</t>
        </is>
      </c>
      <c r="S41" s="12" t="inlineStr">
        <is>
          <t>—</t>
        </is>
      </c>
      <c r="T41" s="12" t="inlineStr">
        <is>
          <t>Radford / Mercer Contractor · SFIA —
—</t>
        </is>
      </c>
      <c r="U41" s="12" t="inlineStr">
        <is>
          <t>—</t>
        </is>
      </c>
      <c r="V41" s="12" t="inlineStr">
        <is>
          <t>Framework only · fewer than 3 answered</t>
        </is>
      </c>
    </row>
  </sheetData>
  <autoFilter ref="A6:V41"/>
  <mergeCells count="19">
    <mergeCell ref="A2:V2"/>
    <mergeCell ref="O5:Q5"/>
    <mergeCell ref="J5:N5"/>
    <mergeCell ref="T5:U5"/>
    <mergeCell ref="A14:V14"/>
    <mergeCell ref="A19:V19"/>
    <mergeCell ref="A5:I5"/>
    <mergeCell ref="A31:V31"/>
    <mergeCell ref="A40:V40"/>
    <mergeCell ref="A9:V9"/>
    <mergeCell ref="A34:V34"/>
    <mergeCell ref="V5"/>
    <mergeCell ref="A1:V1"/>
    <mergeCell ref="A7:V7"/>
    <mergeCell ref="A3:V3"/>
    <mergeCell ref="A21:V21"/>
    <mergeCell ref="R5:S5"/>
    <mergeCell ref="A12:V12"/>
    <mergeCell ref="A26:V26"/>
  </mergeCells>
  <hyperlinks>
    <hyperlink xmlns:r="http://schemas.openxmlformats.org/officeDocument/2006/relationships" ref="W1" r:id="rId1"/>
  </hyperlinks>
  <pageMargins left="0.4" right="0.4" top="0.5" bottom="0.5" header="0.5" footer="0.5"/>
  <pageSetup orientation="landscape" paperSize="8" fitToHeight="0" fitToWidth="1"/>
  <headerFooter>
    <oddHeader/>
    <oddFooter>&amp;LIRIS · Job Architecture &amp; Job Design · Final v1.12 · October 2026 · Internal — Confidential&amp;RPage &amp;P of &amp;N</oddFooter>
    <evenHeader/>
    <evenFooter/>
    <firstHeader/>
    <firstFooter/>
  </headerFooter>
</worksheet>
</file>

<file path=xl/worksheets/sheet5.xml><?xml version="1.0" encoding="utf-8"?>
<worksheet xmlns="http://schemas.openxmlformats.org/spreadsheetml/2006/main">
  <sheetPr>
    <tabColor rgb="00C00000"/>
    <outlinePr summaryBelow="1" summaryRight="1"/>
    <pageSetUpPr fitToPage="1"/>
  </sheetPr>
  <dimension ref="A1:G84"/>
  <sheetViews>
    <sheetView showGridLines="0" workbookViewId="0">
      <pane ySplit="4" topLeftCell="A5" activePane="bottomLeft" state="frozen"/>
      <selection pane="bottomLeft" activeCell="A1" sqref="A1"/>
    </sheetView>
  </sheetViews>
  <sheetFormatPr baseColWidth="8" defaultRowHeight="15"/>
  <cols>
    <col width="24" customWidth="1" min="1" max="1"/>
    <col width="18" customWidth="1" min="2" max="2"/>
    <col width="8" customWidth="1" min="3" max="3"/>
    <col width="8" customWidth="1" min="4" max="4"/>
    <col width="30" customWidth="1" min="5" max="5"/>
    <col width="66" customWidth="1" min="6" max="6"/>
    <col width="13" customWidth="1" min="7" max="7"/>
  </cols>
  <sheetData>
    <row r="1" ht="34" customHeight="1">
      <c r="A1" s="1" t="inlineStr">
        <is>
          <t>Decisions &amp; Actions — what needs a decision, who must supply what, and what happens next</t>
        </is>
      </c>
      <c r="G1" s="99" t="inlineStr">
        <is>
          <t>◂ Start Here</t>
        </is>
      </c>
    </row>
    <row r="2" ht="30" customHeight="1">
      <c r="A2" s="3" t="inlineStr">
        <is>
          <t>Sheet 4 · Each case gives the person, the level, the score and the reason in full, so it can be decided from this page. Red = an input or decision is needed.</t>
        </is>
      </c>
    </row>
    <row r="3">
      <c r="A3" s="4" t="inlineStr">
        <is>
          <t>IRIS · Job Architecture &amp; Job Design · Final v1.12 · October 2026 · Internal — Confidential</t>
        </is>
      </c>
    </row>
    <row r="4" ht="15" customHeight="1"/>
    <row r="5" ht="15" customHeight="1">
      <c r="A5" s="37" t="inlineStr">
        <is>
          <t>A · DECISIONS FOR YOU AND THE CALIBRATION PANEL</t>
        </is>
      </c>
    </row>
    <row r="6" ht="20" customHeight="1">
      <c r="A6" s="6" t="inlineStr">
        <is>
          <t>A1. Player-Coach placements — 0</t>
        </is>
      </c>
    </row>
    <row r="7" ht="15" customHeight="1">
      <c r="A7" s="36" t="inlineStr">
        <is>
          <t>Confirm the person still spends a real share of time on hands-on work, and that the team size is right.</t>
        </is>
      </c>
    </row>
    <row r="8" ht="15" customHeight="1">
      <c r="A8" s="36" t="inlineStr">
        <is>
          <t>None.</t>
        </is>
      </c>
    </row>
    <row r="9" ht="20" customHeight="1">
      <c r="A9" s="6" t="inlineStr">
        <is>
          <t>A2. Player-Coach candidates and watch list — 0</t>
        </is>
      </c>
    </row>
    <row r="10" ht="15" customHeight="1">
      <c r="A10" s="36" t="inlineStr">
        <is>
          <t>Candidates qualify on the numbers but have no evidence yet of their own hands-on work: confirm it, or leave them where they are.</t>
        </is>
      </c>
    </row>
    <row r="11" ht="15" customHeight="1">
      <c r="A11" s="36" t="inlineStr">
        <is>
          <t>None.</t>
        </is>
      </c>
    </row>
    <row r="12" ht="20" customHeight="1">
      <c r="A12" s="6" t="inlineStr">
        <is>
          <t>A3. Close calls — 0</t>
        </is>
      </c>
    </row>
    <row r="13" ht="15" customHeight="1">
      <c r="A13" s="36" t="inlineStr">
        <is>
          <t>The score decided the level and sits within 0.05 of a rounding point: compare with peers before confirming.</t>
        </is>
      </c>
    </row>
    <row r="14" ht="15" customHeight="1">
      <c r="A14" s="36" t="inlineStr">
        <is>
          <t>None.</t>
        </is>
      </c>
    </row>
    <row r="15" ht="20" customHeight="1">
      <c r="A15" s="6" t="inlineStr">
        <is>
          <t>A4. Near a gate — 0</t>
        </is>
      </c>
    </row>
    <row r="16" ht="15" customHeight="1">
      <c r="A16" s="36" t="inlineStr">
        <is>
          <t>A rule set the level, and the number behind it is within a quarter-point of changing it: a small change in one rating would move the person.</t>
        </is>
      </c>
    </row>
    <row r="17" ht="15" customHeight="1">
      <c r="A17" s="36" t="inlineStr">
        <is>
          <t>None.</t>
        </is>
      </c>
    </row>
    <row r="18" ht="20" customHeight="1">
      <c r="A18" s="6" t="inlineStr">
        <is>
          <t>A5. Moves down · pay and title protected for one cycle — 3</t>
        </is>
      </c>
    </row>
    <row r="19" ht="15" customHeight="1">
      <c r="A19" s="36" t="inlineStr">
        <is>
          <t>Confirm the scope of the role and the review date.</t>
        </is>
      </c>
    </row>
    <row r="20" ht="15" customHeight="1">
      <c r="A20" s="8" t="inlineStr">
        <is>
          <t>Person</t>
        </is>
      </c>
      <c r="B20" s="8" t="inlineStr">
        <is>
          <t>Department</t>
        </is>
      </c>
      <c r="C20" s="8" t="inlineStr">
        <is>
          <t>Level</t>
        </is>
      </c>
      <c r="D20" s="8" t="inlineStr">
        <is>
          <t>Score</t>
        </is>
      </c>
      <c r="E20" s="8" t="inlineStr">
        <is>
          <t>Designation</t>
        </is>
      </c>
      <c r="F20" s="8" t="inlineStr">
        <is>
          <t>What to decide, and why</t>
        </is>
      </c>
    </row>
    <row r="21" ht="28" customHeight="1">
      <c r="A21" s="10" t="inlineStr">
        <is>
          <t>Raghin Nair</t>
        </is>
      </c>
      <c r="B21" s="12" t="inlineStr">
        <is>
          <t>Datatech - Outreach</t>
        </is>
      </c>
      <c r="C21" s="38" t="inlineStr">
        <is>
          <t>B2</t>
        </is>
      </c>
      <c r="D21" s="38" t="n">
        <v>5.25</v>
      </c>
      <c r="E21" s="12" t="inlineStr">
        <is>
          <t>Program Manager – Outreach</t>
        </is>
      </c>
      <c r="F21" s="84" t="inlineStr">
        <is>
          <t>Current L5 – Lead · IC → B2. No rule changed the level: the score decides.</t>
        </is>
      </c>
    </row>
    <row r="22" ht="28" customHeight="1">
      <c r="A22" s="10" t="inlineStr">
        <is>
          <t>Ankita Pathak</t>
        </is>
      </c>
      <c r="B22" s="12" t="inlineStr">
        <is>
          <t>Marketing</t>
        </is>
      </c>
      <c r="C22" s="38" t="inlineStr">
        <is>
          <t>B2</t>
        </is>
      </c>
      <c r="D22" s="38" t="n">
        <v>4.68</v>
      </c>
      <c r="E22" s="12" t="inlineStr">
        <is>
          <t>Marketing Specialist – POD Lead</t>
        </is>
      </c>
      <c r="F22" s="84" t="inlineStr">
        <is>
          <t>Current L5 – Manager → B2. No rule changed the level: the score decides.</t>
        </is>
      </c>
    </row>
    <row r="23" ht="28" customHeight="1">
      <c r="A23" s="10" t="inlineStr">
        <is>
          <t>Akshay Shetty</t>
        </is>
      </c>
      <c r="B23" s="12" t="inlineStr">
        <is>
          <t>Technology</t>
        </is>
      </c>
      <c r="C23" s="38" t="inlineStr">
        <is>
          <t>B2</t>
        </is>
      </c>
      <c r="D23" s="38" t="n">
        <v>4.59</v>
      </c>
      <c r="E23" s="12" t="inlineStr">
        <is>
          <t>Senior Technical Specialist – POD Lead</t>
        </is>
      </c>
      <c r="F23" s="84" t="inlineStr">
        <is>
          <t>Current L5 – Lead · IC → B2. No rule changed the level: the score decides.</t>
        </is>
      </c>
    </row>
    <row r="24" ht="15" customHeight="1"/>
    <row r="25" ht="20" customHeight="1">
      <c r="A25" s="6" t="inlineStr">
        <is>
          <t>A6. Senior titles held by the structure gate — 2</t>
        </is>
      </c>
    </row>
    <row r="26" ht="15" customHeight="1">
      <c r="A26" s="36" t="inlineStr">
        <is>
          <t>Confirm whether the structure behind the title exists · team leads, a sub-function, a business line.</t>
        </is>
      </c>
    </row>
    <row r="27" ht="15" customHeight="1">
      <c r="A27" s="8" t="inlineStr">
        <is>
          <t>Person</t>
        </is>
      </c>
      <c r="B27" s="8" t="inlineStr">
        <is>
          <t>Department</t>
        </is>
      </c>
      <c r="C27" s="8" t="inlineStr">
        <is>
          <t>Level</t>
        </is>
      </c>
      <c r="D27" s="8" t="inlineStr">
        <is>
          <t>Score</t>
        </is>
      </c>
      <c r="E27" s="8" t="inlineStr">
        <is>
          <t>Designation</t>
        </is>
      </c>
      <c r="F27" s="8" t="inlineStr">
        <is>
          <t>What to decide, and why</t>
        </is>
      </c>
    </row>
    <row r="28" ht="41" customHeight="1">
      <c r="A28" s="10" t="inlineStr">
        <is>
          <t>Nilesh Majumdar</t>
        </is>
      </c>
      <c r="B28" s="12" t="inlineStr">
        <is>
          <t>Product Management</t>
        </is>
      </c>
      <c r="C28" s="38" t="inlineStr">
        <is>
          <t>B2</t>
        </is>
      </c>
      <c r="D28" s="38" t="n">
        <v>5.84</v>
      </c>
      <c r="E28" s="12" t="inlineStr">
        <is>
          <t>Senior Product Manager → Product Manager</t>
        </is>
      </c>
      <c r="F28" s="84" t="inlineStr">
        <is>
          <r>
            <rPr>
              <rFont val="Calibri"/>
              <b val="1"/>
              <color rgb="009C0006"/>
              <sz val="10"/>
            </rPr>
            <t>Held at B2 instead of B3:</t>
          </r>
          <r>
            <rPr>
              <rFont val="Calibri"/>
              <color rgb="009C0006"/>
              <sz val="10"/>
            </rPr>
            <t xml:space="preserve"> a B3 manager needs team leads reporting in, or 10+ people in the team, and the org chart does not show this yet.</t>
          </r>
        </is>
      </c>
    </row>
    <row r="29" ht="41" customHeight="1">
      <c r="A29" s="10" t="inlineStr">
        <is>
          <t>Abhishek Gite</t>
        </is>
      </c>
      <c r="B29" s="12" t="inlineStr">
        <is>
          <t>Sales</t>
        </is>
      </c>
      <c r="C29" s="38" t="inlineStr">
        <is>
          <t>C1</t>
        </is>
      </c>
      <c r="D29" s="38" t="n">
        <v>8.119999999999999</v>
      </c>
      <c r="E29" s="12" t="inlineStr">
        <is>
          <t>Head - Sales and Alliances → Principal – Sales</t>
        </is>
      </c>
      <c r="F29" s="84" t="inlineStr">
        <is>
          <r>
            <rPr>
              <rFont val="Calibri"/>
              <b val="1"/>
              <color rgb="009C0006"/>
              <sz val="10"/>
            </rPr>
            <t>Held at C1 instead of C2:</t>
          </r>
          <r>
            <rPr>
              <rFont val="Calibri"/>
              <color rgb="009C0006"/>
              <sz val="10"/>
            </rPr>
            <t xml:space="preserve"> C2 needs a whole function or a company-wide discipline, and the org chart does not show this yet.</t>
          </r>
        </is>
      </c>
    </row>
    <row r="30" ht="15" customHeight="1"/>
    <row r="31" ht="20" customHeight="1">
      <c r="A31" s="6" t="inlineStr">
        <is>
          <t>A7. Provisional placements — 3</t>
        </is>
      </c>
    </row>
    <row r="32" ht="15" customHeight="1">
      <c r="A32" s="36" t="inlineStr">
        <is>
          <t>HR to confirm the experience record; the level is kept until then.</t>
        </is>
      </c>
    </row>
    <row r="33" ht="15" customHeight="1">
      <c r="A33" s="8" t="inlineStr">
        <is>
          <t>Person</t>
        </is>
      </c>
      <c r="B33" s="8" t="inlineStr">
        <is>
          <t>Department</t>
        </is>
      </c>
      <c r="C33" s="8" t="inlineStr">
        <is>
          <t>Level</t>
        </is>
      </c>
      <c r="D33" s="8" t="inlineStr">
        <is>
          <t>Score</t>
        </is>
      </c>
      <c r="E33" s="8" t="inlineStr">
        <is>
          <t>Designation</t>
        </is>
      </c>
      <c r="F33" s="8" t="inlineStr">
        <is>
          <t>What to decide, and why</t>
        </is>
      </c>
    </row>
    <row r="34" ht="28" customHeight="1">
      <c r="A34" s="10" t="inlineStr">
        <is>
          <t>Vaishnavi Dhuri</t>
        </is>
      </c>
      <c r="B34" s="12" t="inlineStr">
        <is>
          <t>Marketing</t>
        </is>
      </c>
      <c r="C34" s="38" t="inlineStr">
        <is>
          <t>A2</t>
        </is>
      </c>
      <c r="D34" s="38" t="n">
        <v>1.9</v>
      </c>
      <c r="E34" s="12" t="inlineStr">
        <is>
          <t>Designer</t>
        </is>
      </c>
      <c r="F34" s="84" t="inlineStr">
        <is>
          <r>
            <rPr>
              <rFont val="Calibri"/>
              <b val="1"/>
              <color rgb="009C0006"/>
              <sz val="10"/>
            </rPr>
            <t>Provisional:</t>
          </r>
          <r>
            <rPr>
              <rFont val="Calibri"/>
              <color rgb="009C0006"/>
              <sz val="10"/>
            </rPr>
            <t xml:space="preserve"> experience to be confirmed by HR — level kept until confirmed</t>
          </r>
        </is>
      </c>
    </row>
    <row r="35" ht="28" customHeight="1">
      <c r="A35" s="10" t="inlineStr">
        <is>
          <t>Ayushi Maurya</t>
        </is>
      </c>
      <c r="B35" s="12" t="inlineStr">
        <is>
          <t>Product Management</t>
        </is>
      </c>
      <c r="C35" s="38" t="inlineStr">
        <is>
          <t>B1</t>
        </is>
      </c>
      <c r="D35" s="38" t="n">
        <v>4</v>
      </c>
      <c r="E35" s="12" t="inlineStr">
        <is>
          <t>Associate Product Manager</t>
        </is>
      </c>
      <c r="F35" s="84" t="inlineStr">
        <is>
          <r>
            <rPr>
              <rFont val="Calibri"/>
              <b val="1"/>
              <color rgb="009C0006"/>
              <sz val="10"/>
            </rPr>
            <t>Provisional:</t>
          </r>
          <r>
            <rPr>
              <rFont val="Calibri"/>
              <color rgb="009C0006"/>
              <sz val="10"/>
            </rPr>
            <t xml:space="preserve"> experience to be confirmed by HR — level kept until confirmed</t>
          </r>
        </is>
      </c>
    </row>
    <row r="36" ht="28" customHeight="1">
      <c r="A36" s="10" t="inlineStr">
        <is>
          <t>Sachinam Sawant</t>
        </is>
      </c>
      <c r="B36" s="12" t="inlineStr">
        <is>
          <t>Product Management</t>
        </is>
      </c>
      <c r="C36" s="38" t="inlineStr">
        <is>
          <t>B2</t>
        </is>
      </c>
      <c r="D36" s="38" t="n">
        <v>4.55</v>
      </c>
      <c r="E36" s="12" t="inlineStr">
        <is>
          <t>Product Manager</t>
        </is>
      </c>
      <c r="F36" s="84" t="inlineStr">
        <is>
          <r>
            <rPr>
              <rFont val="Calibri"/>
              <b val="1"/>
              <color rgb="009C0006"/>
              <sz val="10"/>
            </rPr>
            <t>Provisional:</t>
          </r>
          <r>
            <rPr>
              <rFont val="Calibri"/>
              <color rgb="009C0006"/>
              <sz val="10"/>
            </rPr>
            <t xml:space="preserve"> experience to be confirmed by HR — level kept until confirmed</t>
          </r>
        </is>
      </c>
    </row>
    <row r="37" ht="15" customHeight="1"/>
    <row r="38" ht="15" customHeight="1">
      <c r="A38" s="37" t="inlineStr">
        <is>
          <t>B · INPUTS STILL NEEDED — BY OWNER · pay is needed for everyone and is set later</t>
        </is>
      </c>
    </row>
    <row r="39" ht="20" customHeight="1">
      <c r="A39" s="6" t="inlineStr">
        <is>
          <t>B · HR — 8</t>
        </is>
      </c>
    </row>
    <row r="40" ht="15" customHeight="1">
      <c r="A40" s="8" t="inlineStr">
        <is>
          <t>Person</t>
        </is>
      </c>
      <c r="B40" s="8" t="inlineStr">
        <is>
          <t>Department</t>
        </is>
      </c>
      <c r="C40" s="8" t="inlineStr">
        <is>
          <t>Level</t>
        </is>
      </c>
      <c r="D40" s="8" t="inlineStr">
        <is>
          <t>Score</t>
        </is>
      </c>
      <c r="E40" s="8" t="inlineStr">
        <is>
          <t>Designation</t>
        </is>
      </c>
      <c r="F40" s="8" t="inlineStr">
        <is>
          <t>Input needed</t>
        </is>
      </c>
    </row>
    <row r="41" ht="28" customHeight="1">
      <c r="A41" s="10" t="inlineStr">
        <is>
          <t>Shilpa Dhobale</t>
        </is>
      </c>
      <c r="B41" s="12" t="inlineStr">
        <is>
          <t>Datatech Business Head</t>
        </is>
      </c>
      <c r="C41" s="38" t="inlineStr">
        <is>
          <t>D2</t>
        </is>
      </c>
      <c r="D41" s="38" t="n">
        <v>8.81</v>
      </c>
      <c r="E41" s="12" t="inlineStr">
        <is>
          <t>Business Head – DataTech</t>
        </is>
      </c>
      <c r="F41" s="84" t="inlineStr">
        <is>
          <t>Correct the experience record</t>
        </is>
      </c>
    </row>
    <row r="42" ht="15" customHeight="1">
      <c r="A42" s="10" t="inlineStr">
        <is>
          <t>Vaishnavi Dhuri</t>
        </is>
      </c>
      <c r="B42" s="12" t="inlineStr">
        <is>
          <t>Marketing</t>
        </is>
      </c>
      <c r="C42" s="38" t="inlineStr">
        <is>
          <t>A2</t>
        </is>
      </c>
      <c r="D42" s="38" t="n">
        <v>1.9</v>
      </c>
      <c r="E42" s="12" t="inlineStr">
        <is>
          <t>Designer</t>
        </is>
      </c>
      <c r="F42" s="84" t="inlineStr">
        <is>
          <t>Total experience · outside + at IRIS</t>
        </is>
      </c>
    </row>
    <row r="43" ht="15" customHeight="1">
      <c r="A43" s="10" t="inlineStr">
        <is>
          <t>Vaishnavi Dhuri</t>
        </is>
      </c>
      <c r="B43" s="12" t="inlineStr">
        <is>
          <t>Marketing</t>
        </is>
      </c>
      <c r="C43" s="38" t="inlineStr">
        <is>
          <t>A2</t>
        </is>
      </c>
      <c r="D43" s="38" t="n">
        <v>1.9</v>
      </c>
      <c r="E43" s="12" t="inlineStr">
        <is>
          <t>Designer</t>
        </is>
      </c>
      <c r="F43" s="84" t="inlineStr">
        <is>
          <t>Confirm prior experience · provisional placement</t>
        </is>
      </c>
    </row>
    <row r="44" ht="28" customHeight="1">
      <c r="A44" s="10" t="inlineStr">
        <is>
          <t>Ayushi Maurya</t>
        </is>
      </c>
      <c r="B44" s="12" t="inlineStr">
        <is>
          <t>Product Management</t>
        </is>
      </c>
      <c r="C44" s="38" t="inlineStr">
        <is>
          <t>B1</t>
        </is>
      </c>
      <c r="D44" s="38" t="n">
        <v>4</v>
      </c>
      <c r="E44" s="12" t="inlineStr">
        <is>
          <t>Associate Product Manager</t>
        </is>
      </c>
      <c r="F44" s="84" t="inlineStr">
        <is>
          <t>Total experience · outside + at IRIS</t>
        </is>
      </c>
    </row>
    <row r="45" ht="28" customHeight="1">
      <c r="A45" s="10" t="inlineStr">
        <is>
          <t>Ayushi Maurya</t>
        </is>
      </c>
      <c r="B45" s="12" t="inlineStr">
        <is>
          <t>Product Management</t>
        </is>
      </c>
      <c r="C45" s="38" t="inlineStr">
        <is>
          <t>B1</t>
        </is>
      </c>
      <c r="D45" s="38" t="n">
        <v>4</v>
      </c>
      <c r="E45" s="12" t="inlineStr">
        <is>
          <t>Associate Product Manager</t>
        </is>
      </c>
      <c r="F45" s="84" t="inlineStr">
        <is>
          <t>Confirm prior experience · provisional placement</t>
        </is>
      </c>
    </row>
    <row r="46" ht="28" customHeight="1">
      <c r="A46" s="10" t="inlineStr">
        <is>
          <t>Sachinam Sawant</t>
        </is>
      </c>
      <c r="B46" s="12" t="inlineStr">
        <is>
          <t>Product Management</t>
        </is>
      </c>
      <c r="C46" s="38" t="inlineStr">
        <is>
          <t>B2</t>
        </is>
      </c>
      <c r="D46" s="38" t="n">
        <v>4.55</v>
      </c>
      <c r="E46" s="12" t="inlineStr">
        <is>
          <t>Product Manager</t>
        </is>
      </c>
      <c r="F46" s="84" t="inlineStr">
        <is>
          <t>Total experience · outside + at IRIS</t>
        </is>
      </c>
    </row>
    <row r="47" ht="28" customHeight="1">
      <c r="A47" s="10" t="inlineStr">
        <is>
          <t>Sachinam Sawant</t>
        </is>
      </c>
      <c r="B47" s="12" t="inlineStr">
        <is>
          <t>Product Management</t>
        </is>
      </c>
      <c r="C47" s="38" t="inlineStr">
        <is>
          <t>B2</t>
        </is>
      </c>
      <c r="D47" s="38" t="n">
        <v>4.55</v>
      </c>
      <c r="E47" s="12" t="inlineStr">
        <is>
          <t>Product Manager</t>
        </is>
      </c>
      <c r="F47" s="84" t="inlineStr">
        <is>
          <t>Confirm prior experience · provisional placement</t>
        </is>
      </c>
    </row>
    <row r="48" ht="15" customHeight="1">
      <c r="A48" s="10" t="inlineStr">
        <is>
          <t>Smita Londhe</t>
        </is>
      </c>
      <c r="B48" s="12" t="inlineStr">
        <is>
          <t>Quality Assurance</t>
        </is>
      </c>
      <c r="C48" s="38" t="inlineStr">
        <is>
          <t>A3</t>
        </is>
      </c>
      <c r="D48" s="38" t="n">
        <v>2.25</v>
      </c>
      <c r="E48" s="12" t="inlineStr">
        <is>
          <t>Senior QA Automation Engineer</t>
        </is>
      </c>
      <c r="F48" s="84" t="inlineStr">
        <is>
          <t>Correct the experience record</t>
        </is>
      </c>
    </row>
    <row r="49" ht="15" customHeight="1"/>
    <row r="50" ht="20" customHeight="1">
      <c r="A50" s="6" t="inlineStr">
        <is>
          <t>B · Business head — 4</t>
        </is>
      </c>
    </row>
    <row r="51" ht="15" customHeight="1">
      <c r="A51" s="8" t="inlineStr">
        <is>
          <t>Person</t>
        </is>
      </c>
      <c r="B51" s="8" t="inlineStr">
        <is>
          <t>Department</t>
        </is>
      </c>
      <c r="C51" s="8" t="inlineStr">
        <is>
          <t>Level</t>
        </is>
      </c>
      <c r="D51" s="8" t="inlineStr">
        <is>
          <t>Score</t>
        </is>
      </c>
      <c r="E51" s="8" t="inlineStr">
        <is>
          <t>Designation</t>
        </is>
      </c>
      <c r="F51" s="8" t="inlineStr">
        <is>
          <t>Input needed</t>
        </is>
      </c>
    </row>
    <row r="52" ht="28" customHeight="1">
      <c r="A52" s="10" t="inlineStr">
        <is>
          <t>Arindam Bose</t>
        </is>
      </c>
      <c r="B52" s="12" t="inlineStr">
        <is>
          <t>Not provided · HRIS</t>
        </is>
      </c>
      <c r="C52" s="38" t="inlineStr">
        <is>
          <t>X1</t>
        </is>
      </c>
      <c r="D52" s="38" t="inlineStr">
        <is>
          <t>—</t>
        </is>
      </c>
      <c r="E52" s="12" t="inlineStr">
        <is>
          <t>Associate Consultant – Software Development</t>
        </is>
      </c>
      <c r="F52" s="84" t="inlineStr">
        <is>
          <t>Role and department on record</t>
        </is>
      </c>
    </row>
    <row r="53" ht="28" customHeight="1">
      <c r="A53" s="10" t="inlineStr">
        <is>
          <t>Shweta Vijay</t>
        </is>
      </c>
      <c r="B53" s="12" t="inlineStr">
        <is>
          <t>Not provided · HRIS</t>
        </is>
      </c>
      <c r="C53" s="38" t="inlineStr">
        <is>
          <t>X1</t>
        </is>
      </c>
      <c r="D53" s="38" t="inlineStr">
        <is>
          <t>—</t>
        </is>
      </c>
      <c r="E53" s="12" t="inlineStr">
        <is>
          <t>Associate Consultant – Software Development</t>
        </is>
      </c>
      <c r="F53" s="84" t="inlineStr">
        <is>
          <t>Role and department on record</t>
        </is>
      </c>
    </row>
    <row r="54" ht="28" customHeight="1">
      <c r="A54" s="10" t="inlineStr">
        <is>
          <t>Nilesh Majumdar</t>
        </is>
      </c>
      <c r="B54" s="12" t="inlineStr">
        <is>
          <t>Product Management</t>
        </is>
      </c>
      <c r="C54" s="38" t="inlineStr">
        <is>
          <t>B2</t>
        </is>
      </c>
      <c r="D54" s="38" t="n">
        <v>5.84</v>
      </c>
      <c r="E54" s="12" t="inlineStr">
        <is>
          <t>Product Manager</t>
        </is>
      </c>
      <c r="F54" s="84" t="inlineStr">
        <is>
          <t>Confirm structure behind the senior title · org chart</t>
        </is>
      </c>
    </row>
    <row r="55" ht="15" customHeight="1">
      <c r="A55" s="10" t="inlineStr">
        <is>
          <t>Abhishek Gite</t>
        </is>
      </c>
      <c r="B55" s="12" t="inlineStr">
        <is>
          <t>Sales</t>
        </is>
      </c>
      <c r="C55" s="38" t="inlineStr">
        <is>
          <t>C1</t>
        </is>
      </c>
      <c r="D55" s="38" t="n">
        <v>8.119999999999999</v>
      </c>
      <c r="E55" s="12" t="inlineStr">
        <is>
          <t>Principal – Sales</t>
        </is>
      </c>
      <c r="F55" s="84" t="inlineStr">
        <is>
          <t>Confirm structure behind the senior title · org chart</t>
        </is>
      </c>
    </row>
    <row r="56" ht="15" customHeight="1"/>
    <row r="57" ht="20" customHeight="1">
      <c r="A57" s="6" t="inlineStr">
        <is>
          <t>B · Employee — 3</t>
        </is>
      </c>
    </row>
    <row r="58" ht="15" customHeight="1">
      <c r="A58" s="8" t="inlineStr">
        <is>
          <t>Person</t>
        </is>
      </c>
      <c r="B58" s="8" t="inlineStr">
        <is>
          <t>Department</t>
        </is>
      </c>
      <c r="C58" s="8" t="inlineStr">
        <is>
          <t>Level</t>
        </is>
      </c>
      <c r="D58" s="8" t="inlineStr">
        <is>
          <t>Score</t>
        </is>
      </c>
      <c r="E58" s="8" t="inlineStr">
        <is>
          <t>Designation</t>
        </is>
      </c>
      <c r="F58" s="8" t="inlineStr">
        <is>
          <t>Input needed</t>
        </is>
      </c>
    </row>
    <row r="59" ht="28" customHeight="1">
      <c r="A59" s="10" t="inlineStr">
        <is>
          <t>Shilpa Dhobale</t>
        </is>
      </c>
      <c r="B59" s="12" t="inlineStr">
        <is>
          <t>Datatech Business Head</t>
        </is>
      </c>
      <c r="C59" s="38" t="inlineStr">
        <is>
          <t>D2</t>
        </is>
      </c>
      <c r="D59" s="38" t="n">
        <v>8.81</v>
      </c>
      <c r="E59" s="12" t="inlineStr">
        <is>
          <t>Business Head – DataTech</t>
        </is>
      </c>
      <c r="F59" s="84" t="inlineStr">
        <is>
          <t>Survey response or KRAs describing the work · nothing on file</t>
        </is>
      </c>
    </row>
    <row r="60" ht="15" customHeight="1">
      <c r="A60" s="10" t="inlineStr">
        <is>
          <t>Abhishek Gite</t>
        </is>
      </c>
      <c r="B60" s="12" t="inlineStr">
        <is>
          <t>Sales</t>
        </is>
      </c>
      <c r="C60" s="38" t="inlineStr">
        <is>
          <t>C1</t>
        </is>
      </c>
      <c r="D60" s="38" t="n">
        <v>8.119999999999999</v>
      </c>
      <c r="E60" s="12" t="inlineStr">
        <is>
          <t>Principal – Sales</t>
        </is>
      </c>
      <c r="F60" s="84" t="inlineStr">
        <is>
          <t>Survey response or KRAs describing the work · nothing on file</t>
        </is>
      </c>
    </row>
    <row r="61" ht="15" customHeight="1">
      <c r="A61" s="10" t="inlineStr">
        <is>
          <t>Sanghamitra Saxena</t>
        </is>
      </c>
      <c r="B61" s="12" t="inlineStr">
        <is>
          <t>Technology</t>
        </is>
      </c>
      <c r="C61" s="38" t="inlineStr">
        <is>
          <t>C1</t>
        </is>
      </c>
      <c r="D61" s="38" t="n">
        <v>7.01</v>
      </c>
      <c r="E61" s="12" t="inlineStr">
        <is>
          <t>Solution Architect</t>
        </is>
      </c>
      <c r="F61" s="84" t="inlineStr">
        <is>
          <t>Survey response or KRAs describing the work · nothing on file</t>
        </is>
      </c>
    </row>
    <row r="62" ht="15" customHeight="1"/>
    <row r="63" ht="15" customHeight="1">
      <c r="A63" s="37" t="inlineStr">
        <is>
          <t>C · HOW THE STRUCTURE CHANGED IN THIS BUSINESS</t>
        </is>
      </c>
    </row>
    <row r="64" ht="20" customHeight="1">
      <c r="A64" s="6" t="inlineStr">
        <is>
          <t>C. Job families — before → after</t>
        </is>
      </c>
    </row>
    <row r="65" ht="15" customHeight="1">
      <c r="A65" s="8" t="inlineStr">
        <is>
          <t>Job family · now</t>
        </is>
      </c>
      <c r="B65" s="8" t="inlineStr">
        <is>
          <t>People</t>
        </is>
      </c>
      <c r="C65" s="87" t="inlineStr"/>
      <c r="D65" s="87" t="inlineStr"/>
      <c r="E65" s="8" t="inlineStr">
        <is>
          <t>Status</t>
        </is>
      </c>
      <c r="F65" s="8" t="inlineStr">
        <is>
          <t>What happened</t>
        </is>
      </c>
    </row>
    <row r="66" ht="28" customHeight="1">
      <c r="A66" s="10" t="inlineStr">
        <is>
          <t>Sales &amp; Business Development</t>
        </is>
      </c>
      <c r="B66" s="38" t="n">
        <v>8</v>
      </c>
      <c r="C66" s="12" t="inlineStr"/>
      <c r="D66" s="12" t="inlineStr"/>
      <c r="E66" s="12" t="inlineStr">
        <is>
          <t>Regrouped</t>
        </is>
      </c>
      <c r="F66" s="12" t="inlineStr">
        <is>
          <t>Kept its name; joined from Project &amp; Program Management ×4; Executive Leadership; Sales, Marketing &amp; Support · Employee Master</t>
        </is>
      </c>
    </row>
    <row r="67" ht="28" customHeight="1">
      <c r="A67" s="10" t="inlineStr">
        <is>
          <t>Engineering &amp; Development</t>
        </is>
      </c>
      <c r="B67" s="38" t="n">
        <v>7</v>
      </c>
      <c r="C67" s="12" t="inlineStr"/>
      <c r="D67" s="12" t="inlineStr"/>
      <c r="E67" s="12" t="inlineStr">
        <is>
          <t>Regrouped</t>
        </is>
      </c>
      <c r="F67" s="12" t="inlineStr">
        <is>
          <t>Kept its name; joined from Product/Project · Employee Master ×3</t>
        </is>
      </c>
    </row>
    <row r="68" ht="28" customHeight="1">
      <c r="A68" s="10" t="inlineStr">
        <is>
          <t>Product Management</t>
        </is>
      </c>
      <c r="B68" s="38" t="n">
        <v>6</v>
      </c>
      <c r="C68" s="12" t="inlineStr"/>
      <c r="D68" s="12" t="inlineStr"/>
      <c r="E68" s="12" t="inlineStr">
        <is>
          <t>Regrouped</t>
        </is>
      </c>
      <c r="F68" s="12" t="inlineStr">
        <is>
          <t>Kept its name; joined from Client Engagement · Employee Master ×3; Not recorded · Employee Master</t>
        </is>
      </c>
    </row>
    <row r="69" ht="28" customHeight="1">
      <c r="A69" s="10" t="inlineStr">
        <is>
          <t>Marketing &amp; Communications</t>
        </is>
      </c>
      <c r="B69" s="38" t="n">
        <v>4</v>
      </c>
      <c r="C69" s="12" t="inlineStr"/>
      <c r="D69" s="12" t="inlineStr"/>
      <c r="E69" s="12" t="inlineStr">
        <is>
          <t>Regrouped</t>
        </is>
      </c>
      <c r="F69" s="12" t="inlineStr">
        <is>
          <t>Kept its name; joined from Sales, Marketing &amp; Support · Employee Master ×2</t>
        </is>
      </c>
    </row>
    <row r="70" ht="28" customHeight="1">
      <c r="A70" s="10" t="inlineStr">
        <is>
          <t>Design &amp; Creative</t>
        </is>
      </c>
      <c r="B70" s="38" t="n">
        <v>2</v>
      </c>
      <c r="C70" s="12" t="inlineStr"/>
      <c r="D70" s="12" t="inlineStr"/>
      <c r="E70" s="12" t="inlineStr">
        <is>
          <t>New</t>
        </is>
      </c>
      <c r="F70" s="12" t="inlineStr">
        <is>
          <t>Created from Sales, Marketing &amp; Support · Employee Master; Product/Project · Employee Master</t>
        </is>
      </c>
    </row>
    <row r="71" ht="15" customHeight="1">
      <c r="A71" s="10" t="inlineStr">
        <is>
          <t>Unassigned</t>
        </is>
      </c>
      <c r="B71" s="38" t="n">
        <v>2</v>
      </c>
      <c r="C71" s="12" t="inlineStr"/>
      <c r="D71" s="12" t="inlineStr"/>
      <c r="E71" s="12" t="inlineStr">
        <is>
          <t>Not mapped</t>
        </is>
      </c>
      <c r="F71" s="12" t="inlineStr">
        <is>
          <t>Consultants with no role on record</t>
        </is>
      </c>
    </row>
    <row r="72" ht="15" customHeight="1">
      <c r="A72" s="10" t="inlineStr">
        <is>
          <t>Quality Assurance</t>
        </is>
      </c>
      <c r="B72" s="38" t="n">
        <v>2</v>
      </c>
      <c r="C72" s="12" t="inlineStr"/>
      <c r="D72" s="12" t="inlineStr"/>
      <c r="E72" s="12" t="inlineStr">
        <is>
          <t>Regrouped</t>
        </is>
      </c>
      <c r="F72" s="12" t="inlineStr">
        <is>
          <t>Kept its name; joined from Product/Project · Employee Master</t>
        </is>
      </c>
    </row>
    <row r="73" ht="15" customHeight="1">
      <c r="A73" s="10" t="inlineStr">
        <is>
          <t>Data &amp; Analytics</t>
        </is>
      </c>
      <c r="B73" s="38" t="n">
        <v>1</v>
      </c>
      <c r="C73" s="12" t="inlineStr"/>
      <c r="D73" s="12" t="inlineStr"/>
      <c r="E73" s="12" t="inlineStr">
        <is>
          <t>New</t>
        </is>
      </c>
      <c r="F73" s="12" t="inlineStr">
        <is>
          <t>Created from Sales, Marketing &amp; Support · Employee Master</t>
        </is>
      </c>
    </row>
    <row r="74" ht="28" customHeight="1">
      <c r="A74" s="10" t="inlineStr">
        <is>
          <t>Executive Leadership</t>
        </is>
      </c>
      <c r="B74" s="38" t="n">
        <v>1</v>
      </c>
      <c r="C74" s="12" t="inlineStr"/>
      <c r="D74" s="12" t="inlineStr"/>
      <c r="E74" s="12" t="inlineStr">
        <is>
          <t>Regrouped</t>
        </is>
      </c>
      <c r="F74" s="12" t="inlineStr">
        <is>
          <t>Kept its name; joined from Customer Success &amp; Support; part moved to Sales &amp; Business Development</t>
        </is>
      </c>
    </row>
    <row r="75" ht="28" customHeight="1">
      <c r="A75" s="10" t="inlineStr">
        <is>
          <t>Engineering &amp; Architecture</t>
        </is>
      </c>
      <c r="B75" s="38" t="n">
        <v>1</v>
      </c>
      <c r="C75" s="12" t="inlineStr"/>
      <c r="D75" s="12" t="inlineStr"/>
      <c r="E75" s="12" t="inlineStr">
        <is>
          <t>As is</t>
        </is>
      </c>
      <c r="F75" s="12" t="inlineStr">
        <is>
          <t>Unchanged</t>
        </is>
      </c>
    </row>
    <row r="76" ht="15" customHeight="1"/>
    <row r="77" ht="28" customHeight="1">
      <c r="A77" s="36" t="inlineStr">
        <is>
          <r>
            <rPr>
              <rFont val="Calibri"/>
              <b val="1"/>
              <i val="1"/>
              <color rgb="00595959"/>
              <sz val="10"/>
            </rPr>
            <t>Status:</t>
          </r>
          <r>
            <rPr>
              <rFont val="Calibri"/>
              <i val="1"/>
              <color rgb="00595959"/>
              <sz val="10"/>
            </rPr>
            <t xml:space="preserve"> As is = same name and people · Renamed = one old name became one new name · Regrouped = existing name, people joined or left · New = formed from old names.</t>
          </r>
        </is>
      </c>
    </row>
    <row r="78" ht="20" customHeight="1">
      <c r="A78" s="6" t="inlineStr">
        <is>
          <t>D · What happens next</t>
        </is>
      </c>
    </row>
    <row r="79" ht="15" customHeight="1">
      <c r="A79" s="8" t="inlineStr">
        <is>
          <t>Step</t>
        </is>
      </c>
      <c r="B79" s="87" t="inlineStr"/>
      <c r="C79" s="87" t="inlineStr"/>
      <c r="D79" s="87" t="inlineStr"/>
      <c r="E79" s="8" t="inlineStr">
        <is>
          <t>Who</t>
        </is>
      </c>
      <c r="F79" s="8" t="inlineStr">
        <is>
          <t>What</t>
        </is>
      </c>
    </row>
    <row r="80" ht="28" customHeight="1">
      <c r="A80" s="10" t="inlineStr">
        <is>
          <t>1. Validate</t>
        </is>
      </c>
      <c r="B80" s="12" t="inlineStr"/>
      <c r="C80" s="12" t="inlineStr"/>
      <c r="D80" s="12" t="inlineStr"/>
      <c r="E80" s="12" t="inlineStr">
        <is>
          <t>You and your managers</t>
        </is>
      </c>
      <c r="F80" s="12" t="inlineStr">
        <is>
          <t>Mark Agree / Change / Discuss for each person on sheet 2; give the reason for every change</t>
        </is>
      </c>
    </row>
    <row r="81" ht="28" customHeight="1">
      <c r="A81" s="10" t="inlineStr">
        <is>
          <t>2. Supply inputs</t>
        </is>
      </c>
      <c r="B81" s="12" t="inlineStr"/>
      <c r="C81" s="12" t="inlineStr"/>
      <c r="D81" s="12" t="inlineStr"/>
      <c r="E81" s="12" t="inlineStr">
        <is>
          <t>Owners in section B</t>
        </is>
      </c>
      <c r="F81" s="12" t="inlineStr">
        <is>
          <r>
            <rPr>
              <rFont val="Calibri"/>
              <b val="1"/>
              <sz val="10"/>
            </rPr>
            <t>Clear the red cells:</t>
          </r>
          <r>
            <rPr>
              <rFont val="Calibri"/>
              <sz val="10"/>
            </rPr>
            <t xml:space="preserve"> experience records, KRAs, reporting lines, scope confirmations</t>
          </r>
        </is>
      </c>
    </row>
    <row r="82" ht="28" customHeight="1">
      <c r="A82" s="10" t="inlineStr">
        <is>
          <t>3. Calibrate</t>
        </is>
      </c>
      <c r="B82" s="12" t="inlineStr"/>
      <c r="C82" s="12" t="inlineStr"/>
      <c r="D82" s="12" t="inlineStr"/>
      <c r="E82" s="12" t="inlineStr">
        <is>
          <t>Cross-business panel</t>
        </is>
      </c>
      <c r="F82" s="12" t="inlineStr">
        <is>
          <t>Decides section A cases against peers in other businesses, and all C-band and higher placements</t>
        </is>
      </c>
    </row>
    <row r="83" ht="28" customHeight="1">
      <c r="A83" s="10" t="inlineStr">
        <is>
          <t>4. Approve</t>
        </is>
      </c>
      <c r="B83" s="12" t="inlineStr"/>
      <c r="C83" s="12" t="inlineStr"/>
      <c r="D83" s="12" t="inlineStr"/>
      <c r="E83" s="12" t="inlineStr">
        <is>
          <t>HR; CEO for model changes</t>
        </is>
      </c>
      <c r="F83" s="12" t="inlineStr">
        <is>
          <t>HR approves placements; moves down are protected for one cycle; designations take effect</t>
        </is>
      </c>
    </row>
    <row r="84" ht="28" customHeight="1">
      <c r="A84" s="10" t="inlineStr">
        <is>
          <t>5. Price</t>
        </is>
      </c>
      <c r="B84" s="12" t="inlineStr"/>
      <c r="C84" s="12" t="inlineStr"/>
      <c r="D84" s="12" t="inlineStr"/>
      <c r="E84" s="12" t="inlineStr">
        <is>
          <t>HR</t>
        </is>
      </c>
      <c r="F84" s="12" t="inlineStr">
        <is>
          <t>Pay ranges per level from a purchased market survey; nothing changes pay before then</t>
        </is>
      </c>
    </row>
  </sheetData>
  <mergeCells count="30">
    <mergeCell ref="A16:F16"/>
    <mergeCell ref="A12:F12"/>
    <mergeCell ref="A50:F50"/>
    <mergeCell ref="A18:F18"/>
    <mergeCell ref="A3:F3"/>
    <mergeCell ref="A26:F26"/>
    <mergeCell ref="A57:F57"/>
    <mergeCell ref="A2:F2"/>
    <mergeCell ref="A14:F14"/>
    <mergeCell ref="A5:F5"/>
    <mergeCell ref="A32:F32"/>
    <mergeCell ref="A8:F8"/>
    <mergeCell ref="A17:F17"/>
    <mergeCell ref="A38:F38"/>
    <mergeCell ref="A63:F63"/>
    <mergeCell ref="A10:F10"/>
    <mergeCell ref="A13:F13"/>
    <mergeCell ref="A19:F19"/>
    <mergeCell ref="A9:F9"/>
    <mergeCell ref="A31:F31"/>
    <mergeCell ref="A39:F39"/>
    <mergeCell ref="A77:F77"/>
    <mergeCell ref="A15:F15"/>
    <mergeCell ref="A64:F64"/>
    <mergeCell ref="A11:F11"/>
    <mergeCell ref="A1:F1"/>
    <mergeCell ref="A6:F6"/>
    <mergeCell ref="A78:F78"/>
    <mergeCell ref="A7:F7"/>
    <mergeCell ref="A25:F25"/>
  </mergeCells>
  <hyperlinks>
    <hyperlink xmlns:r="http://schemas.openxmlformats.org/officeDocument/2006/relationships" ref="G1" r:id="rId1"/>
  </hyperlinks>
  <pageMargins left="0.4" right="0.4" top="0.5" bottom="0.5" header="0.5" footer="0.5"/>
  <pageSetup orientation="landscape" paperSize="8" fitToHeight="0" fitToWidth="1"/>
  <headerFooter>
    <oddHeader/>
    <oddFooter>&amp;LIRIS · Job Architecture &amp; Job Design · Final v1.12 · October 2026 · Internal — Confidential&amp;RPage &amp;P of &amp;N</oddFooter>
    <evenHeader/>
    <evenFooter/>
    <firstHeader/>
    <firstFooter/>
  </headerFooter>
</worksheet>
</file>

<file path=xl/worksheets/sheet6.xml><?xml version="1.0" encoding="utf-8"?>
<worksheet xmlns="http://schemas.openxmlformats.org/spreadsheetml/2006/main">
  <sheetPr>
    <tabColor rgb="002E75B6"/>
    <outlinePr summaryBelow="1" summaryRight="1"/>
    <pageSetUpPr fitToPage="1"/>
  </sheetPr>
  <dimension ref="A1:Q31"/>
  <sheetViews>
    <sheetView showGridLines="0" workbookViewId="0">
      <pane xSplit="2" ySplit="6" topLeftCell="C7"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14" customWidth="1" min="2" max="2"/>
    <col width="6" customWidth="1" min="3" max="3"/>
    <col width="16" customWidth="1" min="4" max="4"/>
    <col width="20" customWidth="1" min="5" max="5"/>
    <col width="24" customWidth="1" min="6" max="6"/>
    <col width="30" customWidth="1" min="7" max="7"/>
    <col width="10" customWidth="1" min="8" max="8"/>
    <col width="7" customWidth="1" min="9" max="9"/>
    <col width="40" customWidth="1" min="10" max="10"/>
    <col width="30" customWidth="1" min="11" max="11"/>
    <col width="32" customWidth="1" min="12" max="12"/>
    <col width="22" customWidth="1" min="13" max="13"/>
    <col width="20" customWidth="1" min="14" max="14"/>
    <col width="34" customWidth="1" min="15" max="15"/>
    <col width="38" customWidth="1" min="16" max="16"/>
    <col width="13" customWidth="1" min="17" max="17"/>
  </cols>
  <sheetData>
    <row r="1" ht="34" customHeight="1">
      <c r="A1" s="1" t="inlineStr">
        <is>
          <t>Career ladder — Datatech: department → band → level, competencies and overlaps</t>
        </is>
      </c>
      <c r="Q1" s="99" t="inlineStr">
        <is>
          <t>◂ Start Here</t>
        </is>
      </c>
    </row>
    <row r="2" ht="32" customHeight="1">
      <c r="A2" s="3" t="inlineStr">
        <is>
          <t>Sheet 5 · 34 people in 8 departments. One row per designation at a level in a department, ordered department → band → level · bottom to top: earlier rows are lower levels. 'Same work' = same job family, sub-family and level; overlap within the product is shaded orange, overlap across IRIS blue. D1 top specialist title — decision for the heads: Option A Chief Specialist or Option B Distinguished Principal; both shown until decided.</t>
        </is>
      </c>
    </row>
    <row r="3">
      <c r="A3" s="4" t="inlineStr">
        <is>
          <t>IRIS · Job Architecture &amp; Job Design · Final v1.12 · October 2026 · Internal — Confidential</t>
        </is>
      </c>
    </row>
    <row r="4"/>
    <row r="5"/>
    <row r="6" ht="30" customHeight="1">
      <c r="A6" s="70" t="inlineStr">
        <is>
          <t>Department</t>
        </is>
      </c>
      <c r="B6" s="70" t="inlineStr">
        <is>
          <t>Band</t>
        </is>
      </c>
      <c r="C6" s="70" t="inlineStr">
        <is>
          <t>Level</t>
        </is>
      </c>
      <c r="D6" s="70" t="inlineStr">
        <is>
          <t>Level title</t>
        </is>
      </c>
      <c r="E6" s="70" t="inlineStr">
        <is>
          <t>Job family</t>
        </is>
      </c>
      <c r="F6" s="70" t="inlineStr">
        <is>
          <t>Sub-family</t>
        </is>
      </c>
      <c r="G6" s="70" t="inlineStr">
        <is>
          <t>Designation</t>
        </is>
      </c>
      <c r="H6" s="70" t="inlineStr">
        <is>
          <t>Track</t>
        </is>
      </c>
      <c r="I6" s="70" t="inlineStr">
        <is>
          <t>Holders</t>
        </is>
      </c>
      <c r="J6" s="70" t="inlineStr">
        <is>
          <t>Ladder in this sub-family here · level: designation</t>
        </is>
      </c>
      <c r="K6" s="70" t="inlineStr">
        <is>
          <t>★ Must-have competencies</t>
        </is>
      </c>
      <c r="L6" s="70" t="inlineStr">
        <is>
          <t>Other functional competencies</t>
        </is>
      </c>
      <c r="M6" s="70" t="inlineStr">
        <is>
          <t>Proficiency needed</t>
        </is>
      </c>
      <c r="N6" s="70" t="inlineStr">
        <is>
          <t>Credentials</t>
        </is>
      </c>
      <c r="O6" s="70" t="inlineStr">
        <is>
          <t>Overlap within Datatech · same work in other departments</t>
        </is>
      </c>
      <c r="P6" s="70" t="inlineStr">
        <is>
          <t>Overlap across IRIS · same work in other products</t>
        </is>
      </c>
    </row>
    <row r="7" ht="68" customHeight="1">
      <c r="A7" s="12" t="inlineStr">
        <is>
          <t>Datatech - Outreach</t>
        </is>
      </c>
      <c r="B7" s="17" t="inlineStr">
        <is>
          <t>A · Practitioner</t>
        </is>
      </c>
      <c r="C7" s="17" t="inlineStr">
        <is>
          <t>A2</t>
        </is>
      </c>
      <c r="D7" s="12" t="inlineStr">
        <is>
          <t>Associate</t>
        </is>
      </c>
      <c r="E7" s="12" t="inlineStr">
        <is>
          <t>Data &amp; Analytics</t>
        </is>
      </c>
      <c r="F7" s="12" t="inlineStr">
        <is>
          <t>MIS &amp; Business Reporting</t>
        </is>
      </c>
      <c r="G7" s="12" t="inlineStr">
        <is>
          <t>MIS Associate</t>
        </is>
      </c>
      <c r="H7" s="12" t="inlineStr">
        <is>
          <t>IC</t>
        </is>
      </c>
      <c r="I7" s="12" t="n">
        <v>1</v>
      </c>
      <c r="J7" s="12" t="inlineStr">
        <is>
          <r>
            <rPr>
              <rFont val="Calibri"/>
              <b val="1"/>
              <sz val="10"/>
            </rPr>
            <t>A2:</t>
          </r>
          <r>
            <rPr>
              <rFont val="Calibri"/>
              <sz val="10"/>
            </rPr>
            <t xml:space="preserve"> MIS Associate</t>
          </r>
        </is>
      </c>
      <c r="K7" s="12" t="inlineStr">
        <is>
          <t>Data Analytics, BI &amp; Visualisation · Database, SQL &amp; Data Engineering</t>
        </is>
      </c>
      <c r="L7" s="12" t="inlineStr">
        <is>
          <t>Advanced Excel &amp; Productivity Tools · Regulatory &amp; BFSI Domain · Process Improvement &amp; Quality Mindset · Accounting &amp; Reporting Standards · IFRS/US GAAP</t>
        </is>
      </c>
      <c r="M7" s="12" t="inlineStr">
        <is>
          <t>Core 2 · Future-ready 2 · Functional 2 · Leadership —</t>
        </is>
      </c>
      <c r="N7" s="12" t="inlineStr">
        <is>
          <t>Power BI / Tableau · optional; Database certifications · optional</t>
        </is>
      </c>
      <c r="O7" s="12" t="inlineStr">
        <is>
          <t>None — only this department</t>
        </is>
      </c>
      <c r="P7" s="12" t="inlineStr">
        <is>
          <t>None — only Datatech</t>
        </is>
      </c>
    </row>
    <row r="8" ht="55" customHeight="1">
      <c r="A8" s="12" t="inlineStr">
        <is>
          <t>Datatech - Outreach</t>
        </is>
      </c>
      <c r="B8" s="17" t="inlineStr">
        <is>
          <t>A · Practitioner</t>
        </is>
      </c>
      <c r="C8" s="17" t="inlineStr">
        <is>
          <t>A2</t>
        </is>
      </c>
      <c r="D8" s="12" t="inlineStr">
        <is>
          <t>Associate</t>
        </is>
      </c>
      <c r="E8" s="12" t="inlineStr">
        <is>
          <t>Sales &amp; Business Development</t>
        </is>
      </c>
      <c r="F8" s="12" t="inlineStr">
        <is>
          <t>Field Outreach &amp; Programme Sales</t>
        </is>
      </c>
      <c r="G8" s="12" t="inlineStr">
        <is>
          <t>Program Executive</t>
        </is>
      </c>
      <c r="H8" s="12" t="inlineStr">
        <is>
          <t>IC</t>
        </is>
      </c>
      <c r="I8" s="12" t="n">
        <v>2</v>
      </c>
      <c r="J8" s="12" t="inlineStr">
        <is>
          <r>
            <rPr>
              <rFont val="Calibri"/>
              <b val="1"/>
              <sz val="10"/>
            </rPr>
            <t>A2:</t>
          </r>
          <r>
            <rPr>
              <rFont val="Calibri"/>
              <sz val="10"/>
            </rPr>
            <t xml:space="preserve"> Program Executive → A3: Senior Program Executive → B2: Program Manager – Outreach / Senior Program Specialist – POD Lead</t>
          </r>
        </is>
      </c>
      <c r="K8" s="12" t="inlineStr">
        <is>
          <t>Sales, Negotiation &amp; Account Growth · Marketing Tech &amp; Digital Marketing</t>
        </is>
      </c>
      <c r="L8" s="12" t="inlineStr">
        <is>
          <t>Stakeholder &amp; Client Management · Communication &amp; Presentation · Product, Platform &amp; Domain Knowledge · Strategic Thinking &amp; Business Acumen</t>
        </is>
      </c>
      <c r="M8" s="12" t="inlineStr">
        <is>
          <t>Core 2 · Future-ready 2 · Functional 2 · Leadership —</t>
        </is>
      </c>
      <c r="N8" s="12" t="inlineStr">
        <is>
          <t>Google / HubSpot certifications</t>
        </is>
      </c>
      <c r="O8" s="12" t="inlineStr">
        <is>
          <t>None — only this department</t>
        </is>
      </c>
      <c r="P8" s="12" t="inlineStr">
        <is>
          <t>None — only Datatech</t>
        </is>
      </c>
    </row>
    <row r="9" ht="55" customHeight="1">
      <c r="A9" s="12" t="inlineStr">
        <is>
          <t>Datatech - Outreach</t>
        </is>
      </c>
      <c r="B9" s="17" t="inlineStr">
        <is>
          <t>A · Practitioner</t>
        </is>
      </c>
      <c r="C9" s="17" t="inlineStr">
        <is>
          <t>A3</t>
        </is>
      </c>
      <c r="D9" s="12" t="inlineStr">
        <is>
          <t>Senior Associate</t>
        </is>
      </c>
      <c r="E9" s="12" t="inlineStr">
        <is>
          <t>Sales &amp; Business Development</t>
        </is>
      </c>
      <c r="F9" s="12" t="inlineStr">
        <is>
          <t>Field Outreach &amp; Programme Sales</t>
        </is>
      </c>
      <c r="G9" s="12" t="inlineStr">
        <is>
          <t>Senior Program Executive</t>
        </is>
      </c>
      <c r="H9" s="12" t="inlineStr">
        <is>
          <t>IC</t>
        </is>
      </c>
      <c r="I9" s="12" t="n">
        <v>3</v>
      </c>
      <c r="J9" s="12" t="inlineStr">
        <is>
          <r>
            <rPr>
              <rFont val="Calibri"/>
              <b val="1"/>
              <sz val="10"/>
            </rPr>
            <t>A2:</t>
          </r>
          <r>
            <rPr>
              <rFont val="Calibri"/>
              <sz val="10"/>
            </rPr>
            <t xml:space="preserve"> Program Executive → A3: Senior Program Executive → B2: Program Manager – Outreach / Senior Program Specialist – POD Lead</t>
          </r>
        </is>
      </c>
      <c r="K9" s="12" t="inlineStr">
        <is>
          <t>Sales, Negotiation &amp; Account Growth · Marketing Tech &amp; Digital Marketing</t>
        </is>
      </c>
      <c r="L9" s="12" t="inlineStr">
        <is>
          <t>Stakeholder &amp; Client Management · Communication &amp; Presentation · Product, Platform &amp; Domain Knowledge · Strategic Thinking &amp; Business Acumen</t>
        </is>
      </c>
      <c r="M9" s="12" t="inlineStr">
        <is>
          <t>Core 2 · Future-ready 2 · Functional 3 · Leadership —</t>
        </is>
      </c>
      <c r="N9" s="12" t="inlineStr">
        <is>
          <t>Google / HubSpot certifications</t>
        </is>
      </c>
      <c r="O9" s="12" t="inlineStr">
        <is>
          <t>None — only this department</t>
        </is>
      </c>
      <c r="P9" s="12" t="inlineStr">
        <is>
          <t>None — only Datatech</t>
        </is>
      </c>
    </row>
    <row r="10" ht="55" customHeight="1">
      <c r="A10" s="12" t="inlineStr">
        <is>
          <t>Datatech - Outreach</t>
        </is>
      </c>
      <c r="B10" s="21" t="inlineStr">
        <is>
          <t>B · Specialist / Manager</t>
        </is>
      </c>
      <c r="C10" s="21" t="inlineStr">
        <is>
          <t>B2</t>
        </is>
      </c>
      <c r="D10" s="12" t="inlineStr">
        <is>
          <t>Manager</t>
        </is>
      </c>
      <c r="E10" s="12" t="inlineStr">
        <is>
          <t>Sales &amp; Business Development</t>
        </is>
      </c>
      <c r="F10" s="12" t="inlineStr">
        <is>
          <t>Field Outreach &amp; Programme Sales</t>
        </is>
      </c>
      <c r="G10" s="12" t="inlineStr">
        <is>
          <t>Program Manager – Outreach</t>
        </is>
      </c>
      <c r="H10" s="12" t="inlineStr">
        <is>
          <t>People Manager</t>
        </is>
      </c>
      <c r="I10" s="12" t="n">
        <v>1</v>
      </c>
      <c r="J10" s="12" t="inlineStr">
        <is>
          <r>
            <rPr>
              <rFont val="Calibri"/>
              <b val="1"/>
              <sz val="10"/>
            </rPr>
            <t>A2:</t>
          </r>
          <r>
            <rPr>
              <rFont val="Calibri"/>
              <sz val="10"/>
            </rPr>
            <t xml:space="preserve"> Program Executive → A3: Senior Program Executive → B2: Program Manager – Outreach / Senior Program Specialist – POD Lead</t>
          </r>
        </is>
      </c>
      <c r="K10" s="12" t="inlineStr">
        <is>
          <t>Sales, Negotiation &amp; Account Growth · Marketing Tech &amp; Digital Marketing</t>
        </is>
      </c>
      <c r="L10" s="12" t="inlineStr">
        <is>
          <t>Stakeholder &amp; Client Management · Communication &amp; Presentation · Product, Platform &amp; Domain Knowledge · Strategic Thinking &amp; Business Acumen</t>
        </is>
      </c>
      <c r="M10" s="12" t="inlineStr">
        <is>
          <t>Core 3 · Future-ready 3 · Functional 4 · Leadership 3</t>
        </is>
      </c>
      <c r="N10" s="12" t="inlineStr">
        <is>
          <t>Google / HubSpot certifications</t>
        </is>
      </c>
      <c r="O10" s="12" t="inlineStr">
        <is>
          <t>None — only this department</t>
        </is>
      </c>
      <c r="P10" s="12" t="inlineStr">
        <is>
          <t>None — only Datatech</t>
        </is>
      </c>
    </row>
    <row r="11" ht="55" customHeight="1">
      <c r="A11" s="12" t="inlineStr">
        <is>
          <t>Datatech - Outreach</t>
        </is>
      </c>
      <c r="B11" s="21" t="inlineStr">
        <is>
          <t>B · Specialist / Manager</t>
        </is>
      </c>
      <c r="C11" s="21" t="inlineStr">
        <is>
          <t>B2</t>
        </is>
      </c>
      <c r="D11" s="12" t="inlineStr">
        <is>
          <t>Senior Specialist · POD Lead</t>
        </is>
      </c>
      <c r="E11" s="12" t="inlineStr">
        <is>
          <t>Sales &amp; Business Development</t>
        </is>
      </c>
      <c r="F11" s="12" t="inlineStr">
        <is>
          <t>Field Outreach &amp; Programme Sales</t>
        </is>
      </c>
      <c r="G11" s="12" t="inlineStr">
        <is>
          <t>Senior Program Specialist – POD Lead</t>
        </is>
      </c>
      <c r="H11" s="12" t="inlineStr">
        <is>
          <t>POD Lead</t>
        </is>
      </c>
      <c r="I11" s="12" t="n">
        <v>1</v>
      </c>
      <c r="J11" s="12" t="inlineStr">
        <is>
          <r>
            <rPr>
              <rFont val="Calibri"/>
              <b val="1"/>
              <sz val="10"/>
            </rPr>
            <t>A2:</t>
          </r>
          <r>
            <rPr>
              <rFont val="Calibri"/>
              <sz val="10"/>
            </rPr>
            <t xml:space="preserve"> Program Executive → A3: Senior Program Executive → B2: Program Manager – Outreach / Senior Program Specialist – POD Lead</t>
          </r>
        </is>
      </c>
      <c r="K11" s="12" t="inlineStr">
        <is>
          <t>Sales, Negotiation &amp; Account Growth · Marketing Tech &amp; Digital Marketing</t>
        </is>
      </c>
      <c r="L11" s="12" t="inlineStr">
        <is>
          <t>Stakeholder &amp; Client Management · Communication &amp; Presentation · Product, Platform &amp; Domain Knowledge · Strategic Thinking &amp; Business Acumen</t>
        </is>
      </c>
      <c r="M11" s="12" t="inlineStr">
        <is>
          <t>Core 3 · Future-ready 3 · Functional 4 · Leadership 2</t>
        </is>
      </c>
      <c r="N11" s="12" t="inlineStr">
        <is>
          <t>Google / HubSpot certifications</t>
        </is>
      </c>
      <c r="O11" s="12" t="inlineStr">
        <is>
          <t>None — only this department</t>
        </is>
      </c>
      <c r="P11" s="12" t="inlineStr">
        <is>
          <t>None — only Datatech</t>
        </is>
      </c>
    </row>
    <row r="12" ht="55" customHeight="1">
      <c r="A12" s="12" t="inlineStr">
        <is>
          <t>Datatech Business Head</t>
        </is>
      </c>
      <c r="B12" s="29" t="inlineStr">
        <is>
          <t>D · Business leadership</t>
        </is>
      </c>
      <c r="C12" s="29" t="inlineStr">
        <is>
          <t>D2</t>
        </is>
      </c>
      <c r="D12" s="12" t="inlineStr">
        <is>
          <t>Vice President</t>
        </is>
      </c>
      <c r="E12" s="12" t="inlineStr">
        <is>
          <t>Executive Leadership</t>
        </is>
      </c>
      <c r="F12" s="12" t="inlineStr">
        <is>
          <t>Business &amp; Functional Leadership</t>
        </is>
      </c>
      <c r="G12" s="12" t="inlineStr">
        <is>
          <t>Business Head – DataTech</t>
        </is>
      </c>
      <c r="H12" s="12" t="inlineStr">
        <is>
          <t>People Manager</t>
        </is>
      </c>
      <c r="I12" s="12" t="n">
        <v>1</v>
      </c>
      <c r="J12" s="12" t="inlineStr">
        <is>
          <r>
            <rPr>
              <rFont val="Calibri"/>
              <b val="1"/>
              <sz val="10"/>
            </rPr>
            <t>D2:</t>
          </r>
          <r>
            <rPr>
              <rFont val="Calibri"/>
              <sz val="10"/>
            </rPr>
            <t xml:space="preserve"> Business Head – DataTech</t>
          </r>
        </is>
      </c>
      <c r="K12" s="12" t="inlineStr">
        <is>
          <t>Strategic Thinking &amp; Business Acumen · People Leadership &amp; Mentoring</t>
        </is>
      </c>
      <c r="L12" s="12" t="inlineStr">
        <is>
          <t>Stakeholder &amp; Client Management · Product, Platform &amp; Domain Knowledge · Regulatory &amp; BFSI Domain · Communication &amp; Presentation</t>
        </is>
      </c>
      <c r="M12" s="12" t="inlineStr">
        <is>
          <t>Core 5 · Future-ready 4 · Functional 4 · Leadership 5</t>
        </is>
      </c>
      <c r="N12" s="12" t="inlineStr">
        <is>
          <t>MBA / PGDM · preferred at C+</t>
        </is>
      </c>
      <c r="O12" s="12" t="inlineStr">
        <is>
          <t>None — only this department</t>
        </is>
      </c>
      <c r="P12" s="17" t="inlineStr">
        <is>
          <r>
            <rPr>
              <rFont val="Calibri"/>
              <sz val="10"/>
            </rPr>
            <t xml:space="preserve">CARBON 1 · iFile 1
</t>
          </r>
          <r>
            <rPr>
              <rFont val="Calibri"/>
              <b val="1"/>
              <sz val="10"/>
            </rPr>
            <t>Titled there:</t>
          </r>
          <r>
            <rPr>
              <rFont val="Calibri"/>
              <sz val="10"/>
            </rPr>
            <t xml:space="preserve"> Business Head / Business Head – SupTech &amp; Bank-RegTech</t>
          </r>
        </is>
      </c>
    </row>
    <row r="13" ht="68" customHeight="1">
      <c r="A13" s="12" t="inlineStr">
        <is>
          <t>Marketing</t>
        </is>
      </c>
      <c r="B13" s="17" t="inlineStr">
        <is>
          <t>A · Practitioner</t>
        </is>
      </c>
      <c r="C13" s="17" t="inlineStr">
        <is>
          <t>A2</t>
        </is>
      </c>
      <c r="D13" s="12" t="inlineStr">
        <is>
          <t>Associate</t>
        </is>
      </c>
      <c r="E13" s="12" t="inlineStr">
        <is>
          <t>Design &amp; Creative</t>
        </is>
      </c>
      <c r="F13" s="12" t="inlineStr">
        <is>
          <t>Brand, Graphic &amp; Video Design</t>
        </is>
      </c>
      <c r="G13" s="12" t="inlineStr">
        <is>
          <t>Designer</t>
        </is>
      </c>
      <c r="H13" s="12" t="inlineStr">
        <is>
          <t>IC</t>
        </is>
      </c>
      <c r="I13" s="12" t="n">
        <v>1</v>
      </c>
      <c r="J13" s="12" t="inlineStr">
        <is>
          <r>
            <rPr>
              <rFont val="Calibri"/>
              <b val="1"/>
              <sz val="10"/>
            </rPr>
            <t>A2:</t>
          </r>
          <r>
            <rPr>
              <rFont val="Calibri"/>
              <sz val="10"/>
            </rPr>
            <t xml:space="preserve"> Designer</t>
          </r>
        </is>
      </c>
      <c r="K13" s="12" t="inlineStr">
        <is>
          <t>Product, Platform &amp; Domain Knowledge · Communication &amp; Presentation</t>
        </is>
      </c>
      <c r="L13" s="12" t="inlineStr">
        <is>
          <t>Marketing Tech &amp; Digital Marketing · Process Improvement &amp; Quality Mindset · AI, GenAI &amp; Prompt Engineering · Stakeholder &amp; Client Management</t>
        </is>
      </c>
      <c r="M13" s="12" t="inlineStr">
        <is>
          <t>Core 2 · Future-ready 2 · Functional 2 · Leadership —</t>
        </is>
      </c>
      <c r="N13" s="12" t="inlineStr">
        <is>
          <t>Internal product certification</t>
        </is>
      </c>
      <c r="O13" s="12" t="inlineStr">
        <is>
          <t>None — only this department</t>
        </is>
      </c>
      <c r="P13" s="12" t="inlineStr">
        <is>
          <t>None — only Datatech</t>
        </is>
      </c>
    </row>
    <row r="14" ht="68" customHeight="1">
      <c r="A14" s="12" t="inlineStr">
        <is>
          <t>Marketing</t>
        </is>
      </c>
      <c r="B14" s="17" t="inlineStr">
        <is>
          <t>A · Practitioner</t>
        </is>
      </c>
      <c r="C14" s="17" t="inlineStr">
        <is>
          <t>A3</t>
        </is>
      </c>
      <c r="D14" s="12" t="inlineStr">
        <is>
          <t>Senior Associate</t>
        </is>
      </c>
      <c r="E14" s="12" t="inlineStr">
        <is>
          <t>Marketing &amp; Communications</t>
        </is>
      </c>
      <c r="F14" s="12" t="inlineStr">
        <is>
          <t>Content Marketing</t>
        </is>
      </c>
      <c r="G14" s="12" t="inlineStr">
        <is>
          <t>Senior Content Marketing Associate</t>
        </is>
      </c>
      <c r="H14" s="12" t="inlineStr">
        <is>
          <t>IC</t>
        </is>
      </c>
      <c r="I14" s="12" t="n">
        <v>1</v>
      </c>
      <c r="J14" s="12" t="inlineStr">
        <is>
          <r>
            <rPr>
              <rFont val="Calibri"/>
              <b val="1"/>
              <sz val="10"/>
            </rPr>
            <t>A3:</t>
          </r>
          <r>
            <rPr>
              <rFont val="Calibri"/>
              <sz val="10"/>
            </rPr>
            <t xml:space="preserve"> Senior Content Marketing Associate</t>
          </r>
        </is>
      </c>
      <c r="K14" s="12" t="inlineStr">
        <is>
          <t>Marketing Tech &amp; Digital Marketing · Communication &amp; Presentation</t>
        </is>
      </c>
      <c r="L14" s="12" t="inlineStr">
        <is>
          <t>Data Analytics, BI &amp; Visualisation · AI, GenAI &amp; Prompt Engineering · Product, Platform &amp; Domain Knowledge · Strategic Thinking &amp; Business Acumen</t>
        </is>
      </c>
      <c r="M14" s="12" t="inlineStr">
        <is>
          <t>Core 2 · Future-ready 2 · Functional 3 · Leadership —</t>
        </is>
      </c>
      <c r="N14" s="12" t="inlineStr">
        <is>
          <t>Google / HubSpot certifications</t>
        </is>
      </c>
      <c r="O14" s="12" t="inlineStr">
        <is>
          <t>None — only this department</t>
        </is>
      </c>
      <c r="P14" s="17" t="inlineStr">
        <is>
          <t>CARBON 1
Same title</t>
        </is>
      </c>
    </row>
    <row r="15" ht="68" customHeight="1">
      <c r="A15" s="12" t="inlineStr">
        <is>
          <t>Marketing</t>
        </is>
      </c>
      <c r="B15" s="17" t="inlineStr">
        <is>
          <t>A · Practitioner</t>
        </is>
      </c>
      <c r="C15" s="17" t="inlineStr">
        <is>
          <t>A3</t>
        </is>
      </c>
      <c r="D15" s="12" t="inlineStr">
        <is>
          <t>Senior Associate</t>
        </is>
      </c>
      <c r="E15" s="12" t="inlineStr">
        <is>
          <t>Marketing &amp; Communications</t>
        </is>
      </c>
      <c r="F15" s="12" t="inlineStr">
        <is>
          <t>Digital Marketing, Web &amp; Social</t>
        </is>
      </c>
      <c r="G15" s="12" t="inlineStr">
        <is>
          <t>Senior Digital Marketing Associate</t>
        </is>
      </c>
      <c r="H15" s="12" t="inlineStr">
        <is>
          <t>IC</t>
        </is>
      </c>
      <c r="I15" s="12" t="n">
        <v>1</v>
      </c>
      <c r="J15" s="12" t="inlineStr">
        <is>
          <r>
            <rPr>
              <rFont val="Calibri"/>
              <b val="1"/>
              <sz val="10"/>
            </rPr>
            <t>A3:</t>
          </r>
          <r>
            <rPr>
              <rFont val="Calibri"/>
              <sz val="10"/>
            </rPr>
            <t xml:space="preserve"> Senior Digital Marketing Associate</t>
          </r>
        </is>
      </c>
      <c r="K15" s="12" t="inlineStr">
        <is>
          <t>Marketing Tech &amp; Digital Marketing · Communication &amp; Presentation</t>
        </is>
      </c>
      <c r="L15" s="12" t="inlineStr">
        <is>
          <t>Data Analytics, BI &amp; Visualisation · AI, GenAI &amp; Prompt Engineering · Product, Platform &amp; Domain Knowledge · Strategic Thinking &amp; Business Acumen</t>
        </is>
      </c>
      <c r="M15" s="12" t="inlineStr">
        <is>
          <t>Core 2 · Future-ready 2 · Functional 3 · Leadership —</t>
        </is>
      </c>
      <c r="N15" s="12" t="inlineStr">
        <is>
          <t>Google / HubSpot certifications</t>
        </is>
      </c>
      <c r="O15" s="12" t="inlineStr">
        <is>
          <t>None — only this department</t>
        </is>
      </c>
      <c r="P15" s="17" t="inlineStr">
        <is>
          <t>CARBON 1
Same title</t>
        </is>
      </c>
    </row>
    <row r="16" ht="68" customHeight="1">
      <c r="A16" s="12" t="inlineStr">
        <is>
          <t>Marketing</t>
        </is>
      </c>
      <c r="B16" s="21" t="inlineStr">
        <is>
          <t>B · Specialist / Manager</t>
        </is>
      </c>
      <c r="C16" s="21" t="inlineStr">
        <is>
          <t>B2</t>
        </is>
      </c>
      <c r="D16" s="12" t="inlineStr">
        <is>
          <t>Senior Specialist · POD Lead</t>
        </is>
      </c>
      <c r="E16" s="12" t="inlineStr">
        <is>
          <t>Marketing &amp; Communications</t>
        </is>
      </c>
      <c r="F16" s="12" t="inlineStr">
        <is>
          <t>Marketing Leadership</t>
        </is>
      </c>
      <c r="G16" s="12" t="inlineStr">
        <is>
          <t>Marketing Specialist – POD Lead</t>
        </is>
      </c>
      <c r="H16" s="12" t="inlineStr">
        <is>
          <t>POD Lead</t>
        </is>
      </c>
      <c r="I16" s="12" t="n">
        <v>1</v>
      </c>
      <c r="J16" s="12" t="inlineStr">
        <is>
          <r>
            <rPr>
              <rFont val="Calibri"/>
              <b val="1"/>
              <sz val="10"/>
            </rPr>
            <t>B2:</t>
          </r>
          <r>
            <rPr>
              <rFont val="Calibri"/>
              <sz val="10"/>
            </rPr>
            <t xml:space="preserve"> Marketing Specialist – POD Lead</t>
          </r>
        </is>
      </c>
      <c r="K16" s="12" t="inlineStr">
        <is>
          <t>Marketing Tech &amp; Digital Marketing · Communication &amp; Presentation</t>
        </is>
      </c>
      <c r="L16" s="12" t="inlineStr">
        <is>
          <t>Data Analytics, BI &amp; Visualisation · AI, GenAI &amp; Prompt Engineering · Product, Platform &amp; Domain Knowledge · Strategic Thinking &amp; Business Acumen</t>
        </is>
      </c>
      <c r="M16" s="12" t="inlineStr">
        <is>
          <t>Core 3 · Future-ready 3 · Functional 4 · Leadership 2</t>
        </is>
      </c>
      <c r="N16" s="12" t="inlineStr">
        <is>
          <t>Google / HubSpot certifications</t>
        </is>
      </c>
      <c r="O16" s="12" t="inlineStr">
        <is>
          <t>None — only this department</t>
        </is>
      </c>
      <c r="P16" s="12" t="inlineStr">
        <is>
          <t>None — only Datatech</t>
        </is>
      </c>
    </row>
    <row r="17" ht="68" customHeight="1">
      <c r="A17" s="12" t="inlineStr">
        <is>
          <t>Marketing</t>
        </is>
      </c>
      <c r="B17" s="33" t="inlineStr">
        <is>
          <t>X · Consultant</t>
        </is>
      </c>
      <c r="C17" s="33" t="inlineStr">
        <is>
          <t>X1</t>
        </is>
      </c>
      <c r="D17" s="12" t="inlineStr">
        <is>
          <t>Associate Consultant</t>
        </is>
      </c>
      <c r="E17" s="12" t="inlineStr">
        <is>
          <t>Marketing &amp; Communications</t>
        </is>
      </c>
      <c r="F17" s="12" t="inlineStr">
        <is>
          <t>Marketing · role not recorded</t>
        </is>
      </c>
      <c r="G17" s="12" t="inlineStr">
        <is>
          <t>Associate Consultant – Demand Generation, Brand &amp; Events</t>
        </is>
      </c>
      <c r="H17" s="12" t="inlineStr">
        <is>
          <t>Consultant</t>
        </is>
      </c>
      <c r="I17" s="12" t="n">
        <v>1</v>
      </c>
      <c r="J17" s="12" t="inlineStr">
        <is>
          <r>
            <rPr>
              <rFont val="Calibri"/>
              <b val="1"/>
              <sz val="10"/>
            </rPr>
            <t>X1:</t>
          </r>
          <r>
            <rPr>
              <rFont val="Calibri"/>
              <sz val="10"/>
            </rPr>
            <t xml:space="preserve"> Associate Consultant – Demand Generation, Brand &amp; Events</t>
          </r>
        </is>
      </c>
      <c r="K17" s="12" t="inlineStr">
        <is>
          <t>Marketing Tech &amp; Digital Marketing · Communication &amp; Presentation</t>
        </is>
      </c>
      <c r="L17" s="12" t="inlineStr">
        <is>
          <t>Data Analytics, BI &amp; Visualisation · AI, GenAI &amp; Prompt Engineering · Product, Platform &amp; Domain Knowledge · Strategic Thinking &amp; Business Acumen</t>
        </is>
      </c>
      <c r="M17" s="12" t="inlineStr">
        <is>
          <t>Per statement of work</t>
        </is>
      </c>
      <c r="N17" s="12" t="inlineStr">
        <is>
          <t>Google / HubSpot certifications</t>
        </is>
      </c>
      <c r="O17" s="12" t="inlineStr">
        <is>
          <t>None — only this department</t>
        </is>
      </c>
      <c r="P17" s="12" t="inlineStr">
        <is>
          <t>None — only Datatech</t>
        </is>
      </c>
    </row>
    <row r="18" ht="29" customHeight="1">
      <c r="A18" s="12" t="inlineStr">
        <is>
          <t>Not provided · HRIS</t>
        </is>
      </c>
      <c r="B18" s="33" t="inlineStr">
        <is>
          <t>X · Consultant</t>
        </is>
      </c>
      <c r="C18" s="33" t="inlineStr">
        <is>
          <t>X1</t>
        </is>
      </c>
      <c r="D18" s="12" t="inlineStr">
        <is>
          <t>Associate Consultant</t>
        </is>
      </c>
      <c r="E18" s="12" t="inlineStr">
        <is>
          <t>Unassigned</t>
        </is>
      </c>
      <c r="F18" s="12" t="inlineStr">
        <is>
          <t>Role not recorded · external consultant</t>
        </is>
      </c>
      <c r="G18" s="12" t="inlineStr">
        <is>
          <t>Associate Consultant – Software Development</t>
        </is>
      </c>
      <c r="H18" s="12" t="inlineStr">
        <is>
          <t>Consultant</t>
        </is>
      </c>
      <c r="I18" s="12" t="n">
        <v>2</v>
      </c>
      <c r="J18" s="12" t="inlineStr">
        <is>
          <r>
            <rPr>
              <rFont val="Calibri"/>
              <b val="1"/>
              <sz val="10"/>
            </rPr>
            <t>X1:</t>
          </r>
          <r>
            <rPr>
              <rFont val="Calibri"/>
              <sz val="10"/>
            </rPr>
            <t xml:space="preserve"> Associate Consultant – Software Development</t>
          </r>
        </is>
      </c>
      <c r="K18" s="12" t="inlineStr">
        <is>
          <t>—</t>
        </is>
      </c>
      <c r="L18" s="12" t="inlineStr">
        <is>
          <t>—</t>
        </is>
      </c>
      <c r="M18" s="12" t="inlineStr">
        <is>
          <t>Per statement of work</t>
        </is>
      </c>
      <c r="N18" s="12" t="inlineStr">
        <is>
          <t>—</t>
        </is>
      </c>
      <c r="O18" s="12" t="inlineStr">
        <is>
          <t>None — only this department</t>
        </is>
      </c>
      <c r="P18" s="12" t="inlineStr">
        <is>
          <t>None — only Datatech</t>
        </is>
      </c>
    </row>
    <row r="19" ht="55" customHeight="1">
      <c r="A19" s="12" t="inlineStr">
        <is>
          <t>Product Management</t>
        </is>
      </c>
      <c r="B19" s="21" t="inlineStr">
        <is>
          <t>B · Specialist / Manager</t>
        </is>
      </c>
      <c r="C19" s="21" t="inlineStr">
        <is>
          <t>B1</t>
        </is>
      </c>
      <c r="D19" s="12" t="inlineStr">
        <is>
          <t>Specialist</t>
        </is>
      </c>
      <c r="E19" s="12" t="inlineStr">
        <is>
          <t>Product Management</t>
        </is>
      </c>
      <c r="F19" s="12" t="inlineStr">
        <is>
          <t>Product Management</t>
        </is>
      </c>
      <c r="G19" s="12" t="inlineStr">
        <is>
          <t>Associate Product Manager</t>
        </is>
      </c>
      <c r="H19" s="12" t="inlineStr">
        <is>
          <t>IC</t>
        </is>
      </c>
      <c r="I19" s="12" t="n">
        <v>2</v>
      </c>
      <c r="J19" s="12" t="inlineStr">
        <is>
          <r>
            <rPr>
              <rFont val="Calibri"/>
              <b val="1"/>
              <sz val="10"/>
            </rPr>
            <t>B1:</t>
          </r>
          <r>
            <rPr>
              <rFont val="Calibri"/>
              <sz val="10"/>
            </rPr>
            <t xml:space="preserve"> Associate Product Manager → B2: Product Manager</t>
          </r>
        </is>
      </c>
      <c r="K19" s="12" t="inlineStr">
        <is>
          <t>Product, Platform &amp; Domain Knowledge · Business Analysis &amp; Requirements Engineering</t>
        </is>
      </c>
      <c r="L19" s="12" t="inlineStr">
        <is>
          <t>Data Analytics, BI &amp; Visualisation · Strategic Thinking &amp; Business Acumen · Stakeholder &amp; Client Management · AI, GenAI &amp; Prompt Engineering</t>
        </is>
      </c>
      <c r="M19" s="12" t="inlineStr">
        <is>
          <t>Core 3 · Future-ready 3 · Functional 3 · Leadership 1</t>
        </is>
      </c>
      <c r="N19" s="12" t="inlineStr">
        <is>
          <t>Internal product certification; CBAP / CCBA · optional</t>
        </is>
      </c>
      <c r="O19" s="12" t="inlineStr">
        <is>
          <t>None — only this department</t>
        </is>
      </c>
      <c r="P19" s="17" t="inlineStr">
        <is>
          <r>
            <rPr>
              <rFont val="Calibri"/>
              <sz val="10"/>
            </rPr>
            <t xml:space="preserve">CARBON 3
</t>
          </r>
          <r>
            <rPr>
              <rFont val="Calibri"/>
              <b val="1"/>
              <sz val="10"/>
            </rPr>
            <t>Titled there:</t>
          </r>
          <r>
            <rPr>
              <rFont val="Calibri"/>
              <sz val="10"/>
            </rPr>
            <t xml:space="preserve"> Associate Product Manager – POD Lead</t>
          </r>
        </is>
      </c>
    </row>
    <row r="20" ht="55" customHeight="1">
      <c r="A20" s="12" t="inlineStr">
        <is>
          <t>Product Management</t>
        </is>
      </c>
      <c r="B20" s="21" t="inlineStr">
        <is>
          <t>B · Specialist / Manager</t>
        </is>
      </c>
      <c r="C20" s="21" t="inlineStr">
        <is>
          <t>B2</t>
        </is>
      </c>
      <c r="D20" s="12" t="inlineStr">
        <is>
          <t>Manager</t>
        </is>
      </c>
      <c r="E20" s="12" t="inlineStr">
        <is>
          <t>Product Management</t>
        </is>
      </c>
      <c r="F20" s="12" t="inlineStr">
        <is>
          <t>Product Management</t>
        </is>
      </c>
      <c r="G20" s="12" t="inlineStr">
        <is>
          <t>Product Manager</t>
        </is>
      </c>
      <c r="H20" s="12" t="inlineStr">
        <is>
          <t>People Manager</t>
        </is>
      </c>
      <c r="I20" s="12" t="n">
        <v>1</v>
      </c>
      <c r="J20" s="12" t="inlineStr">
        <is>
          <r>
            <rPr>
              <rFont val="Calibri"/>
              <b val="1"/>
              <sz val="10"/>
            </rPr>
            <t>B1:</t>
          </r>
          <r>
            <rPr>
              <rFont val="Calibri"/>
              <sz val="10"/>
            </rPr>
            <t xml:space="preserve"> Associate Product Manager → B2: Product Manager</t>
          </r>
        </is>
      </c>
      <c r="K20" s="12" t="inlineStr">
        <is>
          <t>Product, Platform &amp; Domain Knowledge · Business Analysis &amp; Requirements Engineering</t>
        </is>
      </c>
      <c r="L20" s="12" t="inlineStr">
        <is>
          <t>Data Analytics, BI &amp; Visualisation · Strategic Thinking &amp; Business Acumen · Stakeholder &amp; Client Management · AI, GenAI &amp; Prompt Engineering</t>
        </is>
      </c>
      <c r="M20" s="12" t="inlineStr">
        <is>
          <t>Core 3 · Future-ready 3 · Functional 4 · Leadership 3</t>
        </is>
      </c>
      <c r="N20" s="12" t="inlineStr">
        <is>
          <t>Internal product certification; CBAP / CCBA · optional</t>
        </is>
      </c>
      <c r="O20" s="12" t="inlineStr">
        <is>
          <t>None — only this department</t>
        </is>
      </c>
      <c r="P20" s="17" t="inlineStr">
        <is>
          <t>iDEAL 2 · CARBON 1
Same title</t>
        </is>
      </c>
    </row>
    <row r="21" ht="55" customHeight="1">
      <c r="A21" s="12" t="inlineStr">
        <is>
          <t>Product Management</t>
        </is>
      </c>
      <c r="B21" s="21" t="inlineStr">
        <is>
          <t>B · Specialist / Manager</t>
        </is>
      </c>
      <c r="C21" s="21" t="inlineStr">
        <is>
          <t>B2</t>
        </is>
      </c>
      <c r="D21" s="12" t="inlineStr">
        <is>
          <t>Senior Specialist</t>
        </is>
      </c>
      <c r="E21" s="12" t="inlineStr">
        <is>
          <t>Product Management</t>
        </is>
      </c>
      <c r="F21" s="12" t="inlineStr">
        <is>
          <t>Product Management</t>
        </is>
      </c>
      <c r="G21" s="12" t="inlineStr">
        <is>
          <t>Product Manager</t>
        </is>
      </c>
      <c r="H21" s="12" t="inlineStr">
        <is>
          <t>IC</t>
        </is>
      </c>
      <c r="I21" s="12" t="n">
        <v>2</v>
      </c>
      <c r="J21" s="12" t="inlineStr">
        <is>
          <r>
            <rPr>
              <rFont val="Calibri"/>
              <b val="1"/>
              <sz val="10"/>
            </rPr>
            <t>B1:</t>
          </r>
          <r>
            <rPr>
              <rFont val="Calibri"/>
              <sz val="10"/>
            </rPr>
            <t xml:space="preserve"> Associate Product Manager → B2: Product Manager</t>
          </r>
        </is>
      </c>
      <c r="K21" s="12" t="inlineStr">
        <is>
          <t>Product, Platform &amp; Domain Knowledge · Business Analysis &amp; Requirements Engineering</t>
        </is>
      </c>
      <c r="L21" s="12" t="inlineStr">
        <is>
          <t>Data Analytics, BI &amp; Visualisation · Strategic Thinking &amp; Business Acumen · Stakeholder &amp; Client Management · AI, GenAI &amp; Prompt Engineering</t>
        </is>
      </c>
      <c r="M21" s="12" t="inlineStr">
        <is>
          <t>Core 3 · Future-ready 3 · Functional 4 · Leadership 2</t>
        </is>
      </c>
      <c r="N21" s="12" t="inlineStr">
        <is>
          <t>Internal product certification; CBAP / CCBA · optional</t>
        </is>
      </c>
      <c r="O21" s="12" t="inlineStr">
        <is>
          <t>None — only this department</t>
        </is>
      </c>
      <c r="P21" s="17" t="inlineStr">
        <is>
          <t>iDEAL 2 · CARBON 1
Same title</t>
        </is>
      </c>
    </row>
    <row r="22" ht="55" customHeight="1">
      <c r="A22" s="12" t="inlineStr">
        <is>
          <t>Quality Assurance</t>
        </is>
      </c>
      <c r="B22" s="17" t="inlineStr">
        <is>
          <t>A · Practitioner</t>
        </is>
      </c>
      <c r="C22" s="17" t="inlineStr">
        <is>
          <t>A3</t>
        </is>
      </c>
      <c r="D22" s="12" t="inlineStr">
        <is>
          <t>Senior Associate</t>
        </is>
      </c>
      <c r="E22" s="12" t="inlineStr">
        <is>
          <t>Quality Assurance</t>
        </is>
      </c>
      <c r="F22" s="12" t="inlineStr">
        <is>
          <t>Functional &amp; Domain Testing</t>
        </is>
      </c>
      <c r="G22" s="12" t="inlineStr">
        <is>
          <t>Senior QA Engineer</t>
        </is>
      </c>
      <c r="H22" s="12" t="inlineStr">
        <is>
          <t>IC</t>
        </is>
      </c>
      <c r="I22" s="12" t="n">
        <v>1</v>
      </c>
      <c r="J22" s="12" t="inlineStr">
        <is>
          <r>
            <rPr>
              <rFont val="Calibri"/>
              <b val="1"/>
              <sz val="10"/>
            </rPr>
            <t>A3:</t>
          </r>
          <r>
            <rPr>
              <rFont val="Calibri"/>
              <sz val="10"/>
            </rPr>
            <t xml:space="preserve"> Senior QA Engineer</t>
          </r>
        </is>
      </c>
      <c r="K22" s="12" t="inlineStr">
        <is>
          <t>Test Automation &amp; QA Engineering · Product, Platform &amp; Domain Knowledge</t>
        </is>
      </c>
      <c r="L22" s="12" t="inlineStr">
        <is>
          <t>Database, SQL &amp; Data Engineering · AI, GenAI &amp; Prompt Engineering · Process Improvement &amp; Quality Mindset · Communication &amp; Presentation</t>
        </is>
      </c>
      <c r="M22" s="12" t="inlineStr">
        <is>
          <t>Core 2 · Future-ready 2 · Functional 3 · Leadership —</t>
        </is>
      </c>
      <c r="N22" s="12" t="inlineStr">
        <is>
          <t>ISTQB Foundation / Advanced; Internal product certification</t>
        </is>
      </c>
      <c r="O22" s="12" t="inlineStr">
        <is>
          <t>None — only this department</t>
        </is>
      </c>
      <c r="P22" s="17" t="inlineStr">
        <is>
          <r>
            <rPr>
              <rFont val="Calibri"/>
              <sz val="10"/>
            </rPr>
            <t xml:space="preserve">iFile 11 · CARBON 7 · iDEAL 1
</t>
          </r>
          <r>
            <rPr>
              <rFont val="Calibri"/>
              <b val="1"/>
              <sz val="10"/>
            </rPr>
            <t>Titled there:</t>
          </r>
          <r>
            <rPr>
              <rFont val="Calibri"/>
              <sz val="10"/>
            </rPr>
            <t xml:space="preserve"> QA Specialist / Senior QA Engineer</t>
          </r>
        </is>
      </c>
    </row>
    <row r="23" ht="55" customHeight="1">
      <c r="A23" s="12" t="inlineStr">
        <is>
          <t>Quality Assurance</t>
        </is>
      </c>
      <c r="B23" s="17" t="inlineStr">
        <is>
          <t>A · Practitioner</t>
        </is>
      </c>
      <c r="C23" s="17" t="inlineStr">
        <is>
          <t>A3</t>
        </is>
      </c>
      <c r="D23" s="12" t="inlineStr">
        <is>
          <t>Senior Associate</t>
        </is>
      </c>
      <c r="E23" s="12" t="inlineStr">
        <is>
          <t>Quality Assurance</t>
        </is>
      </c>
      <c r="F23" s="12" t="inlineStr">
        <is>
          <t>Test Automation</t>
        </is>
      </c>
      <c r="G23" s="12" t="inlineStr">
        <is>
          <t>Senior QA Automation Engineer</t>
        </is>
      </c>
      <c r="H23" s="12" t="inlineStr">
        <is>
          <t>IC</t>
        </is>
      </c>
      <c r="I23" s="12" t="n">
        <v>1</v>
      </c>
      <c r="J23" s="12" t="inlineStr">
        <is>
          <r>
            <rPr>
              <rFont val="Calibri"/>
              <b val="1"/>
              <sz val="10"/>
            </rPr>
            <t>A3:</t>
          </r>
          <r>
            <rPr>
              <rFont val="Calibri"/>
              <sz val="10"/>
            </rPr>
            <t xml:space="preserve"> Senior QA Automation Engineer</t>
          </r>
        </is>
      </c>
      <c r="K23" s="12" t="inlineStr">
        <is>
          <t>Test Automation &amp; QA Engineering · Product, Platform &amp; Domain Knowledge</t>
        </is>
      </c>
      <c r="L23" s="12" t="inlineStr">
        <is>
          <t>Database, SQL &amp; Data Engineering · AI, GenAI &amp; Prompt Engineering · Process Improvement &amp; Quality Mindset · Communication &amp; Presentation</t>
        </is>
      </c>
      <c r="M23" s="12" t="inlineStr">
        <is>
          <t>Core 2 · Future-ready 2 · Functional 3 · Leadership —</t>
        </is>
      </c>
      <c r="N23" s="12" t="inlineStr">
        <is>
          <t>ISTQB Foundation / Advanced; Internal product certification</t>
        </is>
      </c>
      <c r="O23" s="12" t="inlineStr">
        <is>
          <t>None — only this department</t>
        </is>
      </c>
      <c r="P23" s="17" t="inlineStr">
        <is>
          <t>iDEAL 3 · CARBON 1 · iFile 1
Same title</t>
        </is>
      </c>
    </row>
    <row r="24" ht="55" customHeight="1">
      <c r="A24" s="12" t="inlineStr">
        <is>
          <t>Sales</t>
        </is>
      </c>
      <c r="B24" s="25" t="inlineStr">
        <is>
          <t>C · Principal / Head</t>
        </is>
      </c>
      <c r="C24" s="25" t="inlineStr">
        <is>
          <t>C1</t>
        </is>
      </c>
      <c r="D24" s="12" t="inlineStr">
        <is>
          <t>Principal</t>
        </is>
      </c>
      <c r="E24" s="12" t="inlineStr">
        <is>
          <t>Sales &amp; Business Development</t>
        </is>
      </c>
      <c r="F24" s="12" t="inlineStr">
        <is>
          <t>Sales Leadership</t>
        </is>
      </c>
      <c r="G24" s="12" t="inlineStr">
        <is>
          <t>Principal – Sales</t>
        </is>
      </c>
      <c r="H24" s="12" t="inlineStr">
        <is>
          <t>IC</t>
        </is>
      </c>
      <c r="I24" s="12" t="n">
        <v>1</v>
      </c>
      <c r="J24" s="12" t="inlineStr">
        <is>
          <r>
            <rPr>
              <rFont val="Calibri"/>
              <b val="1"/>
              <sz val="10"/>
            </rPr>
            <t>C1:</t>
          </r>
          <r>
            <rPr>
              <rFont val="Calibri"/>
              <sz val="10"/>
            </rPr>
            <t xml:space="preserve"> Principal – Sales</t>
          </r>
        </is>
      </c>
      <c r="K24" s="12" t="inlineStr">
        <is>
          <t>Sales, Negotiation &amp; Account Growth · Marketing Tech &amp; Digital Marketing</t>
        </is>
      </c>
      <c r="L24" s="12" t="inlineStr">
        <is>
          <t>Stakeholder &amp; Client Management · Communication &amp; Presentation · Product, Platform &amp; Domain Knowledge · Strategic Thinking &amp; Business Acumen</t>
        </is>
      </c>
      <c r="M24" s="12" t="inlineStr">
        <is>
          <t>Core 4 · Future-ready 4 · Functional 4 · Leadership 4</t>
        </is>
      </c>
      <c r="N24" s="12" t="inlineStr">
        <is>
          <t>Google / HubSpot certifications</t>
        </is>
      </c>
      <c r="O24" s="12" t="inlineStr">
        <is>
          <t>None — only this department</t>
        </is>
      </c>
      <c r="P24" s="17" t="inlineStr">
        <is>
          <r>
            <rPr>
              <rFont val="Calibri"/>
              <sz val="10"/>
            </rPr>
            <t xml:space="preserve">CARBON 1 · iFile 1
</t>
          </r>
          <r>
            <rPr>
              <rFont val="Calibri"/>
              <b val="1"/>
              <sz val="10"/>
            </rPr>
            <t>Titled there:</t>
          </r>
          <r>
            <rPr>
              <rFont val="Calibri"/>
              <sz val="10"/>
            </rPr>
            <t xml:space="preserve"> Principal – Enterprise Sales</t>
          </r>
        </is>
      </c>
    </row>
    <row r="25" ht="55" customHeight="1">
      <c r="A25" s="12" t="inlineStr">
        <is>
          <t>Technology</t>
        </is>
      </c>
      <c r="B25" s="17" t="inlineStr">
        <is>
          <t>A · Practitioner</t>
        </is>
      </c>
      <c r="C25" s="17" t="inlineStr">
        <is>
          <t>A1</t>
        </is>
      </c>
      <c r="D25" s="12" t="inlineStr">
        <is>
          <t>Intern / Trainee</t>
        </is>
      </c>
      <c r="E25" s="12" t="inlineStr">
        <is>
          <t>Product Management</t>
        </is>
      </c>
      <c r="F25" s="12" t="inlineStr">
        <is>
          <t>Product Operations &amp; Research</t>
        </is>
      </c>
      <c r="G25" s="12" t="inlineStr">
        <is>
          <t>Intern – Product Operations &amp; Research</t>
        </is>
      </c>
      <c r="H25" s="12" t="inlineStr">
        <is>
          <t>IC</t>
        </is>
      </c>
      <c r="I25" s="12" t="n">
        <v>1</v>
      </c>
      <c r="J25" s="12" t="inlineStr">
        <is>
          <r>
            <rPr>
              <rFont val="Calibri"/>
              <b val="1"/>
              <sz val="10"/>
            </rPr>
            <t>A1:</t>
          </r>
          <r>
            <rPr>
              <rFont val="Calibri"/>
              <sz val="10"/>
            </rPr>
            <t xml:space="preserve"> Intern – Product Operations &amp; Research</t>
          </r>
        </is>
      </c>
      <c r="K25" s="12" t="inlineStr">
        <is>
          <t>Product, Platform &amp; Domain Knowledge · Business Analysis &amp; Requirements Engineering</t>
        </is>
      </c>
      <c r="L25" s="12" t="inlineStr">
        <is>
          <t>Data Analytics, BI &amp; Visualisation · Strategic Thinking &amp; Business Acumen · Stakeholder &amp; Client Management · AI, GenAI &amp; Prompt Engineering</t>
        </is>
      </c>
      <c r="M25" s="12" t="inlineStr">
        <is>
          <t>Core 1 · Future-ready 1 · Functional 1 · Leadership —</t>
        </is>
      </c>
      <c r="N25" s="12" t="inlineStr">
        <is>
          <t>Internal product certification; CBAP / CCBA · optional</t>
        </is>
      </c>
      <c r="O25" s="12" t="inlineStr">
        <is>
          <t>None — only this department</t>
        </is>
      </c>
      <c r="P25" s="12" t="inlineStr">
        <is>
          <t>None — only Datatech</t>
        </is>
      </c>
    </row>
    <row r="26" ht="55" customHeight="1">
      <c r="A26" s="12" t="inlineStr">
        <is>
          <t>Technology</t>
        </is>
      </c>
      <c r="B26" s="17" t="inlineStr">
        <is>
          <t>A · Practitioner</t>
        </is>
      </c>
      <c r="C26" s="17" t="inlineStr">
        <is>
          <t>A2</t>
        </is>
      </c>
      <c r="D26" s="12" t="inlineStr">
        <is>
          <t>Associate</t>
        </is>
      </c>
      <c r="E26" s="12" t="inlineStr">
        <is>
          <t>Engineering &amp; Development</t>
        </is>
      </c>
      <c r="F26" s="12" t="inlineStr">
        <is>
          <t>Backend Development</t>
        </is>
      </c>
      <c r="G26" s="12" t="inlineStr">
        <is>
          <t>Software Engineer</t>
        </is>
      </c>
      <c r="H26" s="12" t="inlineStr">
        <is>
          <t>IC</t>
        </is>
      </c>
      <c r="I26" s="12" t="n">
        <v>1</v>
      </c>
      <c r="J26" s="12" t="inlineStr">
        <is>
          <r>
            <rPr>
              <rFont val="Calibri"/>
              <b val="1"/>
              <sz val="10"/>
            </rPr>
            <t>A2:</t>
          </r>
          <r>
            <rPr>
              <rFont val="Calibri"/>
              <sz val="10"/>
            </rPr>
            <t xml:space="preserve"> Software Engineer → A3: Senior Software Engineer → B2: Senior Technical Specialist – POD Lead → X1: Associate Consultant – Software Development</t>
          </r>
        </is>
      </c>
      <c r="K26" s="12" t="inlineStr">
        <is>
          <t>Programming &amp; Tech-Stack Depth · System Design &amp; Architecture</t>
        </is>
      </c>
      <c r="L26" s="12" t="inlineStr">
        <is>
          <t>Database, SQL &amp; Data Engineering · Cloud, DevOps &amp; CI/CD · AI, GenAI &amp; Prompt Engineering · Product, Platform &amp; Domain Knowledge</t>
        </is>
      </c>
      <c r="M26" s="12" t="inlineStr">
        <is>
          <t>Core 2 · Future-ready 2 · Functional 2 · Leadership —</t>
        </is>
      </c>
      <c r="N26" s="12" t="inlineStr">
        <is>
          <t>Cloud / language certifications · optional; AWS / Azure architect · optional</t>
        </is>
      </c>
      <c r="O26" s="12" t="inlineStr">
        <is>
          <t>None — only this department</t>
        </is>
      </c>
      <c r="P26" s="17" t="inlineStr">
        <is>
          <t>iFile 3 · iDEAL 2 · CARBON 1
Same title</t>
        </is>
      </c>
    </row>
    <row r="27" ht="68" customHeight="1">
      <c r="A27" s="12" t="inlineStr">
        <is>
          <t>Technology</t>
        </is>
      </c>
      <c r="B27" s="17" t="inlineStr">
        <is>
          <t>A · Practitioner</t>
        </is>
      </c>
      <c r="C27" s="17" t="inlineStr">
        <is>
          <t>A3</t>
        </is>
      </c>
      <c r="D27" s="12" t="inlineStr">
        <is>
          <t>Senior Associate</t>
        </is>
      </c>
      <c r="E27" s="12" t="inlineStr">
        <is>
          <t>Design &amp; Creative</t>
        </is>
      </c>
      <c r="F27" s="12" t="inlineStr">
        <is>
          <t>UX / UI Design</t>
        </is>
      </c>
      <c r="G27" s="12" t="inlineStr">
        <is>
          <t>Senior Product Designer</t>
        </is>
      </c>
      <c r="H27" s="12" t="inlineStr">
        <is>
          <t>IC</t>
        </is>
      </c>
      <c r="I27" s="12" t="n">
        <v>1</v>
      </c>
      <c r="J27" s="12" t="inlineStr">
        <is>
          <r>
            <rPr>
              <rFont val="Calibri"/>
              <b val="1"/>
              <sz val="10"/>
            </rPr>
            <t>A3:</t>
          </r>
          <r>
            <rPr>
              <rFont val="Calibri"/>
              <sz val="10"/>
            </rPr>
            <t xml:space="preserve"> Senior Product Designer</t>
          </r>
        </is>
      </c>
      <c r="K27" s="12" t="inlineStr">
        <is>
          <t>Product, Platform &amp; Domain Knowledge · Communication &amp; Presentation</t>
        </is>
      </c>
      <c r="L27" s="12" t="inlineStr">
        <is>
          <t>Marketing Tech &amp; Digital Marketing · Process Improvement &amp; Quality Mindset · AI, GenAI &amp; Prompt Engineering · Stakeholder &amp; Client Management</t>
        </is>
      </c>
      <c r="M27" s="12" t="inlineStr">
        <is>
          <t>Core 2 · Future-ready 2 · Functional 3 · Leadership —</t>
        </is>
      </c>
      <c r="N27" s="12" t="inlineStr">
        <is>
          <t>Internal product certification</t>
        </is>
      </c>
      <c r="O27" s="12" t="inlineStr">
        <is>
          <t>None — only this department</t>
        </is>
      </c>
      <c r="P27" s="17" t="inlineStr">
        <is>
          <t>CARBON 1
Same title</t>
        </is>
      </c>
    </row>
    <row r="28" ht="55" customHeight="1">
      <c r="A28" s="12" t="inlineStr">
        <is>
          <t>Technology</t>
        </is>
      </c>
      <c r="B28" s="17" t="inlineStr">
        <is>
          <t>A · Practitioner</t>
        </is>
      </c>
      <c r="C28" s="17" t="inlineStr">
        <is>
          <t>A3</t>
        </is>
      </c>
      <c r="D28" s="12" t="inlineStr">
        <is>
          <t>Senior Associate</t>
        </is>
      </c>
      <c r="E28" s="12" t="inlineStr">
        <is>
          <t>Engineering &amp; Development</t>
        </is>
      </c>
      <c r="F28" s="12" t="inlineStr">
        <is>
          <t>Backend Development</t>
        </is>
      </c>
      <c r="G28" s="12" t="inlineStr">
        <is>
          <t>Senior Software Engineer</t>
        </is>
      </c>
      <c r="H28" s="12" t="inlineStr">
        <is>
          <t>IC</t>
        </is>
      </c>
      <c r="I28" s="12" t="n">
        <v>2</v>
      </c>
      <c r="J28" s="12" t="inlineStr">
        <is>
          <r>
            <rPr>
              <rFont val="Calibri"/>
              <b val="1"/>
              <sz val="10"/>
            </rPr>
            <t>A2:</t>
          </r>
          <r>
            <rPr>
              <rFont val="Calibri"/>
              <sz val="10"/>
            </rPr>
            <t xml:space="preserve"> Software Engineer → A3: Senior Software Engineer → B2: Senior Technical Specialist – POD Lead → X1: Associate Consultant – Software Development</t>
          </r>
        </is>
      </c>
      <c r="K28" s="12" t="inlineStr">
        <is>
          <t>Programming &amp; Tech-Stack Depth · System Design &amp; Architecture</t>
        </is>
      </c>
      <c r="L28" s="12" t="inlineStr">
        <is>
          <t>Database, SQL &amp; Data Engineering · Cloud, DevOps &amp; CI/CD · AI, GenAI &amp; Prompt Engineering · Product, Platform &amp; Domain Knowledge</t>
        </is>
      </c>
      <c r="M28" s="12" t="inlineStr">
        <is>
          <t>Core 2 · Future-ready 2 · Functional 3 · Leadership —</t>
        </is>
      </c>
      <c r="N28" s="12" t="inlineStr">
        <is>
          <t>Cloud / language certifications · optional; AWS / Azure architect · optional</t>
        </is>
      </c>
      <c r="O28" s="12" t="inlineStr">
        <is>
          <t>None — only this department</t>
        </is>
      </c>
      <c r="P28" s="17" t="inlineStr">
        <is>
          <r>
            <rPr>
              <rFont val="Calibri"/>
              <sz val="10"/>
            </rPr>
            <t xml:space="preserve">iFile 33 · CARBON 9 · iDEAL 5
</t>
          </r>
          <r>
            <rPr>
              <rFont val="Calibri"/>
              <b val="1"/>
              <sz val="10"/>
            </rPr>
            <t>Titled there:</t>
          </r>
          <r>
            <rPr>
              <rFont val="Calibri"/>
              <sz val="10"/>
            </rPr>
            <t xml:space="preserve"> Senior Software Engineer / Technical Specialist</t>
          </r>
        </is>
      </c>
    </row>
    <row r="29" ht="81" customHeight="1">
      <c r="A29" s="12" t="inlineStr">
        <is>
          <t>Technology</t>
        </is>
      </c>
      <c r="B29" s="21" t="inlineStr">
        <is>
          <t>B · Specialist / Manager</t>
        </is>
      </c>
      <c r="C29" s="21" t="inlineStr">
        <is>
          <t>B2</t>
        </is>
      </c>
      <c r="D29" s="12" t="inlineStr">
        <is>
          <t>Senior Specialist · POD Lead</t>
        </is>
      </c>
      <c r="E29" s="12" t="inlineStr">
        <is>
          <t>Engineering &amp; Development</t>
        </is>
      </c>
      <c r="F29" s="12" t="inlineStr">
        <is>
          <t>Backend Development</t>
        </is>
      </c>
      <c r="G29" s="12" t="inlineStr">
        <is>
          <t>Senior Technical Specialist – POD Lead</t>
        </is>
      </c>
      <c r="H29" s="12" t="inlineStr">
        <is>
          <t>POD Lead</t>
        </is>
      </c>
      <c r="I29" s="12" t="n">
        <v>1</v>
      </c>
      <c r="J29" s="12" t="inlineStr">
        <is>
          <r>
            <rPr>
              <rFont val="Calibri"/>
              <b val="1"/>
              <sz val="10"/>
            </rPr>
            <t>A2:</t>
          </r>
          <r>
            <rPr>
              <rFont val="Calibri"/>
              <sz val="10"/>
            </rPr>
            <t xml:space="preserve"> Software Engineer → A3: Senior Software Engineer → B2: Senior Technical Specialist – POD Lead → X1: Associate Consultant – Software Development</t>
          </r>
        </is>
      </c>
      <c r="K29" s="12" t="inlineStr">
        <is>
          <t>Programming &amp; Tech-Stack Depth · System Design &amp; Architecture</t>
        </is>
      </c>
      <c r="L29" s="12" t="inlineStr">
        <is>
          <t>Database, SQL &amp; Data Engineering · Cloud, DevOps &amp; CI/CD · AI, GenAI &amp; Prompt Engineering · Product, Platform &amp; Domain Knowledge</t>
        </is>
      </c>
      <c r="M29" s="12" t="inlineStr">
        <is>
          <t>Core 3 · Future-ready 3 · Functional 4 · Leadership 2</t>
        </is>
      </c>
      <c r="N29" s="12" t="inlineStr">
        <is>
          <t>Cloud / language certifications · optional; AWS / Azure architect · optional</t>
        </is>
      </c>
      <c r="O29" s="12" t="inlineStr">
        <is>
          <t>None — only this department</t>
        </is>
      </c>
      <c r="P29" s="17" t="inlineStr">
        <is>
          <r>
            <rPr>
              <rFont val="Calibri"/>
              <sz val="10"/>
            </rPr>
            <t xml:space="preserve">iFile 6 · CARBON 2
</t>
          </r>
          <r>
            <rPr>
              <rFont val="Calibri"/>
              <b val="1"/>
              <sz val="10"/>
            </rPr>
            <t>Titled there:</t>
          </r>
          <r>
            <rPr>
              <rFont val="Calibri"/>
              <sz val="10"/>
            </rPr>
            <t xml:space="preserve"> Engineering Manager / Lead Software Engineer / Lead Software Engineer – POD Lead / Senior Technical Specialist / Senior Technical Specialist – POD Lead</t>
          </r>
        </is>
      </c>
    </row>
    <row r="30" ht="55" customHeight="1">
      <c r="A30" s="12" t="inlineStr">
        <is>
          <t>Technology</t>
        </is>
      </c>
      <c r="B30" s="25" t="inlineStr">
        <is>
          <t>C · Principal / Head</t>
        </is>
      </c>
      <c r="C30" s="25" t="inlineStr">
        <is>
          <t>C1</t>
        </is>
      </c>
      <c r="D30" s="12" t="inlineStr">
        <is>
          <t>Principal</t>
        </is>
      </c>
      <c r="E30" s="12" t="inlineStr">
        <is>
          <t>Engineering &amp; Architecture</t>
        </is>
      </c>
      <c r="F30" s="12" t="inlineStr">
        <is>
          <t>Solution &amp; Technical Architecture</t>
        </is>
      </c>
      <c r="G30" s="12" t="inlineStr">
        <is>
          <t>Solution Architect</t>
        </is>
      </c>
      <c r="H30" s="12" t="inlineStr">
        <is>
          <t>IC</t>
        </is>
      </c>
      <c r="I30" s="12" t="n">
        <v>1</v>
      </c>
      <c r="J30" s="12" t="inlineStr">
        <is>
          <r>
            <rPr>
              <rFont val="Calibri"/>
              <b val="1"/>
              <sz val="10"/>
            </rPr>
            <t>C1:</t>
          </r>
          <r>
            <rPr>
              <rFont val="Calibri"/>
              <sz val="10"/>
            </rPr>
            <t xml:space="preserve"> Solution Architect</t>
          </r>
        </is>
      </c>
      <c r="K30" s="12" t="inlineStr">
        <is>
          <t>System Design &amp; Architecture · Programming &amp; Tech-Stack Depth</t>
        </is>
      </c>
      <c r="L30" s="12" t="inlineStr">
        <is>
          <t>Cloud, DevOps &amp; CI/CD · Cybersecurity &amp; Infrastructure · Stakeholder &amp; Client Management · Strategic Thinking &amp; Business Acumen</t>
        </is>
      </c>
      <c r="M30" s="12" t="inlineStr">
        <is>
          <t>Core 4 · Future-ready 4 · Functional 4 · Leadership 4</t>
        </is>
      </c>
      <c r="N30" s="12" t="inlineStr">
        <is>
          <t>AWS / Azure architect · optional; Cloud / language certifications · optional</t>
        </is>
      </c>
      <c r="O30" s="12" t="inlineStr">
        <is>
          <t>None — only this department</t>
        </is>
      </c>
      <c r="P30" s="17" t="inlineStr">
        <is>
          <r>
            <rPr>
              <rFont val="Calibri"/>
              <sz val="10"/>
            </rPr>
            <t xml:space="preserve">iFile 1
</t>
          </r>
          <r>
            <rPr>
              <rFont val="Calibri"/>
              <b val="1"/>
              <sz val="10"/>
            </rPr>
            <t>Titled there:</t>
          </r>
          <r>
            <rPr>
              <rFont val="Calibri"/>
              <sz val="10"/>
            </rPr>
            <t xml:space="preserve"> Technical Architect</t>
          </r>
        </is>
      </c>
    </row>
    <row r="31" ht="55" customHeight="1">
      <c r="A31" s="12" t="inlineStr">
        <is>
          <t>Technology</t>
        </is>
      </c>
      <c r="B31" s="33" t="inlineStr">
        <is>
          <t>X · Consultant</t>
        </is>
      </c>
      <c r="C31" s="33" t="inlineStr">
        <is>
          <t>X1</t>
        </is>
      </c>
      <c r="D31" s="12" t="inlineStr">
        <is>
          <t>Associate Consultant</t>
        </is>
      </c>
      <c r="E31" s="12" t="inlineStr">
        <is>
          <t>Engineering &amp; Development</t>
        </is>
      </c>
      <c r="F31" s="12" t="inlineStr">
        <is>
          <t>Backend Development</t>
        </is>
      </c>
      <c r="G31" s="12" t="inlineStr">
        <is>
          <t>Associate Consultant – Software Development</t>
        </is>
      </c>
      <c r="H31" s="12" t="inlineStr">
        <is>
          <t>Consultant</t>
        </is>
      </c>
      <c r="I31" s="12" t="n">
        <v>3</v>
      </c>
      <c r="J31" s="12" t="inlineStr">
        <is>
          <r>
            <rPr>
              <rFont val="Calibri"/>
              <b val="1"/>
              <sz val="10"/>
            </rPr>
            <t>A2:</t>
          </r>
          <r>
            <rPr>
              <rFont val="Calibri"/>
              <sz val="10"/>
            </rPr>
            <t xml:space="preserve"> Software Engineer → A3: Senior Software Engineer → B2: Senior Technical Specialist – POD Lead → X1: Associate Consultant – Software Development</t>
          </r>
        </is>
      </c>
      <c r="K31" s="12" t="inlineStr">
        <is>
          <t>Programming &amp; Tech-Stack Depth · System Design &amp; Architecture</t>
        </is>
      </c>
      <c r="L31" s="12" t="inlineStr">
        <is>
          <t>Database, SQL &amp; Data Engineering · Cloud, DevOps &amp; CI/CD · AI, GenAI &amp; Prompt Engineering · Product, Platform &amp; Domain Knowledge</t>
        </is>
      </c>
      <c r="M31" s="12" t="inlineStr">
        <is>
          <t>Per statement of work</t>
        </is>
      </c>
      <c r="N31" s="12" t="inlineStr">
        <is>
          <t>Cloud / language certifications · optional; AWS / Azure architect · optional</t>
        </is>
      </c>
      <c r="O31" s="12" t="inlineStr">
        <is>
          <t>None — only this department</t>
        </is>
      </c>
      <c r="P31" s="17" t="inlineStr">
        <is>
          <t>iFile 13
Same title</t>
        </is>
      </c>
    </row>
  </sheetData>
  <mergeCells count="3">
    <mergeCell ref="A1:P1"/>
    <mergeCell ref="A3:P3"/>
    <mergeCell ref="A2:P2"/>
  </mergeCells>
  <hyperlinks>
    <hyperlink xmlns:r="http://schemas.openxmlformats.org/officeDocument/2006/relationships" ref="Q1" r:id="rId1"/>
  </hyperlinks>
  <pageMargins left="0.4" right="0.4" top="0.5" bottom="0.5" header="0.5" footer="0.5"/>
  <pageSetup orientation="landscape" paperSize="8" fitToHeight="0" fitToWidth="1"/>
  <headerFooter>
    <oddHeader/>
    <oddFooter>&amp;LIRIS · Job Architecture &amp; Job Design · Final v1.12 · October 2026 · Internal — Confidential&amp;RPage &amp;P of &amp;N</oddFooter>
    <evenHeader/>
    <evenFooter/>
    <firstHeader/>
    <firstFooter/>
  </headerFooter>
  <legacyDrawing xmlns:r="http://schemas.openxmlformats.org/officeDocument/2006/relationships" r:id="anysvml"/>
  <tableParts count="1">
    <tablePart xmlns:r="http://schemas.openxmlformats.org/officeDocument/2006/relationships" r:id="rId2"/>
  </tableParts>
</worksheet>
</file>

<file path=xl/worksheets/sheet7.xml><?xml version="1.0" encoding="utf-8"?>
<worksheet xmlns="http://schemas.openxmlformats.org/spreadsheetml/2006/main">
  <sheetPr>
    <tabColor rgb="002E75B6"/>
    <outlinePr summaryBelow="1" summaryRight="1"/>
    <pageSetUpPr fitToPage="1"/>
  </sheetPr>
  <dimension ref="A1:Z87"/>
  <sheetViews>
    <sheetView showGridLines="0" workbookViewId="0">
      <pane xSplit="4" ySplit="16" topLeftCell="E17" activePane="bottomRight" state="frozen"/>
      <selection pane="topRight" activeCell="A1" sqref="A1"/>
      <selection pane="bottomLeft" activeCell="A1" sqref="A1"/>
      <selection pane="bottomRight" activeCell="A1" sqref="A1"/>
    </sheetView>
  </sheetViews>
  <sheetFormatPr baseColWidth="8" defaultRowHeight="15"/>
  <cols>
    <col width="44" customWidth="1" min="1" max="1"/>
    <col width="12" customWidth="1" min="2" max="2"/>
    <col width="24" customWidth="1" min="3" max="3"/>
    <col width="22" customWidth="1" min="4" max="4"/>
    <col width="8" customWidth="1" min="5" max="5"/>
    <col width="22" customWidth="1" min="6" max="6"/>
    <col width="11" customWidth="1" min="7" max="7"/>
    <col width="11" customWidth="1" min="8" max="8"/>
    <col width="11" customWidth="1" min="9" max="9"/>
    <col width="11" customWidth="1" min="10" max="10"/>
    <col width="11" customWidth="1" min="11" max="11"/>
    <col width="11" customWidth="1" min="12" max="12"/>
    <col width="10" customWidth="1" min="13" max="13"/>
    <col width="9" customWidth="1" min="14" max="14"/>
    <col width="9" customWidth="1" min="15" max="15"/>
    <col width="9" customWidth="1" min="16" max="16"/>
    <col width="9" customWidth="1" min="17" max="17"/>
    <col width="9" customWidth="1" min="18" max="18"/>
    <col width="9" customWidth="1" min="19" max="19"/>
    <col width="34" customWidth="1" min="20" max="20"/>
    <col hidden="1" width="13" customWidth="1" min="21" max="21"/>
    <col hidden="1" width="13" customWidth="1" min="22" max="22"/>
    <col hidden="1" width="13" customWidth="1" min="23" max="23"/>
    <col hidden="1" width="13" customWidth="1" min="24" max="24"/>
    <col hidden="1" width="13" customWidth="1" min="25" max="25"/>
    <col hidden="1" width="13" customWidth="1" min="26" max="26"/>
  </cols>
  <sheetData>
    <row r="1" ht="34" customHeight="1">
      <c r="A1" s="1" t="inlineStr">
        <is>
          <t>Weightage Matrix — how much each factor counts, by department and role group · editable</t>
        </is>
      </c>
      <c r="U1" s="99" t="inlineStr">
        <is>
          <t>◂ Start Here</t>
        </is>
      </c>
    </row>
    <row r="2" ht="30" customHeight="1">
      <c r="A2" s="3" t="inlineStr">
        <is>
          <t>6 · Leaders: change the yellow weights. Sheet 2 recalculates points, score and 'Level the score indicates' at once. Below the matrix: what each factor means, what a weight means, and what each rating means.</t>
        </is>
      </c>
    </row>
    <row r="3">
      <c r="A3" s="4" t="inlineStr">
        <is>
          <t>IRIS · Job Architecture &amp; Job Design · Final v1.12 · October 2026 · Internal — Confidential</t>
        </is>
      </c>
    </row>
    <row r="4"/>
    <row r="5" ht="20" customHeight="1">
      <c r="A5" s="6" t="inlineStr">
        <is>
          <t>SETTINGS — Experience &amp; Qualification weight · kept low by design; change it here for everyone</t>
        </is>
      </c>
    </row>
    <row r="6">
      <c r="A6" s="92" t="inlineStr">
        <is>
          <t>Experience &amp; Qualification weight — Bands A–B</t>
        </is>
      </c>
      <c r="B6" s="93" t="n">
        <v>10</v>
      </c>
      <c r="C6" s="36" t="inlineStr">
        <is>
          <t>Band A, Band B and B+ · Corporate functions rows add 5 for professional qualifications</t>
        </is>
      </c>
    </row>
    <row r="7">
      <c r="A7" s="92" t="inlineStr">
        <is>
          <t>Experience &amp; Qualification weight — Bands C–E</t>
        </is>
      </c>
      <c r="B7" s="93" t="n">
        <v>5</v>
      </c>
      <c r="C7" s="36" t="inlineStr">
        <is>
          <t>Band C, C+ and Bands D–E · Corporate functions rows add 5 for professional qualifications</t>
        </is>
      </c>
    </row>
    <row r="8">
      <c r="A8" s="36" t="inlineStr">
        <is>
          <r>
            <rPr>
              <rFont val="Calibri"/>
              <b val="1"/>
              <i val="1"/>
              <color rgb="00595959"/>
              <sz val="10"/>
            </rPr>
            <t>Why it is low:</t>
          </r>
          <r>
            <rPr>
              <rFont val="Calibri"/>
              <i val="1"/>
              <color rgb="00595959"/>
              <sz val="10"/>
            </rPr>
            <t xml:space="preserve"> Sources: S05, S49 Hay know-how includes experience however acquired · S04, S52 Mercer IPE knowledge · S07 WTW GGS · S58 McKinsey · S59 Deloitte · S60 WEF · S61 EY India, 2026 — skills over tenure. The 10% / 5% level is an IRIS leadership decision.</t>
          </r>
        </is>
      </c>
    </row>
    <row r="9"/>
    <row r="10" ht="20" customHeight="1">
      <c r="A10" s="6" t="inlineStr">
        <is>
          <t>HOW TO USE IT — in four steps</t>
        </is>
      </c>
    </row>
    <row r="11">
      <c r="A11" s="7" t="inlineStr">
        <is>
          <t>1. Find your department and role group in the matrix below · filter the Department column.</t>
        </is>
      </c>
    </row>
    <row r="12">
      <c r="A12" s="7" t="inlineStr">
        <is>
          <t>2. Change the yellow weights in steps of 5%. Each row should add up to about 100% — the 'Used' columns show the weights actually applied.</t>
        </is>
      </c>
    </row>
    <row r="13">
      <c r="A13" s="7" t="inlineStr">
        <is>
          <t>3. Look at sheet 2: points, the score and 'Level the score indicates' have already changed for everyone in that department and role group.</t>
        </is>
      </c>
    </row>
    <row r="14">
      <c r="A14" s="7" t="inlineStr">
        <is>
          <t>4. Write why you changed a row in the last column and send the file back; HR imports it and the final levels follow on the next run.</t>
        </is>
      </c>
    </row>
    <row r="15" ht="20" customHeight="1">
      <c r="A15" s="6" t="inlineStr">
        <is>
          <t>THE MATRIX — one row per department × role group in this file</t>
        </is>
      </c>
    </row>
    <row r="16" ht="32" customHeight="1">
      <c r="A16" s="70" t="inlineStr">
        <is>
          <t>Weight row</t>
        </is>
      </c>
      <c r="B16" s="70" t="inlineStr">
        <is>
          <t>Business</t>
        </is>
      </c>
      <c r="C16" s="70" t="inlineStr">
        <is>
          <t>Department</t>
        </is>
      </c>
      <c r="D16" s="70" t="inlineStr">
        <is>
          <t>Role group</t>
        </is>
      </c>
      <c r="E16" s="70" t="inlineStr">
        <is>
          <t>People</t>
        </is>
      </c>
      <c r="F16" s="70" t="inlineStr">
        <is>
          <t>Main type of work</t>
        </is>
      </c>
      <c r="G16" s="8" t="inlineStr">
        <is>
          <t>How hard %</t>
        </is>
      </c>
      <c r="H16" s="8" t="inlineStr">
        <is>
          <t>Decides alone %</t>
        </is>
      </c>
      <c r="I16" s="8" t="inlineStr">
        <is>
          <t>Answers for %</t>
        </is>
      </c>
      <c r="J16" s="8" t="inlineStr">
        <is>
          <t>Leads %</t>
        </is>
      </c>
      <c r="K16" s="8" t="inlineStr">
        <is>
          <t>Experience %</t>
        </is>
      </c>
      <c r="L16" s="8" t="inlineStr">
        <is>
          <t>Business impact %</t>
        </is>
      </c>
      <c r="M16" s="8" t="inlineStr">
        <is>
          <t>Entered total</t>
        </is>
      </c>
      <c r="N16" s="70" t="inlineStr">
        <is>
          <t>Used · How hard</t>
        </is>
      </c>
      <c r="O16" s="70" t="inlineStr">
        <is>
          <t>Used · Decides alone</t>
        </is>
      </c>
      <c r="P16" s="70" t="inlineStr">
        <is>
          <t>Used · Answers for</t>
        </is>
      </c>
      <c r="Q16" s="70" t="inlineStr">
        <is>
          <t>Used · Leads</t>
        </is>
      </c>
      <c r="R16" s="70" t="inlineStr">
        <is>
          <t>Used · Experience</t>
        </is>
      </c>
      <c r="S16" s="70" t="inlineStr">
        <is>
          <t>Used · Business impact</t>
        </is>
      </c>
      <c r="T16" s="70" t="inlineStr">
        <is>
          <t>Why changed · leader</t>
        </is>
      </c>
      <c r="U16" s="94" t="inlineStr">
        <is>
          <t>Default · How hard</t>
        </is>
      </c>
      <c r="V16" s="94" t="inlineStr">
        <is>
          <t>Default · Decides alone</t>
        </is>
      </c>
      <c r="W16" s="94" t="inlineStr">
        <is>
          <t>Default · Answers for</t>
        </is>
      </c>
      <c r="X16" s="94" t="inlineStr">
        <is>
          <t>Default · Leads</t>
        </is>
      </c>
      <c r="Y16" s="94" t="inlineStr">
        <is>
          <t>Default · Experience</t>
        </is>
      </c>
      <c r="Z16" s="94" t="inlineStr">
        <is>
          <t>Default · Business impact</t>
        </is>
      </c>
    </row>
    <row r="17" ht="30" customHeight="1">
      <c r="A17" s="12" t="inlineStr">
        <is>
          <t>Datatech · Datatech - Outreach · Band A · Early career</t>
        </is>
      </c>
      <c r="B17" s="12" t="inlineStr">
        <is>
          <t>Datatech</t>
        </is>
      </c>
      <c r="C17" s="12" t="inlineStr">
        <is>
          <t>Datatech - Outreach</t>
        </is>
      </c>
      <c r="D17" s="10" t="inlineStr">
        <is>
          <t>Band A · Early career</t>
        </is>
      </c>
      <c r="E17" s="38" t="n">
        <v>6</v>
      </c>
      <c r="F17" s="12" t="inlineStr">
        <is>
          <t>Sales &amp; marketing</t>
        </is>
      </c>
      <c r="G17" s="95" t="n">
        <v>54</v>
      </c>
      <c r="H17" s="95" t="n">
        <v>21</v>
      </c>
      <c r="I17" s="95" t="n">
        <v>4</v>
      </c>
      <c r="J17" s="95" t="n">
        <v>0</v>
      </c>
      <c r="K17" s="95">
        <f>WM_EXP_AB</f>
        <v>10</v>
      </c>
      <c r="L17" s="95" t="n">
        <v>11</v>
      </c>
      <c r="M17" s="96">
        <f>SUM(G17:L17)</f>
        <v>100</v>
      </c>
      <c r="N17" s="97">
        <f>IF((G17+H17+I17+J17+L17)=0,0,G17*(100-MAX(0,MIN(100,K17)))/(G17+H17+I17+J17+L17))/100</f>
        <v>0.54</v>
      </c>
      <c r="O17" s="97">
        <f>IF((G17+H17+I17+J17+L17)=0,0,H17*(100-MAX(0,MIN(100,K17)))/(G17+H17+I17+J17+L17))/100</f>
        <v>0.21</v>
      </c>
      <c r="P17" s="97">
        <f>IF((G17+H17+I17+J17+L17)=0,0,I17*(100-MAX(0,MIN(100,K17)))/(G17+H17+I17+J17+L17))/100</f>
        <v>0.04</v>
      </c>
      <c r="Q17" s="97">
        <f>IF((G17+H17+I17+J17+L17)=0,0,J17*(100-MAX(0,MIN(100,K17)))/(G17+H17+I17+J17+L17))/100</f>
        <v>0</v>
      </c>
      <c r="R17" s="97">
        <f>MAX(0,MIN(100,K17))/100</f>
        <v>0.1</v>
      </c>
      <c r="S17" s="97">
        <f>IF((G17+H17+I17+J17+L17)=0,0,L17*(100-MAX(0,MIN(100,K17)))/(G17+H17+I17+J17+L17))/100</f>
        <v>0.11</v>
      </c>
      <c r="T17" s="79" t="n"/>
      <c r="U17" s="98" t="n">
        <v>54</v>
      </c>
      <c r="V17" s="98" t="n">
        <v>21</v>
      </c>
      <c r="W17" s="98" t="n">
        <v>4</v>
      </c>
      <c r="X17" s="98" t="n">
        <v>0</v>
      </c>
      <c r="Y17" s="98" t="n">
        <v>10</v>
      </c>
      <c r="Z17" s="98" t="n">
        <v>11</v>
      </c>
    </row>
    <row r="18" ht="30" customHeight="1">
      <c r="A18" s="12" t="inlineStr">
        <is>
          <t>Datatech · Datatech - Outreach · Band B · Expert / POD Lead</t>
        </is>
      </c>
      <c r="B18" s="12" t="inlineStr">
        <is>
          <t>Datatech</t>
        </is>
      </c>
      <c r="C18" s="12" t="inlineStr">
        <is>
          <t>Datatech - Outreach</t>
        </is>
      </c>
      <c r="D18" s="10" t="inlineStr">
        <is>
          <t>Band B · Expert / POD Lead</t>
        </is>
      </c>
      <c r="E18" s="38" t="n">
        <v>1</v>
      </c>
      <c r="F18" s="12" t="inlineStr">
        <is>
          <t>Sales &amp; marketing</t>
        </is>
      </c>
      <c r="G18" s="95" t="n">
        <v>46</v>
      </c>
      <c r="H18" s="95" t="n">
        <v>22</v>
      </c>
      <c r="I18" s="95" t="n">
        <v>5</v>
      </c>
      <c r="J18" s="95" t="n">
        <v>5</v>
      </c>
      <c r="K18" s="95">
        <f>WM_EXP_AB</f>
        <v>10</v>
      </c>
      <c r="L18" s="95" t="n">
        <v>12</v>
      </c>
      <c r="M18" s="96">
        <f>SUM(G18:L18)</f>
        <v>100</v>
      </c>
      <c r="N18" s="97">
        <f>IF((G18+H18+I18+J18+L18)=0,0,G18*(100-MAX(0,MIN(100,K18)))/(G18+H18+I18+J18+L18))/100</f>
        <v>0.46</v>
      </c>
      <c r="O18" s="97">
        <f>IF((G18+H18+I18+J18+L18)=0,0,H18*(100-MAX(0,MIN(100,K18)))/(G18+H18+I18+J18+L18))/100</f>
        <v>0.22</v>
      </c>
      <c r="P18" s="97">
        <f>IF((G18+H18+I18+J18+L18)=0,0,I18*(100-MAX(0,MIN(100,K18)))/(G18+H18+I18+J18+L18))/100</f>
        <v>0.05</v>
      </c>
      <c r="Q18" s="97">
        <f>IF((G18+H18+I18+J18+L18)=0,0,J18*(100-MAX(0,MIN(100,K18)))/(G18+H18+I18+J18+L18))/100</f>
        <v>0.05</v>
      </c>
      <c r="R18" s="97">
        <f>MAX(0,MIN(100,K18))/100</f>
        <v>0.1</v>
      </c>
      <c r="S18" s="97">
        <f>IF((G18+H18+I18+J18+L18)=0,0,L18*(100-MAX(0,MIN(100,K18)))/(G18+H18+I18+J18+L18))/100</f>
        <v>0.12</v>
      </c>
      <c r="T18" s="79" t="n"/>
      <c r="U18" s="98" t="n">
        <v>46</v>
      </c>
      <c r="V18" s="98" t="n">
        <v>22</v>
      </c>
      <c r="W18" s="98" t="n">
        <v>5</v>
      </c>
      <c r="X18" s="98" t="n">
        <v>5</v>
      </c>
      <c r="Y18" s="98" t="n">
        <v>10</v>
      </c>
      <c r="Z18" s="98" t="n">
        <v>12</v>
      </c>
    </row>
    <row r="19" ht="30" customHeight="1">
      <c r="A19" s="12" t="inlineStr">
        <is>
          <t>Datatech · Datatech - Outreach · Band B · People Manager</t>
        </is>
      </c>
      <c r="B19" s="12" t="inlineStr">
        <is>
          <t>Datatech</t>
        </is>
      </c>
      <c r="C19" s="12" t="inlineStr">
        <is>
          <t>Datatech - Outreach</t>
        </is>
      </c>
      <c r="D19" s="10" t="inlineStr">
        <is>
          <t>Band B · People Manager</t>
        </is>
      </c>
      <c r="E19" s="38" t="n">
        <v>1</v>
      </c>
      <c r="F19" s="12" t="inlineStr">
        <is>
          <t>Sales &amp; marketing</t>
        </is>
      </c>
      <c r="G19" s="95" t="n">
        <v>32</v>
      </c>
      <c r="H19" s="95" t="n">
        <v>23</v>
      </c>
      <c r="I19" s="95" t="n">
        <v>6</v>
      </c>
      <c r="J19" s="95" t="n">
        <v>15</v>
      </c>
      <c r="K19" s="95">
        <f>WM_EXP_AB</f>
        <v>10</v>
      </c>
      <c r="L19" s="95" t="n">
        <v>14</v>
      </c>
      <c r="M19" s="96">
        <f>SUM(G19:L19)</f>
        <v>100</v>
      </c>
      <c r="N19" s="97">
        <f>IF((G19+H19+I19+J19+L19)=0,0,G19*(100-MAX(0,MIN(100,K19)))/(G19+H19+I19+J19+L19))/100</f>
        <v>0.32</v>
      </c>
      <c r="O19" s="97">
        <f>IF((G19+H19+I19+J19+L19)=0,0,H19*(100-MAX(0,MIN(100,K19)))/(G19+H19+I19+J19+L19))/100</f>
        <v>0.23</v>
      </c>
      <c r="P19" s="97">
        <f>IF((G19+H19+I19+J19+L19)=0,0,I19*(100-MAX(0,MIN(100,K19)))/(G19+H19+I19+J19+L19))/100</f>
        <v>0.06</v>
      </c>
      <c r="Q19" s="97">
        <f>IF((G19+H19+I19+J19+L19)=0,0,J19*(100-MAX(0,MIN(100,K19)))/(G19+H19+I19+J19+L19))/100</f>
        <v>0.15</v>
      </c>
      <c r="R19" s="97">
        <f>MAX(0,MIN(100,K19))/100</f>
        <v>0.1</v>
      </c>
      <c r="S19" s="97">
        <f>IF((G19+H19+I19+J19+L19)=0,0,L19*(100-MAX(0,MIN(100,K19)))/(G19+H19+I19+J19+L19))/100</f>
        <v>0.14</v>
      </c>
      <c r="T19" s="79" t="n"/>
      <c r="U19" s="98" t="n">
        <v>32</v>
      </c>
      <c r="V19" s="98" t="n">
        <v>23</v>
      </c>
      <c r="W19" s="98" t="n">
        <v>6</v>
      </c>
      <c r="X19" s="98" t="n">
        <v>15</v>
      </c>
      <c r="Y19" s="98" t="n">
        <v>10</v>
      </c>
      <c r="Z19" s="98" t="n">
        <v>14</v>
      </c>
    </row>
    <row r="20" ht="30" customHeight="1">
      <c r="A20" s="12" t="inlineStr">
        <is>
          <t>Datatech · Datatech Business Head · Bands D–E · Leadership</t>
        </is>
      </c>
      <c r="B20" s="12" t="inlineStr">
        <is>
          <t>Datatech</t>
        </is>
      </c>
      <c r="C20" s="12" t="inlineStr">
        <is>
          <t>Datatech Business Head</t>
        </is>
      </c>
      <c r="D20" s="10" t="inlineStr">
        <is>
          <t>Bands D–E · Leadership</t>
        </is>
      </c>
      <c r="E20" s="38" t="n">
        <v>1</v>
      </c>
      <c r="F20" s="12" t="inlineStr">
        <is>
          <t>General management</t>
        </is>
      </c>
      <c r="G20" s="95" t="n">
        <v>37</v>
      </c>
      <c r="H20" s="95" t="n">
        <v>19</v>
      </c>
      <c r="I20" s="95" t="n">
        <v>11</v>
      </c>
      <c r="J20" s="95" t="n">
        <v>20</v>
      </c>
      <c r="K20" s="95">
        <f>WM_EXP_CE</f>
        <v>5</v>
      </c>
      <c r="L20" s="95" t="n">
        <v>8</v>
      </c>
      <c r="M20" s="96">
        <f>SUM(G20:L20)</f>
        <v>100</v>
      </c>
      <c r="N20" s="97">
        <f>IF((G20+H20+I20+J20+L20)=0,0,G20*(100-MAX(0,MIN(100,K20)))/(G20+H20+I20+J20+L20))/100</f>
        <v>0.37</v>
      </c>
      <c r="O20" s="97">
        <f>IF((G20+H20+I20+J20+L20)=0,0,H20*(100-MAX(0,MIN(100,K20)))/(G20+H20+I20+J20+L20))/100</f>
        <v>0.19</v>
      </c>
      <c r="P20" s="97">
        <f>IF((G20+H20+I20+J20+L20)=0,0,I20*(100-MAX(0,MIN(100,K20)))/(G20+H20+I20+J20+L20))/100</f>
        <v>0.11</v>
      </c>
      <c r="Q20" s="97">
        <f>IF((G20+H20+I20+J20+L20)=0,0,J20*(100-MAX(0,MIN(100,K20)))/(G20+H20+I20+J20+L20))/100</f>
        <v>0.2</v>
      </c>
      <c r="R20" s="97">
        <f>MAX(0,MIN(100,K20))/100</f>
        <v>0.05</v>
      </c>
      <c r="S20" s="97">
        <f>IF((G20+H20+I20+J20+L20)=0,0,L20*(100-MAX(0,MIN(100,K20)))/(G20+H20+I20+J20+L20))/100</f>
        <v>0.08</v>
      </c>
      <c r="T20" s="79" t="n"/>
      <c r="U20" s="98" t="n">
        <v>37</v>
      </c>
      <c r="V20" s="98" t="n">
        <v>19</v>
      </c>
      <c r="W20" s="98" t="n">
        <v>11</v>
      </c>
      <c r="X20" s="98" t="n">
        <v>20</v>
      </c>
      <c r="Y20" s="98" t="n">
        <v>5</v>
      </c>
      <c r="Z20" s="98" t="n">
        <v>8</v>
      </c>
    </row>
    <row r="21" ht="30" customHeight="1">
      <c r="A21" s="12" t="inlineStr">
        <is>
          <t>Datatech · Marketing · Band A · Early career</t>
        </is>
      </c>
      <c r="B21" s="12" t="inlineStr">
        <is>
          <t>Datatech</t>
        </is>
      </c>
      <c r="C21" s="12" t="inlineStr">
        <is>
          <t>Marketing</t>
        </is>
      </c>
      <c r="D21" s="10" t="inlineStr">
        <is>
          <t>Band A · Early career</t>
        </is>
      </c>
      <c r="E21" s="38" t="n">
        <v>3</v>
      </c>
      <c r="F21" s="12" t="inlineStr">
        <is>
          <t>Sales &amp; marketing</t>
        </is>
      </c>
      <c r="G21" s="95" t="n">
        <v>54</v>
      </c>
      <c r="H21" s="95" t="n">
        <v>21</v>
      </c>
      <c r="I21" s="95" t="n">
        <v>4</v>
      </c>
      <c r="J21" s="95" t="n">
        <v>0</v>
      </c>
      <c r="K21" s="95">
        <f>WM_EXP_AB</f>
        <v>10</v>
      </c>
      <c r="L21" s="95" t="n">
        <v>11</v>
      </c>
      <c r="M21" s="96">
        <f>SUM(G21:L21)</f>
        <v>100</v>
      </c>
      <c r="N21" s="97">
        <f>IF((G21+H21+I21+J21+L21)=0,0,G21*(100-MAX(0,MIN(100,K21)))/(G21+H21+I21+J21+L21))/100</f>
        <v>0.54</v>
      </c>
      <c r="O21" s="97">
        <f>IF((G21+H21+I21+J21+L21)=0,0,H21*(100-MAX(0,MIN(100,K21)))/(G21+H21+I21+J21+L21))/100</f>
        <v>0.21</v>
      </c>
      <c r="P21" s="97">
        <f>IF((G21+H21+I21+J21+L21)=0,0,I21*(100-MAX(0,MIN(100,K21)))/(G21+H21+I21+J21+L21))/100</f>
        <v>0.04</v>
      </c>
      <c r="Q21" s="97">
        <f>IF((G21+H21+I21+J21+L21)=0,0,J21*(100-MAX(0,MIN(100,K21)))/(G21+H21+I21+J21+L21))/100</f>
        <v>0</v>
      </c>
      <c r="R21" s="97">
        <f>MAX(0,MIN(100,K21))/100</f>
        <v>0.1</v>
      </c>
      <c r="S21" s="97">
        <f>IF((G21+H21+I21+J21+L21)=0,0,L21*(100-MAX(0,MIN(100,K21)))/(G21+H21+I21+J21+L21))/100</f>
        <v>0.11</v>
      </c>
      <c r="T21" s="79" t="n"/>
      <c r="U21" s="98" t="n">
        <v>54</v>
      </c>
      <c r="V21" s="98" t="n">
        <v>21</v>
      </c>
      <c r="W21" s="98" t="n">
        <v>4</v>
      </c>
      <c r="X21" s="98" t="n">
        <v>0</v>
      </c>
      <c r="Y21" s="98" t="n">
        <v>10</v>
      </c>
      <c r="Z21" s="98" t="n">
        <v>11</v>
      </c>
    </row>
    <row r="22" ht="30" customHeight="1">
      <c r="A22" s="12" t="inlineStr">
        <is>
          <t>Datatech · Marketing · Band B · Expert / POD Lead</t>
        </is>
      </c>
      <c r="B22" s="12" t="inlineStr">
        <is>
          <t>Datatech</t>
        </is>
      </c>
      <c r="C22" s="12" t="inlineStr">
        <is>
          <t>Marketing</t>
        </is>
      </c>
      <c r="D22" s="10" t="inlineStr">
        <is>
          <t>Band B · Expert / POD Lead</t>
        </is>
      </c>
      <c r="E22" s="38" t="n">
        <v>1</v>
      </c>
      <c r="F22" s="12" t="inlineStr">
        <is>
          <t>Sales &amp; marketing</t>
        </is>
      </c>
      <c r="G22" s="95" t="n">
        <v>46</v>
      </c>
      <c r="H22" s="95" t="n">
        <v>22</v>
      </c>
      <c r="I22" s="95" t="n">
        <v>5</v>
      </c>
      <c r="J22" s="95" t="n">
        <v>5</v>
      </c>
      <c r="K22" s="95">
        <f>WM_EXP_AB</f>
        <v>10</v>
      </c>
      <c r="L22" s="95" t="n">
        <v>12</v>
      </c>
      <c r="M22" s="96">
        <f>SUM(G22:L22)</f>
        <v>100</v>
      </c>
      <c r="N22" s="97">
        <f>IF((G22+H22+I22+J22+L22)=0,0,G22*(100-MAX(0,MIN(100,K22)))/(G22+H22+I22+J22+L22))/100</f>
        <v>0.46</v>
      </c>
      <c r="O22" s="97">
        <f>IF((G22+H22+I22+J22+L22)=0,0,H22*(100-MAX(0,MIN(100,K22)))/(G22+H22+I22+J22+L22))/100</f>
        <v>0.22</v>
      </c>
      <c r="P22" s="97">
        <f>IF((G22+H22+I22+J22+L22)=0,0,I22*(100-MAX(0,MIN(100,K22)))/(G22+H22+I22+J22+L22))/100</f>
        <v>0.05</v>
      </c>
      <c r="Q22" s="97">
        <f>IF((G22+H22+I22+J22+L22)=0,0,J22*(100-MAX(0,MIN(100,K22)))/(G22+H22+I22+J22+L22))/100</f>
        <v>0.05</v>
      </c>
      <c r="R22" s="97">
        <f>MAX(0,MIN(100,K22))/100</f>
        <v>0.1</v>
      </c>
      <c r="S22" s="97">
        <f>IF((G22+H22+I22+J22+L22)=0,0,L22*(100-MAX(0,MIN(100,K22)))/(G22+H22+I22+J22+L22))/100</f>
        <v>0.12</v>
      </c>
      <c r="T22" s="79" t="n"/>
      <c r="U22" s="98" t="n">
        <v>46</v>
      </c>
      <c r="V22" s="98" t="n">
        <v>22</v>
      </c>
      <c r="W22" s="98" t="n">
        <v>5</v>
      </c>
      <c r="X22" s="98" t="n">
        <v>5</v>
      </c>
      <c r="Y22" s="98" t="n">
        <v>10</v>
      </c>
      <c r="Z22" s="98" t="n">
        <v>12</v>
      </c>
    </row>
    <row r="23" ht="30" customHeight="1">
      <c r="A23" s="12" t="inlineStr">
        <is>
          <t>Datatech · Product Management · Band B · Expert / POD Lead</t>
        </is>
      </c>
      <c r="B23" s="12" t="inlineStr">
        <is>
          <t>Datatech</t>
        </is>
      </c>
      <c r="C23" s="12" t="inlineStr">
        <is>
          <t>Product Management</t>
        </is>
      </c>
      <c r="D23" s="10" t="inlineStr">
        <is>
          <t>Band B · Expert / POD Lead</t>
        </is>
      </c>
      <c r="E23" s="38" t="n">
        <v>4</v>
      </c>
      <c r="F23" s="12" t="inlineStr">
        <is>
          <t>Product &amp; programme</t>
        </is>
      </c>
      <c r="G23" s="95" t="n">
        <v>46</v>
      </c>
      <c r="H23" s="95" t="n">
        <v>22</v>
      </c>
      <c r="I23" s="95" t="n">
        <v>10</v>
      </c>
      <c r="J23" s="95" t="n">
        <v>5</v>
      </c>
      <c r="K23" s="95">
        <f>WM_EXP_AB</f>
        <v>10</v>
      </c>
      <c r="L23" s="95" t="n">
        <v>7</v>
      </c>
      <c r="M23" s="96">
        <f>SUM(G23:L23)</f>
        <v>100</v>
      </c>
      <c r="N23" s="97">
        <f>IF((G23+H23+I23+J23+L23)=0,0,G23*(100-MAX(0,MIN(100,K23)))/(G23+H23+I23+J23+L23))/100</f>
        <v>0.46</v>
      </c>
      <c r="O23" s="97">
        <f>IF((G23+H23+I23+J23+L23)=0,0,H23*(100-MAX(0,MIN(100,K23)))/(G23+H23+I23+J23+L23))/100</f>
        <v>0.22</v>
      </c>
      <c r="P23" s="97">
        <f>IF((G23+H23+I23+J23+L23)=0,0,I23*(100-MAX(0,MIN(100,K23)))/(G23+H23+I23+J23+L23))/100</f>
        <v>0.1</v>
      </c>
      <c r="Q23" s="97">
        <f>IF((G23+H23+I23+J23+L23)=0,0,J23*(100-MAX(0,MIN(100,K23)))/(G23+H23+I23+J23+L23))/100</f>
        <v>0.05</v>
      </c>
      <c r="R23" s="97">
        <f>MAX(0,MIN(100,K23))/100</f>
        <v>0.1</v>
      </c>
      <c r="S23" s="97">
        <f>IF((G23+H23+I23+J23+L23)=0,0,L23*(100-MAX(0,MIN(100,K23)))/(G23+H23+I23+J23+L23))/100</f>
        <v>0.07</v>
      </c>
      <c r="T23" s="79" t="n"/>
      <c r="U23" s="98" t="n">
        <v>46</v>
      </c>
      <c r="V23" s="98" t="n">
        <v>22</v>
      </c>
      <c r="W23" s="98" t="n">
        <v>10</v>
      </c>
      <c r="X23" s="98" t="n">
        <v>5</v>
      </c>
      <c r="Y23" s="98" t="n">
        <v>10</v>
      </c>
      <c r="Z23" s="98" t="n">
        <v>7</v>
      </c>
    </row>
    <row r="24" ht="30" customHeight="1">
      <c r="A24" s="12" t="inlineStr">
        <is>
          <t>Datatech · Product Management · Band B · People Manager</t>
        </is>
      </c>
      <c r="B24" s="12" t="inlineStr">
        <is>
          <t>Datatech</t>
        </is>
      </c>
      <c r="C24" s="12" t="inlineStr">
        <is>
          <t>Product Management</t>
        </is>
      </c>
      <c r="D24" s="10" t="inlineStr">
        <is>
          <t>Band B · People Manager</t>
        </is>
      </c>
      <c r="E24" s="38" t="n">
        <v>1</v>
      </c>
      <c r="F24" s="12" t="inlineStr">
        <is>
          <t>Product &amp; programme</t>
        </is>
      </c>
      <c r="G24" s="95" t="n">
        <v>32</v>
      </c>
      <c r="H24" s="95" t="n">
        <v>23</v>
      </c>
      <c r="I24" s="95" t="n">
        <v>11</v>
      </c>
      <c r="J24" s="95" t="n">
        <v>15</v>
      </c>
      <c r="K24" s="95">
        <f>WM_EXP_AB</f>
        <v>10</v>
      </c>
      <c r="L24" s="95" t="n">
        <v>9</v>
      </c>
      <c r="M24" s="96">
        <f>SUM(G24:L24)</f>
        <v>100</v>
      </c>
      <c r="N24" s="97">
        <f>IF((G24+H24+I24+J24+L24)=0,0,G24*(100-MAX(0,MIN(100,K24)))/(G24+H24+I24+J24+L24))/100</f>
        <v>0.32</v>
      </c>
      <c r="O24" s="97">
        <f>IF((G24+H24+I24+J24+L24)=0,0,H24*(100-MAX(0,MIN(100,K24)))/(G24+H24+I24+J24+L24))/100</f>
        <v>0.23</v>
      </c>
      <c r="P24" s="97">
        <f>IF((G24+H24+I24+J24+L24)=0,0,I24*(100-MAX(0,MIN(100,K24)))/(G24+H24+I24+J24+L24))/100</f>
        <v>0.11</v>
      </c>
      <c r="Q24" s="97">
        <f>IF((G24+H24+I24+J24+L24)=0,0,J24*(100-MAX(0,MIN(100,K24)))/(G24+H24+I24+J24+L24))/100</f>
        <v>0.15</v>
      </c>
      <c r="R24" s="97">
        <f>MAX(0,MIN(100,K24))/100</f>
        <v>0.1</v>
      </c>
      <c r="S24" s="97">
        <f>IF((G24+H24+I24+J24+L24)=0,0,L24*(100-MAX(0,MIN(100,K24)))/(G24+H24+I24+J24+L24))/100</f>
        <v>0.09</v>
      </c>
      <c r="T24" s="79" t="n"/>
      <c r="U24" s="98" t="n">
        <v>32</v>
      </c>
      <c r="V24" s="98" t="n">
        <v>23</v>
      </c>
      <c r="W24" s="98" t="n">
        <v>11</v>
      </c>
      <c r="X24" s="98" t="n">
        <v>15</v>
      </c>
      <c r="Y24" s="98" t="n">
        <v>10</v>
      </c>
      <c r="Z24" s="98" t="n">
        <v>9</v>
      </c>
    </row>
    <row r="25" ht="30" customHeight="1">
      <c r="A25" s="12" t="inlineStr">
        <is>
          <t>Datatech · Quality Assurance · Band A · Early career</t>
        </is>
      </c>
      <c r="B25" s="12" t="inlineStr">
        <is>
          <t>Datatech</t>
        </is>
      </c>
      <c r="C25" s="12" t="inlineStr">
        <is>
          <t>Quality Assurance</t>
        </is>
      </c>
      <c r="D25" s="10" t="inlineStr">
        <is>
          <t>Band A · Early career</t>
        </is>
      </c>
      <c r="E25" s="38" t="n">
        <v>2</v>
      </c>
      <c r="F25" s="12" t="inlineStr">
        <is>
          <t>Technology &amp; engineering</t>
        </is>
      </c>
      <c r="G25" s="95" t="n">
        <v>64</v>
      </c>
      <c r="H25" s="95" t="n">
        <v>16</v>
      </c>
      <c r="I25" s="95" t="n">
        <v>4</v>
      </c>
      <c r="J25" s="95" t="n">
        <v>0</v>
      </c>
      <c r="K25" s="95">
        <f>WM_EXP_AB</f>
        <v>10</v>
      </c>
      <c r="L25" s="95" t="n">
        <v>6</v>
      </c>
      <c r="M25" s="96">
        <f>SUM(G25:L25)</f>
        <v>100</v>
      </c>
      <c r="N25" s="97">
        <f>IF((G25+H25+I25+J25+L25)=0,0,G25*(100-MAX(0,MIN(100,K25)))/(G25+H25+I25+J25+L25))/100</f>
        <v>0.64</v>
      </c>
      <c r="O25" s="97">
        <f>IF((G25+H25+I25+J25+L25)=0,0,H25*(100-MAX(0,MIN(100,K25)))/(G25+H25+I25+J25+L25))/100</f>
        <v>0.16</v>
      </c>
      <c r="P25" s="97">
        <f>IF((G25+H25+I25+J25+L25)=0,0,I25*(100-MAX(0,MIN(100,K25)))/(G25+H25+I25+J25+L25))/100</f>
        <v>0.04</v>
      </c>
      <c r="Q25" s="97">
        <f>IF((G25+H25+I25+J25+L25)=0,0,J25*(100-MAX(0,MIN(100,K25)))/(G25+H25+I25+J25+L25))/100</f>
        <v>0</v>
      </c>
      <c r="R25" s="97">
        <f>MAX(0,MIN(100,K25))/100</f>
        <v>0.1</v>
      </c>
      <c r="S25" s="97">
        <f>IF((G25+H25+I25+J25+L25)=0,0,L25*(100-MAX(0,MIN(100,K25)))/(G25+H25+I25+J25+L25))/100</f>
        <v>0.06</v>
      </c>
      <c r="T25" s="79" t="n"/>
      <c r="U25" s="98" t="n">
        <v>64</v>
      </c>
      <c r="V25" s="98" t="n">
        <v>16</v>
      </c>
      <c r="W25" s="98" t="n">
        <v>4</v>
      </c>
      <c r="X25" s="98" t="n">
        <v>0</v>
      </c>
      <c r="Y25" s="98" t="n">
        <v>10</v>
      </c>
      <c r="Z25" s="98" t="n">
        <v>6</v>
      </c>
    </row>
    <row r="26" ht="30" customHeight="1">
      <c r="A26" s="12" t="inlineStr">
        <is>
          <t>Datatech · Sales · Band C · Principal expert</t>
        </is>
      </c>
      <c r="B26" s="12" t="inlineStr">
        <is>
          <t>Datatech</t>
        </is>
      </c>
      <c r="C26" s="12" t="inlineStr">
        <is>
          <t>Sales</t>
        </is>
      </c>
      <c r="D26" s="10" t="inlineStr">
        <is>
          <t>Band C · Principal expert</t>
        </is>
      </c>
      <c r="E26" s="38" t="n">
        <v>1</v>
      </c>
      <c r="F26" s="12" t="inlineStr">
        <is>
          <t>Sales &amp; marketing</t>
        </is>
      </c>
      <c r="G26" s="95" t="n">
        <v>49</v>
      </c>
      <c r="H26" s="95" t="n">
        <v>23</v>
      </c>
      <c r="I26" s="95" t="n">
        <v>5</v>
      </c>
      <c r="J26" s="95" t="n">
        <v>5</v>
      </c>
      <c r="K26" s="95">
        <f>WM_EXP_CE</f>
        <v>5</v>
      </c>
      <c r="L26" s="95" t="n">
        <v>13</v>
      </c>
      <c r="M26" s="96">
        <f>SUM(G26:L26)</f>
        <v>100</v>
      </c>
      <c r="N26" s="97">
        <f>IF((G26+H26+I26+J26+L26)=0,0,G26*(100-MAX(0,MIN(100,K26)))/(G26+H26+I26+J26+L26))/100</f>
        <v>0.49</v>
      </c>
      <c r="O26" s="97">
        <f>IF((G26+H26+I26+J26+L26)=0,0,H26*(100-MAX(0,MIN(100,K26)))/(G26+H26+I26+J26+L26))/100</f>
        <v>0.23</v>
      </c>
      <c r="P26" s="97">
        <f>IF((G26+H26+I26+J26+L26)=0,0,I26*(100-MAX(0,MIN(100,K26)))/(G26+H26+I26+J26+L26))/100</f>
        <v>0.05</v>
      </c>
      <c r="Q26" s="97">
        <f>IF((G26+H26+I26+J26+L26)=0,0,J26*(100-MAX(0,MIN(100,K26)))/(G26+H26+I26+J26+L26))/100</f>
        <v>0.05</v>
      </c>
      <c r="R26" s="97">
        <f>MAX(0,MIN(100,K26))/100</f>
        <v>0.05</v>
      </c>
      <c r="S26" s="97">
        <f>IF((G26+H26+I26+J26+L26)=0,0,L26*(100-MAX(0,MIN(100,K26)))/(G26+H26+I26+J26+L26))/100</f>
        <v>0.13</v>
      </c>
      <c r="T26" s="79" t="n"/>
      <c r="U26" s="98" t="n">
        <v>49</v>
      </c>
      <c r="V26" s="98" t="n">
        <v>23</v>
      </c>
      <c r="W26" s="98" t="n">
        <v>5</v>
      </c>
      <c r="X26" s="98" t="n">
        <v>5</v>
      </c>
      <c r="Y26" s="98" t="n">
        <v>5</v>
      </c>
      <c r="Z26" s="98" t="n">
        <v>13</v>
      </c>
    </row>
    <row r="27" ht="30" customHeight="1">
      <c r="A27" s="12" t="inlineStr">
        <is>
          <t>Datatech · Technology · Band A · Early career</t>
        </is>
      </c>
      <c r="B27" s="12" t="inlineStr">
        <is>
          <t>Datatech</t>
        </is>
      </c>
      <c r="C27" s="12" t="inlineStr">
        <is>
          <t>Technology</t>
        </is>
      </c>
      <c r="D27" s="10" t="inlineStr">
        <is>
          <t>Band A · Early career</t>
        </is>
      </c>
      <c r="E27" s="38" t="n">
        <v>4</v>
      </c>
      <c r="F27" s="12" t="inlineStr">
        <is>
          <t>Technology &amp; engineering</t>
        </is>
      </c>
      <c r="G27" s="95" t="n">
        <v>64</v>
      </c>
      <c r="H27" s="95" t="n">
        <v>16</v>
      </c>
      <c r="I27" s="95" t="n">
        <v>4</v>
      </c>
      <c r="J27" s="95" t="n">
        <v>0</v>
      </c>
      <c r="K27" s="95">
        <f>WM_EXP_AB</f>
        <v>10</v>
      </c>
      <c r="L27" s="95" t="n">
        <v>6</v>
      </c>
      <c r="M27" s="96">
        <f>SUM(G27:L27)</f>
        <v>100</v>
      </c>
      <c r="N27" s="97">
        <f>IF((G27+H27+I27+J27+L27)=0,0,G27*(100-MAX(0,MIN(100,K27)))/(G27+H27+I27+J27+L27))/100</f>
        <v>0.64</v>
      </c>
      <c r="O27" s="97">
        <f>IF((G27+H27+I27+J27+L27)=0,0,H27*(100-MAX(0,MIN(100,K27)))/(G27+H27+I27+J27+L27))/100</f>
        <v>0.16</v>
      </c>
      <c r="P27" s="97">
        <f>IF((G27+H27+I27+J27+L27)=0,0,I27*(100-MAX(0,MIN(100,K27)))/(G27+H27+I27+J27+L27))/100</f>
        <v>0.04</v>
      </c>
      <c r="Q27" s="97">
        <f>IF((G27+H27+I27+J27+L27)=0,0,J27*(100-MAX(0,MIN(100,K27)))/(G27+H27+I27+J27+L27))/100</f>
        <v>0</v>
      </c>
      <c r="R27" s="97">
        <f>MAX(0,MIN(100,K27))/100</f>
        <v>0.1</v>
      </c>
      <c r="S27" s="97">
        <f>IF((G27+H27+I27+J27+L27)=0,0,L27*(100-MAX(0,MIN(100,K27)))/(G27+H27+I27+J27+L27))/100</f>
        <v>0.06</v>
      </c>
      <c r="T27" s="79" t="n"/>
      <c r="U27" s="98" t="n">
        <v>64</v>
      </c>
      <c r="V27" s="98" t="n">
        <v>16</v>
      </c>
      <c r="W27" s="98" t="n">
        <v>4</v>
      </c>
      <c r="X27" s="98" t="n">
        <v>0</v>
      </c>
      <c r="Y27" s="98" t="n">
        <v>10</v>
      </c>
      <c r="Z27" s="98" t="n">
        <v>6</v>
      </c>
    </row>
    <row r="28" ht="30" customHeight="1">
      <c r="A28" s="12" t="inlineStr">
        <is>
          <t>Datatech · Technology · Band B · Expert / POD Lead</t>
        </is>
      </c>
      <c r="B28" s="12" t="inlineStr">
        <is>
          <t>Datatech</t>
        </is>
      </c>
      <c r="C28" s="12" t="inlineStr">
        <is>
          <t>Technology</t>
        </is>
      </c>
      <c r="D28" s="10" t="inlineStr">
        <is>
          <t>Band B · Expert / POD Lead</t>
        </is>
      </c>
      <c r="E28" s="38" t="n">
        <v>1</v>
      </c>
      <c r="F28" s="12" t="inlineStr">
        <is>
          <t>Technology &amp; engineering</t>
        </is>
      </c>
      <c r="G28" s="95" t="n">
        <v>56</v>
      </c>
      <c r="H28" s="95" t="n">
        <v>17</v>
      </c>
      <c r="I28" s="95" t="n">
        <v>5</v>
      </c>
      <c r="J28" s="95" t="n">
        <v>5</v>
      </c>
      <c r="K28" s="95">
        <f>WM_EXP_AB</f>
        <v>10</v>
      </c>
      <c r="L28" s="95" t="n">
        <v>7</v>
      </c>
      <c r="M28" s="96">
        <f>SUM(G28:L28)</f>
        <v>100</v>
      </c>
      <c r="N28" s="97">
        <f>IF((G28+H28+I28+J28+L28)=0,0,G28*(100-MAX(0,MIN(100,K28)))/(G28+H28+I28+J28+L28))/100</f>
        <v>0.56</v>
      </c>
      <c r="O28" s="97">
        <f>IF((G28+H28+I28+J28+L28)=0,0,H28*(100-MAX(0,MIN(100,K28)))/(G28+H28+I28+J28+L28))/100</f>
        <v>0.17</v>
      </c>
      <c r="P28" s="97">
        <f>IF((G28+H28+I28+J28+L28)=0,0,I28*(100-MAX(0,MIN(100,K28)))/(G28+H28+I28+J28+L28))/100</f>
        <v>0.05</v>
      </c>
      <c r="Q28" s="97">
        <f>IF((G28+H28+I28+J28+L28)=0,0,J28*(100-MAX(0,MIN(100,K28)))/(G28+H28+I28+J28+L28))/100</f>
        <v>0.05</v>
      </c>
      <c r="R28" s="97">
        <f>MAX(0,MIN(100,K28))/100</f>
        <v>0.1</v>
      </c>
      <c r="S28" s="97">
        <f>IF((G28+H28+I28+J28+L28)=0,0,L28*(100-MAX(0,MIN(100,K28)))/(G28+H28+I28+J28+L28))/100</f>
        <v>0.07</v>
      </c>
      <c r="T28" s="79" t="n"/>
      <c r="U28" s="98" t="n">
        <v>56</v>
      </c>
      <c r="V28" s="98" t="n">
        <v>17</v>
      </c>
      <c r="W28" s="98" t="n">
        <v>5</v>
      </c>
      <c r="X28" s="98" t="n">
        <v>5</v>
      </c>
      <c r="Y28" s="98" t="n">
        <v>10</v>
      </c>
      <c r="Z28" s="98" t="n">
        <v>7</v>
      </c>
    </row>
    <row r="29" ht="30" customHeight="1">
      <c r="A29" s="12" t="inlineStr">
        <is>
          <t>Datatech · Technology · Band C · Principal expert</t>
        </is>
      </c>
      <c r="B29" s="12" t="inlineStr">
        <is>
          <t>Datatech</t>
        </is>
      </c>
      <c r="C29" s="12" t="inlineStr">
        <is>
          <t>Technology</t>
        </is>
      </c>
      <c r="D29" s="10" t="inlineStr">
        <is>
          <t>Band C · Principal expert</t>
        </is>
      </c>
      <c r="E29" s="38" t="n">
        <v>1</v>
      </c>
      <c r="F29" s="12" t="inlineStr">
        <is>
          <t>Technology &amp; engineering</t>
        </is>
      </c>
      <c r="G29" s="95" t="n">
        <v>59</v>
      </c>
      <c r="H29" s="95" t="n">
        <v>18</v>
      </c>
      <c r="I29" s="95" t="n">
        <v>5</v>
      </c>
      <c r="J29" s="95" t="n">
        <v>5</v>
      </c>
      <c r="K29" s="95">
        <f>WM_EXP_CE</f>
        <v>5</v>
      </c>
      <c r="L29" s="95" t="n">
        <v>8</v>
      </c>
      <c r="M29" s="96">
        <f>SUM(G29:L29)</f>
        <v>100</v>
      </c>
      <c r="N29" s="97">
        <f>IF((G29+H29+I29+J29+L29)=0,0,G29*(100-MAX(0,MIN(100,K29)))/(G29+H29+I29+J29+L29))/100</f>
        <v>0.59</v>
      </c>
      <c r="O29" s="97">
        <f>IF((G29+H29+I29+J29+L29)=0,0,H29*(100-MAX(0,MIN(100,K29)))/(G29+H29+I29+J29+L29))/100</f>
        <v>0.18</v>
      </c>
      <c r="P29" s="97">
        <f>IF((G29+H29+I29+J29+L29)=0,0,I29*(100-MAX(0,MIN(100,K29)))/(G29+H29+I29+J29+L29))/100</f>
        <v>0.05</v>
      </c>
      <c r="Q29" s="97">
        <f>IF((G29+H29+I29+J29+L29)=0,0,J29*(100-MAX(0,MIN(100,K29)))/(G29+H29+I29+J29+L29))/100</f>
        <v>0.05</v>
      </c>
      <c r="R29" s="97">
        <f>MAX(0,MIN(100,K29))/100</f>
        <v>0.05</v>
      </c>
      <c r="S29" s="97">
        <f>IF((G29+H29+I29+J29+L29)=0,0,L29*(100-MAX(0,MIN(100,K29)))/(G29+H29+I29+J29+L29))/100</f>
        <v>0.08</v>
      </c>
      <c r="T29" s="79" t="n"/>
      <c r="U29" s="98" t="n">
        <v>59</v>
      </c>
      <c r="V29" s="98" t="n">
        <v>18</v>
      </c>
      <c r="W29" s="98" t="n">
        <v>5</v>
      </c>
      <c r="X29" s="98" t="n">
        <v>5</v>
      </c>
      <c r="Y29" s="98" t="n">
        <v>5</v>
      </c>
      <c r="Z29" s="98" t="n">
        <v>8</v>
      </c>
    </row>
    <row r="30" ht="15" customHeight="1"/>
    <row r="31" ht="20" customHeight="1">
      <c r="A31" s="6" t="inlineStr">
        <is>
          <t>WHAT EACH FACTOR MEANS — and when to give it more weight</t>
        </is>
      </c>
    </row>
    <row r="32" ht="15" customHeight="1">
      <c r="A32" s="8" t="inlineStr">
        <is>
          <t>Factor</t>
        </is>
      </c>
      <c r="B32" s="89" t="n"/>
      <c r="C32" s="8" t="inlineStr">
        <is>
          <t>What it measures</t>
        </is>
      </c>
      <c r="D32" s="88" t="n"/>
      <c r="E32" s="88" t="n"/>
      <c r="F32" s="88" t="n"/>
      <c r="G32" s="88" t="n"/>
      <c r="H32" s="89" t="n"/>
      <c r="I32" s="8" t="inlineStr">
        <is>
          <t>Give it more weight when…</t>
        </is>
      </c>
      <c r="J32" s="88" t="n"/>
      <c r="K32" s="88" t="n"/>
      <c r="L32" s="88" t="n"/>
      <c r="M32" s="88" t="n"/>
      <c r="N32" s="88" t="n"/>
      <c r="O32" s="88" t="n"/>
      <c r="P32" s="88" t="n"/>
      <c r="Q32" s="88" t="n"/>
      <c r="R32" s="88" t="n"/>
      <c r="S32" s="88" t="n"/>
      <c r="T32" s="89" t="n"/>
    </row>
    <row r="33" ht="15" customHeight="1">
      <c r="A33" s="10" t="inlineStr">
        <is>
          <t>Complexity &amp; Expertise</t>
        </is>
      </c>
      <c r="B33" s="89" t="n"/>
      <c r="C33" s="12" t="inlineStr">
        <is>
          <t>How hard and how specialised the work is</t>
        </is>
      </c>
      <c r="D33" s="88" t="n"/>
      <c r="E33" s="88" t="n"/>
      <c r="F33" s="88" t="n"/>
      <c r="G33" s="88" t="n"/>
      <c r="H33" s="89" t="n"/>
      <c r="I33" s="12" t="inlineStr">
        <is>
          <r>
            <rPr>
              <rFont val="Calibri"/>
              <b val="1"/>
              <sz val="10"/>
            </rPr>
            <t>The job's value is deep expertise:</t>
          </r>
          <r>
            <rPr>
              <rFont val="Calibri"/>
              <sz val="10"/>
            </rPr>
            <t xml:space="preserve"> architecture, actuarial, taxonomy design</t>
          </r>
        </is>
      </c>
      <c r="J33" s="88" t="n"/>
      <c r="K33" s="88" t="n"/>
      <c r="L33" s="88" t="n"/>
      <c r="M33" s="88" t="n"/>
      <c r="N33" s="88" t="n"/>
      <c r="O33" s="88" t="n"/>
      <c r="P33" s="88" t="n"/>
      <c r="Q33" s="88" t="n"/>
      <c r="R33" s="88" t="n"/>
      <c r="S33" s="88" t="n"/>
      <c r="T33" s="89" t="n"/>
    </row>
    <row r="34" ht="15" customHeight="1">
      <c r="A34" s="10" t="inlineStr">
        <is>
          <t>Autonomy &amp; Decision</t>
        </is>
      </c>
      <c r="B34" s="89" t="n"/>
      <c r="C34" s="12" t="inlineStr">
        <is>
          <t>What the person decides without asking</t>
        </is>
      </c>
      <c r="D34" s="88" t="n"/>
      <c r="E34" s="88" t="n"/>
      <c r="F34" s="88" t="n"/>
      <c r="G34" s="88" t="n"/>
      <c r="H34" s="89" t="n"/>
      <c r="I34" s="12" t="inlineStr">
        <is>
          <r>
            <rPr>
              <rFont val="Calibri"/>
              <b val="1"/>
              <sz val="10"/>
            </rPr>
            <t>The job is trusted to act alone:</t>
          </r>
          <r>
            <rPr>
              <rFont val="Calibri"/>
              <sz val="10"/>
            </rPr>
            <t xml:space="preserve"> product calls, deals, client decisions</t>
          </r>
        </is>
      </c>
      <c r="J34" s="88" t="n"/>
      <c r="K34" s="88" t="n"/>
      <c r="L34" s="88" t="n"/>
      <c r="M34" s="88" t="n"/>
      <c r="N34" s="88" t="n"/>
      <c r="O34" s="88" t="n"/>
      <c r="P34" s="88" t="n"/>
      <c r="Q34" s="88" t="n"/>
      <c r="R34" s="88" t="n"/>
      <c r="S34" s="88" t="n"/>
      <c r="T34" s="89" t="n"/>
    </row>
    <row r="35" ht="15" customHeight="1">
      <c r="A35" s="10" t="inlineStr">
        <is>
          <t>Accountability &amp; Impact</t>
        </is>
      </c>
      <c r="B35" s="89" t="n"/>
      <c r="C35" s="12" t="inlineStr">
        <is>
          <t>What the job answers for — its scope</t>
        </is>
      </c>
      <c r="D35" s="88" t="n"/>
      <c r="E35" s="88" t="n"/>
      <c r="F35" s="88" t="n"/>
      <c r="G35" s="88" t="n"/>
      <c r="H35" s="89" t="n"/>
      <c r="I35" s="12" t="inlineStr">
        <is>
          <t>Results, risk or quality of an area rest on this job</t>
        </is>
      </c>
      <c r="J35" s="88" t="n"/>
      <c r="K35" s="88" t="n"/>
      <c r="L35" s="88" t="n"/>
      <c r="M35" s="88" t="n"/>
      <c r="N35" s="88" t="n"/>
      <c r="O35" s="88" t="n"/>
      <c r="P35" s="88" t="n"/>
      <c r="Q35" s="88" t="n"/>
      <c r="R35" s="88" t="n"/>
      <c r="S35" s="88" t="n"/>
      <c r="T35" s="89" t="n"/>
    </row>
    <row r="36" ht="15" customHeight="1">
      <c r="A36" s="10" t="inlineStr">
        <is>
          <t>Leadership &amp; Strategy</t>
        </is>
      </c>
      <c r="B36" s="89" t="n"/>
      <c r="C36" s="12" t="inlineStr">
        <is>
          <t>Leading people or setting direction</t>
        </is>
      </c>
      <c r="D36" s="88" t="n"/>
      <c r="E36" s="88" t="n"/>
      <c r="F36" s="88" t="n"/>
      <c r="G36" s="88" t="n"/>
      <c r="H36" s="89" t="n"/>
      <c r="I36" s="12" t="inlineStr">
        <is>
          <t>The job's results come through a team or through direction it sets</t>
        </is>
      </c>
      <c r="J36" s="88" t="n"/>
      <c r="K36" s="88" t="n"/>
      <c r="L36" s="88" t="n"/>
      <c r="M36" s="88" t="n"/>
      <c r="N36" s="88" t="n"/>
      <c r="O36" s="88" t="n"/>
      <c r="P36" s="88" t="n"/>
      <c r="Q36" s="88" t="n"/>
      <c r="R36" s="88" t="n"/>
      <c r="S36" s="88" t="n"/>
      <c r="T36" s="89" t="n"/>
    </row>
    <row r="37" ht="15" customHeight="1">
      <c r="A37" s="10" t="inlineStr">
        <is>
          <t>Experience &amp; Qualification</t>
        </is>
      </c>
      <c r="B37" s="89" t="n"/>
      <c r="C37" s="12" t="inlineStr">
        <is>
          <t>Years in the field and qualifications</t>
        </is>
      </c>
      <c r="D37" s="88" t="n"/>
      <c r="E37" s="88" t="n"/>
      <c r="F37" s="88" t="n"/>
      <c r="G37" s="88" t="n"/>
      <c r="H37" s="89" t="n"/>
      <c r="I37" s="12" t="inlineStr">
        <is>
          <t>A licence or long experience is itself the requirement — kept low by design</t>
        </is>
      </c>
      <c r="J37" s="88" t="n"/>
      <c r="K37" s="88" t="n"/>
      <c r="L37" s="88" t="n"/>
      <c r="M37" s="88" t="n"/>
      <c r="N37" s="88" t="n"/>
      <c r="O37" s="88" t="n"/>
      <c r="P37" s="88" t="n"/>
      <c r="Q37" s="88" t="n"/>
      <c r="R37" s="88" t="n"/>
      <c r="S37" s="88" t="n"/>
      <c r="T37" s="89" t="n"/>
    </row>
    <row r="38" ht="15" customHeight="1">
      <c r="A38" s="10" t="inlineStr">
        <is>
          <t>Business Impact</t>
        </is>
      </c>
      <c r="B38" s="89" t="n"/>
      <c r="C38" s="12" t="inlineStr">
        <is>
          <t>The difference the job makes to revenue, clients, compliance or cost</t>
        </is>
      </c>
      <c r="D38" s="88" t="n"/>
      <c r="E38" s="88" t="n"/>
      <c r="F38" s="88" t="n"/>
      <c r="G38" s="88" t="n"/>
      <c r="H38" s="89" t="n"/>
      <c r="I38" s="12" t="inlineStr">
        <is>
          <r>
            <rPr>
              <rFont val="Calibri"/>
              <b val="1"/>
              <sz val="10"/>
            </rPr>
            <t>Results are visible in business numbers:</t>
          </r>
          <r>
            <rPr>
              <rFont val="Calibri"/>
              <sz val="10"/>
            </rPr>
            <t xml:space="preserve"> sales, client retention, filings, savings</t>
          </r>
        </is>
      </c>
      <c r="J38" s="88" t="n"/>
      <c r="K38" s="88" t="n"/>
      <c r="L38" s="88" t="n"/>
      <c r="M38" s="88" t="n"/>
      <c r="N38" s="88" t="n"/>
      <c r="O38" s="88" t="n"/>
      <c r="P38" s="88" t="n"/>
      <c r="Q38" s="88" t="n"/>
      <c r="R38" s="88" t="n"/>
      <c r="S38" s="88" t="n"/>
      <c r="T38" s="89" t="n"/>
    </row>
    <row r="39" ht="15" customHeight="1"/>
    <row r="40" ht="15" customHeight="1">
      <c r="A40" s="36" t="inlineStr">
        <is>
          <r>
            <rPr>
              <rFont val="Calibri"/>
              <b val="1"/>
              <i val="1"/>
              <color rgb="00595959"/>
              <sz val="10"/>
            </rPr>
            <t>Leadership weights:</t>
          </r>
          <r>
            <rPr>
              <rFont val="Calibri"/>
              <i val="1"/>
              <color rgb="00595959"/>
              <sz val="10"/>
            </rPr>
            <t xml:space="preserve"> Sources: S05, S46, S47 Hay managerial know-how by level · S04 Mercer IPE communication · S09 McKinsey spans of control. The 0 / 5 / 10 / 15 / 20% steps by role group are an IRIS design rule.</t>
          </r>
        </is>
      </c>
    </row>
    <row r="41" ht="15" customHeight="1">
      <c r="A41" s="36" t="inlineStr">
        <is>
          <r>
            <rPr>
              <rFont val="Calibri"/>
              <b val="1"/>
              <i val="1"/>
              <color rgb="00595959"/>
              <sz val="10"/>
            </rPr>
            <t>Business Impact:</t>
          </r>
          <r>
            <rPr>
              <rFont val="Calibri"/>
              <i val="1"/>
              <color rgb="00595959"/>
              <sz val="10"/>
            </rPr>
            <t xml:space="preserve"> Sources: S05 Hay accountability, nature of impact · S04 Mercer IPE impact · S07 WTW GGS nature and area of impact · S53–S57 public plans' financial or consequences factor, 7–10% of points.</t>
          </r>
        </is>
      </c>
    </row>
    <row r="42" ht="15" customHeight="1">
      <c r="A42" s="36" t="inlineStr">
        <is>
          <r>
            <rPr>
              <rFont val="Calibri"/>
              <b val="1"/>
              <i val="1"/>
              <color rgb="00595959"/>
              <sz val="10"/>
            </rPr>
            <t>Type-of-work shift:</t>
          </r>
          <r>
            <rPr>
              <rFont val="Calibri"/>
              <i val="1"/>
              <color rgb="00595959"/>
              <sz val="10"/>
            </rPr>
            <t xml:space="preserve"> Basis: S06 Hay short profile — A-type delivery jobs weight accountability, P-type thinking jobs weight problem solving, L-type are balanced. The ±5 size is an IRIS design rule, kept small so the market defaults stay in control.</t>
          </r>
        </is>
      </c>
    </row>
    <row r="43" ht="20" customHeight="1">
      <c r="A43" s="6" t="inlineStr">
        <is>
          <t>WHAT A WEIGHT MEANS</t>
        </is>
      </c>
    </row>
    <row r="44" ht="15" customHeight="1">
      <c r="A44" s="8" t="inlineStr">
        <is>
          <t>Weight</t>
        </is>
      </c>
      <c r="B44" s="89" t="n"/>
      <c r="C44" s="8" t="inlineStr">
        <is>
          <t>What it means for the score</t>
        </is>
      </c>
      <c r="D44" s="88" t="n"/>
      <c r="E44" s="88" t="n"/>
      <c r="F44" s="88" t="n"/>
      <c r="G44" s="88" t="n"/>
      <c r="H44" s="88" t="n"/>
      <c r="I44" s="88" t="n"/>
      <c r="J44" s="88" t="n"/>
      <c r="K44" s="88" t="n"/>
      <c r="L44" s="88" t="n"/>
      <c r="M44" s="88" t="n"/>
      <c r="N44" s="88" t="n"/>
      <c r="O44" s="88" t="n"/>
      <c r="P44" s="88" t="n"/>
      <c r="Q44" s="88" t="n"/>
      <c r="R44" s="88" t="n"/>
      <c r="S44" s="88" t="n"/>
      <c r="T44" s="89" t="n"/>
    </row>
    <row r="45" ht="15" customHeight="1">
      <c r="A45" s="10" t="inlineStr">
        <is>
          <t>0%</t>
        </is>
      </c>
      <c r="B45" s="89" t="n"/>
      <c r="C45" s="12" t="inlineStr">
        <is>
          <t>Ignored for this role group — the rating does not count at all</t>
        </is>
      </c>
      <c r="D45" s="88" t="n"/>
      <c r="E45" s="88" t="n"/>
      <c r="F45" s="88" t="n"/>
      <c r="G45" s="88" t="n"/>
      <c r="H45" s="88" t="n"/>
      <c r="I45" s="88" t="n"/>
      <c r="J45" s="88" t="n"/>
      <c r="K45" s="88" t="n"/>
      <c r="L45" s="88" t="n"/>
      <c r="M45" s="88" t="n"/>
      <c r="N45" s="88" t="n"/>
      <c r="O45" s="88" t="n"/>
      <c r="P45" s="88" t="n"/>
      <c r="Q45" s="88" t="n"/>
      <c r="R45" s="88" t="n"/>
      <c r="S45" s="88" t="n"/>
      <c r="T45" s="89" t="n"/>
    </row>
    <row r="46" ht="15" customHeight="1">
      <c r="A46" s="10" t="inlineStr">
        <is>
          <t>5%</t>
        </is>
      </c>
      <c r="B46" s="89" t="n"/>
      <c r="C46" s="12" t="inlineStr">
        <is>
          <t>Minor — a tie-breaker; a 1-point change in the rating moves the score by 0.05</t>
        </is>
      </c>
      <c r="D46" s="88" t="n"/>
      <c r="E46" s="88" t="n"/>
      <c r="F46" s="88" t="n"/>
      <c r="G46" s="88" t="n"/>
      <c r="H46" s="88" t="n"/>
      <c r="I46" s="88" t="n"/>
      <c r="J46" s="88" t="n"/>
      <c r="K46" s="88" t="n"/>
      <c r="L46" s="88" t="n"/>
      <c r="M46" s="88" t="n"/>
      <c r="N46" s="88" t="n"/>
      <c r="O46" s="88" t="n"/>
      <c r="P46" s="88" t="n"/>
      <c r="Q46" s="88" t="n"/>
      <c r="R46" s="88" t="n"/>
      <c r="S46" s="88" t="n"/>
      <c r="T46" s="89" t="n"/>
    </row>
    <row r="47" ht="15" customHeight="1">
      <c r="A47" s="10" t="inlineStr">
        <is>
          <t>10%</t>
        </is>
      </c>
      <c r="B47" s="89" t="n"/>
      <c r="C47" s="12" t="inlineStr">
        <is>
          <t>Counts a little — a 1-point change moves the score by 0.10</t>
        </is>
      </c>
      <c r="D47" s="88" t="n"/>
      <c r="E47" s="88" t="n"/>
      <c r="F47" s="88" t="n"/>
      <c r="G47" s="88" t="n"/>
      <c r="H47" s="88" t="n"/>
      <c r="I47" s="88" t="n"/>
      <c r="J47" s="88" t="n"/>
      <c r="K47" s="88" t="n"/>
      <c r="L47" s="88" t="n"/>
      <c r="M47" s="88" t="n"/>
      <c r="N47" s="88" t="n"/>
      <c r="O47" s="88" t="n"/>
      <c r="P47" s="88" t="n"/>
      <c r="Q47" s="88" t="n"/>
      <c r="R47" s="88" t="n"/>
      <c r="S47" s="88" t="n"/>
      <c r="T47" s="89" t="n"/>
    </row>
    <row r="48" ht="15" customHeight="1">
      <c r="A48" s="10" t="inlineStr">
        <is>
          <t>15–20%</t>
        </is>
      </c>
      <c r="B48" s="89" t="n"/>
      <c r="C48" s="12" t="inlineStr">
        <is>
          <t>Important — one of the main things this role is judged on</t>
        </is>
      </c>
      <c r="D48" s="88" t="n"/>
      <c r="E48" s="88" t="n"/>
      <c r="F48" s="88" t="n"/>
      <c r="G48" s="88" t="n"/>
      <c r="H48" s="88" t="n"/>
      <c r="I48" s="88" t="n"/>
      <c r="J48" s="88" t="n"/>
      <c r="K48" s="88" t="n"/>
      <c r="L48" s="88" t="n"/>
      <c r="M48" s="88" t="n"/>
      <c r="N48" s="88" t="n"/>
      <c r="O48" s="88" t="n"/>
      <c r="P48" s="88" t="n"/>
      <c r="Q48" s="88" t="n"/>
      <c r="R48" s="88" t="n"/>
      <c r="S48" s="88" t="n"/>
      <c r="T48" s="89" t="n"/>
    </row>
    <row r="49" ht="15" customHeight="1">
      <c r="A49" s="10" t="inlineStr">
        <is>
          <t>25–30%</t>
        </is>
      </c>
      <c r="B49" s="89" t="n"/>
      <c r="C49" s="12" t="inlineStr">
        <is>
          <t>Leading factor — this is what the role is mostly about</t>
        </is>
      </c>
      <c r="D49" s="88" t="n"/>
      <c r="E49" s="88" t="n"/>
      <c r="F49" s="88" t="n"/>
      <c r="G49" s="88" t="n"/>
      <c r="H49" s="88" t="n"/>
      <c r="I49" s="88" t="n"/>
      <c r="J49" s="88" t="n"/>
      <c r="K49" s="88" t="n"/>
      <c r="L49" s="88" t="n"/>
      <c r="M49" s="88" t="n"/>
      <c r="N49" s="88" t="n"/>
      <c r="O49" s="88" t="n"/>
      <c r="P49" s="88" t="n"/>
      <c r="Q49" s="88" t="n"/>
      <c r="R49" s="88" t="n"/>
      <c r="S49" s="88" t="n"/>
      <c r="T49" s="89" t="n"/>
    </row>
    <row r="50" ht="15" customHeight="1">
      <c r="A50" s="10" t="inlineStr">
        <is>
          <t>35%+</t>
        </is>
      </c>
      <c r="B50" s="89" t="n"/>
      <c r="C50" s="12" t="inlineStr">
        <is>
          <t>Dominant — use rarely; one factor then decides most of the score</t>
        </is>
      </c>
      <c r="D50" s="88" t="n"/>
      <c r="E50" s="88" t="n"/>
      <c r="F50" s="88" t="n"/>
      <c r="G50" s="88" t="n"/>
      <c r="H50" s="88" t="n"/>
      <c r="I50" s="88" t="n"/>
      <c r="J50" s="88" t="n"/>
      <c r="K50" s="88" t="n"/>
      <c r="L50" s="88" t="n"/>
      <c r="M50" s="88" t="n"/>
      <c r="N50" s="88" t="n"/>
      <c r="O50" s="88" t="n"/>
      <c r="P50" s="88" t="n"/>
      <c r="Q50" s="88" t="n"/>
      <c r="R50" s="88" t="n"/>
      <c r="S50" s="88" t="n"/>
      <c r="T50" s="89" t="n"/>
    </row>
    <row r="51" ht="15" customHeight="1"/>
    <row r="52" ht="28" customHeight="1">
      <c r="A52" s="7" t="inlineStr">
        <is>
          <r>
            <rPr>
              <rFont val="Calibri"/>
              <b val="1"/>
              <sz val="10"/>
            </rPr>
            <t>How a weight works:</t>
          </r>
          <r>
            <rPr>
              <rFont val="Calibri"/>
              <sz val="10"/>
            </rPr>
            <t xml:space="preserve"> points = rating × weight, and the score is the sum of the six points. So a weight is simply how much one point of rating on that factor is worth. Moving 5% from one factor to another changes a person's score by 0.05 × the difference between their two ratings — usually less than 0.2, which is why small changes rarely move a level.</t>
          </r>
        </is>
      </c>
    </row>
    <row r="53" ht="20" customHeight="1">
      <c r="A53" s="6" t="inlineStr">
        <is>
          <t>RULES OF THUMB</t>
        </is>
      </c>
    </row>
    <row r="54" ht="15" customHeight="1">
      <c r="A54" s="7" t="inlineStr">
        <is>
          <t>• Start from the default row and change it in steps of 5%; small changes are safer than big ones.</t>
        </is>
      </c>
    </row>
    <row r="55" ht="15" customHeight="1">
      <c r="A55" s="7" t="inlineStr">
        <is>
          <t>• Keep each row's six weights adding up to about 100%. If they don't, the sheet scales the five non-Experience weights so they do — the 'Used' columns show the real weights.</t>
        </is>
      </c>
    </row>
    <row r="56" ht="15" customHeight="1">
      <c r="A56" s="7" t="inlineStr">
        <is>
          <t>• Experience &amp; Qualification is set once for everyone in the Settings block above · Bands A–B and Bands C–E. Change it there, not row by row; a number typed in a row's Experience cell overrides the setting for that row.</t>
        </is>
      </c>
    </row>
    <row r="57" ht="15" customHeight="1">
      <c r="A57" s="7" t="inlineStr">
        <is>
          <t>• Leaders of the same role group in different departments should differ only for a real reason · for example, sales roles count Business Impact more. Note the reason in the last column.</t>
        </is>
      </c>
    </row>
    <row r="58" ht="15" customHeight="1">
      <c r="A58" s="7" t="inlineStr">
        <is>
          <t>• Your edits change points, the score and 'Level the score indicates' on sheet 2 at once. The final level — with the fair-play checks — is confirmed when HR imports your edits and re-runs the model.</t>
        </is>
      </c>
    </row>
    <row r="59" ht="20" customHeight="1">
      <c r="A59" s="6" t="inlineStr">
        <is>
          <t>WHERE THE DEFAULT WEIGHTS COME FROM</t>
        </is>
      </c>
    </row>
    <row r="60" ht="28" customHeight="1">
      <c r="A60" s="36" t="inlineStr">
        <is>
          <t>Each role group's default row is the average of three published sources, given equal weight: Korn Ferry Hay, Mercer IPE and five public point-factor plans — NHS Agenda for Change, UK local-government 13-factor, GLPC, Scottish Joint Council, US OPM FES. Sources: S46–S51 Korn Ferry Hay evaluations · S04, S52 Mercer IPE · S53–S57 NHS, UK NJC/PSC, GLPC, SJC and US OPM point-factor plans. The per-source figures: HR Super Master sheet 1e, section 0. Full links: source register, HR Super Master sheet 11 and Framework Master M16.</t>
        </is>
      </c>
    </row>
    <row r="61" ht="15" customHeight="1">
      <c r="A61" s="8" t="inlineStr">
        <is>
          <t>Factor</t>
        </is>
      </c>
      <c r="B61" s="88" t="n"/>
      <c r="C61" s="88" t="n"/>
      <c r="D61" s="88" t="n"/>
      <c r="E61" s="88" t="n"/>
      <c r="F61" s="89" t="n"/>
      <c r="G61" s="8" t="inlineStr">
        <is>
          <t>This file — average of its scored roles</t>
        </is>
      </c>
      <c r="H61" s="88" t="n"/>
      <c r="I61" s="88" t="n"/>
      <c r="J61" s="89" t="n"/>
      <c r="K61" s="8" t="inlineStr">
        <is>
          <t>Published plans — average</t>
        </is>
      </c>
      <c r="L61" s="88" t="n"/>
      <c r="M61" s="88" t="n"/>
      <c r="N61" s="89" t="n"/>
      <c r="O61" s="8" t="inlineStr">
        <is>
          <t>Published plans — range</t>
        </is>
      </c>
      <c r="P61" s="88" t="n"/>
      <c r="Q61" s="88" t="n"/>
      <c r="R61" s="88" t="n"/>
      <c r="S61" s="88" t="n"/>
      <c r="T61" s="89" t="n"/>
    </row>
    <row r="62" ht="15" customHeight="1">
      <c r="A62" s="10" t="inlineStr">
        <is>
          <t>Complexity &amp; Expertise</t>
        </is>
      </c>
      <c r="B62" s="88" t="n"/>
      <c r="C62" s="88" t="n"/>
      <c r="D62" s="88" t="n"/>
      <c r="E62" s="88" t="n"/>
      <c r="F62" s="89" t="n"/>
      <c r="G62" s="12" t="inlineStr">
        <is>
          <t>52.3%</t>
        </is>
      </c>
      <c r="H62" s="88" t="n"/>
      <c r="I62" s="88" t="n"/>
      <c r="J62" s="89" t="n"/>
      <c r="K62" s="12" t="inlineStr">
        <is>
          <t>42.8%</t>
        </is>
      </c>
      <c r="L62" s="88" t="n"/>
      <c r="M62" s="88" t="n"/>
      <c r="N62" s="89" t="n"/>
      <c r="O62" s="12" t="inlineStr">
        <is>
          <t>38–52%</t>
        </is>
      </c>
      <c r="P62" s="88" t="n"/>
      <c r="Q62" s="88" t="n"/>
      <c r="R62" s="88" t="n"/>
      <c r="S62" s="88" t="n"/>
      <c r="T62" s="89" t="n"/>
    </row>
    <row r="63" ht="15" customHeight="1">
      <c r="A63" s="10" t="inlineStr">
        <is>
          <t>Autonomy &amp; Decision</t>
        </is>
      </c>
      <c r="B63" s="88" t="n"/>
      <c r="C63" s="88" t="n"/>
      <c r="D63" s="88" t="n"/>
      <c r="E63" s="88" t="n"/>
      <c r="F63" s="89" t="n"/>
      <c r="G63" s="12" t="inlineStr">
        <is>
          <t>20.0%</t>
        </is>
      </c>
      <c r="H63" s="88" t="n"/>
      <c r="I63" s="88" t="n"/>
      <c r="J63" s="89" t="n"/>
      <c r="K63" s="12" t="inlineStr">
        <is>
          <t>14.9%</t>
        </is>
      </c>
      <c r="L63" s="88" t="n"/>
      <c r="M63" s="88" t="n"/>
      <c r="N63" s="89" t="n"/>
      <c r="O63" s="12" t="inlineStr">
        <is>
          <t>7–30%</t>
        </is>
      </c>
      <c r="P63" s="88" t="n"/>
      <c r="Q63" s="88" t="n"/>
      <c r="R63" s="88" t="n"/>
      <c r="S63" s="88" t="n"/>
      <c r="T63" s="89" t="n"/>
    </row>
    <row r="64" ht="15" customHeight="1">
      <c r="A64" s="10" t="inlineStr">
        <is>
          <t>Accountability &amp; Impact</t>
        </is>
      </c>
      <c r="B64" s="88" t="n"/>
      <c r="C64" s="88" t="n"/>
      <c r="D64" s="88" t="n"/>
      <c r="E64" s="88" t="n"/>
      <c r="F64" s="89" t="n"/>
      <c r="G64" s="12" t="inlineStr">
        <is>
          <t>5.7%</t>
        </is>
      </c>
      <c r="H64" s="88" t="n"/>
      <c r="I64" s="88" t="n"/>
      <c r="J64" s="89" t="n"/>
      <c r="K64" s="12" t="inlineStr">
        <is>
          <t>15.1%</t>
        </is>
      </c>
      <c r="L64" s="88" t="n"/>
      <c r="M64" s="88" t="n"/>
      <c r="N64" s="89" t="n"/>
      <c r="O64" s="12" t="inlineStr">
        <is>
          <t>6–20%</t>
        </is>
      </c>
      <c r="P64" s="88" t="n"/>
      <c r="Q64" s="88" t="n"/>
      <c r="R64" s="88" t="n"/>
      <c r="S64" s="88" t="n"/>
      <c r="T64" s="89" t="n"/>
    </row>
    <row r="65" ht="15" customHeight="1">
      <c r="A65" s="10" t="inlineStr">
        <is>
          <t>Leadership &amp; Strategy</t>
        </is>
      </c>
      <c r="B65" s="88" t="n"/>
      <c r="C65" s="88" t="n"/>
      <c r="D65" s="88" t="n"/>
      <c r="E65" s="88" t="n"/>
      <c r="F65" s="89" t="n"/>
      <c r="G65" s="12" t="inlineStr">
        <is>
          <t>3.5%</t>
        </is>
      </c>
      <c r="H65" s="88" t="n"/>
      <c r="I65" s="88" t="n"/>
      <c r="J65" s="89" t="n"/>
      <c r="K65" s="12" t="inlineStr">
        <is>
          <t>20.6%</t>
        </is>
      </c>
      <c r="L65" s="88" t="n"/>
      <c r="M65" s="88" t="n"/>
      <c r="N65" s="89" t="n"/>
      <c r="O65" s="12" t="inlineStr">
        <is>
          <t>8–30%</t>
        </is>
      </c>
      <c r="P65" s="88" t="n"/>
      <c r="Q65" s="88" t="n"/>
      <c r="R65" s="88" t="n"/>
      <c r="S65" s="88" t="n"/>
      <c r="T65" s="89" t="n"/>
    </row>
    <row r="66" ht="15" customHeight="1">
      <c r="A66" s="10" t="inlineStr">
        <is>
          <t>Business Impact</t>
        </is>
      </c>
      <c r="B66" s="88" t="n"/>
      <c r="C66" s="88" t="n"/>
      <c r="D66" s="88" t="n"/>
      <c r="E66" s="88" t="n"/>
      <c r="F66" s="89" t="n"/>
      <c r="G66" s="12" t="inlineStr">
        <is>
          <t>9.1%</t>
        </is>
      </c>
      <c r="H66" s="88" t="n"/>
      <c r="I66" s="88" t="n"/>
      <c r="J66" s="89" t="n"/>
      <c r="K66" s="12" t="inlineStr">
        <is>
          <t>6.7%</t>
        </is>
      </c>
      <c r="L66" s="88" t="n"/>
      <c r="M66" s="88" t="n"/>
      <c r="N66" s="89" t="n"/>
      <c r="O66" s="12" t="inlineStr">
        <is>
          <t>0–10%</t>
        </is>
      </c>
      <c r="P66" s="88" t="n"/>
      <c r="Q66" s="88" t="n"/>
      <c r="R66" s="88" t="n"/>
      <c r="S66" s="88" t="n"/>
      <c r="T66" s="89" t="n"/>
    </row>
    <row r="67" ht="15" customHeight="1">
      <c r="A67" s="10" t="inlineStr">
        <is>
          <t>Experience &amp; Qualification</t>
        </is>
      </c>
      <c r="B67" s="88" t="n"/>
      <c r="C67" s="88" t="n"/>
      <c r="D67" s="88" t="n"/>
      <c r="E67" s="88" t="n"/>
      <c r="F67" s="89" t="n"/>
      <c r="G67" s="12" t="inlineStr">
        <is>
          <t>9.4%</t>
        </is>
      </c>
      <c r="H67" s="88" t="n"/>
      <c r="I67" s="88" t="n"/>
      <c r="J67" s="89" t="n"/>
      <c r="K67" s="12" t="inlineStr">
        <is>
          <t>not scored separately</t>
        </is>
      </c>
      <c r="L67" s="88" t="n"/>
      <c r="M67" s="88" t="n"/>
      <c r="N67" s="89" t="n"/>
      <c r="O67" s="12" t="inlineStr">
        <is>
          <t>Hay, Mercer IPE and WTW fold experience into knowledge</t>
        </is>
      </c>
      <c r="P67" s="88" t="n"/>
      <c r="Q67" s="88" t="n"/>
      <c r="R67" s="88" t="n"/>
      <c r="S67" s="88" t="n"/>
      <c r="T67" s="89" t="n"/>
    </row>
    <row r="68" ht="15" customHeight="1"/>
    <row r="69" ht="20" customHeight="1">
      <c r="A69" s="6" t="inlineStr">
        <is>
          <t>WHAT A RATING MEANS — the same 1-to-12 scale for every factor, every department, every band</t>
        </is>
      </c>
    </row>
    <row r="70" ht="15" customHeight="1">
      <c r="A70" s="36" t="inlineStr">
        <is>
          <t>A rating is the floor of the ladder that this side of the job looks like: 4 = B1-level, 8 = C2-level. Managers can change a person's Business Impact rating on sheet 2 · yellow; the other ratings are set from the evidence and changed through validation.</t>
        </is>
      </c>
    </row>
    <row r="71" ht="15" customHeight="1">
      <c r="A71" s="8" t="inlineStr">
        <is>
          <t>Rating · level</t>
        </is>
      </c>
      <c r="B71" s="89" t="n"/>
      <c r="C71" s="8" t="inlineStr">
        <is>
          <t>Complexity</t>
        </is>
      </c>
      <c r="D71" s="88" t="n"/>
      <c r="E71" s="89" t="n"/>
      <c r="F71" s="8" t="inlineStr">
        <is>
          <t>Autonomy</t>
        </is>
      </c>
      <c r="G71" s="88" t="n"/>
      <c r="H71" s="89" t="n"/>
      <c r="I71" s="8" t="inlineStr">
        <is>
          <t>Accountability</t>
        </is>
      </c>
      <c r="J71" s="88" t="n"/>
      <c r="K71" s="89" t="n"/>
      <c r="L71" s="8" t="inlineStr">
        <is>
          <t>Leadership</t>
        </is>
      </c>
      <c r="M71" s="88" t="n"/>
      <c r="N71" s="89" t="n"/>
      <c r="O71" s="8" t="inlineStr">
        <is>
          <t>Experience</t>
        </is>
      </c>
      <c r="P71" s="88" t="n"/>
      <c r="Q71" s="89" t="n"/>
      <c r="R71" s="8" t="inlineStr">
        <is>
          <t>Business impact</t>
        </is>
      </c>
      <c r="S71" s="88" t="n"/>
      <c r="T71" s="89" t="n"/>
    </row>
    <row r="72" ht="28" customHeight="1">
      <c r="A72" s="10" t="inlineStr">
        <is>
          <t>12 · E2</t>
        </is>
      </c>
      <c r="B72" s="89" t="n"/>
      <c r="C72" s="12" t="inlineStr">
        <is>
          <t>Enterprise-wide uncertainty, transformation and external forces</t>
        </is>
      </c>
      <c r="D72" s="88" t="n"/>
      <c r="E72" s="89" t="n"/>
      <c r="F72" s="12" t="inlineStr">
        <is>
          <t>Accountable to the board</t>
        </is>
      </c>
      <c r="G72" s="88" t="n"/>
      <c r="H72" s="89" t="n"/>
      <c r="I72" s="12" t="inlineStr">
        <is>
          <t>Enterprise results, risk, culture and long-term viability</t>
        </is>
      </c>
      <c r="J72" s="88" t="n"/>
      <c r="K72" s="89" t="n"/>
      <c r="L72" s="12" t="inlineStr">
        <is>
          <t>Sets enterprise strategy; leads the executive team</t>
        </is>
      </c>
      <c r="M72" s="88" t="n"/>
      <c r="N72" s="89" t="n"/>
      <c r="O72" s="12" t="inlineStr">
        <is>
          <t>About 28 yrs</t>
        </is>
      </c>
      <c r="P72" s="88" t="n"/>
      <c r="Q72" s="89" t="n"/>
      <c r="R72" s="12" t="inlineStr">
        <is>
          <t>Answers for the whole company's results and long-term value</t>
        </is>
      </c>
      <c r="S72" s="88" t="n"/>
      <c r="T72" s="89" t="n"/>
    </row>
    <row r="73" ht="28" customHeight="1">
      <c r="A73" s="10" t="inlineStr">
        <is>
          <t>11 · E1</t>
        </is>
      </c>
      <c r="B73" s="89" t="n"/>
      <c r="C73" s="12" t="inlineStr">
        <is>
          <t>Enterprise-level functional strategy</t>
        </is>
      </c>
      <c r="D73" s="88" t="n"/>
      <c r="E73" s="89" t="n"/>
      <c r="F73" s="12" t="inlineStr">
        <is>
          <t>Sets enterprise priorities for the function</t>
        </is>
      </c>
      <c r="G73" s="88" t="n"/>
      <c r="H73" s="89" t="n"/>
      <c r="I73" s="12" t="inlineStr">
        <is>
          <t>Enterprise-wide functional results</t>
        </is>
      </c>
      <c r="J73" s="88" t="n"/>
      <c r="K73" s="89" t="n"/>
      <c r="L73" s="12" t="inlineStr">
        <is>
          <t>Shapes enterprise strategy</t>
        </is>
      </c>
      <c r="M73" s="88" t="n"/>
      <c r="N73" s="89" t="n"/>
      <c r="O73" s="12" t="inlineStr">
        <is>
          <t>About 24 yrs</t>
        </is>
      </c>
      <c r="P73" s="88" t="n"/>
      <c r="Q73" s="89" t="n"/>
      <c r="R73" s="12" t="inlineStr">
        <is>
          <t>Shapes company-wide results through a function</t>
        </is>
      </c>
      <c r="S73" s="88" t="n"/>
      <c r="T73" s="89" t="n"/>
    </row>
    <row r="74" ht="28" customHeight="1">
      <c r="A74" s="10" t="inlineStr">
        <is>
          <t>10 · D2</t>
        </is>
      </c>
      <c r="B74" s="89" t="n"/>
      <c r="C74" s="12" t="inlineStr">
        <is>
          <t>Portfolio-level strategic, financial and regulatory trade-offs</t>
        </is>
      </c>
      <c r="D74" s="88" t="n"/>
      <c r="E74" s="89" t="n"/>
      <c r="F74" s="12" t="inlineStr">
        <is>
          <t>Sets direction across business lines</t>
        </is>
      </c>
      <c r="G74" s="88" t="n"/>
      <c r="H74" s="89" t="n"/>
      <c r="I74" s="12" t="inlineStr">
        <is>
          <t>Multi-business results</t>
        </is>
      </c>
      <c r="J74" s="88" t="n"/>
      <c r="K74" s="89" t="n"/>
      <c r="L74" s="12" t="inlineStr">
        <is>
          <t>Builds the leadership team across businesses</t>
        </is>
      </c>
      <c r="M74" s="88" t="n"/>
      <c r="N74" s="89" t="n"/>
      <c r="O74" s="12" t="inlineStr">
        <is>
          <t>About 21 yrs</t>
        </is>
      </c>
      <c r="P74" s="88" t="n"/>
      <c r="Q74" s="89" t="n"/>
      <c r="R74" s="12" t="inlineStr">
        <is>
          <t>Owns the results of several business lines</t>
        </is>
      </c>
      <c r="S74" s="88" t="n"/>
      <c r="T74" s="89" t="n"/>
    </row>
    <row r="75" ht="28" customHeight="1">
      <c r="A75" s="10" t="inlineStr">
        <is>
          <t>9 · D1</t>
        </is>
      </c>
      <c r="B75" s="89" t="n"/>
      <c r="C75" s="12" t="inlineStr">
        <is>
          <t>Competing strategic, financial and regulatory priorities</t>
        </is>
      </c>
      <c r="D75" s="88" t="n"/>
      <c r="E75" s="89" t="n"/>
      <c r="F75" s="12" t="inlineStr">
        <is>
          <t>Sets business-line direction, pricing and investment</t>
        </is>
      </c>
      <c r="G75" s="88" t="n"/>
      <c r="H75" s="89" t="n"/>
      <c r="I75" s="12" t="inlineStr">
        <is>
          <t>Business-line P&amp;L and market position</t>
        </is>
      </c>
      <c r="J75" s="88" t="n"/>
      <c r="K75" s="89" t="n"/>
      <c r="L75" s="12" t="inlineStr">
        <is>
          <t>Defines business strategy; builds the leadership bench</t>
        </is>
      </c>
      <c r="M75" s="88" t="n"/>
      <c r="N75" s="89" t="n"/>
      <c r="O75" s="12" t="inlineStr">
        <is>
          <t>About 17.5 yrs</t>
        </is>
      </c>
      <c r="P75" s="88" t="n"/>
      <c r="Q75" s="89" t="n"/>
      <c r="R75" s="12" t="inlineStr">
        <is>
          <t>Owns a business line's P&amp;L and growth, or a company-wide function</t>
        </is>
      </c>
      <c r="S75" s="88" t="n"/>
      <c r="T75" s="89" t="n"/>
    </row>
    <row r="76" ht="41" customHeight="1">
      <c r="A76" s="10" t="inlineStr">
        <is>
          <t>8.5 · C+</t>
        </is>
      </c>
      <c r="B76" s="89" t="n"/>
      <c r="C76" s="12" t="inlineStr">
        <is>
          <t>Function-wide and cross-product problems; personally handles the most critical client or technical work</t>
        </is>
      </c>
      <c r="D76" s="88" t="n"/>
      <c r="E76" s="89" t="n"/>
      <c r="F76" s="12" t="inlineStr">
        <is>
          <t>Sets direction for the function; business-line trade-offs go to the Business Head</t>
        </is>
      </c>
      <c r="G76" s="88" t="n"/>
      <c r="H76" s="89" t="n"/>
      <c r="I76" s="12" t="inlineStr">
        <is>
          <t>Function results, budget and key-client outcomes; carries own book or principal delivery</t>
        </is>
      </c>
      <c r="J76" s="88" t="n"/>
      <c r="K76" s="89" t="n"/>
      <c r="L76" s="12" t="inlineStr">
        <is>
          <t>Leads managers and leads and 10+ people in the function while staying hands-on</t>
        </is>
      </c>
      <c r="M76" s="88" t="n"/>
      <c r="N76" s="89" t="n"/>
      <c r="O76" s="12" t="inlineStr">
        <is>
          <t>About 16 yrs</t>
        </is>
      </c>
      <c r="P76" s="88" t="n"/>
      <c r="Q76" s="89" t="n"/>
      <c r="R76" s="12" t="inlineStr">
        <is>
          <t>Drives a function's results and personally wins or delivers key work</t>
        </is>
      </c>
      <c r="S76" s="88" t="n"/>
      <c r="T76" s="89" t="n"/>
    </row>
    <row r="77" ht="28" customHeight="1">
      <c r="A77" s="10" t="inlineStr">
        <is>
          <t>8 · C2</t>
        </is>
      </c>
      <c r="B77" s="89" t="n"/>
      <c r="C77" s="12" t="inlineStr">
        <is>
          <t>Function-wide or company-wide problems; creates methods and standards</t>
        </is>
      </c>
      <c r="D77" s="88" t="n"/>
      <c r="E77" s="89" t="n"/>
      <c r="F77" s="12" t="inlineStr">
        <is>
          <t>Sets direction for a function</t>
        </is>
      </c>
      <c r="G77" s="88" t="n"/>
      <c r="H77" s="89" t="n"/>
      <c r="I77" s="12" t="inlineStr">
        <is>
          <t>Function results, budget and risk</t>
        </is>
      </c>
      <c r="J77" s="88" t="n"/>
      <c r="K77" s="89" t="n"/>
      <c r="L77" s="12" t="inlineStr">
        <is>
          <t>Leads a function; shapes functional strategy</t>
        </is>
      </c>
      <c r="M77" s="88" t="n"/>
      <c r="N77" s="89" t="n"/>
      <c r="O77" s="12" t="inlineStr">
        <is>
          <t>About 14.5 yrs</t>
        </is>
      </c>
      <c r="P77" s="88" t="n"/>
      <c r="Q77" s="89" t="n"/>
      <c r="R77" s="12" t="inlineStr">
        <is>
          <t>Drives a function's or department's results and costs</t>
        </is>
      </c>
      <c r="S77" s="88" t="n"/>
      <c r="T77" s="89" t="n"/>
    </row>
    <row r="78" ht="28" customHeight="1">
      <c r="A78" s="10" t="inlineStr">
        <is>
          <t>7 · C1</t>
        </is>
      </c>
      <c r="B78" s="89" t="n"/>
      <c r="C78" s="12" t="inlineStr">
        <is>
          <t>Ambiguous, cross-product problems</t>
        </is>
      </c>
      <c r="D78" s="88" t="n"/>
      <c r="E78" s="89" t="n"/>
      <c r="F78" s="12" t="inlineStr">
        <is>
          <t>Sets direction for a sub-function or domain</t>
        </is>
      </c>
      <c r="G78" s="88" t="n"/>
      <c r="H78" s="89" t="n"/>
      <c r="I78" s="12" t="inlineStr">
        <is>
          <t>Sub-function results or domain quality across products</t>
        </is>
      </c>
      <c r="J78" s="88" t="n"/>
      <c r="K78" s="89" t="n"/>
      <c r="L78" s="12" t="inlineStr">
        <is>
          <t>Leads managers or a community of practice</t>
        </is>
      </c>
      <c r="M78" s="88" t="n"/>
      <c r="N78" s="89" t="n"/>
      <c r="O78" s="12" t="inlineStr">
        <is>
          <t>About 12 yrs</t>
        </is>
      </c>
      <c r="P78" s="88" t="n"/>
      <c r="Q78" s="89" t="n"/>
      <c r="R78" s="12" t="inlineStr">
        <is>
          <t>Changes results across a sub-function or across products</t>
        </is>
      </c>
      <c r="S78" s="88" t="n"/>
      <c r="T78" s="89" t="n"/>
    </row>
    <row r="79" ht="54" customHeight="1">
      <c r="A79" s="10" t="inlineStr">
        <is>
          <t>6.5 · B+</t>
        </is>
      </c>
      <c r="B79" s="89" t="n"/>
      <c r="C79" s="12" t="inlineStr">
        <is>
          <t>Principal-level problems in own domain; sets technical or quality standards and still builds</t>
        </is>
      </c>
      <c r="D79" s="88" t="n"/>
      <c r="E79" s="89" t="n"/>
      <c r="F79" s="12" t="inlineStr">
        <is>
          <t>Decides approach and priorities for the practice; escalates only cross-function trade-offs</t>
        </is>
      </c>
      <c r="G79" s="88" t="n"/>
      <c r="H79" s="89" t="n"/>
      <c r="I79" s="12" t="inlineStr">
        <is>
          <t>Practice outcomes plus own deliverables; quality and delivery of the team</t>
        </is>
      </c>
      <c r="J79" s="88" t="n"/>
      <c r="K79" s="89" t="n"/>
      <c r="L79" s="12" t="inlineStr">
        <is>
          <t>Leads 3–6 people · or a pod while remaining a hands-on expert; coaches, allocates, reviews</t>
        </is>
      </c>
      <c r="M79" s="88" t="n"/>
      <c r="N79" s="89" t="n"/>
      <c r="O79" s="12" t="inlineStr">
        <is>
          <t>About 11–12 yrs</t>
        </is>
      </c>
      <c r="P79" s="88" t="n"/>
      <c r="Q79" s="89" t="n"/>
      <c r="R79" s="12" t="inlineStr">
        <is>
          <t>Drives a practice's results while delivering the hardest work</t>
        </is>
      </c>
      <c r="S79" s="88" t="n"/>
      <c r="T79" s="89" t="n"/>
    </row>
    <row r="80" ht="41" customHeight="1">
      <c r="A80" s="10" t="inlineStr">
        <is>
          <t>6 · B3</t>
        </is>
      </c>
      <c r="B80" s="89" t="n"/>
      <c r="C80" s="12" t="inlineStr">
        <is>
          <t>Sets standards for a practice; cross-team problems</t>
        </is>
      </c>
      <c r="D80" s="88" t="n"/>
      <c r="E80" s="89" t="n"/>
      <c r="F80" s="12" t="inlineStr">
        <is>
          <t>Commercial / strategic calls for the unit</t>
        </is>
      </c>
      <c r="G80" s="88" t="n"/>
      <c r="H80" s="89" t="n"/>
      <c r="I80" s="12" t="inlineStr">
        <is>
          <t>Several teams or a practice</t>
        </is>
      </c>
      <c r="J80" s="88" t="n"/>
      <c r="K80" s="89" t="n"/>
      <c r="L80" s="12" t="inlineStr">
        <is>
          <r>
            <rPr>
              <rFont val="Calibri"/>
              <b val="1"/>
              <sz val="10"/>
            </rPr>
            <t>IC:</t>
          </r>
          <r>
            <rPr>
              <rFont val="Calibri"/>
              <sz val="10"/>
            </rPr>
            <t xml:space="preserve"> leads a practice · People: team leads / managers report in</t>
          </r>
        </is>
      </c>
      <c r="M80" s="88" t="n"/>
      <c r="N80" s="89" t="n"/>
      <c r="O80" s="12" t="inlineStr">
        <is>
          <t>About 10 yrs</t>
        </is>
      </c>
      <c r="P80" s="88" t="n"/>
      <c r="Q80" s="89" t="n"/>
      <c r="R80" s="12" t="inlineStr">
        <is>
          <t>Shapes the results of a practice or several teams</t>
        </is>
      </c>
      <c r="S80" s="88" t="n"/>
      <c r="T80" s="89" t="n"/>
    </row>
    <row r="81" ht="41" customHeight="1">
      <c r="A81" s="10" t="inlineStr">
        <is>
          <t>5 · B2</t>
        </is>
      </c>
      <c r="B81" s="89" t="n"/>
      <c r="C81" s="12" t="inlineStr">
        <is>
          <t>Hardest problems in the domain</t>
        </is>
      </c>
      <c r="D81" s="88" t="n"/>
      <c r="E81" s="89" t="n"/>
      <c r="F81" s="12" t="inlineStr">
        <is>
          <t>Allocates people and sets team priorities</t>
        </is>
      </c>
      <c r="G81" s="88" t="n"/>
      <c r="H81" s="89" t="n"/>
      <c r="I81" s="12" t="inlineStr">
        <is>
          <t>One team or a client portfolio</t>
        </is>
      </c>
      <c r="J81" s="88" t="n"/>
      <c r="K81" s="89" t="n"/>
      <c r="L81" s="12" t="inlineStr">
        <is>
          <r>
            <rPr>
              <rFont val="Calibri"/>
              <b val="1"/>
              <sz val="10"/>
            </rPr>
            <t>IC:</t>
          </r>
          <r>
            <rPr>
              <rFont val="Calibri"/>
              <sz val="10"/>
            </rPr>
            <t xml:space="preserve"> guides others in the domain · People: manages a team of 6+</t>
          </r>
        </is>
      </c>
      <c r="M81" s="88" t="n"/>
      <c r="N81" s="89" t="n"/>
      <c r="O81" s="12" t="inlineStr">
        <is>
          <t>About 7.5 yrs</t>
        </is>
      </c>
      <c r="P81" s="88" t="n"/>
      <c r="Q81" s="89" t="n"/>
      <c r="R81" s="12" t="inlineStr">
        <is>
          <t>Visible effect on a team's or client portfolio's revenue, quality or compliance</t>
        </is>
      </c>
      <c r="S81" s="88" t="n"/>
      <c r="T81" s="89" t="n"/>
    </row>
    <row r="82" ht="41" customHeight="1">
      <c r="A82" s="10" t="inlineStr">
        <is>
          <t>4 · B1</t>
        </is>
      </c>
      <c r="B82" s="89" t="n"/>
      <c r="C82" s="12" t="inlineStr">
        <is>
          <t>Domain specialist work</t>
        </is>
      </c>
      <c r="D82" s="88" t="n"/>
      <c r="E82" s="89" t="n"/>
      <c r="F82" s="12" t="inlineStr">
        <is>
          <t>Technical / QC / client calls for the domain</t>
        </is>
      </c>
      <c r="G82" s="88" t="n"/>
      <c r="H82" s="89" t="n"/>
      <c r="I82" s="12" t="inlineStr">
        <is>
          <t>A domain or a small team</t>
        </is>
      </c>
      <c r="J82" s="88" t="n"/>
      <c r="K82" s="89" t="n"/>
      <c r="L82" s="12" t="inlineStr">
        <is>
          <r>
            <rPr>
              <rFont val="Calibri"/>
              <b val="1"/>
              <sz val="10"/>
            </rPr>
            <t>IC:</t>
          </r>
          <r>
            <rPr>
              <rFont val="Calibri"/>
              <sz val="10"/>
            </rPr>
            <t xml:space="preserve"> mentors and reviews · People: hands-on team lead of 3–5</t>
          </r>
        </is>
      </c>
      <c r="M82" s="88" t="n"/>
      <c r="N82" s="89" t="n"/>
      <c r="O82" s="12" t="inlineStr">
        <is>
          <t>About 5.5 yrs</t>
        </is>
      </c>
      <c r="P82" s="88" t="n"/>
      <c r="Q82" s="89" t="n"/>
      <c r="R82" s="12" t="inlineStr">
        <is>
          <t>Moves a module's, product area's or client account's results</t>
        </is>
      </c>
      <c r="S82" s="88" t="n"/>
      <c r="T82" s="89" t="n"/>
    </row>
    <row r="83" ht="41" customHeight="1">
      <c r="A83" s="10" t="inlineStr">
        <is>
          <t>3 · A3</t>
        </is>
      </c>
      <c r="B83" s="89" t="n"/>
      <c r="C83" s="12" t="inlineStr">
        <is>
          <t>Varied and non-standard work; handles exceptions</t>
        </is>
      </c>
      <c r="D83" s="88" t="n"/>
      <c r="E83" s="89" t="n"/>
      <c r="F83" s="12" t="inlineStr">
        <is>
          <t>Technical / QC / client calls on own work</t>
        </is>
      </c>
      <c r="G83" s="88" t="n"/>
      <c r="H83" s="89" t="n"/>
      <c r="I83" s="12" t="inlineStr">
        <is>
          <t>A module / process, or work with client or regulatory consequences</t>
        </is>
      </c>
      <c r="J83" s="88" t="n"/>
      <c r="K83" s="89" t="n"/>
      <c r="L83" s="12" t="inlineStr">
        <is>
          <t>Not scored in Band A</t>
        </is>
      </c>
      <c r="M83" s="88" t="n"/>
      <c r="N83" s="89" t="n"/>
      <c r="O83" s="12" t="inlineStr">
        <is>
          <t>About 3 yrs</t>
        </is>
      </c>
      <c r="P83" s="88" t="n"/>
      <c r="Q83" s="89" t="n"/>
      <c r="R83" s="12" t="inlineStr">
        <is>
          <t>A process or client deliverable depends on this work</t>
        </is>
      </c>
      <c r="S83" s="88" t="n"/>
      <c r="T83" s="89" t="n"/>
    </row>
    <row r="84" ht="28" customHeight="1">
      <c r="A84" s="10" t="inlineStr">
        <is>
          <t>2 · A2</t>
        </is>
      </c>
      <c r="B84" s="89" t="n"/>
      <c r="C84" s="12" t="inlineStr">
        <is>
          <t>Standard work of the discipline</t>
        </is>
      </c>
      <c r="D84" s="88" t="n"/>
      <c r="E84" s="89" t="n"/>
      <c r="F84" s="12" t="inlineStr">
        <is>
          <t>Chooses own approach within standards</t>
        </is>
      </c>
      <c r="G84" s="88" t="n"/>
      <c r="H84" s="89" t="n"/>
      <c r="I84" s="12" t="inlineStr">
        <is>
          <t>Own deliverables · accuracy, TAT</t>
        </is>
      </c>
      <c r="J84" s="88" t="n"/>
      <c r="K84" s="89" t="n"/>
      <c r="L84" s="12" t="inlineStr">
        <is>
          <t>Not scored in Band A</t>
        </is>
      </c>
      <c r="M84" s="88" t="n"/>
      <c r="N84" s="89" t="n"/>
      <c r="O84" s="12" t="inlineStr">
        <is>
          <t>About 1 yr</t>
        </is>
      </c>
      <c r="P84" s="88" t="n"/>
      <c r="Q84" s="89" t="n"/>
      <c r="R84" s="12" t="inlineStr">
        <is>
          <t>Own deliverables feed a team's output and turnaround</t>
        </is>
      </c>
      <c r="S84" s="88" t="n"/>
      <c r="T84" s="89" t="n"/>
    </row>
    <row r="85" ht="28" customHeight="1">
      <c r="A85" s="10" t="inlineStr">
        <is>
          <t>1 · A1</t>
        </is>
      </c>
      <c r="B85" s="89" t="n"/>
      <c r="C85" s="12" t="inlineStr">
        <is>
          <t>Learning; follows worked examples</t>
        </is>
      </c>
      <c r="D85" s="88" t="n"/>
      <c r="E85" s="89" t="n"/>
      <c r="F85" s="12" t="inlineStr">
        <is>
          <t>Needs approval / close guidance</t>
        </is>
      </c>
      <c r="G85" s="88" t="n"/>
      <c r="H85" s="89" t="n"/>
      <c r="I85" s="12" t="inlineStr">
        <is>
          <t>Learning tasks</t>
        </is>
      </c>
      <c r="J85" s="88" t="n"/>
      <c r="K85" s="89" t="n"/>
      <c r="L85" s="12" t="inlineStr">
        <is>
          <t>Not scored in Band A</t>
        </is>
      </c>
      <c r="M85" s="88" t="n"/>
      <c r="N85" s="89" t="n"/>
      <c r="O85" s="12" t="inlineStr">
        <is>
          <t>No experience yet</t>
        </is>
      </c>
      <c r="P85" s="88" t="n"/>
      <c r="Q85" s="89" t="n"/>
      <c r="R85" s="12" t="inlineStr">
        <is>
          <t>Learning; little direct effect on business results yet</t>
        </is>
      </c>
      <c r="S85" s="88" t="n"/>
      <c r="T85" s="89" t="n"/>
    </row>
    <row r="86" ht="15" customHeight="1"/>
    <row r="87" ht="15" customHeight="1">
      <c r="A87" s="36" t="inlineStr">
        <is>
          <r>
            <rPr>
              <rFont val="Calibri"/>
              <b val="1"/>
              <i val="1"/>
              <color rgb="00595959"/>
              <sz val="10"/>
            </rPr>
            <t>The ladder scale:</t>
          </r>
          <r>
            <rPr>
              <rFont val="Calibri"/>
              <i val="1"/>
              <color rgb="00595959"/>
              <sz val="10"/>
            </rPr>
            <t xml:space="preserve"> Sources: S01, S02 Aon Radford and Pave level codes · S08 SFIA levels of responsibility. Full links: source register, HR Super Master sheet 11 and Framework Master M16.</t>
          </r>
        </is>
      </c>
    </row>
  </sheetData>
  <mergeCells count="198">
    <mergeCell ref="K61:N61"/>
    <mergeCell ref="A31:T31"/>
    <mergeCell ref="I72:K72"/>
    <mergeCell ref="A58:T58"/>
    <mergeCell ref="I32:T32"/>
    <mergeCell ref="A40:T40"/>
    <mergeCell ref="A66:F66"/>
    <mergeCell ref="A73:B73"/>
    <mergeCell ref="F76:H76"/>
    <mergeCell ref="C80:E80"/>
    <mergeCell ref="L74:N74"/>
    <mergeCell ref="R83:T83"/>
    <mergeCell ref="A15:T15"/>
    <mergeCell ref="C50:T50"/>
    <mergeCell ref="L83:N83"/>
    <mergeCell ref="F85:H85"/>
    <mergeCell ref="A60:T60"/>
    <mergeCell ref="K65:N65"/>
    <mergeCell ref="R85:T85"/>
    <mergeCell ref="L76:N76"/>
    <mergeCell ref="K62:N62"/>
    <mergeCell ref="L85:N85"/>
    <mergeCell ref="C71:E71"/>
    <mergeCell ref="I33:T33"/>
    <mergeCell ref="R75:T75"/>
    <mergeCell ref="I79:K79"/>
    <mergeCell ref="I73:K73"/>
    <mergeCell ref="O64:T64"/>
    <mergeCell ref="A74:B74"/>
    <mergeCell ref="I82:K82"/>
    <mergeCell ref="R77:T77"/>
    <mergeCell ref="R72:T72"/>
    <mergeCell ref="I35:T35"/>
    <mergeCell ref="C32:H32"/>
    <mergeCell ref="C38:H38"/>
    <mergeCell ref="O76:Q76"/>
    <mergeCell ref="O85:Q85"/>
    <mergeCell ref="A76:B76"/>
    <mergeCell ref="A33:B33"/>
    <mergeCell ref="A85:B85"/>
    <mergeCell ref="A2:T2"/>
    <mergeCell ref="I74:K74"/>
    <mergeCell ref="I34:T34"/>
    <mergeCell ref="A42:T42"/>
    <mergeCell ref="C77:E77"/>
    <mergeCell ref="A64:F64"/>
    <mergeCell ref="F78:H78"/>
    <mergeCell ref="A35:B35"/>
    <mergeCell ref="G66:J66"/>
    <mergeCell ref="O77:Q77"/>
    <mergeCell ref="C74:E74"/>
    <mergeCell ref="R79:T79"/>
    <mergeCell ref="I36:T36"/>
    <mergeCell ref="K67:N67"/>
    <mergeCell ref="O83:Q83"/>
    <mergeCell ref="C85:E85"/>
    <mergeCell ref="A48:B48"/>
    <mergeCell ref="L71:N71"/>
    <mergeCell ref="O63:T63"/>
    <mergeCell ref="C75:E75"/>
    <mergeCell ref="C84:E84"/>
    <mergeCell ref="A45:B45"/>
    <mergeCell ref="R74:T74"/>
    <mergeCell ref="A59:T59"/>
    <mergeCell ref="I37:T37"/>
    <mergeCell ref="O84:Q84"/>
    <mergeCell ref="O75:Q75"/>
    <mergeCell ref="L73:N73"/>
    <mergeCell ref="A79:B79"/>
    <mergeCell ref="R76:T76"/>
    <mergeCell ref="O80:Q80"/>
    <mergeCell ref="C36:H36"/>
    <mergeCell ref="A70:T70"/>
    <mergeCell ref="A37:B37"/>
    <mergeCell ref="A46:B46"/>
    <mergeCell ref="O79:Q79"/>
    <mergeCell ref="A8:I8"/>
    <mergeCell ref="A54:T54"/>
    <mergeCell ref="A62:F62"/>
    <mergeCell ref="A41:T41"/>
    <mergeCell ref="F77:H77"/>
    <mergeCell ref="G67:J67"/>
    <mergeCell ref="I78:K78"/>
    <mergeCell ref="C81:E81"/>
    <mergeCell ref="G61:J61"/>
    <mergeCell ref="O72:Q72"/>
    <mergeCell ref="O81:Q81"/>
    <mergeCell ref="O67:T67"/>
    <mergeCell ref="A56:T56"/>
    <mergeCell ref="K64:N64"/>
    <mergeCell ref="A71:B71"/>
    <mergeCell ref="C37:H37"/>
    <mergeCell ref="L77:N77"/>
    <mergeCell ref="O78:Q78"/>
    <mergeCell ref="I81:K81"/>
    <mergeCell ref="K63:N63"/>
    <mergeCell ref="G62:J62"/>
    <mergeCell ref="C6:H6"/>
    <mergeCell ref="C79:E79"/>
    <mergeCell ref="A53:T53"/>
    <mergeCell ref="C73:E73"/>
    <mergeCell ref="A61:F61"/>
    <mergeCell ref="R84:T84"/>
    <mergeCell ref="R78:T78"/>
    <mergeCell ref="C45:T45"/>
    <mergeCell ref="A10:T10"/>
    <mergeCell ref="L78:N78"/>
    <mergeCell ref="I76:K76"/>
    <mergeCell ref="A77:B77"/>
    <mergeCell ref="A34:B34"/>
    <mergeCell ref="G65:J65"/>
    <mergeCell ref="A83:B83"/>
    <mergeCell ref="I85:K85"/>
    <mergeCell ref="R80:T80"/>
    <mergeCell ref="C47:T47"/>
    <mergeCell ref="A49:B49"/>
    <mergeCell ref="I75:K75"/>
    <mergeCell ref="F79:H79"/>
    <mergeCell ref="A36:B36"/>
    <mergeCell ref="C44:T44"/>
    <mergeCell ref="A11:T11"/>
    <mergeCell ref="A1:T1"/>
    <mergeCell ref="F81:H81"/>
    <mergeCell ref="A78:B78"/>
    <mergeCell ref="L79:N79"/>
    <mergeCell ref="O62:T62"/>
    <mergeCell ref="F71:H71"/>
    <mergeCell ref="A75:B75"/>
    <mergeCell ref="A87:T87"/>
    <mergeCell ref="A80:B80"/>
    <mergeCell ref="L81:N81"/>
    <mergeCell ref="C72:E72"/>
    <mergeCell ref="A63:F63"/>
    <mergeCell ref="I38:T38"/>
    <mergeCell ref="F82:H82"/>
    <mergeCell ref="A12:T12"/>
    <mergeCell ref="I84:K84"/>
    <mergeCell ref="A32:B32"/>
    <mergeCell ref="O66:T66"/>
    <mergeCell ref="A57:T57"/>
    <mergeCell ref="C78:E78"/>
    <mergeCell ref="C34:H34"/>
    <mergeCell ref="A14:T14"/>
    <mergeCell ref="C49:T49"/>
    <mergeCell ref="L82:N82"/>
    <mergeCell ref="I80:K80"/>
    <mergeCell ref="A38:B38"/>
    <mergeCell ref="L75:N75"/>
    <mergeCell ref="F84:H84"/>
    <mergeCell ref="A43:T43"/>
    <mergeCell ref="A52:T52"/>
    <mergeCell ref="A65:F65"/>
    <mergeCell ref="F80:H80"/>
    <mergeCell ref="G64:J64"/>
    <mergeCell ref="A82:B82"/>
    <mergeCell ref="O65:T65"/>
    <mergeCell ref="I71:K71"/>
    <mergeCell ref="F75:H75"/>
    <mergeCell ref="G63:J63"/>
    <mergeCell ref="O74:Q74"/>
    <mergeCell ref="K66:N66"/>
    <mergeCell ref="F72:H72"/>
    <mergeCell ref="C76:E76"/>
    <mergeCell ref="O71:Q71"/>
    <mergeCell ref="C46:T46"/>
    <mergeCell ref="L84:N84"/>
    <mergeCell ref="A69:T69"/>
    <mergeCell ref="I83:K83"/>
    <mergeCell ref="A84:B84"/>
    <mergeCell ref="O61:T61"/>
    <mergeCell ref="C82:E82"/>
    <mergeCell ref="R81:T81"/>
    <mergeCell ref="C7:H7"/>
    <mergeCell ref="L72:N72"/>
    <mergeCell ref="O73:Q73"/>
    <mergeCell ref="C48:T48"/>
    <mergeCell ref="A50:B50"/>
    <mergeCell ref="O82:Q82"/>
    <mergeCell ref="L80:N80"/>
    <mergeCell ref="R71:T71"/>
    <mergeCell ref="A3:T3"/>
    <mergeCell ref="A47:B47"/>
    <mergeCell ref="A55:T55"/>
    <mergeCell ref="A67:F67"/>
    <mergeCell ref="F73:H73"/>
    <mergeCell ref="C83:E83"/>
    <mergeCell ref="R73:T73"/>
    <mergeCell ref="A5:T5"/>
    <mergeCell ref="C33:H33"/>
    <mergeCell ref="I77:K77"/>
    <mergeCell ref="R82:T82"/>
    <mergeCell ref="A72:B72"/>
    <mergeCell ref="A81:B81"/>
    <mergeCell ref="C35:H35"/>
    <mergeCell ref="A44:B44"/>
    <mergeCell ref="F74:H74"/>
    <mergeCell ref="F83:H83"/>
    <mergeCell ref="A13:T13"/>
  </mergeCells>
  <conditionalFormatting sqref="G17:G29">
    <cfRule type="colorScale" priority="1">
      <colorScale>
        <cfvo type="num" val="0"/>
        <cfvo type="num" val="40"/>
        <color rgb="00FFFFFF"/>
        <color rgb="00A9D08E"/>
      </colorScale>
    </cfRule>
  </conditionalFormatting>
  <conditionalFormatting sqref="H17:H29">
    <cfRule type="colorScale" priority="2">
      <colorScale>
        <cfvo type="num" val="0"/>
        <cfvo type="num" val="40"/>
        <color rgb="00FFFFFF"/>
        <color rgb="00A9D08E"/>
      </colorScale>
    </cfRule>
  </conditionalFormatting>
  <conditionalFormatting sqref="I17:I29">
    <cfRule type="colorScale" priority="3">
      <colorScale>
        <cfvo type="num" val="0"/>
        <cfvo type="num" val="40"/>
        <color rgb="00FFFFFF"/>
        <color rgb="00A9D08E"/>
      </colorScale>
    </cfRule>
  </conditionalFormatting>
  <conditionalFormatting sqref="J17:J29">
    <cfRule type="colorScale" priority="4">
      <colorScale>
        <cfvo type="num" val="0"/>
        <cfvo type="num" val="40"/>
        <color rgb="00FFFFFF"/>
        <color rgb="00A9D08E"/>
      </colorScale>
    </cfRule>
  </conditionalFormatting>
  <conditionalFormatting sqref="K17:K29">
    <cfRule type="colorScale" priority="5">
      <colorScale>
        <cfvo type="num" val="0"/>
        <cfvo type="num" val="40"/>
        <color rgb="00FFFFFF"/>
        <color rgb="00A9D08E"/>
      </colorScale>
    </cfRule>
  </conditionalFormatting>
  <conditionalFormatting sqref="L17:L29">
    <cfRule type="colorScale" priority="6">
      <colorScale>
        <cfvo type="num" val="0"/>
        <cfvo type="num" val="40"/>
        <color rgb="00FFFFFF"/>
        <color rgb="00A9D08E"/>
      </colorScale>
    </cfRule>
  </conditionalFormatting>
  <dataValidations count="2">
    <dataValidation sqref="G17:L29" showDropDown="0" showInputMessage="0" showErrorMessage="1" allowBlank="1" errorTitle="Weight" error="Enter a weight from 0 to 100 (%)." type="decimal" operator="between">
      <formula1>0</formula1>
      <formula2>100</formula2>
    </dataValidation>
    <dataValidation sqref="B6:B7" showDropDown="0" showInputMessage="0" showErrorMessage="1" allowBlank="0" errorTitle="Experience weight" error="Enter a weight from 0 to 50 (%)." type="decimal" operator="between">
      <formula1>0</formula1>
      <formula2>50</formula2>
    </dataValidation>
  </dataValidations>
  <hyperlinks>
    <hyperlink xmlns:r="http://schemas.openxmlformats.org/officeDocument/2006/relationships" ref="U1" r:id="rId1"/>
  </hyperlinks>
  <pageMargins left="0.4" right="0.4" top="0.5" bottom="0.5" header="0.5" footer="0.5"/>
  <pageSetup orientation="landscape" paperSize="8" fitToHeight="0" fitToWidth="1"/>
  <headerFooter>
    <oddHeader/>
    <oddFooter>&amp;LIRIS · Job Architecture &amp; Job Design · Final v1.12 · October 2026 · Internal — Confidential&amp;RPage &amp;P of &amp;N</oddFooter>
    <evenHeader/>
    <evenFooter/>
    <firstHeader/>
    <firstFooter/>
  </headerFooter>
  <legacyDrawing xmlns:r="http://schemas.openxmlformats.org/officeDocument/2006/relationships" r:id="anysvml"/>
  <tableParts count="1">
    <tablePart xmlns:r="http://schemas.openxmlformats.org/officeDocument/2006/relationships" r:id="rId2"/>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IRIS HR — Job Architecture &amp; Job Design</dc:creator>
  <dc:title xmlns:dc="http://purl.org/dc/elements/1.1/">IRIS Job Architecture — Datatech (simplified product edition)</dc:title>
  <dcterms:created xmlns:dcterms="http://purl.org/dc/terms/" xmlns:xsi="http://www.w3.org/2001/XMLSchema-instance" xsi:type="dcterms:W3CDTF">2026-10-12T06:11:39Z</dcterms:created>
  <dcterms:modified xmlns:dcterms="http://purl.org/dc/terms/" xmlns:xsi="http://www.w3.org/2001/XMLSchema-instance" xsi:type="dcterms:W3CDTF">2026-10-12T06:13:47Z</dcterms:modified>
</cp:coreProperties>
</file>