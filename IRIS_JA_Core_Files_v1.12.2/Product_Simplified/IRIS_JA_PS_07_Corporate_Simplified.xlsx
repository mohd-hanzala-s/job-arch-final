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drawings/drawing1.xml" ContentType="application/vnd.openxmlformats-officedocument.drawing+xml"/>
  <Override PartName="/xl/worksheets/sheet3.xml" ContentType="application/vnd.openxmlformats-officedocument.spreadsheetml.worksheet+xml"/>
  <Override PartName="/xl/comments/comment1.xml" ContentType="application/vnd.openxmlformats-officedocument.spreadsheetml.comments+xml"/>
  <Override PartName="/xl/tables/table1.xml" ContentType="application/vnd.openxmlformats-officedocument.spreadsheetml.table+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comments/comment2.xml" ContentType="application/vnd.openxmlformats-officedocument.spreadsheetml.comments+xml"/>
  <Override PartName="/xl/tables/table2.xml" ContentType="application/vnd.openxmlformats-officedocument.spreadsheetml.table+xml"/>
  <Override PartName="/xl/worksheets/sheet7.xml" ContentType="application/vnd.openxmlformats-officedocument.spreadsheetml.worksheet+xml"/>
  <Override PartName="/xl/comments/comment3.xml" ContentType="application/vnd.openxmlformats-officedocument.spreadsheetml.comments+xml"/>
  <Override PartName="/xl/tables/table3.xml" ContentType="application/vnd.openxmlformats-officedocument.spreadsheetml.table+xml"/>
  <Override PartName="/xl/charts/chart1.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tart — How It Works" sheetId="1" state="visible" r:id="rId1"/>
    <sheet xmlns:r="http://schemas.openxmlformats.org/officeDocument/2006/relationships" name="1. Start Here" sheetId="2" state="visible" r:id="rId2"/>
    <sheet xmlns:r="http://schemas.openxmlformats.org/officeDocument/2006/relationships" name="2. People &amp; Levels" sheetId="3" state="visible" r:id="rId3"/>
    <sheet xmlns:r="http://schemas.openxmlformats.org/officeDocument/2006/relationships" name="3. Roles" sheetId="4" state="visible" r:id="rId4"/>
    <sheet xmlns:r="http://schemas.openxmlformats.org/officeDocument/2006/relationships" name="4. Decisions &amp; Actions" sheetId="5" state="visible" r:id="rId5"/>
    <sheet xmlns:r="http://schemas.openxmlformats.org/officeDocument/2006/relationships" name="5. Career Ladder" sheetId="6" state="visible" r:id="rId6"/>
    <sheet xmlns:r="http://schemas.openxmlformats.org/officeDocument/2006/relationships" name="6. Weightage Matrix" sheetId="7" state="visible" r:id="rId7"/>
  </sheets>
  <definedNames>
    <definedName name="WM_EXP_AB">'6. Weightage Matrix'!$B$6</definedName>
    <definedName name="WM_EXP_CE">'6. Weightage Matrix'!$B$7</definedName>
    <definedName name="WM_C">'6. Weightage Matrix'!$N$17:$N$35</definedName>
    <definedName name="WM_AU">'6. Weightage Matrix'!$O$17:$O$35</definedName>
    <definedName name="WM_AC">'6. Weightage Matrix'!$P$17:$P$35</definedName>
    <definedName name="WM_L">'6. Weightage Matrix'!$Q$17:$Q$35</definedName>
    <definedName name="WM_E">'6. Weightage Matrix'!$R$17:$R$35</definedName>
    <definedName name="WM_BI">'6. Weightage Matrix'!$S$17:$S$35</definedName>
    <definedName name="WM_KEY">'6. Weightage Matrix'!$A$17:$A$35</definedName>
    <definedName name="_xlnm.Print_Titles" localSheetId="2">'2. People &amp; Levels'!$5:$6</definedName>
    <definedName name="_xlnm._FilterDatabase" localSheetId="3" hidden="1">'3. Roles'!$A$6:$V$44</definedName>
    <definedName name="_xlnm.Print_Titles" localSheetId="3">'3. Roles'!$5:$6</definedName>
    <definedName name="_xlnm.Print_Titles" localSheetId="5">'5. Career Ladder'!$5:$6</definedName>
    <definedName name="_xlnm.Print_Titles" localSheetId="6">'6. Weightage Matrix'!$15:$16</definedName>
  </definedNames>
  <calcPr calcId="124519" fullCalcOnLoad="1"/>
</workbook>
</file>

<file path=xl/styles.xml><?xml version="1.0" encoding="utf-8"?>
<styleSheet xmlns="http://schemas.openxmlformats.org/spreadsheetml/2006/main">
  <numFmts count="1">
    <numFmt numFmtId="164" formatCode="0.0"/>
  </numFmts>
  <fonts count="31">
    <font>
      <name val="Calibri"/>
      <family val="2"/>
      <color theme="1"/>
      <sz val="11"/>
      <scheme val="minor"/>
    </font>
    <font>
      <name val="Calibri"/>
      <b val="1"/>
      <color rgb="00FFFFFF"/>
      <sz val="18"/>
    </font>
    <font>
      <name val="Calibri"/>
      <i val="1"/>
      <color rgb="00404040"/>
      <sz val="10"/>
    </font>
    <font>
      <name val="Calibri"/>
      <color rgb="007F7F7F"/>
      <sz val="8"/>
    </font>
    <font>
      <name val="Calibri"/>
      <b val="1"/>
      <color rgb="00FFFFFF"/>
      <sz val="12"/>
    </font>
    <font>
      <name val="Calibri"/>
      <sz val="10"/>
    </font>
    <font>
      <name val="Calibri"/>
      <b val="1"/>
      <color rgb="00FFFFFF"/>
      <sz val="10"/>
    </font>
    <font>
      <name val="Calibri"/>
      <b val="1"/>
      <sz val="10"/>
    </font>
    <font>
      <name val="Calibri"/>
      <b val="1"/>
      <color rgb="00FFFFFF"/>
      <sz val="9"/>
    </font>
    <font>
      <name val="Calibri"/>
      <b val="1"/>
      <color rgb="001F3864"/>
      <sz val="18"/>
    </font>
    <font>
      <name val="Calibri"/>
      <i val="1"/>
      <color rgb="00595959"/>
      <sz val="10"/>
    </font>
    <font>
      <name val="Calibri"/>
      <b val="1"/>
      <color rgb="00833C0B"/>
      <sz val="10"/>
    </font>
    <font>
      <name val="Calibri"/>
      <b val="1"/>
      <color rgb="00006100"/>
      <sz val="10"/>
    </font>
    <font>
      <name val="Calibri"/>
      <b val="1"/>
      <color rgb="009C5700"/>
      <sz val="10"/>
    </font>
    <font>
      <name val="Calibri"/>
      <b val="1"/>
      <color rgb="001F4E79"/>
      <sz val="10"/>
    </font>
    <font>
      <name val="Calibri"/>
      <b val="1"/>
      <color rgb="00375623"/>
      <sz val="10"/>
    </font>
    <font>
      <name val="Calibri"/>
      <b val="1"/>
      <color rgb="009C0006"/>
      <sz val="10"/>
    </font>
    <font>
      <name val="Calibri"/>
      <b val="1"/>
      <color rgb="007F6000"/>
      <sz val="10"/>
    </font>
    <font>
      <name val="Calibri"/>
      <color rgb="009C0006"/>
      <sz val="10"/>
    </font>
    <font>
      <name val="Calibri"/>
      <b val="1"/>
      <color rgb="00404040"/>
      <sz val="10"/>
    </font>
    <font>
      <name val="Calibri"/>
      <color rgb="009C5700"/>
      <sz val="10"/>
    </font>
    <font>
      <name val="Calibri"/>
      <b val="1"/>
      <color rgb="001F3864"/>
      <sz val="9"/>
    </font>
    <font>
      <name val="Calibri"/>
      <b val="1"/>
      <color rgb="00833C0B"/>
      <sz val="9"/>
    </font>
    <font>
      <name val="Calibri"/>
      <b val="1"/>
      <color rgb="00006100"/>
      <sz val="9"/>
    </font>
    <font>
      <name val="Calibri"/>
      <b val="1"/>
      <color rgb="009C5700"/>
      <sz val="9"/>
    </font>
    <font>
      <name val="Calibri"/>
      <b val="1"/>
      <color rgb="001F4E79"/>
      <sz val="9"/>
    </font>
    <font>
      <name val="Calibri"/>
      <b val="1"/>
      <color rgb="00375623"/>
      <sz val="9"/>
    </font>
    <font>
      <name val="Calibri"/>
      <b val="1"/>
      <color rgb="009C0006"/>
      <sz val="9"/>
    </font>
    <font>
      <name val="Calibri"/>
      <b val="1"/>
      <color rgb="007F6000"/>
      <sz val="9"/>
    </font>
    <font>
      <name val="Calibri"/>
      <b val="1"/>
      <sz val="12"/>
    </font>
    <font>
      <name val="Calibri"/>
      <b val="1"/>
      <color rgb="000563C1"/>
      <sz val="10"/>
      <u val="single"/>
    </font>
  </fonts>
  <fills count="24">
    <fill>
      <patternFill/>
    </fill>
    <fill>
      <patternFill patternType="gray125"/>
    </fill>
    <fill>
      <patternFill patternType="solid">
        <fgColor rgb="001F3864"/>
      </patternFill>
    </fill>
    <fill>
      <patternFill patternType="solid">
        <fgColor rgb="00D9E1F2"/>
      </patternFill>
    </fill>
    <fill>
      <patternFill patternType="solid">
        <fgColor rgb="002E75B6"/>
      </patternFill>
    </fill>
    <fill>
      <patternFill patternType="solid">
        <fgColor rgb="00F2F2F2"/>
      </patternFill>
    </fill>
    <fill>
      <patternFill patternType="solid">
        <fgColor rgb="00DDEBF7"/>
      </patternFill>
    </fill>
    <fill>
      <patternFill patternType="solid">
        <fgColor rgb="00E2EFDA"/>
      </patternFill>
    </fill>
    <fill>
      <patternFill patternType="solid">
        <fgColor rgb="00D0E8E5"/>
      </patternFill>
    </fill>
    <fill>
      <patternFill patternType="solid">
        <fgColor rgb="00E4DFEC"/>
      </patternFill>
    </fill>
    <fill>
      <patternFill patternType="solid">
        <fgColor rgb="00E8DCC8"/>
      </patternFill>
    </fill>
    <fill>
      <patternFill patternType="solid">
        <fgColor rgb="00EDEDED"/>
      </patternFill>
    </fill>
    <fill>
      <patternFill patternType="solid">
        <fgColor rgb="00F8CBAD"/>
      </patternFill>
    </fill>
    <fill>
      <patternFill patternType="solid">
        <fgColor rgb="00C6EFCE"/>
      </patternFill>
    </fill>
    <fill>
      <patternFill patternType="solid">
        <fgColor rgb="00FFEB9C"/>
      </patternFill>
    </fill>
    <fill>
      <patternFill patternType="solid">
        <fgColor rgb="00C6E0B4"/>
      </patternFill>
    </fill>
    <fill>
      <patternFill patternType="solid">
        <fgColor rgb="00FFC7CE"/>
      </patternFill>
    </fill>
    <fill>
      <patternFill patternType="solid">
        <fgColor rgb="00FFF2CC"/>
      </patternFill>
    </fill>
    <fill>
      <patternFill patternType="solid">
        <fgColor rgb="00548235"/>
      </patternFill>
    </fill>
    <fill>
      <patternFill patternType="solid">
        <fgColor rgb="007030A0"/>
      </patternFill>
    </fill>
    <fill>
      <patternFill patternType="solid">
        <fgColor rgb="00C55A11"/>
      </patternFill>
    </fill>
    <fill>
      <patternFill patternType="solid">
        <fgColor rgb="00806000"/>
      </patternFill>
    </fill>
    <fill>
      <patternFill patternType="solid">
        <fgColor rgb="00FCE4D6"/>
      </patternFill>
    </fill>
    <fill>
      <patternFill patternType="solid">
        <fgColor rgb="00808080"/>
      </patternFill>
    </fill>
  </fills>
  <borders count="6">
    <border>
      <left/>
      <right/>
      <top/>
      <bottom/>
      <diagonal/>
    </border>
    <border>
      <left style="thin">
        <color rgb="00BFBFBF"/>
      </left>
      <right style="thin">
        <color rgb="00BFBFBF"/>
      </right>
      <top style="thin">
        <color rgb="00BFBFBF"/>
      </top>
      <bottom style="thin">
        <color rgb="00BFBFBF"/>
      </bottom>
    </border>
    <border>
      <left/>
      <right/>
      <top style="thin">
        <color rgb="00BFBFBF"/>
      </top>
      <bottom/>
      <diagonal/>
    </border>
    <border>
      <left/>
      <right style="thin">
        <color rgb="00BFBFBF"/>
      </right>
      <top style="thin">
        <color rgb="00BFBFBF"/>
      </top>
      <bottom/>
      <diagonal/>
    </border>
    <border>
      <left/>
      <right/>
      <top style="thin">
        <color rgb="00BFBFBF"/>
      </top>
      <bottom style="thin">
        <color rgb="00BFBFBF"/>
      </bottom>
      <diagonal/>
    </border>
    <border>
      <left/>
      <right style="thin">
        <color rgb="00BFBFBF"/>
      </right>
      <top style="thin">
        <color rgb="00BFBFBF"/>
      </top>
      <bottom style="thin">
        <color rgb="00BFBFBF"/>
      </bottom>
      <diagonal/>
    </border>
  </borders>
  <cellStyleXfs count="1">
    <xf numFmtId="0" fontId="0" fillId="0" borderId="0"/>
  </cellStyleXfs>
  <cellXfs count="105">
    <xf numFmtId="0" fontId="0" fillId="0" borderId="0" pivotButton="0" quotePrefix="0" xfId="0"/>
    <xf numFmtId="0" fontId="1" fillId="2" borderId="0" applyAlignment="1" pivotButton="0" quotePrefix="0" xfId="0">
      <alignment vertical="center" indent="1"/>
    </xf>
    <xf numFmtId="0" fontId="0" fillId="2" borderId="0" pivotButton="0" quotePrefix="0" xfId="0"/>
    <xf numFmtId="0" fontId="2" fillId="0" borderId="0" applyAlignment="1" pivotButton="0" quotePrefix="0" xfId="0">
      <alignment vertical="top" wrapText="1" indent="1"/>
    </xf>
    <xf numFmtId="0" fontId="3" fillId="3" borderId="0" applyAlignment="1" pivotButton="0" quotePrefix="0" xfId="0">
      <alignment indent="1"/>
    </xf>
    <xf numFmtId="0" fontId="0" fillId="3" borderId="0" pivotButton="0" quotePrefix="0" xfId="0"/>
    <xf numFmtId="0" fontId="4" fillId="2" borderId="0" applyAlignment="1" pivotButton="0" quotePrefix="0" xfId="0">
      <alignment vertical="center"/>
    </xf>
    <xf numFmtId="0" fontId="5" fillId="0" borderId="0" applyAlignment="1" pivotButton="0" quotePrefix="0" xfId="0">
      <alignment vertical="top" wrapText="1"/>
    </xf>
    <xf numFmtId="0" fontId="6" fillId="4" borderId="1" applyAlignment="1" pivotButton="0" quotePrefix="0" xfId="0">
      <alignment horizontal="center" vertical="top" wrapText="1"/>
    </xf>
    <xf numFmtId="0" fontId="0" fillId="4" borderId="1" pivotButton="0" quotePrefix="0" xfId="0"/>
    <xf numFmtId="0" fontId="7" fillId="0" borderId="1" applyAlignment="1" pivotButton="0" quotePrefix="0" xfId="0">
      <alignment vertical="top" wrapText="1"/>
    </xf>
    <xf numFmtId="0" fontId="0" fillId="0" borderId="1" pivotButton="0" quotePrefix="0" xfId="0"/>
    <xf numFmtId="0" fontId="5" fillId="0" borderId="1" applyAlignment="1" pivotButton="0" quotePrefix="0" xfId="0">
      <alignment vertical="top" wrapText="1"/>
    </xf>
    <xf numFmtId="0" fontId="8" fillId="4" borderId="1" applyAlignment="1" pivotButton="0" quotePrefix="0" xfId="0">
      <alignment horizontal="center" vertical="top" wrapText="1"/>
    </xf>
    <xf numFmtId="0" fontId="9" fillId="5" borderId="1" applyAlignment="1" pivotButton="0" quotePrefix="0" xfId="0">
      <alignment horizontal="center" vertical="top" wrapText="1"/>
    </xf>
    <xf numFmtId="0" fontId="0" fillId="5" borderId="1" pivotButton="0" quotePrefix="0" xfId="0"/>
    <xf numFmtId="0" fontId="7" fillId="6" borderId="1" applyAlignment="1" pivotButton="0" quotePrefix="0" xfId="0">
      <alignment horizontal="center" vertical="top" wrapText="1"/>
    </xf>
    <xf numFmtId="0" fontId="5" fillId="6" borderId="1" applyAlignment="1" pivotButton="0" quotePrefix="0" xfId="0">
      <alignment vertical="top" wrapText="1"/>
    </xf>
    <xf numFmtId="0" fontId="0" fillId="6" borderId="1" pivotButton="0" quotePrefix="0" xfId="0"/>
    <xf numFmtId="0" fontId="5" fillId="6" borderId="1" applyAlignment="1" pivotButton="0" quotePrefix="0" xfId="0">
      <alignment horizontal="center" vertical="top" wrapText="1"/>
    </xf>
    <xf numFmtId="0" fontId="7" fillId="7" borderId="1" applyAlignment="1" pivotButton="0" quotePrefix="0" xfId="0">
      <alignment horizontal="center" vertical="top" wrapText="1"/>
    </xf>
    <xf numFmtId="0" fontId="5" fillId="7" borderId="1" applyAlignment="1" pivotButton="0" quotePrefix="0" xfId="0">
      <alignment vertical="top" wrapText="1"/>
    </xf>
    <xf numFmtId="0" fontId="0" fillId="7" borderId="1" pivotButton="0" quotePrefix="0" xfId="0"/>
    <xf numFmtId="0" fontId="5" fillId="7" borderId="1" applyAlignment="1" pivotButton="0" quotePrefix="0" xfId="0">
      <alignment horizontal="center" vertical="top" wrapText="1"/>
    </xf>
    <xf numFmtId="0" fontId="7" fillId="8" borderId="1" applyAlignment="1" pivotButton="0" quotePrefix="0" xfId="0">
      <alignment horizontal="center" vertical="top" wrapText="1"/>
    </xf>
    <xf numFmtId="0" fontId="5" fillId="8" borderId="1" applyAlignment="1" pivotButton="0" quotePrefix="0" xfId="0">
      <alignment vertical="top" wrapText="1"/>
    </xf>
    <xf numFmtId="0" fontId="0" fillId="8" borderId="1" pivotButton="0" quotePrefix="0" xfId="0"/>
    <xf numFmtId="0" fontId="5" fillId="8" borderId="1" applyAlignment="1" pivotButton="0" quotePrefix="0" xfId="0">
      <alignment horizontal="center" vertical="top" wrapText="1"/>
    </xf>
    <xf numFmtId="0" fontId="7" fillId="9" borderId="1" applyAlignment="1" pivotButton="0" quotePrefix="0" xfId="0">
      <alignment horizontal="center" vertical="top" wrapText="1"/>
    </xf>
    <xf numFmtId="0" fontId="5" fillId="9" borderId="1" applyAlignment="1" pivotButton="0" quotePrefix="0" xfId="0">
      <alignment vertical="top" wrapText="1"/>
    </xf>
    <xf numFmtId="0" fontId="0" fillId="9" borderId="1" pivotButton="0" quotePrefix="0" xfId="0"/>
    <xf numFmtId="0" fontId="5" fillId="9" borderId="1" applyAlignment="1" pivotButton="0" quotePrefix="0" xfId="0">
      <alignment horizontal="center" vertical="top" wrapText="1"/>
    </xf>
    <xf numFmtId="0" fontId="7" fillId="10" borderId="1" applyAlignment="1" pivotButton="0" quotePrefix="0" xfId="0">
      <alignment horizontal="center" vertical="top" wrapText="1"/>
    </xf>
    <xf numFmtId="0" fontId="5" fillId="10" borderId="1" applyAlignment="1" pivotButton="0" quotePrefix="0" xfId="0">
      <alignment vertical="top" wrapText="1"/>
    </xf>
    <xf numFmtId="0" fontId="0" fillId="10" borderId="1" pivotButton="0" quotePrefix="0" xfId="0"/>
    <xf numFmtId="0" fontId="5" fillId="10" borderId="1" applyAlignment="1" pivotButton="0" quotePrefix="0" xfId="0">
      <alignment horizontal="center" vertical="top" wrapText="1"/>
    </xf>
    <xf numFmtId="0" fontId="7" fillId="11" borderId="1" applyAlignment="1" pivotButton="0" quotePrefix="0" xfId="0">
      <alignment horizontal="center" vertical="top" wrapText="1"/>
    </xf>
    <xf numFmtId="0" fontId="5" fillId="11" borderId="1" applyAlignment="1" pivotButton="0" quotePrefix="0" xfId="0">
      <alignment vertical="top" wrapText="1"/>
    </xf>
    <xf numFmtId="0" fontId="0" fillId="11" borderId="1" pivotButton="0" quotePrefix="0" xfId="0"/>
    <xf numFmtId="0" fontId="5" fillId="11" borderId="1" applyAlignment="1" pivotButton="0" quotePrefix="0" xfId="0">
      <alignment horizontal="center" vertical="top" wrapText="1"/>
    </xf>
    <xf numFmtId="0" fontId="10" fillId="0" borderId="0" applyAlignment="1" pivotButton="0" quotePrefix="0" xfId="0">
      <alignment vertical="top" wrapText="1"/>
    </xf>
    <xf numFmtId="0" fontId="7" fillId="0" borderId="0" applyAlignment="1" pivotButton="0" quotePrefix="0" xfId="0">
      <alignment vertical="top" wrapText="1"/>
    </xf>
    <xf numFmtId="0" fontId="5" fillId="0" borderId="1" applyAlignment="1" pivotButton="0" quotePrefix="0" xfId="0">
      <alignment horizontal="center" vertical="top" wrapText="1"/>
    </xf>
    <xf numFmtId="0" fontId="11" fillId="12" borderId="1" applyAlignment="1" pivotButton="0" quotePrefix="0" xfId="0">
      <alignment vertical="center" indent="1"/>
    </xf>
    <xf numFmtId="0" fontId="0" fillId="12" borderId="1" pivotButton="0" quotePrefix="0" xfId="0"/>
    <xf numFmtId="0" fontId="12" fillId="13" borderId="1" applyAlignment="1" pivotButton="0" quotePrefix="0" xfId="0">
      <alignment vertical="center" indent="1"/>
    </xf>
    <xf numFmtId="0" fontId="0" fillId="13" borderId="1" pivotButton="0" quotePrefix="0" xfId="0"/>
    <xf numFmtId="0" fontId="13" fillId="14" borderId="1" applyAlignment="1" pivotButton="0" quotePrefix="0" xfId="0">
      <alignment vertical="center" indent="1"/>
    </xf>
    <xf numFmtId="0" fontId="0" fillId="14" borderId="1" pivotButton="0" quotePrefix="0" xfId="0"/>
    <xf numFmtId="0" fontId="14" fillId="6" borderId="1" applyAlignment="1" pivotButton="0" quotePrefix="0" xfId="0">
      <alignment vertical="center" indent="1"/>
    </xf>
    <xf numFmtId="0" fontId="15" fillId="15" borderId="1" applyAlignment="1" pivotButton="0" quotePrefix="0" xfId="0">
      <alignment vertical="center" indent="1"/>
    </xf>
    <xf numFmtId="0" fontId="0" fillId="15" borderId="1" pivotButton="0" quotePrefix="0" xfId="0"/>
    <xf numFmtId="0" fontId="16" fillId="16" borderId="1" applyAlignment="1" pivotButton="0" quotePrefix="0" xfId="0">
      <alignment vertical="center" indent="1"/>
    </xf>
    <xf numFmtId="0" fontId="0" fillId="16" borderId="1" pivotButton="0" quotePrefix="0" xfId="0"/>
    <xf numFmtId="0" fontId="17" fillId="17" borderId="1" applyAlignment="1" pivotButton="0" quotePrefix="0" xfId="0">
      <alignment vertical="center" indent="1"/>
    </xf>
    <xf numFmtId="0" fontId="0" fillId="17" borderId="1" pivotButton="0" quotePrefix="0" xfId="0"/>
    <xf numFmtId="0" fontId="21" fillId="3" borderId="0" applyAlignment="1" pivotButton="0" quotePrefix="0" xfId="0">
      <alignment horizontal="center" vertical="center" wrapText="1"/>
    </xf>
    <xf numFmtId="0" fontId="22" fillId="12" borderId="0" applyAlignment="1" pivotButton="0" quotePrefix="0" xfId="0">
      <alignment horizontal="center" vertical="center" wrapText="1"/>
    </xf>
    <xf numFmtId="0" fontId="23" fillId="13" borderId="0" applyAlignment="1" pivotButton="0" quotePrefix="0" xfId="0">
      <alignment horizontal="center" vertical="center" wrapText="1"/>
    </xf>
    <xf numFmtId="0" fontId="24" fillId="14" borderId="0" applyAlignment="1" pivotButton="0" quotePrefix="0" xfId="0">
      <alignment horizontal="center" vertical="center" wrapText="1"/>
    </xf>
    <xf numFmtId="0" fontId="25" fillId="6" borderId="0" applyAlignment="1" pivotButton="0" quotePrefix="0" xfId="0">
      <alignment horizontal="center" vertical="center" wrapText="1"/>
    </xf>
    <xf numFmtId="0" fontId="0" fillId="6" borderId="0" pivotButton="0" quotePrefix="0" xfId="0"/>
    <xf numFmtId="0" fontId="26" fillId="15" borderId="0" applyAlignment="1" pivotButton="0" quotePrefix="0" xfId="0">
      <alignment horizontal="center" vertical="center" wrapText="1"/>
    </xf>
    <xf numFmtId="0" fontId="0" fillId="15" borderId="0" pivotButton="0" quotePrefix="0" xfId="0"/>
    <xf numFmtId="0" fontId="27" fillId="16" borderId="0" applyAlignment="1" pivotButton="0" quotePrefix="0" xfId="0">
      <alignment horizontal="center" vertical="center" wrapText="1"/>
    </xf>
    <xf numFmtId="0" fontId="0" fillId="16" borderId="0" pivotButton="0" quotePrefix="0" xfId="0"/>
    <xf numFmtId="0" fontId="28" fillId="17" borderId="0" applyAlignment="1" pivotButton="0" quotePrefix="0" xfId="0">
      <alignment horizontal="center" vertical="center" wrapText="1"/>
    </xf>
    <xf numFmtId="0" fontId="0" fillId="17" borderId="0" pivotButton="0" quotePrefix="0" xfId="0"/>
    <xf numFmtId="0" fontId="4" fillId="2" borderId="0" applyAlignment="1" pivotButton="0" quotePrefix="0" xfId="0">
      <alignment vertical="center" wrapText="1"/>
    </xf>
    <xf numFmtId="0" fontId="4" fillId="4" borderId="0" applyAlignment="1" pivotButton="0" quotePrefix="0" xfId="0">
      <alignment vertical="center" wrapText="1"/>
    </xf>
    <xf numFmtId="0" fontId="4" fillId="18" borderId="0" applyAlignment="1" pivotButton="0" quotePrefix="0" xfId="0">
      <alignment vertical="center" wrapText="1"/>
    </xf>
    <xf numFmtId="0" fontId="4" fillId="19" borderId="0" applyAlignment="1" pivotButton="0" quotePrefix="0" xfId="0">
      <alignment vertical="center" wrapText="1"/>
    </xf>
    <xf numFmtId="0" fontId="4" fillId="20" borderId="0" applyAlignment="1" pivotButton="0" quotePrefix="0" xfId="0">
      <alignment vertical="center" wrapText="1"/>
    </xf>
    <xf numFmtId="0" fontId="4" fillId="21" borderId="0" applyAlignment="1" pivotButton="0" quotePrefix="0" xfId="0">
      <alignment vertical="center" wrapText="1"/>
    </xf>
    <xf numFmtId="0" fontId="6" fillId="2" borderId="1" applyAlignment="1" pivotButton="0" quotePrefix="0" xfId="0">
      <alignment horizontal="center" vertical="top" wrapText="1"/>
    </xf>
    <xf numFmtId="0" fontId="6" fillId="18" borderId="1" applyAlignment="1" pivotButton="0" quotePrefix="0" xfId="0">
      <alignment horizontal="center" vertical="top" wrapText="1"/>
    </xf>
    <xf numFmtId="0" fontId="6" fillId="19" borderId="1" applyAlignment="1" pivotButton="0" quotePrefix="0" xfId="0">
      <alignment horizontal="center" vertical="top" wrapText="1"/>
    </xf>
    <xf numFmtId="0" fontId="6" fillId="20" borderId="1" applyAlignment="1" pivotButton="0" quotePrefix="0" xfId="0">
      <alignment horizontal="center" vertical="top" wrapText="1"/>
    </xf>
    <xf numFmtId="0" fontId="6" fillId="21" borderId="1" applyAlignment="1" pivotButton="0" quotePrefix="0" xfId="0">
      <alignment horizontal="center" vertical="top" wrapText="1"/>
    </xf>
    <xf numFmtId="0" fontId="11" fillId="12" borderId="1" applyAlignment="1" pivotButton="0" quotePrefix="0" xfId="0">
      <alignment vertical="top" wrapText="1"/>
    </xf>
    <xf numFmtId="0" fontId="14" fillId="6" borderId="1" applyAlignment="1" pivotButton="0" quotePrefix="0" xfId="0">
      <alignment vertical="top" wrapText="1"/>
    </xf>
    <xf numFmtId="0" fontId="5" fillId="17" borderId="1" applyAlignment="1" pivotButton="0" quotePrefix="0" xfId="0">
      <alignment horizontal="center" vertical="top" wrapText="1"/>
    </xf>
    <xf numFmtId="2" fontId="5" fillId="0" borderId="1" applyAlignment="1" pivotButton="0" quotePrefix="0" xfId="0">
      <alignment horizontal="center" vertical="top" wrapText="1"/>
    </xf>
    <xf numFmtId="0" fontId="5" fillId="17" borderId="1" applyAlignment="1" pivotButton="0" quotePrefix="0" xfId="0">
      <alignment vertical="top" wrapText="1"/>
    </xf>
    <xf numFmtId="0" fontId="18" fillId="16" borderId="1" applyAlignment="1" pivotButton="0" quotePrefix="0" xfId="0">
      <alignment vertical="top" wrapText="1"/>
    </xf>
    <xf numFmtId="0" fontId="19" fillId="5" borderId="1" applyAlignment="1" pivotButton="0" quotePrefix="0" xfId="0">
      <alignment vertical="top" wrapText="1"/>
    </xf>
    <xf numFmtId="0" fontId="20" fillId="14" borderId="1" applyAlignment="1" pivotButton="0" quotePrefix="0" xfId="0">
      <alignment vertical="top" wrapText="1"/>
    </xf>
    <xf numFmtId="0" fontId="13" fillId="14" borderId="1" applyAlignment="1" pivotButton="0" quotePrefix="0" xfId="0">
      <alignment vertical="top" wrapText="1"/>
    </xf>
    <xf numFmtId="0" fontId="4" fillId="4" borderId="0" pivotButton="0" quotePrefix="0" xfId="0"/>
    <xf numFmtId="0" fontId="7" fillId="0" borderId="1" applyAlignment="1" pivotButton="0" quotePrefix="0" xfId="0">
      <alignment horizontal="center" vertical="top" wrapText="1"/>
    </xf>
    <xf numFmtId="0" fontId="6" fillId="4" borderId="1" applyAlignment="1" pivotButton="0" quotePrefix="0" xfId="0">
      <alignment vertical="top" wrapText="1"/>
    </xf>
    <xf numFmtId="0" fontId="0" fillId="0" borderId="4" pivotButton="0" quotePrefix="0" xfId="0"/>
    <xf numFmtId="0" fontId="0" fillId="0" borderId="5" pivotButton="0" quotePrefix="0" xfId="0"/>
    <xf numFmtId="0" fontId="7" fillId="3" borderId="1" applyAlignment="1" pivotButton="0" quotePrefix="0" xfId="0">
      <alignment vertical="top" wrapText="1"/>
    </xf>
    <xf numFmtId="0" fontId="5" fillId="3" borderId="1" applyAlignment="1" pivotButton="0" quotePrefix="0" xfId="0">
      <alignment horizontal="center" vertical="top" wrapText="1"/>
    </xf>
    <xf numFmtId="0" fontId="5" fillId="22" borderId="1" applyAlignment="1" pivotButton="0" quotePrefix="0" xfId="0">
      <alignment vertical="top" wrapText="1"/>
    </xf>
    <xf numFmtId="0" fontId="7" fillId="5" borderId="1" applyAlignment="1" pivotButton="0" quotePrefix="0" xfId="0">
      <alignment vertical="top" wrapText="1"/>
    </xf>
    <xf numFmtId="0" fontId="29" fillId="17" borderId="1" applyAlignment="1" pivotButton="0" quotePrefix="0" xfId="0">
      <alignment horizontal="center" vertical="top" wrapText="1"/>
    </xf>
    <xf numFmtId="0" fontId="6" fillId="23" borderId="1" applyAlignment="1" pivotButton="0" quotePrefix="0" xfId="0">
      <alignment horizontal="center" vertical="top" wrapText="1"/>
    </xf>
    <xf numFmtId="164" fontId="5" fillId="17" borderId="1" applyAlignment="1" pivotButton="0" quotePrefix="0" xfId="0">
      <alignment horizontal="center" vertical="top" wrapText="1"/>
    </xf>
    <xf numFmtId="164" fontId="7" fillId="0" borderId="1" applyAlignment="1" pivotButton="0" quotePrefix="0" xfId="0">
      <alignment horizontal="center" vertical="top" wrapText="1"/>
    </xf>
    <xf numFmtId="9" fontId="5" fillId="11" borderId="1" applyAlignment="1" pivotButton="0" quotePrefix="0" xfId="0">
      <alignment horizontal="center" vertical="top" wrapText="1"/>
    </xf>
    <xf numFmtId="164" fontId="5" fillId="0" borderId="1" applyAlignment="1" pivotButton="0" quotePrefix="0" xfId="0">
      <alignment vertical="top" wrapText="1"/>
    </xf>
    <xf numFmtId="0" fontId="30" fillId="0" borderId="0" applyAlignment="1" pivotButton="0" quotePrefix="0" xfId="0">
      <alignment vertical="center"/>
    </xf>
    <xf numFmtId="0" fontId="30" fillId="0"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styles" Target="styles.xml" Id="rId8"/><Relationship Type="http://schemas.openxmlformats.org/officeDocument/2006/relationships/theme" Target="theme/theme1.xml" Id="rId9"/></Relationships>
</file>

<file path=xl/charts/chart1.xml><?xml version="1.0" encoding="utf-8"?>
<chartSpace xmlns="http://schemas.openxmlformats.org/drawingml/2006/chart">
  <chart>
    <title>
      <tx>
        <rich>
          <a:bodyPr xmlns:a="http://schemas.openxmlformats.org/drawingml/2006/main"/>
          <a:p xmlns:a="http://schemas.openxmlformats.org/drawingml/2006/main">
            <a:pPr>
              <a:defRPr/>
            </a:pPr>
            <a:r>
              <a:t>People by level</a:t>
            </a:r>
          </a:p>
        </rich>
      </tx>
    </title>
    <plotArea>
      <barChart>
        <barDir val="col"/>
        <grouping val="clustered"/>
        <ser>
          <idx val="0"/>
          <order val="0"/>
          <tx>
            <strRef>
              <f>'1. Start Here'!B104</f>
            </strRef>
          </tx>
          <spPr>
            <a:solidFill xmlns:a="http://schemas.openxmlformats.org/drawingml/2006/main">
              <a:srgbClr val="2E75B6"/>
            </a:solidFill>
            <a:ln xmlns:a="http://schemas.openxmlformats.org/drawingml/2006/main">
              <a:solidFill>
                <a:srgbClr val="2E75B6"/>
              </a:solidFill>
              <a:prstDash val="solid"/>
            </a:ln>
          </spPr>
          <cat>
            <numRef>
              <f>'1. Start Here'!$A$105:$A$114</f>
            </numRef>
          </cat>
          <val>
            <numRef>
              <f>'1. Start Here'!$B$105:$B$114</f>
            </numRef>
          </val>
        </ser>
        <dLbls>
          <showLegendKey val="0"/>
          <showVal val="1"/>
          <showCatName val="0"/>
          <showSerName val="0"/>
        </dLbls>
        <gapWidth val="150"/>
        <axId val="10"/>
        <axId val="100"/>
      </barChart>
      <catAx>
        <axId val="10"/>
        <scaling>
          <orientation val="minMax"/>
        </scaling>
        <delete val="0"/>
        <axPos val="l"/>
        <majorTickMark val="none"/>
        <minorTickMark val="none"/>
        <crossAx val="100"/>
        <lblOffset val="100"/>
      </catAx>
      <valAx>
        <axId val="100"/>
        <scaling>
          <orientation val="minMax"/>
        </scaling>
        <delete val="0"/>
        <axPos val="l"/>
        <majorTickMark val="none"/>
        <minorTickMark val="none"/>
        <crossAx val="10"/>
      </valAx>
    </plotArea>
    <plotVisOnly val="1"/>
    <dispBlanksAs val="gap"/>
  </chart>
</chartSpace>
</file>

<file path=xl/comments/comment1.xml><?xml version="1.0" encoding="utf-8"?>
<comments xmlns="http://schemas.openxmlformats.org/spreadsheetml/2006/main">
  <authors>
    <author>IRIS HR</author>
  </authors>
  <commentList>
    <comment ref="A6" authorId="0" shapeId="0">
      <text>
        <t>Employee ID from the HRIS · Employee Master.</t>
      </text>
    </comment>
    <comment ref="B6" authorId="0" shapeId="0">
      <text>
        <t>As in the Employee Master.</t>
      </text>
    </comment>
    <comment ref="C6" authorId="0" shapeId="0">
      <text>
        <t>Department in the Employee Master.</t>
      </text>
    </comment>
    <comment ref="D6" authorId="0" shapeId="0">
      <text>
        <t>Title held today · Employee Master.</t>
      </text>
    </comment>
    <comment ref="E6" authorId="0" shapeId="0">
      <text>
        <t>New title: level marker + role noun · title rules N1–N5.</t>
      </text>
    </comment>
    <comment ref="F6" authorId="0" shapeId="0">
      <text>
        <t>The discipline, the same across businesses.</t>
      </text>
    </comment>
    <comment ref="H6" authorId="0" shapeId="0">
      <text>
        <t>Individual Contributor, POD Lead, People Manager, Player-Coach or Consultant.</t>
      </text>
    </comment>
    <comment ref="I6" authorId="0" shapeId="0">
      <text>
        <t>Level in the current structure, or 'Not in current mapping files'.</t>
      </text>
    </comment>
    <comment ref="J6" authorId="0" shapeId="0">
      <text>
        <t>Level on the new ladder after the rules.</t>
      </text>
    </comment>
    <comment ref="K6" authorId="0" shapeId="0">
      <text>
        <t>The generic title of the level on the person's track.</t>
      </text>
    </comment>
    <comment ref="L6" authorId="0" shapeId="0">
      <text>
        <t>Up, same, down · pay and title protected for one cycle or newly mapped.</t>
      </text>
    </comment>
    <comment ref="T6" authorId="0" shapeId="0">
      <text>
        <t>Weighted score = Σ rating × weight, on the 1–12 level scale. Not performance, not pay.</t>
      </text>
    </comment>
    <comment ref="U6" authorId="0" shapeId="0">
      <text>
        <t>The score rounded to the nearest level ·.5 rounds up, before the rules.</t>
      </text>
    </comment>
    <comment ref="AC6" authorId="0" shapeId="0">
      <text>
        <t>Agree / Change / Discuss — your view of this placement.</t>
      </text>
    </comment>
  </commentList>
</comments>
</file>

<file path=xl/comments/comment2.xml><?xml version="1.0" encoding="utf-8"?>
<comments xmlns="http://schemas.openxmlformats.org/spreadsheetml/2006/main">
  <authors>
    <author>IRIS HR</author>
  </authors>
  <commentList>
    <comment ref="A6" authorId="0" shapeId="0">
      <text>
        <t>Department in the Employee Master.</t>
      </text>
    </comment>
    <comment ref="B6" authorId="0" shapeId="0">
      <text>
        <t>A practitioner · B specialist / manager · C principal / head · D business leadership · E enterprise leadership.</t>
      </text>
    </comment>
    <comment ref="D6" authorId="0" shapeId="0">
      <text>
        <t>The generic title of the level on the person's track.</t>
      </text>
    </comment>
    <comment ref="E6" authorId="0" shapeId="0">
      <text>
        <t>The discipline, the same across businesses.</t>
      </text>
    </comment>
    <comment ref="H6" authorId="0" shapeId="0">
      <text>
        <t>Individual Contributor, POD Lead, People Manager, Player-Coach or Consultant.</t>
      </text>
    </comment>
  </commentList>
</comments>
</file>

<file path=xl/comments/comment3.xml><?xml version="1.0" encoding="utf-8"?>
<comments xmlns="http://schemas.openxmlformats.org/spreadsheetml/2006/main">
  <authors>
    <author>IRIS HR</author>
  </authors>
  <commentList>
    <comment ref="B16" authorId="0" shapeId="0">
      <text>
        <t>Business line: CARBON, iFile, iDEAL, Datatech, Consume or Corporate.</t>
      </text>
    </comment>
    <comment ref="C16" authorId="0" shapeId="0">
      <text>
        <t>Department in the Employee Master.</t>
      </text>
    </comment>
  </commentList>
</comments>
</file>

<file path=xl/drawings/_rels/drawing1.xml.rels><Relationships xmlns="http://schemas.openxmlformats.org/package/2006/relationships"><Relationship Type="http://schemas.openxmlformats.org/officeDocument/2006/relationships/chart" Target="/xl/charts/chart1.xml" Id="rId1"/></Relationships>
</file>

<file path=xl/drawings/drawing1.xml><?xml version="1.0" encoding="utf-8"?>
<wsDr xmlns="http://schemas.openxmlformats.org/drawingml/2006/spreadsheetDrawing">
  <oneCellAnchor>
    <from>
      <col>3</col>
      <colOff>0</colOff>
      <row>103</row>
      <rowOff>0</rowOff>
    </from>
    <ext cx="6480000" cy="288000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wsDr>
</file>

<file path=xl/tables/table1.xml><?xml version="1.0" encoding="utf-8"?>
<table xmlns="http://schemas.openxmlformats.org/spreadsheetml/2006/main" id="1" name="T_2__People___Levels" displayName="T_2__People___Levels" ref="A6:AF55" headerRowCount="1">
  <autoFilter ref="A6:AF55"/>
  <tableColumns count="32">
    <tableColumn id="1" name="Emp ID"/>
    <tableColumn id="2" name="Employee name"/>
    <tableColumn id="3" name="Department"/>
    <tableColumn id="4" name="Current designation"/>
    <tableColumn id="5" name="New designation"/>
    <tableColumn id="6" name="Job family"/>
    <tableColumn id="7" name="Sub-family"/>
    <tableColumn id="8" name="Track"/>
    <tableColumn id="9" name="Current level"/>
    <tableColumn id="10" name="NEW LEVEL"/>
    <tableColumn id="11" name="Level title"/>
    <tableColumn id="12" name="Change vs current"/>
    <tableColumn id="13" name="Weight row — Weightage Matrix"/>
    <tableColumn id="14" name="Complexity rating"/>
    <tableColumn id="15" name="Autonomy rating"/>
    <tableColumn id="16" name="Accountab. rating"/>
    <tableColumn id="17" name="Leadership rating"/>
    <tableColumn id="18" name="Exp + Qual rating"/>
    <tableColumn id="19" name="Bus. Impact rating"/>
    <tableColumn id="20" name="Score"/>
    <tableColumn id="21" name="Level the score indicates"/>
    <tableColumn id="22" name="Why this level"/>
    <tableColumn id="23" name="How each factor was rated · rating of 12 — starting point and evidence"/>
    <tableColumn id="24" name="Market comparison"/>
    <tableColumn id="25" name="Data behind the placement"/>
    <tableColumn id="26" name="Points for your attention"/>
    <tableColumn id="27" name="Input still needed — and who provides it"/>
    <tableColumn id="28" name="Business impact — from survey and data"/>
    <tableColumn id="29" name="Your view"/>
    <tableColumn id="30" name="If change: proposed level / designation, and why"/>
    <tableColumn id="31" name="Business impact of this person — your view"/>
    <tableColumn id="32" name="Bus. Impact — model start"/>
  </tableColumns>
  <tableStyleInfo name="TableStyleLight1" showRowStripes="1" showColumnStripes="0"/>
</table>
</file>

<file path=xl/tables/table2.xml><?xml version="1.0" encoding="utf-8"?>
<table xmlns="http://schemas.openxmlformats.org/spreadsheetml/2006/main" id="2" name="T_5__Career_Ladder" displayName="T_5__Career_Ladder" ref="A6:P42" headerRowCount="1">
  <autoFilter ref="A6:P42"/>
  <tableColumns count="16">
    <tableColumn id="1" name="Department"/>
    <tableColumn id="2" name="Band"/>
    <tableColumn id="3" name="Level"/>
    <tableColumn id="4" name="Level title"/>
    <tableColumn id="5" name="Job family"/>
    <tableColumn id="6" name="Sub-family"/>
    <tableColumn id="7" name="Designation"/>
    <tableColumn id="8" name="Track"/>
    <tableColumn id="9" name="Holders"/>
    <tableColumn id="10" name="Ladder in this sub-family here · level: designation"/>
    <tableColumn id="11" name="★ Must-have competencies"/>
    <tableColumn id="12" name="Other functional competencies"/>
    <tableColumn id="13" name="Proficiency needed"/>
    <tableColumn id="14" name="Credentials"/>
    <tableColumn id="15" name="Overlap within Corporate · same work in other departments"/>
    <tableColumn id="16" name="Overlap across IRIS · same work in other products"/>
  </tableColumns>
  <tableStyleInfo name="TableStyleLight1" showRowStripes="1" showColumnStripes="0"/>
</table>
</file>

<file path=xl/tables/table3.xml><?xml version="1.0" encoding="utf-8"?>
<table xmlns="http://schemas.openxmlformats.org/spreadsheetml/2006/main" id="3" name="T_6__Weightage_Matrix" displayName="T_6__Weightage_Matrix" ref="A16:T35" headerRowCount="1">
  <autoFilter ref="A16:T35"/>
  <tableColumns count="20">
    <tableColumn id="1" name="Weight row"/>
    <tableColumn id="2" name="Business"/>
    <tableColumn id="3" name="Department"/>
    <tableColumn id="4" name="Role group"/>
    <tableColumn id="5" name="People"/>
    <tableColumn id="6" name="Main type of work"/>
    <tableColumn id="7" name="How hard %"/>
    <tableColumn id="8" name="Decides alone %"/>
    <tableColumn id="9" name="Answers for %"/>
    <tableColumn id="10" name="Leads %"/>
    <tableColumn id="11" name="Experience %"/>
    <tableColumn id="12" name="Business impact %"/>
    <tableColumn id="13" name="Entered total"/>
    <tableColumn id="14" name="Used · How hard"/>
    <tableColumn id="15" name="Used · Decides alone"/>
    <tableColumn id="16" name="Used · Answers for"/>
    <tableColumn id="17" name="Used · Leads"/>
    <tableColumn id="18" name="Used · Experience"/>
    <tableColumn id="19" name="Used · Business impact"/>
    <tableColumn id="20" name="Why changed · leader"/>
  </tableColumns>
  <tableStyleInfo name="TableStyleLight1"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1. Start Here'!A1" TargetMode="External" Id="rId1"/></Relationships>
</file>

<file path=xl/worksheets/_rels/sheet2.xml.rels><Relationships xmlns="http://schemas.openxmlformats.org/package/2006/relationships"><Relationship Type="http://schemas.openxmlformats.org/officeDocument/2006/relationships/hyperlink" Target="#'2. People &amp; Levels'!A1" TargetMode="External" Id="rId1"/><Relationship Type="http://schemas.openxmlformats.org/officeDocument/2006/relationships/hyperlink" Target="#'3. Roles'!A1" TargetMode="External" Id="rId2"/><Relationship Type="http://schemas.openxmlformats.org/officeDocument/2006/relationships/hyperlink" Target="#'4. Decisions &amp; Actions'!A1" TargetMode="External" Id="rId3"/><Relationship Type="http://schemas.openxmlformats.org/officeDocument/2006/relationships/hyperlink" Target="#'5. Career Ladder'!A1" TargetMode="External" Id="rId4"/><Relationship Type="http://schemas.openxmlformats.org/officeDocument/2006/relationships/hyperlink" Target="#'6. Weightage Matrix'!A1" TargetMode="External" Id="rId5"/><Relationship Type="http://schemas.openxmlformats.org/officeDocument/2006/relationships/drawing" Target="/xl/drawings/drawing1.xml" Id="rId6"/></Relationships>
</file>

<file path=xl/worksheets/_rels/sheet3.xml.rels><Relationships xmlns="http://schemas.openxmlformats.org/package/2006/relationships"><Relationship Type="http://schemas.openxmlformats.org/officeDocument/2006/relationships/hyperlink" Target="#'1. Start Here'!A1" TargetMode="External" Id="rId1"/><Relationship Type="http://schemas.openxmlformats.org/officeDocument/2006/relationships/table" Target="/xl/tables/table1.xml" Id="rId2"/><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_rels/sheet4.xml.rels><Relationships xmlns="http://schemas.openxmlformats.org/package/2006/relationships"><Relationship Type="http://schemas.openxmlformats.org/officeDocument/2006/relationships/hyperlink" Target="#'1. Start Here'!A1" TargetMode="External" Id="rId1"/></Relationships>
</file>

<file path=xl/worksheets/_rels/sheet5.xml.rels><Relationships xmlns="http://schemas.openxmlformats.org/package/2006/relationships"><Relationship Type="http://schemas.openxmlformats.org/officeDocument/2006/relationships/hyperlink" Target="#'1. Start Here'!A1" TargetMode="External" Id="rId1"/></Relationships>
</file>

<file path=xl/worksheets/_rels/sheet6.xml.rels><Relationships xmlns="http://schemas.openxmlformats.org/package/2006/relationships"><Relationship Type="http://schemas.openxmlformats.org/officeDocument/2006/relationships/hyperlink" Target="#'1. Start Here'!A1" TargetMode="External" Id="rId1"/><Relationship Type="http://schemas.openxmlformats.org/officeDocument/2006/relationships/table" Target="/xl/tables/table2.xml" Id="rId2"/><Relationship Type="http://schemas.openxmlformats.org/officeDocument/2006/relationships/comments" Target="/xl/comments/comment2.xml" Id="comments"/><Relationship Type="http://schemas.openxmlformats.org/officeDocument/2006/relationships/vmlDrawing" Target="/xl/drawings/commentsDrawing2.vml" Id="anysvml"/></Relationships>
</file>

<file path=xl/worksheets/_rels/sheet7.xml.rels><Relationships xmlns="http://schemas.openxmlformats.org/package/2006/relationships"><Relationship Type="http://schemas.openxmlformats.org/officeDocument/2006/relationships/hyperlink" Target="#'1. Start Here'!A1" TargetMode="External" Id="rId1"/><Relationship Type="http://schemas.openxmlformats.org/officeDocument/2006/relationships/table" Target="/xl/tables/table3.xml" Id="rId2"/><Relationship Type="http://schemas.openxmlformats.org/officeDocument/2006/relationships/comments" Target="/xl/comments/comment3.xml" Id="comments"/><Relationship Type="http://schemas.openxmlformats.org/officeDocument/2006/relationships/vmlDrawing" Target="/xl/drawings/commentsDrawing3.vml" Id="anysvml"/></Relationships>
</file>

<file path=xl/worksheets/sheet1.xml><?xml version="1.0" encoding="utf-8"?>
<worksheet xmlns="http://schemas.openxmlformats.org/spreadsheetml/2006/main">
  <sheetPr>
    <tabColor rgb="001F3864"/>
    <outlinePr summaryBelow="1" summaryRight="1"/>
    <pageSetUpPr fitToPage="1"/>
  </sheetPr>
  <dimension ref="A1:E87"/>
  <sheetViews>
    <sheetView showGridLines="0" workbookViewId="0">
      <pane ySplit="4" topLeftCell="A5" activePane="bottomLeft" state="frozen"/>
      <selection pane="bottomLeft" activeCell="A1" sqref="A1"/>
    </sheetView>
  </sheetViews>
  <sheetFormatPr baseColWidth="8" defaultRowHeight="15"/>
  <cols>
    <col width="6" customWidth="1" min="1" max="1"/>
    <col width="30" customWidth="1" min="2" max="2"/>
    <col width="70" customWidth="1" min="3" max="3"/>
    <col width="44" customWidth="1" min="4" max="4"/>
    <col width="13" customWidth="1" min="5" max="5"/>
  </cols>
  <sheetData>
    <row r="1" ht="34" customHeight="1">
      <c r="A1" s="1" t="inlineStr">
        <is>
          <t>How this exercise works — from a base framework to the final job architecture</t>
        </is>
      </c>
      <c r="B1" s="2" t="n"/>
      <c r="C1" s="2" t="n"/>
      <c r="D1" s="2" t="n"/>
      <c r="E1" s="103" t="inlineStr">
        <is>
          <t>◂ Start Here</t>
        </is>
      </c>
    </row>
    <row r="2" ht="46" customHeight="1">
      <c r="A2" s="3" t="inlineStr">
        <is>
          <r>
            <rPr>
              <rFont val="Calibri"/>
              <b val="1"/>
              <i val="1"/>
              <color rgb="00404040"/>
              <sz val="10"/>
            </rPr>
            <t>Read this first:</t>
          </r>
          <r>
            <rPr>
              <rFont val="Calibri"/>
              <i val="1"/>
              <color rgb="00404040"/>
              <sz val="10"/>
            </rPr>
            <t xml:space="preserve"> what we did step by step, what is happening now, how the model works, what it produced, the impact — then our framework, the Job Architecture process and the Job Design process. The same page opens every file. The business head's edition for one product: the numbers, every placement, the roles, the decisions and the career ladder.</t>
          </r>
        </is>
      </c>
    </row>
    <row r="3">
      <c r="A3" s="4" t="inlineStr">
        <is>
          <t>IRIS · Job Architecture &amp; Job Design · Final v1.12 · October 2026 · Internal — Confidential</t>
        </is>
      </c>
      <c r="B3" s="5" t="n"/>
      <c r="C3" s="5" t="n"/>
      <c r="D3" s="5" t="n"/>
    </row>
    <row r="4"/>
    <row r="5" ht="20" customHeight="1">
      <c r="A5" s="6" t="inlineStr">
        <is>
          <t>1. What we did — step by step</t>
        </is>
      </c>
      <c r="B5" s="2" t="n"/>
      <c r="C5" s="2" t="n"/>
      <c r="D5" s="2" t="n"/>
    </row>
    <row r="6" ht="15" customHeight="1">
      <c r="A6" s="8" t="inlineStr">
        <is>
          <t>#</t>
        </is>
      </c>
      <c r="B6" s="8" t="inlineStr">
        <is>
          <t>Step</t>
        </is>
      </c>
      <c r="C6" s="8" t="inlineStr">
        <is>
          <t>What we did</t>
        </is>
      </c>
      <c r="D6" s="8" t="inlineStr">
        <is>
          <t>What came out of it</t>
        </is>
      </c>
    </row>
    <row r="7" ht="54" customHeight="1">
      <c r="A7" s="42" t="n">
        <v>1</v>
      </c>
      <c r="B7" s="12" t="inlineStr">
        <is>
          <t>Created a base framework</t>
        </is>
      </c>
      <c r="C7" s="12" t="inlineStr">
        <is>
          <t>Built IRIS's job architecture from established market methods — Aon Radford / Mercer career levels, Korn Ferry Hay factors, WTW banding and SFIA — with job families anchored to the ILO occupation standard.</t>
        </is>
      </c>
      <c r="D7" s="12" t="inlineStr">
        <is>
          <t>19 job families, 61 sub-families, a 12-level ladder plus two Player-Coach steps · B+, C+, six factors, individual-contributor and manager tracks</t>
        </is>
      </c>
    </row>
    <row r="8" ht="54" customHeight="1">
      <c r="A8" s="42" t="n">
        <v>2</v>
      </c>
      <c r="B8" s="12" t="inlineStr">
        <is>
          <t>Designed a survey around it</t>
        </is>
      </c>
      <c r="C8" s="12" t="inlineStr">
        <is>
          <r>
            <rPr>
              <rFont val="Calibri"/>
              <b val="1"/>
              <sz val="10"/>
            </rPr>
            <t>The 'How We Grow' survey:</t>
          </r>
          <r>
            <rPr>
              <rFont val="Calibri"/>
              <sz val="10"/>
            </rPr>
            <t xml:space="preserve"> 20 questions, each tied to the framework's factors — purpose of the role, what it delivers, what it is accountable for, what it can decide, the skills and tools it needs, and learning needs.</t>
          </r>
        </is>
      </c>
      <c r="D8" s="12" t="inlineStr">
        <is>
          <t>One evidence form for every role, so each rating can be traced to an answer</t>
        </is>
      </c>
    </row>
    <row r="9" ht="41" customHeight="1">
      <c r="A9" s="42" t="n">
        <v>3</v>
      </c>
      <c r="B9" s="12" t="inlineStr">
        <is>
          <t>Conducted 60–65 workshops</t>
        </is>
      </c>
      <c r="C9" s="12" t="inlineStr">
        <is>
          <t>Ran 60–65 workshops with teams across the six products and Corporate: explained the framework, walked through the questions and collected answers in the room.</t>
        </is>
      </c>
      <c r="D9" s="12" t="inlineStr">
        <is>
          <t>Survey responses from 520 people</t>
        </is>
      </c>
    </row>
    <row r="10" ht="41" customHeight="1">
      <c r="A10" s="42" t="n">
        <v>4</v>
      </c>
      <c r="B10" s="12" t="inlineStr">
        <is>
          <t>Gathered the data</t>
        </is>
      </c>
      <c r="C10" s="12" t="inlineStr">
        <is>
          <t>Combined the survey with the HRIS employee master, KRAs · self and manager-set, the managers' talent mapping · rating, potential, 9-box and the reporting lines.</t>
        </is>
      </c>
      <c r="D10" s="12" t="inlineStr">
        <is>
          <t>One record per person — 586 people; KRAs on file for 453</t>
        </is>
      </c>
    </row>
    <row r="11" ht="41" customHeight="1">
      <c r="A11" s="42" t="n">
        <v>5</v>
      </c>
      <c r="B11" s="12" t="inlineStr">
        <is>
          <t>Cleaned and protected it</t>
        </is>
      </c>
      <c r="C11" s="12" t="inlineStr">
        <is>
          <t>Matched responses to people · with consent where needed, removed personal data, and showed survey content only where three or more role-holders answered — never one person's words against a name.</t>
        </is>
      </c>
      <c r="D11" s="12" t="inlineStr">
        <is>
          <t>Privacy-safe evidence</t>
        </is>
      </c>
    </row>
    <row r="12" ht="28" customHeight="1">
      <c r="A12" s="42" t="n">
        <v>6</v>
      </c>
      <c r="B12" s="12" t="inlineStr">
        <is>
          <t>Mapped every role</t>
        </is>
      </c>
      <c r="C12" s="12" t="inlineStr">
        <is>
          <t>Placed each person in a job family, a sub-family · the work they actually do and a track.</t>
        </is>
      </c>
      <c r="D12" s="12" t="inlineStr">
        <is>
          <t>267 distinct employee roles; one IRIS-wide role catalogue</t>
        </is>
      </c>
    </row>
    <row r="13" ht="54" customHeight="1">
      <c r="A13" s="42" t="n">
        <v>7</v>
      </c>
      <c r="B13" s="12" t="inlineStr">
        <is>
          <t>Rated and scored</t>
        </is>
      </c>
      <c r="C13" s="12" t="inlineStr">
        <is>
          <t>Rated six factors — Complexity, Autonomy, Accountability, Leadership, Experience &amp; Qualification, Business Impact — on the ladder scale from the evidence; rating × weight = points; points add up to a score; the score points to a level.</t>
        </is>
      </c>
      <c r="D13" s="12" t="inlineStr">
        <is>
          <t>A score and an indicated level for 540 employees</t>
        </is>
      </c>
    </row>
    <row r="14" ht="41" customHeight="1">
      <c r="A14" s="42" t="n">
        <v>8</v>
      </c>
      <c r="B14" s="12" t="inlineStr">
        <is>
          <t>Applied the rules</t>
        </is>
      </c>
      <c r="C14" s="12" t="inlineStr">
        <is>
          <t>Gates, limits and Player-Coach steps where the evidence calls for them, and leadership decisions for the top bands — each one written down with its numbers.</t>
        </is>
      </c>
      <c r="D14" s="12" t="inlineStr">
        <is>
          <t>A final level and designation for everyone, every move explained</t>
        </is>
      </c>
    </row>
    <row r="15" ht="41" customHeight="1">
      <c r="A15" s="42" t="n">
        <v>9</v>
      </c>
      <c r="B15" s="12" t="inlineStr">
        <is>
          <t>Benchmarked to the market</t>
        </is>
      </c>
      <c r="C15" s="12" t="inlineStr">
        <is>
          <t>Matched every level to Aon Radford / Mercer codes and SFIA, and to competitor, regtech and SaaS ladders; every source re-read and corrected.</t>
        </is>
      </c>
      <c r="D15" s="12" t="inlineStr">
        <is>
          <t>A market code and a typical market title for every level</t>
        </is>
      </c>
    </row>
    <row r="16" ht="54" customHeight="1">
      <c r="A16" s="42" t="n">
        <v>10</v>
      </c>
      <c r="B16" s="12" t="inlineStr">
        <is>
          <t>Built the file set</t>
        </is>
      </c>
      <c r="C16" s="12" t="inlineStr">
        <is>
          <t>One build produces every file from the same data, so they always agree: the HR Super Master, product masters and simplified editions, the framework &amp; model master, the calibration panel pack, the ladder master and draft letters.</t>
        </is>
      </c>
      <c r="D16" s="12" t="inlineStr">
        <is>
          <t>Files by audience, rebuilt and re-checked in minutes</t>
        </is>
      </c>
    </row>
    <row r="17" ht="28" customHeight="1">
      <c r="A17" s="42" t="n">
        <v>11</v>
      </c>
      <c r="B17" s="12" t="inlineStr">
        <is>
          <t>Reviewed and corrected</t>
        </is>
      </c>
      <c r="C17" s="12" t="inlineStr">
        <is>
          <t>Business-head review, independent reviews, and 100+ automated checks on every build · placements, privacy, formulas, links, counts.</t>
        </is>
      </c>
      <c r="D17" s="12" t="inlineStr">
        <is>
          <t>Corrections fed back as validated inputs, never as hand edits</t>
        </is>
      </c>
    </row>
    <row r="18" ht="15" customHeight="1"/>
    <row r="19" ht="20" customHeight="1">
      <c r="A19" s="6" t="inlineStr">
        <is>
          <t>2. What we are doing now</t>
        </is>
      </c>
      <c r="B19" s="2" t="n"/>
      <c r="C19" s="2" t="n"/>
      <c r="D19" s="2" t="n"/>
    </row>
    <row r="20" ht="15" customHeight="1">
      <c r="A20" s="8" t="inlineStr">
        <is>
          <t>Now</t>
        </is>
      </c>
      <c r="B20" s="9" t="n"/>
      <c r="C20" s="8" t="inlineStr">
        <is>
          <t>What happens</t>
        </is>
      </c>
      <c r="D20" s="8" t="inlineStr">
        <is>
          <t>Who</t>
        </is>
      </c>
    </row>
    <row r="21" ht="28" customHeight="1">
      <c r="A21" s="10" t="inlineStr">
        <is>
          <t>Calibration</t>
        </is>
      </c>
      <c r="B21" s="11" t="n"/>
      <c r="C21" s="12" t="inlineStr">
        <is>
          <t>The panel rates anchor roles blind and compares them with the model; close calls and moves down are decided.</t>
        </is>
      </c>
      <c r="D21" s="12" t="inlineStr">
        <is>
          <t>Calibration panel</t>
        </is>
      </c>
    </row>
    <row r="22" ht="28" customHeight="1">
      <c r="A22" s="10" t="inlineStr">
        <is>
          <t>Decisions and data</t>
        </is>
      </c>
      <c r="B22" s="11" t="n"/>
      <c r="C22" s="12" t="inlineStr">
        <is>
          <t>Open decisions and critical data requests are worked in the HR Super Master's tracker.</t>
        </is>
      </c>
      <c r="D22" s="12" t="inlineStr">
        <is>
          <t>HR, managers, business heads</t>
        </is>
      </c>
    </row>
    <row r="23" ht="28" customHeight="1">
      <c r="A23" s="10" t="inlineStr">
        <is>
          <t>Business-head review</t>
        </is>
      </c>
      <c r="B23" s="11" t="n"/>
      <c r="C23" s="12" t="inlineStr">
        <is>
          <t>Each business head marks Agree / Change / Discuss in their simplified edition; responses are imported and tracked.</t>
        </is>
      </c>
      <c r="D23" s="12" t="inlineStr">
        <is>
          <t>Business heads</t>
        </is>
      </c>
    </row>
    <row r="24" ht="28" customHeight="1">
      <c r="A24" s="10" t="inlineStr">
        <is>
          <t>Sign-off</t>
        </is>
      </c>
      <c r="B24" s="11" t="n"/>
      <c r="C24" s="12" t="inlineStr">
        <is>
          <t>The executive sponsor approves the structure; then the draft letters are issued.</t>
        </is>
      </c>
      <c r="D24" s="12" t="inlineStr">
        <is>
          <t>Executive sponsor, HR</t>
        </is>
      </c>
    </row>
    <row r="25" ht="28" customHeight="1">
      <c r="A25" s="10" t="inlineStr">
        <is>
          <t>Pay · later</t>
        </is>
      </c>
      <c r="B25" s="11" t="n"/>
      <c r="C25" s="12" t="inlineStr">
        <is>
          <t>Buy one India pay survey and price each level; pay columns stay blank until then.</t>
        </is>
      </c>
      <c r="D25" s="12" t="inlineStr">
        <is>
          <t>HR, Finance</t>
        </is>
      </c>
    </row>
    <row r="26" ht="15" customHeight="1"/>
    <row r="27" ht="20" customHeight="1">
      <c r="A27" s="6" t="inlineStr">
        <is>
          <t>3. How it works — in one minute</t>
        </is>
      </c>
      <c r="B27" s="2" t="n"/>
      <c r="C27" s="2" t="n"/>
      <c r="D27" s="2" t="n"/>
    </row>
    <row r="28" ht="15" customHeight="1">
      <c r="A28" s="8" t="inlineStr">
        <is>
          <t>Step</t>
        </is>
      </c>
      <c r="B28" s="9" t="n"/>
      <c r="C28" s="8" t="inlineStr">
        <is>
          <t>In plain words</t>
        </is>
      </c>
      <c r="D28" s="9" t="n"/>
    </row>
    <row r="29" ht="28" customHeight="1">
      <c r="A29" s="10" t="inlineStr">
        <is>
          <t>1 · A building with 12 floors</t>
        </is>
      </c>
      <c r="B29" s="11" t="n"/>
      <c r="C29" s="12" t="inlineStr">
        <is>
          <r>
            <rPr>
              <rFont val="Calibri"/>
              <b val="1"/>
              <sz val="10"/>
            </rPr>
            <t>IRIS is a building:</t>
          </r>
          <r>
            <rPr>
              <rFont val="Calibri"/>
              <sz val="10"/>
            </rPr>
            <t xml:space="preserve"> floor 1 = first job, floor 12 = CEO; two half floors · B+, C+ for player-coaches. Every job lives on one floor.</t>
          </r>
        </is>
      </c>
      <c r="D29" s="11" t="n"/>
    </row>
    <row r="30" ht="28" customHeight="1">
      <c r="A30" s="10" t="inlineStr">
        <is>
          <t>2 · Six judges</t>
        </is>
      </c>
      <c r="B30" s="11" t="n"/>
      <c r="C30" s="12" t="inlineStr">
        <is>
          <t>Six judges look at the job — How hard? Decides alone? Answers for? Leads? Experience? Business impact? — and each holds up a floor number · the rating, using the evidence: survey, KRAs, HRIS, reporting line.</t>
        </is>
      </c>
      <c r="D30" s="11" t="n"/>
    </row>
    <row r="31" ht="28" customHeight="1">
      <c r="A31" s="10" t="inlineStr">
        <is>
          <t>3 · Some count more</t>
        </is>
      </c>
      <c r="B31" s="11" t="n"/>
      <c r="C31" s="12" t="inlineStr">
        <is>
          <t>Starting out, the quality of the work counts most; for leaders, results, leading and business impact count most. Experience counts little. All six add to 100%, and leaders can edit them on the Weightage Matrix.</t>
        </is>
      </c>
      <c r="D31" s="11" t="n"/>
    </row>
    <row r="32" ht="28" customHeight="1">
      <c r="A32" s="10" t="inlineStr">
        <is>
          <t>4 · Add up = the floor</t>
        </is>
      </c>
      <c r="B32" s="11" t="n"/>
      <c r="C32" s="12" t="inlineStr">
        <is>
          <t>Card × how much it counts = points; add the points = the score; round it = the floor · 5.05 → 5 → B2. Fair-play checks can hold it — each one written down.</t>
        </is>
      </c>
      <c r="D32" s="11" t="n"/>
    </row>
    <row r="33" ht="15" customHeight="1"/>
    <row r="34" ht="15" customHeight="1">
      <c r="A34" s="40" t="inlineStr">
        <is>
          <t>The HR Super Master's sheet '1c. Scoring Made Simple' and the Process Explainer tell this story in full, with three worked examples.</t>
        </is>
      </c>
    </row>
    <row r="35" ht="20" customHeight="1">
      <c r="A35" s="6" t="inlineStr">
        <is>
          <t>4. What it produced — the output</t>
        </is>
      </c>
      <c r="B35" s="2" t="n"/>
      <c r="C35" s="2" t="n"/>
      <c r="D35" s="2" t="n"/>
    </row>
    <row r="36" ht="15" customHeight="1">
      <c r="A36" s="8" t="inlineStr">
        <is>
          <t>Output</t>
        </is>
      </c>
      <c r="B36" s="9" t="n"/>
      <c r="C36" s="9" t="n"/>
      <c r="D36" s="8" t="inlineStr">
        <is>
          <t>Count</t>
        </is>
      </c>
    </row>
    <row r="37" ht="15" customHeight="1">
      <c r="A37" s="10" t="inlineStr">
        <is>
          <t>People mapped · employees + consultants</t>
        </is>
      </c>
      <c r="B37" s="11" t="n"/>
      <c r="C37" s="11" t="n"/>
      <c r="D37" s="42" t="inlineStr">
        <is>
          <t>586</t>
        </is>
      </c>
    </row>
    <row r="38" ht="15" customHeight="1">
      <c r="A38" s="10" t="inlineStr">
        <is>
          <t>Job families · sub-families</t>
        </is>
      </c>
      <c r="B38" s="11" t="n"/>
      <c r="C38" s="11" t="n"/>
      <c r="D38" s="42" t="inlineStr">
        <is>
          <t>19 · 61</t>
        </is>
      </c>
    </row>
    <row r="39" ht="15" customHeight="1">
      <c r="A39" s="10" t="inlineStr">
        <is>
          <t>Ladder steps in use · employees</t>
        </is>
      </c>
      <c r="B39" s="11" t="n"/>
      <c r="C39" s="11" t="n"/>
      <c r="D39" s="42" t="n">
        <v>13</v>
      </c>
    </row>
    <row r="40" ht="15" customHeight="1">
      <c r="A40" s="10" t="inlineStr">
        <is>
          <t>Designations on the new ladder · employees</t>
        </is>
      </c>
      <c r="B40" s="11" t="n"/>
      <c r="C40" s="11" t="n"/>
      <c r="D40" s="42" t="n">
        <v>184</v>
      </c>
    </row>
    <row r="41" ht="15" customHeight="1">
      <c r="A41" s="10" t="inlineStr">
        <is>
          <t>Distinct employee roles</t>
        </is>
      </c>
      <c r="B41" s="11" t="n"/>
      <c r="C41" s="11" t="n"/>
      <c r="D41" s="42" t="n">
        <v>267</v>
      </c>
    </row>
    <row r="42" ht="15" customHeight="1">
      <c r="A42" s="10" t="inlineStr">
        <is>
          <t>Products and Corporate</t>
        </is>
      </c>
      <c r="B42" s="11" t="n"/>
      <c r="C42" s="11" t="n"/>
      <c r="D42" s="42" t="n">
        <v>6</v>
      </c>
    </row>
    <row r="43" ht="15" customHeight="1">
      <c r="A43" s="10" t="inlineStr">
        <is>
          <t>People in leadership bands D–E</t>
        </is>
      </c>
      <c r="B43" s="11" t="n"/>
      <c r="C43" s="11" t="n"/>
      <c r="D43" s="42" t="n">
        <v>11</v>
      </c>
    </row>
    <row r="44" ht="15" customHeight="1"/>
    <row r="45" ht="20" customHeight="1">
      <c r="A45" s="6" t="inlineStr">
        <is>
          <t>5. The impact</t>
        </is>
      </c>
      <c r="B45" s="2" t="n"/>
      <c r="C45" s="2" t="n"/>
      <c r="D45" s="2" t="n"/>
    </row>
    <row r="46" ht="15" customHeight="1">
      <c r="A46" s="8" t="inlineStr">
        <is>
          <t>Impact</t>
        </is>
      </c>
      <c r="B46" s="9" t="n"/>
      <c r="C46" s="8" t="inlineStr">
        <is>
          <t>What it means</t>
        </is>
      </c>
      <c r="D46" s="9" t="n"/>
    </row>
    <row r="47" ht="28" customHeight="1">
      <c r="A47" s="10" t="inlineStr">
        <is>
          <t>One architecture for all of IRIS</t>
        </is>
      </c>
      <c r="B47" s="11" t="n"/>
      <c r="C47" s="12" t="inlineStr">
        <is>
          <t>The same families, the same ladder and the same method in every product — titles mean the same thing everywhere.</t>
        </is>
      </c>
      <c r="D47" s="11" t="n"/>
    </row>
    <row r="48" ht="15" customHeight="1">
      <c r="A48" s="10" t="inlineStr">
        <is>
          <t>Transparent, explainable levels</t>
        </is>
      </c>
      <c r="B48" s="11" t="n"/>
      <c r="C48" s="12" t="inlineStr">
        <is>
          <t>Every level traces to evidence, ratings, weights and named rules; anyone can see why a role sits where it does.</t>
        </is>
      </c>
      <c r="D48" s="11" t="n"/>
    </row>
    <row r="49" ht="28" customHeight="1">
      <c r="A49" s="10" t="inlineStr">
        <is>
          <t>Clear career paths</t>
        </is>
      </c>
      <c r="B49" s="11" t="n"/>
      <c r="C49" s="12" t="inlineStr">
        <is>
          <t>Individual-contributor and manager tracks with a ladder in every sub-family, and the competencies needed for the next step.</t>
        </is>
      </c>
      <c r="D49" s="11" t="n"/>
    </row>
    <row r="50" ht="28" customHeight="1">
      <c r="A50" s="10" t="inlineStr">
        <is>
          <t>Duplication made visible</t>
        </is>
      </c>
      <c r="B50" s="11" t="n"/>
      <c r="C50" s="12" t="inlineStr">
        <is>
          <t>53 family × sub-family × level combinations are held in more than one product — candidates for common role definitions and shared pools.</t>
        </is>
      </c>
      <c r="D50" s="11" t="n"/>
    </row>
    <row r="51" ht="28" customHeight="1">
      <c r="A51" s="10" t="inlineStr">
        <is>
          <t>Leadership consistency</t>
        </is>
      </c>
      <c r="B51" s="11" t="n"/>
      <c r="C51" s="12" t="inlineStr">
        <is>
          <t>No one in Bands D–E sits above their reporting manager, anyone in Band D reporting to an E1 / E2 sits at D2, and leadership levels are set by approved decisions.</t>
        </is>
      </c>
      <c r="D51" s="11" t="n"/>
    </row>
    <row r="52" ht="15" customHeight="1">
      <c r="A52" s="10" t="inlineStr">
        <is>
          <t>Ready for pay and planning</t>
        </is>
      </c>
      <c r="B52" s="11" t="n"/>
      <c r="C52" s="12" t="inlineStr">
        <is>
          <t>Each level carries a market code, so pay ranges, succession and workforce planning can be built on it.</t>
        </is>
      </c>
      <c r="D52" s="11" t="n"/>
    </row>
    <row r="53" ht="15" customHeight="1"/>
    <row r="54" ht="20" customHeight="1">
      <c r="A54" s="6" t="inlineStr">
        <is>
          <t>6. Our framework at a glance</t>
        </is>
      </c>
      <c r="B54" s="2" t="n"/>
      <c r="C54" s="2" t="n"/>
      <c r="D54" s="2" t="n"/>
    </row>
    <row r="55" ht="28" customHeight="1">
      <c r="A55" s="8" t="inlineStr">
        <is>
          <t>Element</t>
        </is>
      </c>
      <c r="B55" s="8" t="inlineStr">
        <is>
          <t>What it is</t>
        </is>
      </c>
      <c r="C55" s="9" t="n"/>
      <c r="D55" s="9" t="n"/>
    </row>
    <row r="56" ht="41" customHeight="1">
      <c r="A56" s="10" t="inlineStr">
        <is>
          <t>Job families</t>
        </is>
      </c>
      <c r="B56" s="12" t="inlineStr">
        <is>
          <t>19 families of work, each anchored to the ILO occupation standard — the same in every product.</t>
        </is>
      </c>
      <c r="C56" s="11" t="n"/>
      <c r="D56" s="11" t="n"/>
    </row>
    <row r="57" ht="41" customHeight="1">
      <c r="A57" s="10" t="inlineStr">
        <is>
          <t>Sub-families</t>
        </is>
      </c>
      <c r="B57" s="12" t="inlineStr">
        <is>
          <t>61 sub-families: the work a person actually does inside a family. One definition each, used everywhere.</t>
        </is>
      </c>
      <c r="C57" s="11" t="n"/>
      <c r="D57" s="11" t="n"/>
    </row>
    <row r="58" ht="41" customHeight="1">
      <c r="A58" s="10" t="inlineStr">
        <is>
          <t>Career ladder</t>
        </is>
      </c>
      <c r="B58" s="12" t="inlineStr">
        <is>
          <r>
            <rPr>
              <rFont val="Calibri"/>
              <b val="1"/>
              <sz val="10"/>
            </rPr>
            <t>One ladder from intern to CEO:</t>
          </r>
          <r>
            <rPr>
              <rFont val="Calibri"/>
              <sz val="10"/>
            </rPr>
            <t xml:space="preserve"> A1–A3 practitioner · B1–B3 specialist / manager · B+ Player-Coach · C1–C2 principal / head · C+ Player-Coach · D1–D2 business leadership · E1–E2 enterprise leadership; X1–X3 for consultants · outside the ladder.</t>
          </r>
        </is>
      </c>
      <c r="C58" s="11" t="n"/>
      <c r="D58" s="11" t="n"/>
    </row>
    <row r="59" ht="28" customHeight="1">
      <c r="A59" s="10" t="inlineStr">
        <is>
          <t>Tracks</t>
        </is>
      </c>
      <c r="B59" s="12" t="inlineStr">
        <is>
          <t>Individual contributor, POD Lead · leads 1–3 while doing the work, Player-Coach · leads and delivers, People Manager, Consultant — experts progress without having to manage.</t>
        </is>
      </c>
      <c r="C59" s="11" t="n"/>
      <c r="D59" s="11" t="n"/>
    </row>
    <row r="60" ht="28" customHeight="1">
      <c r="A60" s="10" t="inlineStr">
        <is>
          <t>Six factors</t>
        </is>
      </c>
      <c r="B60" s="12" t="inlineStr">
        <is>
          <t>Complexity &amp; Expertise · Autonomy &amp; Decision · Accountability &amp; Impact · Leadership &amp; Strategy · Experience &amp; Qualification · Business Impact — each gets a rating: the floor of the ladder that part of the job looks like.</t>
        </is>
      </c>
      <c r="C60" s="11" t="n"/>
      <c r="D60" s="11" t="n"/>
    </row>
    <row r="61" ht="28" customHeight="1">
      <c r="A61" s="10" t="inlineStr">
        <is>
          <t>Weights</t>
        </is>
      </c>
      <c r="B61" s="12" t="inlineStr">
        <is>
          <t>How much each factor counts, by band and track · junior roles: skill and experience; senior roles: accountability and leadership, fine-tuned ±5 by type of work.</t>
        </is>
      </c>
      <c r="C61" s="11" t="n"/>
      <c r="D61" s="11" t="n"/>
    </row>
    <row r="62" ht="28" customHeight="1">
      <c r="A62" s="10" t="inlineStr">
        <is>
          <t>Rules</t>
        </is>
      </c>
      <c r="B62" s="12" t="inlineStr">
        <is>
          <t>R1–R13: category rules, provisional holds, work-substance and structure gates, experience limits, track minimums, Player-Coach steps, leadership decisions and the D–E reporting-line rules — each written on the person's row with its numbers.</t>
        </is>
      </c>
      <c r="C62" s="11" t="n"/>
      <c r="D62" s="11" t="n"/>
    </row>
    <row r="63" ht="28" customHeight="1">
      <c r="A63" s="10" t="inlineStr">
        <is>
          <t>Titles</t>
        </is>
      </c>
      <c r="B63" s="12" t="inlineStr">
        <is>
          <t>Level marker + role noun; market titles where the market has its own ladder · Product Manager, Account Executive.</t>
        </is>
      </c>
      <c r="C63" s="11" t="n"/>
      <c r="D63" s="11" t="n"/>
    </row>
    <row r="64" ht="41" customHeight="1">
      <c r="A64" s="10" t="inlineStr">
        <is>
          <t>Competencies</t>
        </is>
      </c>
      <c r="B64" s="12" t="inlineStr">
        <is>
          <t>6 core and 4 future-ready for everyone, 4 leadership for leaders, and functional competencies for each family — each with a 1–5 skill level required at every career level.</t>
        </is>
      </c>
      <c r="C64" s="11" t="n"/>
      <c r="D64" s="11" t="n"/>
    </row>
    <row r="65" ht="28" customHeight="1">
      <c r="A65" s="10" t="inlineStr">
        <is>
          <t>Market link</t>
        </is>
      </c>
      <c r="B65" s="12" t="inlineStr">
        <is>
          <t>Every level maps to Aon Radford / Mercer codes and SFIA, with competitor, regtech and SaaS equivalents — the base for pay ranges later.</t>
        </is>
      </c>
      <c r="C65" s="11" t="n"/>
      <c r="D65" s="11" t="n"/>
    </row>
    <row r="66" ht="15" customHeight="1"/>
    <row r="67" ht="20" customHeight="1">
      <c r="A67" s="6" t="inlineStr">
        <is>
          <t>7. The Job Architecture process — how the structure was built</t>
        </is>
      </c>
      <c r="B67" s="2" t="n"/>
      <c r="C67" s="2" t="n"/>
      <c r="D67" s="2" t="n"/>
    </row>
    <row r="68" ht="15" customHeight="1">
      <c r="A68" s="8" t="inlineStr">
        <is>
          <t>#</t>
        </is>
      </c>
      <c r="B68" s="8" t="inlineStr">
        <is>
          <t>Step</t>
        </is>
      </c>
      <c r="C68" s="8" t="inlineStr">
        <is>
          <t>What happens</t>
        </is>
      </c>
      <c r="D68" s="9" t="n"/>
    </row>
    <row r="69" ht="15" customHeight="1">
      <c r="A69" s="42" t="n">
        <v>1</v>
      </c>
      <c r="B69" s="12" t="inlineStr">
        <is>
          <t>Define families</t>
        </is>
      </c>
      <c r="C69" s="12" t="inlineStr">
        <is>
          <t>Group all work into job families anchored to ISCO-08, so the same work has the same name everywhere.</t>
        </is>
      </c>
      <c r="D69" s="11" t="n"/>
    </row>
    <row r="70" ht="15" customHeight="1">
      <c r="A70" s="42" t="n">
        <v>2</v>
      </c>
      <c r="B70" s="12" t="inlineStr">
        <is>
          <t>Define sub-families</t>
        </is>
      </c>
      <c r="C70" s="12" t="inlineStr">
        <is>
          <t>Split each family into the distinct kinds of work people do, from the survey and role data.</t>
        </is>
      </c>
      <c r="D70" s="11" t="n"/>
    </row>
    <row r="71" ht="28" customHeight="1">
      <c r="A71" s="42" t="n">
        <v>3</v>
      </c>
      <c r="B71" s="12" t="inlineStr">
        <is>
          <t>Set the ladder and bands</t>
        </is>
      </c>
      <c r="C71" s="12" t="inlineStr">
        <is>
          <t>One 12-level ladder with five bands and two Player-Coach steps; what each level owns, its experience range and span.</t>
        </is>
      </c>
      <c r="D71" s="11" t="n"/>
    </row>
    <row r="72" ht="28" customHeight="1">
      <c r="A72" s="42" t="n">
        <v>4</v>
      </c>
      <c r="B72" s="12" t="inlineStr">
        <is>
          <t>Set the tracks</t>
        </is>
      </c>
      <c r="C72" s="12" t="inlineStr">
        <is>
          <t>IC, POD Lead, Player-Coach, People Manager, Consultant — and the rules for each.</t>
        </is>
      </c>
      <c r="D72" s="11" t="n"/>
    </row>
    <row r="73" ht="15" customHeight="1">
      <c r="A73" s="42" t="n">
        <v>5</v>
      </c>
      <c r="B73" s="12" t="inlineStr">
        <is>
          <t>Level every role</t>
        </is>
      </c>
      <c r="C73" s="12" t="inlineStr">
        <is>
          <t>Six ratings × weights → score → level, then the rules; leadership levels by approved decision.</t>
        </is>
      </c>
      <c r="D73" s="11" t="n"/>
    </row>
    <row r="74" ht="15" customHeight="1">
      <c r="A74" s="42" t="n">
        <v>6</v>
      </c>
      <c r="B74" s="12" t="inlineStr">
        <is>
          <t>Name every role</t>
        </is>
      </c>
      <c r="C74" s="12" t="inlineStr">
        <is>
          <t>Designation = level marker + role noun; title protection for anyone moving down.</t>
        </is>
      </c>
      <c r="D74" s="11" t="n"/>
    </row>
    <row r="75" ht="15" customHeight="1">
      <c r="A75" s="42" t="n">
        <v>7</v>
      </c>
      <c r="B75" s="12" t="inlineStr">
        <is>
          <t>Benchmark</t>
        </is>
      </c>
      <c r="C75" s="12" t="inlineStr">
        <is>
          <t>Crosswalk every level to Radford / Mercer and SFIA; compare with competitor and peer ladders.</t>
        </is>
      </c>
      <c r="D75" s="11" t="n"/>
    </row>
    <row r="76" ht="15" customHeight="1">
      <c r="A76" s="42" t="n">
        <v>8</v>
      </c>
      <c r="B76" s="12" t="inlineStr">
        <is>
          <t>Govern</t>
        </is>
      </c>
      <c r="C76" s="12" t="inlineStr">
        <is>
          <t>Calibration panel, business-head review, a decision tracker and change rules · who can change a level, and how.</t>
        </is>
      </c>
      <c r="D76" s="11" t="n"/>
    </row>
    <row r="77" ht="15" customHeight="1"/>
    <row r="78" ht="20" customHeight="1">
      <c r="A78" s="6" t="inlineStr">
        <is>
          <t>8. The Job Design process — how each role is described</t>
        </is>
      </c>
      <c r="B78" s="2" t="n"/>
      <c r="C78" s="2" t="n"/>
      <c r="D78" s="2" t="n"/>
    </row>
    <row r="79" ht="15" customHeight="1">
      <c r="A79" s="8" t="inlineStr">
        <is>
          <t>#</t>
        </is>
      </c>
      <c r="B79" s="8" t="inlineStr">
        <is>
          <t>Step</t>
        </is>
      </c>
      <c r="C79" s="8" t="inlineStr">
        <is>
          <t>What happens</t>
        </is>
      </c>
      <c r="D79" s="9" t="n"/>
    </row>
    <row r="80" ht="15" customHeight="1">
      <c r="A80" s="42" t="n">
        <v>1</v>
      </c>
      <c r="B80" s="12" t="inlineStr">
        <is>
          <t>Purpose</t>
        </is>
      </c>
      <c r="C80" s="12" t="inlineStr">
        <is>
          <t>Why the role exists — from the sub-family definition and the level standard.</t>
        </is>
      </c>
      <c r="D80" s="11" t="n"/>
    </row>
    <row r="81" ht="28" customHeight="1">
      <c r="A81" s="42" t="n">
        <v>2</v>
      </c>
      <c r="B81" s="12" t="inlineStr">
        <is>
          <t>Responsibilities and deliverables</t>
        </is>
      </c>
      <c r="C81" s="12" t="inlineStr">
        <is>
          <t>What the role does and produces — from role-holders' survey answers · as counted themes and KRAs.</t>
        </is>
      </c>
      <c r="D81" s="11" t="n"/>
    </row>
    <row r="82" ht="28" customHeight="1">
      <c r="A82" s="42" t="n">
        <v>3</v>
      </c>
      <c r="B82" s="12" t="inlineStr">
        <is>
          <t>Accountability and decision rights</t>
        </is>
      </c>
      <c r="C82" s="12" t="inlineStr">
        <is>
          <t>What the role answers for, what it can decide alone, and what happens if the work is missed.</t>
        </is>
      </c>
      <c r="D82" s="11" t="n"/>
    </row>
    <row r="83" ht="15" customHeight="1">
      <c r="A83" s="42" t="n">
        <v>4</v>
      </c>
      <c r="B83" s="12" t="inlineStr">
        <is>
          <t>Measures</t>
        </is>
      </c>
      <c r="C83" s="12" t="inlineStr">
        <is>
          <r>
            <rPr>
              <rFont val="Calibri"/>
              <b val="1"/>
              <sz val="10"/>
            </rPr>
            <t>Manager-set KRAs:</t>
          </r>
          <r>
            <rPr>
              <rFont val="Calibri"/>
              <sz val="10"/>
            </rPr>
            <t xml:space="preserve"> how the role is judged.</t>
          </r>
        </is>
      </c>
      <c r="D83" s="11" t="n"/>
    </row>
    <row r="84" ht="15" customHeight="1">
      <c r="A84" s="42" t="n">
        <v>5</v>
      </c>
      <c r="B84" s="12" t="inlineStr">
        <is>
          <t>Competencies and skill level</t>
        </is>
      </c>
      <c r="C84" s="12" t="inlineStr">
        <is>
          <t>The core, future-ready, functional and leadership competencies the role needs, each at a 1–5 level.</t>
        </is>
      </c>
      <c r="D84" s="11" t="n"/>
    </row>
    <row r="85" ht="15" customHeight="1">
      <c r="A85" s="42" t="n">
        <v>6</v>
      </c>
      <c r="B85" s="12" t="inlineStr">
        <is>
          <t>Role profile and catalogue</t>
        </is>
      </c>
      <c r="C85" s="12" t="inlineStr">
        <is>
          <t>One IRIS-wide catalogue entry per family × sub-family × level × track — the shared description of the job.</t>
        </is>
      </c>
      <c r="D85" s="11" t="n"/>
    </row>
    <row r="86" ht="15" customHeight="1">
      <c r="A86" s="42" t="n">
        <v>7</v>
      </c>
      <c r="B86" s="12" t="inlineStr">
        <is>
          <t>Career ladder</t>
        </is>
      </c>
      <c r="C86" s="12" t="inlineStr">
        <is>
          <t>Where the role sits in its sub-family's ladder, the next step and what it takes.</t>
        </is>
      </c>
      <c r="D86" s="11" t="n"/>
    </row>
    <row r="87" ht="28" customHeight="1">
      <c r="A87" s="42" t="n">
        <v>8</v>
      </c>
      <c r="B87" s="12" t="inlineStr">
        <is>
          <t>Recruitment profile</t>
        </is>
      </c>
      <c r="C87" s="12" t="inlineStr">
        <is>
          <t>The hire equivalent in the market, the competencies to hire for and the interview questions — on every person card.</t>
        </is>
      </c>
      <c r="D87" s="11" t="n"/>
    </row>
  </sheetData>
  <mergeCells count="79">
    <mergeCell ref="A5:D5"/>
    <mergeCell ref="B60:D60"/>
    <mergeCell ref="A37:C37"/>
    <mergeCell ref="B57:D57"/>
    <mergeCell ref="A51:B51"/>
    <mergeCell ref="C79:D79"/>
    <mergeCell ref="C73:D73"/>
    <mergeCell ref="C50:D50"/>
    <mergeCell ref="A43:C43"/>
    <mergeCell ref="C76:D76"/>
    <mergeCell ref="A54:D54"/>
    <mergeCell ref="B62:D62"/>
    <mergeCell ref="A22:B22"/>
    <mergeCell ref="A27:D27"/>
    <mergeCell ref="A28:B28"/>
    <mergeCell ref="B56:D56"/>
    <mergeCell ref="C28:D28"/>
    <mergeCell ref="A2:D2"/>
    <mergeCell ref="C69:D69"/>
    <mergeCell ref="C83:D83"/>
    <mergeCell ref="A48:B48"/>
    <mergeCell ref="A30:B30"/>
    <mergeCell ref="C30:D30"/>
    <mergeCell ref="A35:D35"/>
    <mergeCell ref="A19:D19"/>
    <mergeCell ref="C47:D47"/>
    <mergeCell ref="A46:B46"/>
    <mergeCell ref="A38:C38"/>
    <mergeCell ref="C71:D71"/>
    <mergeCell ref="A40:C40"/>
    <mergeCell ref="B59:D59"/>
    <mergeCell ref="A52:B52"/>
    <mergeCell ref="C82:D82"/>
    <mergeCell ref="C86:D86"/>
    <mergeCell ref="C68:D68"/>
    <mergeCell ref="A49:B49"/>
    <mergeCell ref="A42:C42"/>
    <mergeCell ref="C29:D29"/>
    <mergeCell ref="C85:D85"/>
    <mergeCell ref="A34:D34"/>
    <mergeCell ref="C75:D75"/>
    <mergeCell ref="C84:D84"/>
    <mergeCell ref="B65:D65"/>
    <mergeCell ref="C31:D31"/>
    <mergeCell ref="C80:D80"/>
    <mergeCell ref="A1:D1"/>
    <mergeCell ref="A45:D45"/>
    <mergeCell ref="A21:B21"/>
    <mergeCell ref="C46:D46"/>
    <mergeCell ref="B63:D63"/>
    <mergeCell ref="C51:D51"/>
    <mergeCell ref="A78:D78"/>
    <mergeCell ref="A32:B32"/>
    <mergeCell ref="A23:B23"/>
    <mergeCell ref="C70:D70"/>
    <mergeCell ref="C48:D48"/>
    <mergeCell ref="C32:D32"/>
    <mergeCell ref="C49:D49"/>
    <mergeCell ref="A24:B24"/>
    <mergeCell ref="A41:C41"/>
    <mergeCell ref="B61:D61"/>
    <mergeCell ref="C74:D74"/>
    <mergeCell ref="A67:D67"/>
    <mergeCell ref="A25:B25"/>
    <mergeCell ref="B55:D55"/>
    <mergeCell ref="B64:D64"/>
    <mergeCell ref="A50:B50"/>
    <mergeCell ref="A47:B47"/>
    <mergeCell ref="A39:C39"/>
    <mergeCell ref="C52:D52"/>
    <mergeCell ref="A20:B20"/>
    <mergeCell ref="A36:C36"/>
    <mergeCell ref="A29:B29"/>
    <mergeCell ref="C72:D72"/>
    <mergeCell ref="C81:D81"/>
    <mergeCell ref="A3:D3"/>
    <mergeCell ref="B58:D58"/>
    <mergeCell ref="A31:B31"/>
    <mergeCell ref="C87:D87"/>
  </mergeCells>
  <hyperlinks>
    <hyperlink xmlns:r="http://schemas.openxmlformats.org/officeDocument/2006/relationships" ref="E1" r:id="rId1"/>
  </hyperlinks>
  <pageMargins left="0.4" right="0.4" top="0.5" bottom="0.5" header="0.5" footer="0.5"/>
  <pageSetup orientation="landscape" paperSize="8" fitToHeight="0" fitToWidth="1"/>
  <headerFooter>
    <oddHeader/>
    <oddFooter>&amp;LIRIS · Job Architecture &amp; Job Design · Final v1.12 · October 2026 · Internal — Confidential&amp;RPage &amp;P of &amp;N</oddFooter>
    <evenHeader/>
    <evenFooter/>
    <firstHeader/>
    <firstFooter/>
  </headerFooter>
</worksheet>
</file>

<file path=xl/worksheets/sheet2.xml><?xml version="1.0" encoding="utf-8"?>
<worksheet xmlns="http://schemas.openxmlformats.org/spreadsheetml/2006/main">
  <sheetPr>
    <tabColor rgb="001F3864"/>
    <outlinePr summaryBelow="1" summaryRight="1"/>
    <pageSetUpPr fitToPage="1"/>
  </sheetPr>
  <dimension ref="A1:N127"/>
  <sheetViews>
    <sheetView showGridLines="0" workbookViewId="0">
      <pane ySplit="4" topLeftCell="A5" activePane="bottomLeft" state="frozen"/>
      <selection pane="bottomLeft" activeCell="A1" sqref="A1"/>
    </sheetView>
  </sheetViews>
  <sheetFormatPr baseColWidth="8" defaultRowHeight="15"/>
  <cols>
    <col width="26" customWidth="1" min="1" max="1"/>
    <col width="11" customWidth="1" min="2" max="2"/>
    <col width="11" customWidth="1" min="3" max="3"/>
    <col width="11" customWidth="1" min="4" max="4"/>
    <col width="11" customWidth="1" min="5" max="5"/>
    <col width="11" customWidth="1" min="6" max="6"/>
    <col width="11" customWidth="1" min="7" max="7"/>
    <col width="11" customWidth="1" min="8" max="8"/>
    <col width="11" customWidth="1" min="9" max="9"/>
    <col width="11" customWidth="1" min="10" max="10"/>
    <col width="11" customWidth="1" min="11" max="11"/>
    <col width="11" customWidth="1" min="12" max="12"/>
    <col width="11" customWidth="1" min="13" max="13"/>
    <col width="11" customWidth="1" min="14" max="14"/>
  </cols>
  <sheetData>
    <row r="1" ht="34" customHeight="1">
      <c r="A1" s="1" t="inlineStr">
        <is>
          <t>Corporate — Job Architecture: simplified product edition · for the business head</t>
        </is>
      </c>
    </row>
    <row r="2" ht="32" customHeight="1">
      <c r="A2" s="3" t="inlineStr">
        <is>
          <r>
            <rPr>
              <rFont val="Calibri"/>
              <b val="1"/>
              <i val="1"/>
              <color rgb="00404040"/>
              <sz val="10"/>
            </rPr>
            <t>Six sheets after the Start page, complete in themselves:</t>
          </r>
          <r>
            <rPr>
              <rFont val="Calibri"/>
              <i val="1"/>
              <color rgb="00404040"/>
              <sz val="10"/>
            </rPr>
            <t xml:space="preserve"> who sits where and exactly why, what each role is, what we need you to decide, the career ladder and the weightage matrix you can edit. Read this page first; every term and colour used in the workbook is explained here.</t>
          </r>
        </is>
      </c>
    </row>
    <row r="3">
      <c r="A3" s="4" t="inlineStr">
        <is>
          <t>IRIS · Job Architecture &amp; Job Design · Final v1.12 · October 2026 · Internal — Confidential</t>
        </is>
      </c>
    </row>
    <row r="4" ht="15" customHeight="1"/>
    <row r="5" ht="20" customHeight="1">
      <c r="A5" s="6" t="inlineStr">
        <is>
          <t>1. What this is, and what we ask of you</t>
        </is>
      </c>
    </row>
    <row r="6" ht="41" customHeight="1">
      <c r="A6" s="7" t="inlineStr">
        <is>
          <t>Every one of the 49 people in Corporate has been placed on IRIS's new career ladder: a job family and sub-family · the work they do, a level · the size of the role and a designation · level marker + role noun. Each placement follows one published model — the same for every business — and every number behind it is shown on sheet 2. Nothing here changes pay: pay is set later, and any move down is protected for one cycle.</t>
        </is>
      </c>
    </row>
    <row r="7" ht="15" customHeight="1">
      <c r="A7" s="8" t="inlineStr">
        <is>
          <t>Sheet</t>
        </is>
      </c>
      <c r="B7" s="91" t="n"/>
      <c r="C7" s="92" t="n"/>
      <c r="D7" s="8" t="inlineStr">
        <is>
          <t>What it gives you</t>
        </is>
      </c>
      <c r="E7" s="91" t="n"/>
      <c r="F7" s="91" t="n"/>
      <c r="G7" s="91" t="n"/>
      <c r="H7" s="91" t="n"/>
      <c r="I7" s="91" t="n"/>
      <c r="J7" s="92" t="n"/>
      <c r="K7" s="8" t="inlineStr">
        <is>
          <t>What to do</t>
        </is>
      </c>
      <c r="L7" s="91" t="n"/>
      <c r="M7" s="91" t="n"/>
      <c r="N7" s="92" t="n"/>
    </row>
    <row r="8" ht="28" customHeight="1">
      <c r="A8" s="10" t="inlineStr">
        <is>
          <t>1. Start Here</t>
        </is>
      </c>
      <c r="B8" s="91" t="n"/>
      <c r="C8" s="92" t="n"/>
      <c r="D8" s="12" t="inlineStr">
        <is>
          <r>
            <rPr>
              <rFont val="Calibri"/>
              <b val="1"/>
              <sz val="10"/>
            </rPr>
            <t>This page:</t>
          </r>
          <r>
            <rPr>
              <rFont val="Calibri"/>
              <sz val="10"/>
            </rPr>
            <t xml:space="preserve"> the numbers, the ladder, how a level is worked out, the rules, colours and terms</t>
          </r>
        </is>
      </c>
      <c r="E8" s="91" t="n"/>
      <c r="F8" s="91" t="n"/>
      <c r="G8" s="91" t="n"/>
      <c r="H8" s="91" t="n"/>
      <c r="I8" s="91" t="n"/>
      <c r="J8" s="92" t="n"/>
      <c r="K8" s="12" t="inlineStr">
        <is>
          <t>Read first</t>
        </is>
      </c>
      <c r="L8" s="91" t="n"/>
      <c r="M8" s="91" t="n"/>
      <c r="N8" s="92" t="n"/>
    </row>
    <row r="9" ht="41" customHeight="1">
      <c r="A9" s="104" t="inlineStr">
        <is>
          <t>2. People &amp; Levels</t>
        </is>
      </c>
      <c r="B9" s="91" t="n"/>
      <c r="C9" s="92" t="n"/>
      <c r="D9" s="12" t="inlineStr">
        <is>
          <r>
            <rPr>
              <rFont val="Calibri"/>
              <b val="1"/>
              <sz val="10"/>
            </rPr>
            <t>Every person:</t>
          </r>
          <r>
            <rPr>
              <rFont val="Calibri"/>
              <sz val="10"/>
            </rPr>
            <t xml:space="preserve"> role before → after, score, the full reason for the level, each factor's rating and why, the market comparison, the data behind it, points for attention, inputs still needed</t>
          </r>
        </is>
      </c>
      <c r="E9" s="91" t="n"/>
      <c r="F9" s="91" t="n"/>
      <c r="G9" s="91" t="n"/>
      <c r="H9" s="91" t="n"/>
      <c r="I9" s="91" t="n"/>
      <c r="J9" s="92" t="n"/>
      <c r="K9" s="12" t="inlineStr">
        <is>
          <t>For each person, mark Agree / Change / Discuss in the yellow column; give the reason for any change</t>
        </is>
      </c>
      <c r="L9" s="91" t="n"/>
      <c r="M9" s="91" t="n"/>
      <c r="N9" s="92" t="n"/>
    </row>
    <row r="10" ht="41" customHeight="1">
      <c r="A10" s="104" t="inlineStr">
        <is>
          <t>3. Roles</t>
        </is>
      </c>
      <c r="B10" s="91" t="n"/>
      <c r="C10" s="92" t="n"/>
      <c r="D10" s="12" t="inlineStr">
        <is>
          <r>
            <rPr>
              <rFont val="Calibri"/>
              <b val="1"/>
              <sz val="10"/>
            </rPr>
            <t>Every role held here, as defined once for all of IRIS:</t>
          </r>
          <r>
            <rPr>
              <rFont val="Calibri"/>
              <sz val="10"/>
            </rPr>
            <t xml:space="preserve"> purpose, responsibilities, decisions, KRAs, skills, what the level requires, competencies, market, next step</t>
          </r>
        </is>
      </c>
      <c r="E10" s="91" t="n"/>
      <c r="F10" s="91" t="n"/>
      <c r="G10" s="91" t="n"/>
      <c r="H10" s="91" t="n"/>
      <c r="I10" s="91" t="n"/>
      <c r="J10" s="92" t="n"/>
      <c r="K10" s="12" t="inlineStr">
        <is>
          <t>Check the role descriptions match the work</t>
        </is>
      </c>
      <c r="L10" s="91" t="n"/>
      <c r="M10" s="91" t="n"/>
      <c r="N10" s="92" t="n"/>
    </row>
    <row r="11" ht="28" customHeight="1">
      <c r="A11" s="104" t="inlineStr">
        <is>
          <t>4. Decisions &amp; Actions</t>
        </is>
      </c>
      <c r="B11" s="91" t="n"/>
      <c r="C11" s="92" t="n"/>
      <c r="D11" s="12" t="inlineStr">
        <is>
          <t>Placements that need a decision, inputs still needed by owner, how the structure changed, what happens next</t>
        </is>
      </c>
      <c r="E11" s="91" t="n"/>
      <c r="F11" s="91" t="n"/>
      <c r="G11" s="91" t="n"/>
      <c r="H11" s="91" t="n"/>
      <c r="I11" s="91" t="n"/>
      <c r="J11" s="92" t="n"/>
      <c r="K11" s="12" t="inlineStr">
        <is>
          <t>Decide or supply what is marked red</t>
        </is>
      </c>
      <c r="L11" s="91" t="n"/>
      <c r="M11" s="91" t="n"/>
      <c r="N11" s="92" t="n"/>
    </row>
    <row r="12" ht="41" customHeight="1">
      <c r="A12" s="104" t="inlineStr">
        <is>
          <t>5. Career Ladder</t>
        </is>
      </c>
      <c r="B12" s="91" t="n"/>
      <c r="C12" s="92" t="n"/>
      <c r="D12" s="12" t="inlineStr">
        <is>
          <t>Department → band → level by job family, sub-family and designation: the ladder in each sub-family, the competencies each role requires, and where the same work sits in other departments or other products</t>
        </is>
      </c>
      <c r="E12" s="91" t="n"/>
      <c r="F12" s="91" t="n"/>
      <c r="G12" s="91" t="n"/>
      <c r="H12" s="91" t="n"/>
      <c r="I12" s="91" t="n"/>
      <c r="J12" s="92" t="n"/>
      <c r="K12" s="12" t="inlineStr">
        <is>
          <t>Check the ladder and titles; note duplicated roles</t>
        </is>
      </c>
      <c r="L12" s="91" t="n"/>
      <c r="M12" s="91" t="n"/>
      <c r="N12" s="92" t="n"/>
    </row>
    <row r="13" ht="41" customHeight="1">
      <c r="A13" s="104" t="inlineStr">
        <is>
          <t>6. Weightage Matrix</t>
        </is>
      </c>
      <c r="B13" s="91" t="n"/>
      <c r="C13" s="92" t="n"/>
      <c r="D13" s="12" t="inlineStr">
        <is>
          <t>How much each of the six factors counts, by department and role group, with a guide to weighting and rating. Sheet 2 scores recalculate when you edit it</t>
        </is>
      </c>
      <c r="E13" s="91" t="n"/>
      <c r="F13" s="91" t="n"/>
      <c r="G13" s="91" t="n"/>
      <c r="H13" s="91" t="n"/>
      <c r="I13" s="91" t="n"/>
      <c r="J13" s="92" t="n"/>
      <c r="K13" s="12" t="inlineStr">
        <is>
          <t>Adjust the yellow weights where your department judges roles differently; say why</t>
        </is>
      </c>
      <c r="L13" s="91" t="n"/>
      <c r="M13" s="91" t="n"/>
      <c r="N13" s="92" t="n"/>
    </row>
    <row r="14" ht="15" customHeight="1"/>
    <row r="15" ht="20" customHeight="1">
      <c r="A15" s="6" t="inlineStr">
        <is>
          <t>2. The numbers</t>
        </is>
      </c>
    </row>
    <row r="16" ht="15" customHeight="1">
      <c r="A16" s="13" t="inlineStr">
        <is>
          <t>People</t>
        </is>
      </c>
      <c r="B16" s="92" t="n"/>
      <c r="C16" s="13" t="inlineStr">
        <is>
          <t>Departments</t>
        </is>
      </c>
      <c r="D16" s="92" t="n"/>
      <c r="E16" s="13" t="inlineStr">
        <is>
          <t>Roles</t>
        </is>
      </c>
      <c r="F16" s="92" t="n"/>
      <c r="G16" s="13" t="inlineStr">
        <is>
          <t>Levels in use</t>
        </is>
      </c>
      <c r="H16" s="92" t="n"/>
      <c r="I16" s="13" t="inlineStr">
        <is>
          <t>Level up</t>
        </is>
      </c>
      <c r="J16" s="92" t="n"/>
      <c r="K16" s="13" t="inlineStr">
        <is>
          <t>Same level</t>
        </is>
      </c>
      <c r="L16" s="92" t="n"/>
      <c r="M16" s="13" t="inlineStr">
        <is>
          <t>Level down · protected</t>
        </is>
      </c>
      <c r="N16" s="92" t="n"/>
    </row>
    <row r="17" ht="30" customHeight="1">
      <c r="A17" s="14" t="n">
        <v>49</v>
      </c>
      <c r="B17" s="92" t="n"/>
      <c r="C17" s="14" t="n">
        <v>8</v>
      </c>
      <c r="D17" s="92" t="n"/>
      <c r="E17" s="14" t="n">
        <v>36</v>
      </c>
      <c r="F17" s="92" t="n"/>
      <c r="G17" s="14" t="n">
        <v>11</v>
      </c>
      <c r="H17" s="92" t="n"/>
      <c r="I17" s="14" t="n">
        <v>0</v>
      </c>
      <c r="J17" s="92" t="n"/>
      <c r="K17" s="14" t="n">
        <v>3</v>
      </c>
      <c r="L17" s="92" t="n"/>
      <c r="M17" s="14" t="n">
        <v>1</v>
      </c>
      <c r="N17" s="92" t="n"/>
    </row>
    <row r="18" ht="15" customHeight="1">
      <c r="A18" s="13" t="inlineStr">
        <is>
          <t>Newly mapped</t>
        </is>
      </c>
      <c r="B18" s="92" t="n"/>
      <c r="C18" s="13" t="inlineStr">
        <is>
          <t>Player-Coaches</t>
        </is>
      </c>
      <c r="D18" s="92" t="n"/>
      <c r="E18" s="13" t="inlineStr">
        <is>
          <t>Close calls</t>
        </is>
      </c>
      <c r="F18" s="92" t="n"/>
      <c r="G18" s="13" t="inlineStr">
        <is>
          <t>Near a gate</t>
        </is>
      </c>
      <c r="H18" s="92" t="n"/>
      <c r="I18" s="13" t="inlineStr">
        <is>
          <t>People needing an input</t>
        </is>
      </c>
      <c r="J18" s="92" t="n"/>
      <c r="K18" s="13" t="inlineStr">
        <is>
          <t>Consultants</t>
        </is>
      </c>
      <c r="L18" s="92" t="n"/>
    </row>
    <row r="19" ht="30" customHeight="1">
      <c r="A19" s="14" t="n">
        <v>45</v>
      </c>
      <c r="B19" s="92" t="n"/>
      <c r="C19" s="14" t="n">
        <v>0</v>
      </c>
      <c r="D19" s="92" t="n"/>
      <c r="E19" s="14" t="n">
        <v>2</v>
      </c>
      <c r="F19" s="92" t="n"/>
      <c r="G19" s="14" t="n">
        <v>1</v>
      </c>
      <c r="H19" s="92" t="n"/>
      <c r="I19" s="14" t="n">
        <v>19</v>
      </c>
      <c r="J19" s="92" t="n"/>
      <c r="K19" s="14" t="n">
        <v>1</v>
      </c>
      <c r="L19" s="92" t="n"/>
    </row>
    <row r="20" ht="15" customHeight="1"/>
    <row r="21" ht="20" customHeight="1">
      <c r="A21" s="6" t="inlineStr">
        <is>
          <t>3. The career ladder — what each level means · bottom to top</t>
        </is>
      </c>
    </row>
    <row r="22" ht="28" customHeight="1">
      <c r="A22" s="8" t="inlineStr">
        <is>
          <t>Level</t>
        </is>
      </c>
      <c r="B22" s="8" t="inlineStr">
        <is>
          <t>IC title</t>
        </is>
      </c>
      <c r="C22" s="92" t="n"/>
      <c r="D22" s="8" t="inlineStr">
        <is>
          <t>Manager title</t>
        </is>
      </c>
      <c r="E22" s="92" t="n"/>
      <c r="F22" s="8" t="inlineStr">
        <is>
          <t>What a role at this level owns</t>
        </is>
      </c>
      <c r="G22" s="91" t="n"/>
      <c r="H22" s="91" t="n"/>
      <c r="I22" s="91" t="n"/>
      <c r="J22" s="91" t="n"/>
      <c r="K22" s="92" t="n"/>
      <c r="L22" s="8" t="inlineStr">
        <is>
          <t>Typical experience</t>
        </is>
      </c>
      <c r="M22" s="92" t="n"/>
      <c r="N22" s="8" t="inlineStr">
        <is>
          <t>People here</t>
        </is>
      </c>
    </row>
    <row r="23" ht="28" customHeight="1">
      <c r="A23" s="16" t="inlineStr">
        <is>
          <t>A1</t>
        </is>
      </c>
      <c r="B23" s="17" t="inlineStr">
        <is>
          <t>Intern / Trainee</t>
        </is>
      </c>
      <c r="C23" s="92" t="n"/>
      <c r="D23" s="17" t="inlineStr">
        <is>
          <t>Same path</t>
        </is>
      </c>
      <c r="E23" s="92" t="n"/>
      <c r="F23" s="17" t="inlineStr">
        <is>
          <t>Learning the role; all work reviewed</t>
        </is>
      </c>
      <c r="G23" s="91" t="n"/>
      <c r="H23" s="91" t="n"/>
      <c r="I23" s="91" t="n"/>
      <c r="J23" s="91" t="n"/>
      <c r="K23" s="92" t="n"/>
      <c r="L23" s="19" t="inlineStr">
        <is>
          <t>0 yrs · fresher / intern</t>
        </is>
      </c>
      <c r="M23" s="92" t="n"/>
      <c r="N23" s="19" t="n">
        <v>1</v>
      </c>
    </row>
    <row r="24" ht="15" customHeight="1">
      <c r="A24" s="16" t="inlineStr">
        <is>
          <t>A2</t>
        </is>
      </c>
      <c r="B24" s="17" t="inlineStr">
        <is>
          <t>Associate</t>
        </is>
      </c>
      <c r="C24" s="92" t="n"/>
      <c r="D24" s="17" t="inlineStr">
        <is>
          <t>Same path</t>
        </is>
      </c>
      <c r="E24" s="92" t="n"/>
      <c r="F24" s="17" t="inlineStr">
        <is>
          <t>Standard work delivered independently</t>
        </is>
      </c>
      <c r="G24" s="91" t="n"/>
      <c r="H24" s="91" t="n"/>
      <c r="I24" s="91" t="n"/>
      <c r="J24" s="91" t="n"/>
      <c r="K24" s="92" t="n"/>
      <c r="L24" s="19" t="inlineStr">
        <is>
          <t>0–2 yrs</t>
        </is>
      </c>
      <c r="M24" s="92" t="n"/>
      <c r="N24" s="19" t="n">
        <v>1</v>
      </c>
    </row>
    <row r="25" ht="15" customHeight="1">
      <c r="A25" s="16" t="inlineStr">
        <is>
          <t>A3</t>
        </is>
      </c>
      <c r="B25" s="17" t="inlineStr">
        <is>
          <t>Senior Associate</t>
        </is>
      </c>
      <c r="C25" s="92" t="n"/>
      <c r="D25" s="17" t="inlineStr">
        <is>
          <t>Same path</t>
        </is>
      </c>
      <c r="E25" s="92" t="n"/>
      <c r="F25" s="17" t="inlineStr">
        <is>
          <t>Varied work; reviews juniors; go-to for a process</t>
        </is>
      </c>
      <c r="G25" s="91" t="n"/>
      <c r="H25" s="91" t="n"/>
      <c r="I25" s="91" t="n"/>
      <c r="J25" s="91" t="n"/>
      <c r="K25" s="92" t="n"/>
      <c r="L25" s="19" t="inlineStr">
        <is>
          <t>2–4 yrs</t>
        </is>
      </c>
      <c r="M25" s="92" t="n"/>
      <c r="N25" s="19" t="n">
        <v>21</v>
      </c>
    </row>
    <row r="26" ht="15" customHeight="1">
      <c r="A26" s="20" t="inlineStr">
        <is>
          <t>B1</t>
        </is>
      </c>
      <c r="B26" s="21" t="inlineStr">
        <is>
          <t>Specialist</t>
        </is>
      </c>
      <c r="C26" s="92" t="n"/>
      <c r="D26" s="21" t="inlineStr">
        <is>
          <t>Team Lead</t>
        </is>
      </c>
      <c r="E26" s="92" t="n"/>
      <c r="F26" s="21" t="inlineStr">
        <is>
          <t>A domain / module, or a small team</t>
        </is>
      </c>
      <c r="G26" s="91" t="n"/>
      <c r="H26" s="91" t="n"/>
      <c r="I26" s="91" t="n"/>
      <c r="J26" s="91" t="n"/>
      <c r="K26" s="92" t="n"/>
      <c r="L26" s="23" t="inlineStr">
        <is>
          <t>4–7 yrs</t>
        </is>
      </c>
      <c r="M26" s="92" t="n"/>
      <c r="N26" s="23" t="n">
        <v>10</v>
      </c>
    </row>
    <row r="27" ht="15" customHeight="1">
      <c r="A27" s="20" t="inlineStr">
        <is>
          <t>B2</t>
        </is>
      </c>
      <c r="B27" s="21" t="inlineStr">
        <is>
          <t>Senior Specialist</t>
        </is>
      </c>
      <c r="C27" s="92" t="n"/>
      <c r="D27" s="21" t="inlineStr">
        <is>
          <t>Manager</t>
        </is>
      </c>
      <c r="E27" s="92" t="n"/>
      <c r="F27" s="21" t="inlineStr">
        <is>
          <t>Deep domain expertise, or one team</t>
        </is>
      </c>
      <c r="G27" s="91" t="n"/>
      <c r="H27" s="91" t="n"/>
      <c r="I27" s="91" t="n"/>
      <c r="J27" s="91" t="n"/>
      <c r="K27" s="92" t="n"/>
      <c r="L27" s="23" t="inlineStr">
        <is>
          <t>6–9 yrs</t>
        </is>
      </c>
      <c r="M27" s="92" t="n"/>
      <c r="N27" s="23" t="n">
        <v>5</v>
      </c>
    </row>
    <row r="28" ht="15" customHeight="1">
      <c r="A28" s="20" t="inlineStr">
        <is>
          <t>B3</t>
        </is>
      </c>
      <c r="B28" s="21" t="inlineStr">
        <is>
          <t>Lead Specialist</t>
        </is>
      </c>
      <c r="C28" s="92" t="n"/>
      <c r="D28" s="21" t="inlineStr">
        <is>
          <t>Senior Manager</t>
        </is>
      </c>
      <c r="E28" s="92" t="n"/>
      <c r="F28" s="21" t="inlineStr">
        <is>
          <t>A practice, or several teams through team leads</t>
        </is>
      </c>
      <c r="G28" s="91" t="n"/>
      <c r="H28" s="91" t="n"/>
      <c r="I28" s="91" t="n"/>
      <c r="J28" s="91" t="n"/>
      <c r="K28" s="92" t="n"/>
      <c r="L28" s="23" t="inlineStr">
        <is>
          <t>8–12 yrs</t>
        </is>
      </c>
      <c r="M28" s="92" t="n"/>
      <c r="N28" s="23" t="n">
        <v>2</v>
      </c>
    </row>
    <row r="29" ht="15" customHeight="1">
      <c r="A29" s="24" t="inlineStr">
        <is>
          <t>C1</t>
        </is>
      </c>
      <c r="B29" s="25" t="inlineStr">
        <is>
          <t>Principal</t>
        </is>
      </c>
      <c r="C29" s="92" t="n"/>
      <c r="D29" s="25" t="inlineStr">
        <is>
          <t>Associate Head</t>
        </is>
      </c>
      <c r="E29" s="92" t="n"/>
      <c r="F29" s="25" t="inlineStr">
        <is>
          <t>A sub-function, or principal authority across products</t>
        </is>
      </c>
      <c r="G29" s="91" t="n"/>
      <c r="H29" s="91" t="n"/>
      <c r="I29" s="91" t="n"/>
      <c r="J29" s="91" t="n"/>
      <c r="K29" s="92" t="n"/>
      <c r="L29" s="27" t="inlineStr">
        <is>
          <t>10–14 yrs</t>
        </is>
      </c>
      <c r="M29" s="92" t="n"/>
      <c r="N29" s="27" t="n">
        <v>3</v>
      </c>
    </row>
    <row r="30" ht="15" customHeight="1">
      <c r="A30" s="28" t="inlineStr">
        <is>
          <t>D2</t>
        </is>
      </c>
      <c r="B30" s="29" t="inlineStr">
        <is>
          <t>—</t>
        </is>
      </c>
      <c r="C30" s="92" t="n"/>
      <c r="D30" s="29" t="inlineStr">
        <is>
          <t>Vice President</t>
        </is>
      </c>
      <c r="E30" s="92" t="n"/>
      <c r="F30" s="29" t="inlineStr">
        <is>
          <t>Several business lines or an executive-scope enterprise function</t>
        </is>
      </c>
      <c r="G30" s="91" t="n"/>
      <c r="H30" s="91" t="n"/>
      <c r="I30" s="91" t="n"/>
      <c r="J30" s="91" t="n"/>
      <c r="K30" s="92" t="n"/>
      <c r="L30" s="31" t="inlineStr">
        <is>
          <t>18–24 yrs</t>
        </is>
      </c>
      <c r="M30" s="92" t="n"/>
      <c r="N30" s="31" t="n">
        <v>1</v>
      </c>
    </row>
    <row r="31" ht="15" customHeight="1">
      <c r="A31" s="32" t="inlineStr">
        <is>
          <t>E1</t>
        </is>
      </c>
      <c r="B31" s="33" t="inlineStr">
        <is>
          <t>—</t>
        </is>
      </c>
      <c r="C31" s="92" t="n"/>
      <c r="D31" s="33" t="inlineStr">
        <is>
          <t>CXO / President</t>
        </is>
      </c>
      <c r="E31" s="92" t="n"/>
      <c r="F31" s="33" t="inlineStr">
        <is>
          <t>An enterprise-wide function</t>
        </is>
      </c>
      <c r="G31" s="91" t="n"/>
      <c r="H31" s="91" t="n"/>
      <c r="I31" s="91" t="n"/>
      <c r="J31" s="91" t="n"/>
      <c r="K31" s="92" t="n"/>
      <c r="L31" s="35" t="inlineStr">
        <is>
          <t>20+ yrs</t>
        </is>
      </c>
      <c r="M31" s="92" t="n"/>
      <c r="N31" s="35" t="n">
        <v>3</v>
      </c>
    </row>
    <row r="32" ht="28" customHeight="1">
      <c r="A32" s="32" t="inlineStr">
        <is>
          <t>E2</t>
        </is>
      </c>
      <c r="B32" s="33" t="inlineStr">
        <is>
          <t>—</t>
        </is>
      </c>
      <c r="C32" s="92" t="n"/>
      <c r="D32" s="33" t="inlineStr">
        <is>
          <t>Chief Executive Officer</t>
        </is>
      </c>
      <c r="E32" s="92" t="n"/>
      <c r="F32" s="33" t="inlineStr">
        <is>
          <t>The enterprise</t>
        </is>
      </c>
      <c r="G32" s="91" t="n"/>
      <c r="H32" s="91" t="n"/>
      <c r="I32" s="91" t="n"/>
      <c r="J32" s="91" t="n"/>
      <c r="K32" s="92" t="n"/>
      <c r="L32" s="35" t="inlineStr">
        <is>
          <t>20+ yrs</t>
        </is>
      </c>
      <c r="M32" s="92" t="n"/>
      <c r="N32" s="35" t="n">
        <v>1</v>
      </c>
    </row>
    <row r="33" ht="28" customHeight="1">
      <c r="A33" s="36" t="inlineStr">
        <is>
          <t>X1</t>
        </is>
      </c>
      <c r="B33" s="37" t="inlineStr">
        <is>
          <t>Associate Consultant</t>
        </is>
      </c>
      <c r="C33" s="92" t="n"/>
      <c r="D33" s="37" t="inlineStr">
        <is>
          <t>Outside the employee ladder</t>
        </is>
      </c>
      <c r="E33" s="92" t="n"/>
      <c r="F33" s="37" t="inlineStr">
        <is>
          <t>Defined deliverables under a statement of work · ≈ A2–A3</t>
        </is>
      </c>
      <c r="G33" s="91" t="n"/>
      <c r="H33" s="91" t="n"/>
      <c r="I33" s="91" t="n"/>
      <c r="J33" s="91" t="n"/>
      <c r="K33" s="92" t="n"/>
      <c r="L33" s="39" t="inlineStr">
        <is>
          <t>0–5 yrs</t>
        </is>
      </c>
      <c r="M33" s="92" t="n"/>
      <c r="N33" s="39" t="n">
        <v>1</v>
      </c>
    </row>
    <row r="34" ht="15" customHeight="1"/>
    <row r="35" ht="28" customHeight="1">
      <c r="A35" s="40" t="inlineStr">
        <is>
          <r>
            <rPr>
              <rFont val="Calibri"/>
              <b val="1"/>
              <i val="1"/>
              <color rgb="00595959"/>
              <sz val="10"/>
            </rPr>
            <t>Bands:</t>
          </r>
          <r>
            <rPr>
              <rFont val="Calibri"/>
              <i val="1"/>
              <color rgb="00595959"/>
              <sz val="10"/>
            </rPr>
            <t xml:space="preserve"> A practitioner · B specialist / manager · C principal / head · D business leadership · E enterprise leadership. B+ and C+ are the Player-Coach transition steps · between B3 and C1, and between C2 and D1, for people who lead a team and still do the hardest hands-on work. X1–X3 are consultants outside the ladder.</t>
          </r>
        </is>
      </c>
    </row>
    <row r="36" ht="15" customHeight="1"/>
    <row r="37" ht="20" customHeight="1">
      <c r="A37" s="6" t="inlineStr">
        <is>
          <t>3b. Top specialist title at D1 — decision for the heads</t>
        </is>
      </c>
    </row>
    <row r="38" ht="15" customHeight="1">
      <c r="A38" s="40" t="inlineStr">
        <is>
          <t>IRIS uses no 'Fellow' and no 'Director'. Status: Not decided yet — both options are shown as 'Chief Specialist / Distinguished Principal' until the heads choose.</t>
        </is>
      </c>
    </row>
    <row r="39" ht="15" customHeight="1">
      <c r="A39" s="8" t="inlineStr">
        <is>
          <t>Option</t>
        </is>
      </c>
      <c r="B39" s="92" t="n"/>
      <c r="C39" s="8" t="inlineStr">
        <is>
          <t>What it means</t>
        </is>
      </c>
      <c r="D39" s="91" t="n"/>
      <c r="E39" s="91" t="n"/>
      <c r="F39" s="91" t="n"/>
      <c r="G39" s="91" t="n"/>
      <c r="H39" s="91" t="n"/>
      <c r="I39" s="91" t="n"/>
      <c r="J39" s="91" t="n"/>
      <c r="K39" s="91" t="n"/>
      <c r="L39" s="91" t="n"/>
      <c r="M39" s="91" t="n"/>
      <c r="N39" s="92" t="n"/>
    </row>
    <row r="40" ht="93" customHeight="1">
      <c r="A40" s="10" t="inlineStr">
        <is>
          <t>Option A · Chief Specialist</t>
        </is>
      </c>
      <c r="B40" s="92" t="n"/>
      <c r="C40" s="12" t="inlineStr">
        <is>
          <r>
            <rPr>
              <rFont val="Calibri"/>
              <b val="1"/>
              <sz val="10"/>
            </rPr>
            <t>Discipline forms:</t>
          </r>
          <r>
            <rPr>
              <rFont val="Calibri"/>
              <sz val="10"/>
            </rPr>
            <t xml:space="preserve"> Chief Architect · Chief Consultant · Chief Product Specialist · Chief Compliance Specialist · Chief Data Scientist
</t>
          </r>
          <r>
            <rPr>
              <rFont val="Calibri"/>
              <b val="1"/>
              <sz val="10"/>
            </rPr>
            <t>Why:</t>
          </r>
          <r>
            <rPr>
              <rFont val="Calibri"/>
              <sz val="10"/>
            </rPr>
            <t xml:space="preserve"> A recognised senior title in the Indian market: PayScale India tracks Chief Architect, IT as a late-career role, and Indian IT services ladders such as Infosys stop at Principal Technology Architect before AVP, so 'Chief' marks the step above Principal. Takes the discipline word for every job family. Sources: S72 PayScale India · S33 Infosys job levels.
</t>
          </r>
          <r>
            <rPr>
              <rFont val="Calibri"/>
              <b val="1"/>
              <sz val="10"/>
            </rPr>
            <t>Watch-out:</t>
          </r>
          <r>
            <rPr>
              <rFont val="Calibri"/>
              <sz val="10"/>
            </rPr>
            <t xml:space="preserve"> The CXO level also uses 'Chief'. Job documents state that this is a specialist role with no team, not an executive or KMP role.</t>
          </r>
        </is>
      </c>
      <c r="D40" s="91" t="n"/>
      <c r="E40" s="91" t="n"/>
      <c r="F40" s="91" t="n"/>
      <c r="G40" s="91" t="n"/>
      <c r="H40" s="91" t="n"/>
      <c r="I40" s="91" t="n"/>
      <c r="J40" s="91" t="n"/>
      <c r="K40" s="91" t="n"/>
      <c r="L40" s="91" t="n"/>
      <c r="M40" s="91" t="n"/>
      <c r="N40" s="92" t="n"/>
    </row>
    <row r="41" ht="67" customHeight="1">
      <c r="A41" s="10" t="inlineStr">
        <is>
          <t>Option B · Distinguished Principal</t>
        </is>
      </c>
      <c r="B41" s="92" t="n"/>
      <c r="C41" s="12" t="inlineStr">
        <is>
          <r>
            <rPr>
              <rFont val="Calibri"/>
              <b val="1"/>
              <sz val="10"/>
            </rPr>
            <t>Discipline forms:</t>
          </r>
          <r>
            <rPr>
              <rFont val="Calibri"/>
              <sz val="10"/>
            </rPr>
            <t xml:space="preserve"> Distinguished Architect · Distinguished Engineer · Distinguished Consultant · Distinguished Designer
</t>
          </r>
          <r>
            <rPr>
              <rFont val="Calibri"/>
              <b val="1"/>
              <sz val="10"/>
            </rPr>
            <t>Why:</t>
          </r>
          <r>
            <rPr>
              <rFont val="Calibri"/>
              <sz val="10"/>
            </rPr>
            <t xml:space="preserve"> Most common globally: the standard top-specialist title at Google, Microsoft, Salesforce and, in India, Wipro. Continues the Principal line: Principal → Senior Principal → Distinguished Principal. Sources: S65 Wipro · S66 Salesforce · S67 LeadDev · S32 Google, Microsoft, Amazon levels.
</t>
          </r>
          <r>
            <rPr>
              <rFont val="Calibri"/>
              <b val="1"/>
              <sz val="10"/>
            </rPr>
            <t>Watch-out:</t>
          </r>
          <r>
            <rPr>
              <rFont val="Calibri"/>
              <sz val="10"/>
            </rPr>
            <t xml:space="preserve"> Less familiar in the Indian job market and outside technology roles.</t>
          </r>
        </is>
      </c>
      <c r="D41" s="91" t="n"/>
      <c r="E41" s="91" t="n"/>
      <c r="F41" s="91" t="n"/>
      <c r="G41" s="91" t="n"/>
      <c r="H41" s="91" t="n"/>
      <c r="I41" s="91" t="n"/>
      <c r="J41" s="91" t="n"/>
      <c r="K41" s="91" t="n"/>
      <c r="L41" s="91" t="n"/>
      <c r="M41" s="91" t="n"/>
      <c r="N41" s="92" t="n"/>
    </row>
    <row r="42" ht="15" customHeight="1"/>
    <row r="43" ht="28" customHeight="1">
      <c r="A43" s="40" t="inlineStr">
        <is>
          <r>
            <rPr>
              <rFont val="Calibri"/>
              <b val="1"/>
              <i val="1"/>
              <color rgb="00595959"/>
              <sz val="10"/>
            </rPr>
            <t>How to apply the decision:</t>
          </r>
          <r>
            <rPr>
              <rFont val="Calibri"/>
              <i val="1"/>
              <color rgb="00595959"/>
              <sz val="10"/>
            </rPr>
            <t xml:space="preserve"> Heads choose one option. HR then sets the value in inputs/title_settings.csv to 'Chief Specialist' or 'Distinguished Principal' and rebuilds; every ladder, level table and designation updates. Leave it as 'Both' until the decision is made.</t>
          </r>
        </is>
      </c>
    </row>
    <row r="44" ht="15" customHeight="1"/>
    <row r="45" ht="20" customHeight="1">
      <c r="A45" s="6" t="inlineStr">
        <is>
          <t>4. How a role's level is worked out — in four steps</t>
        </is>
      </c>
    </row>
    <row r="46" ht="28" customHeight="1">
      <c r="A46" s="40" t="inlineStr">
        <is>
          <t>The score measures the size of the role, not how well the person performs, and it is not linked to pay. It uses the same scale as the ladder · A1 = 1, A2 = 2 … B1 = 4 … E2 = 12, so a score reads as a level.</t>
        </is>
      </c>
    </row>
    <row r="47" ht="15" customHeight="1">
      <c r="A47" s="8" t="inlineStr">
        <is>
          <t>Step</t>
        </is>
      </c>
      <c r="B47" s="8" t="inlineStr">
        <is>
          <t>What happens</t>
        </is>
      </c>
      <c r="C47" s="91" t="n"/>
      <c r="D47" s="91" t="n"/>
      <c r="E47" s="91" t="n"/>
      <c r="F47" s="91" t="n"/>
      <c r="G47" s="92" t="n"/>
      <c r="H47" s="8" t="inlineStr">
        <is>
          <t>In plain words</t>
        </is>
      </c>
      <c r="I47" s="91" t="n"/>
      <c r="J47" s="91" t="n"/>
      <c r="K47" s="91" t="n"/>
      <c r="L47" s="91" t="n"/>
      <c r="M47" s="91" t="n"/>
      <c r="N47" s="92" t="n"/>
    </row>
    <row r="48" ht="54" customHeight="1">
      <c r="A48" s="10" t="inlineStr">
        <is>
          <t>1 · Rate</t>
        </is>
      </c>
      <c r="B48" s="12" t="inlineStr">
        <is>
          <r>
            <rPr>
              <rFont val="Calibri"/>
              <b val="1"/>
              <sz val="10"/>
            </rPr>
            <t>Six factors are each rated:</t>
          </r>
          <r>
            <rPr>
              <rFont val="Calibri"/>
              <sz val="10"/>
            </rPr>
            <t xml:space="preserve"> Complexity, Autonomy, Accountability, Leadership, Experience &amp; Qualification, Business Impact. Each rating starts from the designation and reporting line; survey or KRA evidence can move it by up to one level.</t>
          </r>
        </is>
      </c>
      <c r="C48" s="91" t="n"/>
      <c r="D48" s="91" t="n"/>
      <c r="E48" s="91" t="n"/>
      <c r="F48" s="91" t="n"/>
      <c r="G48" s="92" t="n"/>
      <c r="H48" s="12" t="inlineStr">
        <is>
          <t>How hard the work is, how freely the person decides, what the role answers for, how much it leads others, the experience it needs and its impact on the business.</t>
        </is>
      </c>
      <c r="I48" s="91" t="n"/>
      <c r="J48" s="91" t="n"/>
      <c r="K48" s="91" t="n"/>
      <c r="L48" s="91" t="n"/>
      <c r="M48" s="91" t="n"/>
      <c r="N48" s="92" t="n"/>
    </row>
    <row r="49" ht="41" customHeight="1">
      <c r="A49" s="10" t="inlineStr">
        <is>
          <t>2 · Weigh</t>
        </is>
      </c>
      <c r="B49" s="12" t="inlineStr">
        <is>
          <t>Each factor has a weight; the six weights add to 100%. They depend on the band and track and the department's type of work, and leaders can edit them on the Weightage Matrix.</t>
        </is>
      </c>
      <c r="C49" s="91" t="n"/>
      <c r="D49" s="91" t="n"/>
      <c r="E49" s="91" t="n"/>
      <c r="F49" s="91" t="n"/>
      <c r="G49" s="92" t="n"/>
      <c r="H49" s="12" t="inlineStr">
        <is>
          <t>Junior roles count the work itself most · Leadership counts 0% in Band A. Senior roles count accountability, leadership and business impact most. Experience counts little.</t>
        </is>
      </c>
      <c r="I49" s="91" t="n"/>
      <c r="J49" s="91" t="n"/>
      <c r="K49" s="91" t="n"/>
      <c r="L49" s="91" t="n"/>
      <c r="M49" s="91" t="n"/>
      <c r="N49" s="92" t="n"/>
    </row>
    <row r="50" ht="41" customHeight="1">
      <c r="A50" s="10" t="inlineStr">
        <is>
          <t>3 · Score</t>
        </is>
      </c>
      <c r="B50" s="12" t="inlineStr">
        <is>
          <t>Score = the six ratings × their weights, added up. Rounded to the nearest whole number ·.5 rounds up, it gives the indicated level.</t>
        </is>
      </c>
      <c r="C50" s="91" t="n"/>
      <c r="D50" s="91" t="n"/>
      <c r="E50" s="91" t="n"/>
      <c r="F50" s="91" t="n"/>
      <c r="G50" s="92" t="n"/>
      <c r="H50" s="12" t="inlineStr">
        <is>
          <t>A weighted average rating — so 4.73 means 'between B1 and B2, nearer B2', which rounds to B2.</t>
        </is>
      </c>
      <c r="I50" s="91" t="n"/>
      <c r="J50" s="91" t="n"/>
      <c r="K50" s="91" t="n"/>
      <c r="L50" s="91" t="n"/>
      <c r="M50" s="91" t="n"/>
      <c r="N50" s="92" t="n"/>
    </row>
    <row r="51" ht="67" customHeight="1">
      <c r="A51" s="10" t="inlineStr">
        <is>
          <t>4 · Check</t>
        </is>
      </c>
      <c r="B51" s="12" t="inlineStr">
        <is>
          <r>
            <rPr>
              <rFont val="Calibri"/>
              <b val="1"/>
              <sz val="10"/>
            </rPr>
            <t>Rules confirm or adjust the indicated level:</t>
          </r>
          <r>
            <rPr>
              <rFont val="Calibri"/>
              <sz val="10"/>
            </rPr>
            <t xml:space="preserve"> the work itself must support it, senior levels need the structure in the org chart, experience limits apply in Bands A–B, POD Leads and managers start at B1, and Player-Coaches can sit on a Player-Coach transition step.</t>
          </r>
        </is>
      </c>
      <c r="C51" s="91" t="n"/>
      <c r="D51" s="91" t="n"/>
      <c r="E51" s="91" t="n"/>
      <c r="F51" s="91" t="n"/>
      <c r="G51" s="92" t="n"/>
      <c r="H51" s="12" t="inlineStr">
        <is>
          <t>The score proposes; the rules make sure the role really carries that level. Any change is named, with its numbers, on sheet 2 of this workbook.</t>
        </is>
      </c>
      <c r="I51" s="91" t="n"/>
      <c r="J51" s="91" t="n"/>
      <c r="K51" s="91" t="n"/>
      <c r="L51" s="91" t="n"/>
      <c r="M51" s="91" t="n"/>
      <c r="N51" s="92" t="n"/>
    </row>
    <row r="52" ht="15" customHeight="1"/>
    <row r="53" ht="15" customHeight="1">
      <c r="A53" s="41" t="inlineStr">
        <is>
          <t>Worked example · invented numbers — a Band B individual contributor doing technology work:</t>
        </is>
      </c>
    </row>
    <row r="54" ht="15" customHeight="1">
      <c r="A54" s="8" t="inlineStr">
        <is>
          <t>Factor</t>
        </is>
      </c>
      <c r="B54" s="8" t="inlineStr">
        <is>
          <t>Complexity</t>
        </is>
      </c>
      <c r="C54" s="92" t="n"/>
      <c r="D54" s="8" t="inlineStr">
        <is>
          <t>Autonomy</t>
        </is>
      </c>
      <c r="E54" s="92" t="n"/>
      <c r="F54" s="8" t="inlineStr">
        <is>
          <t>Accountability</t>
        </is>
      </c>
      <c r="G54" s="92" t="n"/>
      <c r="H54" s="8" t="inlineStr">
        <is>
          <t>Leadership</t>
        </is>
      </c>
      <c r="I54" s="92" t="n"/>
      <c r="J54" s="8" t="inlineStr">
        <is>
          <t>Experience</t>
        </is>
      </c>
      <c r="K54" s="92" t="n"/>
      <c r="L54" s="8" t="inlineStr">
        <is>
          <t>Bus. Impact</t>
        </is>
      </c>
      <c r="M54" s="92" t="n"/>
      <c r="N54" s="8" t="inlineStr">
        <is>
          <t>Score</t>
        </is>
      </c>
    </row>
    <row r="55" ht="15" customHeight="1">
      <c r="A55" s="10" t="inlineStr">
        <is>
          <t>Rating</t>
        </is>
      </c>
      <c r="B55" s="42" t="inlineStr">
        <is>
          <t>5</t>
        </is>
      </c>
      <c r="C55" s="92" t="n"/>
      <c r="D55" s="42" t="inlineStr">
        <is>
          <t>4</t>
        </is>
      </c>
      <c r="E55" s="92" t="n"/>
      <c r="F55" s="42" t="inlineStr">
        <is>
          <t>5</t>
        </is>
      </c>
      <c r="G55" s="92" t="n"/>
      <c r="H55" s="42" t="inlineStr">
        <is>
          <t>3</t>
        </is>
      </c>
      <c r="I55" s="92" t="n"/>
      <c r="J55" s="42" t="inlineStr">
        <is>
          <t>5</t>
        </is>
      </c>
      <c r="K55" s="92" t="n"/>
      <c r="L55" s="42" t="inlineStr">
        <is>
          <t>5</t>
        </is>
      </c>
      <c r="M55" s="92" t="n"/>
      <c r="N55" s="42" t="inlineStr"/>
    </row>
    <row r="56" ht="15" customHeight="1">
      <c r="A56" s="10" t="inlineStr">
        <is>
          <t>Weight</t>
        </is>
      </c>
      <c r="B56" s="42" t="inlineStr">
        <is>
          <t>56%</t>
        </is>
      </c>
      <c r="C56" s="92" t="n"/>
      <c r="D56" s="42" t="inlineStr">
        <is>
          <t>17%</t>
        </is>
      </c>
      <c r="E56" s="92" t="n"/>
      <c r="F56" s="42" t="inlineStr">
        <is>
          <t>5%</t>
        </is>
      </c>
      <c r="G56" s="92" t="n"/>
      <c r="H56" s="42" t="inlineStr">
        <is>
          <t>5%</t>
        </is>
      </c>
      <c r="I56" s="92" t="n"/>
      <c r="J56" s="42" t="inlineStr">
        <is>
          <t>10%</t>
        </is>
      </c>
      <c r="K56" s="92" t="n"/>
      <c r="L56" s="42" t="inlineStr">
        <is>
          <t>7%</t>
        </is>
      </c>
      <c r="M56" s="92" t="n"/>
      <c r="N56" s="42" t="inlineStr">
        <is>
          <t>100%</t>
        </is>
      </c>
    </row>
    <row r="57" ht="15" customHeight="1">
      <c r="A57" s="10" t="inlineStr">
        <is>
          <t>Rating × weight</t>
        </is>
      </c>
      <c r="B57" s="42" t="inlineStr">
        <is>
          <t>2.80</t>
        </is>
      </c>
      <c r="C57" s="92" t="n"/>
      <c r="D57" s="42" t="inlineStr">
        <is>
          <t>0.68</t>
        </is>
      </c>
      <c r="E57" s="92" t="n"/>
      <c r="F57" s="42" t="inlineStr">
        <is>
          <t>0.25</t>
        </is>
      </c>
      <c r="G57" s="92" t="n"/>
      <c r="H57" s="42" t="inlineStr">
        <is>
          <t>0.15</t>
        </is>
      </c>
      <c r="I57" s="92" t="n"/>
      <c r="J57" s="42" t="inlineStr">
        <is>
          <t>0.50</t>
        </is>
      </c>
      <c r="K57" s="92" t="n"/>
      <c r="L57" s="42" t="inlineStr">
        <is>
          <t>0.35</t>
        </is>
      </c>
      <c r="M57" s="92" t="n"/>
      <c r="N57" s="42" t="inlineStr">
        <is>
          <t>4.73 → B2</t>
        </is>
      </c>
    </row>
    <row r="58" ht="15" customHeight="1"/>
    <row r="59" ht="15" customHeight="1">
      <c r="A59" s="41" t="inlineStr">
        <is>
          <t>What the numbers mean — Corporate</t>
        </is>
      </c>
    </row>
    <row r="60" ht="15" customHeight="1">
      <c r="A60" s="8" t="inlineStr">
        <is>
          <t>Term</t>
        </is>
      </c>
      <c r="B60" s="8" t="inlineStr">
        <is>
          <t>Meaning</t>
        </is>
      </c>
      <c r="C60" s="91" t="n"/>
      <c r="D60" s="91" t="n"/>
      <c r="E60" s="91" t="n"/>
      <c r="F60" s="91" t="n"/>
      <c r="G60" s="91" t="n"/>
      <c r="H60" s="91" t="n"/>
      <c r="I60" s="91" t="n"/>
      <c r="J60" s="91" t="n"/>
      <c r="K60" s="91" t="n"/>
      <c r="L60" s="92" t="n"/>
      <c r="M60" s="8" t="inlineStr">
        <is>
          <t>People</t>
        </is>
      </c>
      <c r="N60" s="92" t="n"/>
    </row>
    <row r="61" ht="15" customHeight="1">
      <c r="A61" s="10" t="inlineStr">
        <is>
          <t>Score</t>
        </is>
      </c>
      <c r="B61" s="12" t="inlineStr">
        <is>
          <t>The size of the role in level units. Not performance, not pay.</t>
        </is>
      </c>
      <c r="C61" s="91" t="n"/>
      <c r="D61" s="91" t="n"/>
      <c r="E61" s="91" t="n"/>
      <c r="F61" s="91" t="n"/>
      <c r="G61" s="91" t="n"/>
      <c r="H61" s="91" t="n"/>
      <c r="I61" s="91" t="n"/>
      <c r="J61" s="91" t="n"/>
      <c r="K61" s="91" t="n"/>
      <c r="L61" s="92" t="n"/>
      <c r="M61" s="42" t="n">
        <v>47</v>
      </c>
      <c r="N61" s="92" t="n"/>
    </row>
    <row r="62" ht="15" customHeight="1">
      <c r="A62" s="10" t="inlineStr">
        <is>
          <t>Indicated level</t>
        </is>
      </c>
      <c r="B62" s="12" t="inlineStr">
        <is>
          <t>The score rounded to the nearest level.</t>
        </is>
      </c>
      <c r="C62" s="91" t="n"/>
      <c r="D62" s="91" t="n"/>
      <c r="E62" s="91" t="n"/>
      <c r="F62" s="91" t="n"/>
      <c r="G62" s="91" t="n"/>
      <c r="H62" s="91" t="n"/>
      <c r="I62" s="91" t="n"/>
      <c r="J62" s="91" t="n"/>
      <c r="K62" s="91" t="n"/>
      <c r="L62" s="92" t="n"/>
      <c r="M62" s="42" t="n">
        <v>47</v>
      </c>
      <c r="N62" s="92" t="n"/>
    </row>
    <row r="63" ht="15" customHeight="1">
      <c r="A63" s="10" t="inlineStr">
        <is>
          <t>Final level</t>
        </is>
      </c>
      <c r="B63" s="12" t="inlineStr">
        <is>
          <t>The level after the rules. Where it differs from the indicated level, a rule moved it and the reason is recorded.</t>
        </is>
      </c>
      <c r="C63" s="91" t="n"/>
      <c r="D63" s="91" t="n"/>
      <c r="E63" s="91" t="n"/>
      <c r="F63" s="91" t="n"/>
      <c r="G63" s="91" t="n"/>
      <c r="H63" s="91" t="n"/>
      <c r="I63" s="91" t="n"/>
      <c r="J63" s="91" t="n"/>
      <c r="K63" s="91" t="n"/>
      <c r="L63" s="92" t="n"/>
      <c r="M63" s="42" t="inlineStr">
        <is>
          <t>5 differ</t>
        </is>
      </c>
      <c r="N63" s="92" t="n"/>
    </row>
    <row r="64" ht="15" customHeight="1">
      <c r="A64" s="10" t="inlineStr">
        <is>
          <t>Close call</t>
        </is>
      </c>
      <c r="B64" s="12" t="inlineStr">
        <is>
          <t>The score decided the level and sits within ±0.05 of a rounding point. Sent to the calibration panel.</t>
        </is>
      </c>
      <c r="C64" s="91" t="n"/>
      <c r="D64" s="91" t="n"/>
      <c r="E64" s="91" t="n"/>
      <c r="F64" s="91" t="n"/>
      <c r="G64" s="91" t="n"/>
      <c r="H64" s="91" t="n"/>
      <c r="I64" s="91" t="n"/>
      <c r="J64" s="91" t="n"/>
      <c r="K64" s="91" t="n"/>
      <c r="L64" s="92" t="n"/>
      <c r="M64" s="42" t="n">
        <v>2</v>
      </c>
      <c r="N64" s="92" t="n"/>
    </row>
    <row r="65" ht="28" customHeight="1">
      <c r="A65" s="10" t="inlineStr">
        <is>
          <t>Near a gate</t>
        </is>
      </c>
      <c r="B65" s="12" t="inlineStr">
        <is>
          <t>A rule set the level, and the number behind that rule is within a quarter-point of flipping it. Sent to the calibration panel.</t>
        </is>
      </c>
      <c r="C65" s="91" t="n"/>
      <c r="D65" s="91" t="n"/>
      <c r="E65" s="91" t="n"/>
      <c r="F65" s="91" t="n"/>
      <c r="G65" s="91" t="n"/>
      <c r="H65" s="91" t="n"/>
      <c r="I65" s="91" t="n"/>
      <c r="J65" s="91" t="n"/>
      <c r="K65" s="91" t="n"/>
      <c r="L65" s="92" t="n"/>
      <c r="M65" s="42" t="n">
        <v>1</v>
      </c>
      <c r="N65" s="92" t="n"/>
    </row>
    <row r="66" ht="15" customHeight="1">
      <c r="A66" s="10" t="inlineStr">
        <is>
          <t>Not scored</t>
        </is>
      </c>
      <c r="B66" s="12" t="inlineStr">
        <is>
          <t>Interns and first-year trainees, consultants and anyone with incomplete ratings are placed by rule.</t>
        </is>
      </c>
      <c r="C66" s="91" t="n"/>
      <c r="D66" s="91" t="n"/>
      <c r="E66" s="91" t="n"/>
      <c r="F66" s="91" t="n"/>
      <c r="G66" s="91" t="n"/>
      <c r="H66" s="91" t="n"/>
      <c r="I66" s="91" t="n"/>
      <c r="J66" s="91" t="n"/>
      <c r="K66" s="91" t="n"/>
      <c r="L66" s="92" t="n"/>
      <c r="M66" s="42" t="n">
        <v>2</v>
      </c>
      <c r="N66" s="92" t="n"/>
    </row>
    <row r="67" ht="15" customHeight="1"/>
    <row r="68" ht="80" customHeight="1">
      <c r="A68" s="40" t="inlineStr">
        <is>
          <r>
            <rPr>
              <rFont val="Calibri"/>
              <b val="1"/>
              <i val="1"/>
              <color rgb="00595959"/>
              <sz val="10"/>
            </rPr>
            <t>Where the weights come from:</t>
          </r>
          <r>
            <rPr>
              <rFont val="Calibri"/>
              <i val="1"/>
              <color rgb="00595959"/>
              <sz val="10"/>
            </rPr>
            <t xml:space="preserve"> each role group's default is the average of Korn Ferry Hay, Mercer IPE and five public point-factor plans. Sources: S46–S51 Korn Ferry Hay evaluations · S04, S52 Mercer IPE · S53–S57 NHS, UK NJC/PSC, GLPC, SJC and US OPM point-factor plans. Experience kept low: Sources: S05, S49 Hay know-how includes experience however acquired · S04, S52 Mercer IPE knowledge · S07 WTW GGS · S58 McKinsey · S59 Deloitte · S60 WEF · S61 EY India, 2026 — skills over tenure. The 10% / 5% level is an IRIS leadership decision. Type-of-work shift: Basis: S06 Hay short profile — A-type delivery jobs weight accountability, P-type thinking jobs weight problem solving, L-type are balanced. The ±5 size is an IRIS design rule, kept small so the market defaults stay in control. Full links: source register, HR Super Master sheet 11 and Framework Master M16.</t>
          </r>
        </is>
      </c>
    </row>
    <row r="69" ht="20" customHeight="1">
      <c r="A69" s="6" t="inlineStr">
        <is>
          <t>5. The ten rules, in plain English</t>
        </is>
      </c>
    </row>
    <row r="70" ht="15" customHeight="1">
      <c r="A70" s="8" t="inlineStr">
        <is>
          <t>Rule</t>
        </is>
      </c>
      <c r="B70" s="91" t="n"/>
      <c r="C70" s="92" t="n"/>
      <c r="D70" s="8" t="inlineStr">
        <is>
          <t>What it says</t>
        </is>
      </c>
      <c r="E70" s="91" t="n"/>
      <c r="F70" s="91" t="n"/>
      <c r="G70" s="91" t="n"/>
      <c r="H70" s="91" t="n"/>
      <c r="I70" s="91" t="n"/>
      <c r="J70" s="91" t="n"/>
      <c r="K70" s="91" t="n"/>
      <c r="L70" s="91" t="n"/>
      <c r="M70" s="91" t="n"/>
      <c r="N70" s="92" t="n"/>
    </row>
    <row r="71" ht="15" customHeight="1">
      <c r="A71" s="10" t="inlineStr">
        <is>
          <t>R1 · Category</t>
        </is>
      </c>
      <c r="B71" s="91" t="n"/>
      <c r="C71" s="92" t="n"/>
      <c r="D71" s="12" t="inlineStr">
        <is>
          <t>Interns and first-year trainees start at A1; consultants sit outside the ladder at X1–X3.</t>
        </is>
      </c>
      <c r="E71" s="91" t="n"/>
      <c r="F71" s="91" t="n"/>
      <c r="G71" s="91" t="n"/>
      <c r="H71" s="91" t="n"/>
      <c r="I71" s="91" t="n"/>
      <c r="J71" s="91" t="n"/>
      <c r="K71" s="91" t="n"/>
      <c r="L71" s="91" t="n"/>
      <c r="M71" s="91" t="n"/>
      <c r="N71" s="92" t="n"/>
    </row>
    <row r="72" ht="15" customHeight="1">
      <c r="A72" s="10" t="inlineStr">
        <is>
          <t>R2 · Provisional</t>
        </is>
      </c>
      <c r="B72" s="91" t="n"/>
      <c r="C72" s="92" t="n"/>
      <c r="D72" s="12" t="inlineStr">
        <is>
          <t>Where the experience record looks incomplete, the level is kept until HR confirms it.</t>
        </is>
      </c>
      <c r="E72" s="91" t="n"/>
      <c r="F72" s="91" t="n"/>
      <c r="G72" s="91" t="n"/>
      <c r="H72" s="91" t="n"/>
      <c r="I72" s="91" t="n"/>
      <c r="J72" s="91" t="n"/>
      <c r="K72" s="91" t="n"/>
      <c r="L72" s="91" t="n"/>
      <c r="M72" s="91" t="n"/>
      <c r="N72" s="92" t="n"/>
    </row>
    <row r="73" ht="28" customHeight="1">
      <c r="A73" s="10" t="inlineStr">
        <is>
          <t>R3 · Score</t>
        </is>
      </c>
      <c r="B73" s="91" t="n"/>
      <c r="C73" s="92" t="n"/>
      <c r="D73" s="12" t="inlineStr">
        <is>
          <t>The weighted score points to a level; each band is checked on its own weights and the person sits in the highest band where it holds.</t>
        </is>
      </c>
      <c r="E73" s="91" t="n"/>
      <c r="F73" s="91" t="n"/>
      <c r="G73" s="91" t="n"/>
      <c r="H73" s="91" t="n"/>
      <c r="I73" s="91" t="n"/>
      <c r="J73" s="91" t="n"/>
      <c r="K73" s="91" t="n"/>
      <c r="L73" s="91" t="n"/>
      <c r="M73" s="91" t="n"/>
      <c r="N73" s="92" t="n"/>
    </row>
    <row r="74" ht="28" customHeight="1">
      <c r="A74" s="10" t="inlineStr">
        <is>
          <t>R4 · Role substance</t>
        </is>
      </c>
      <c r="B74" s="91" t="n"/>
      <c r="C74" s="92" t="n"/>
      <c r="D74" s="12" t="inlineStr">
        <is>
          <t>For individual contributors, the level can be at most one above what the complexity and accountability of the work show.</t>
        </is>
      </c>
      <c r="E74" s="91" t="n"/>
      <c r="F74" s="91" t="n"/>
      <c r="G74" s="91" t="n"/>
      <c r="H74" s="91" t="n"/>
      <c r="I74" s="91" t="n"/>
      <c r="J74" s="91" t="n"/>
      <c r="K74" s="91" t="n"/>
      <c r="L74" s="91" t="n"/>
      <c r="M74" s="91" t="n"/>
      <c r="N74" s="92" t="n"/>
    </row>
    <row r="75" ht="28" customHeight="1">
      <c r="A75" s="10" t="inlineStr">
        <is>
          <t>R5 · Structure</t>
        </is>
      </c>
      <c r="B75" s="91" t="n"/>
      <c r="C75" s="92" t="n"/>
      <c r="D75" s="12" t="inlineStr">
        <is>
          <t>C1 and above need the matching structure in the org chart · a sub-function, a function, a business line; a B3 manager needs team leads or 10+ people.</t>
        </is>
      </c>
      <c r="E75" s="91" t="n"/>
      <c r="F75" s="91" t="n"/>
      <c r="G75" s="91" t="n"/>
      <c r="H75" s="91" t="n"/>
      <c r="I75" s="91" t="n"/>
      <c r="J75" s="91" t="n"/>
      <c r="K75" s="91" t="n"/>
      <c r="L75" s="91" t="n"/>
      <c r="M75" s="91" t="n"/>
      <c r="N75" s="92" t="n"/>
    </row>
    <row r="76" ht="15" customHeight="1">
      <c r="A76" s="10" t="inlineStr">
        <is>
          <t>R6 · Top of band</t>
        </is>
      </c>
      <c r="B76" s="91" t="n"/>
      <c r="C76" s="92" t="n"/>
      <c r="D76" s="12" t="inlineStr">
        <is>
          <t>To enter the next band the score must reach its entry point on that band's own weights.</t>
        </is>
      </c>
      <c r="E76" s="91" t="n"/>
      <c r="F76" s="91" t="n"/>
      <c r="G76" s="91" t="n"/>
      <c r="H76" s="91" t="n"/>
      <c r="I76" s="91" t="n"/>
      <c r="J76" s="91" t="n"/>
      <c r="K76" s="91" t="n"/>
      <c r="L76" s="91" t="n"/>
      <c r="M76" s="91" t="n"/>
      <c r="N76" s="92" t="n"/>
    </row>
    <row r="77" ht="15" customHeight="1">
      <c r="A77" s="10" t="inlineStr">
        <is>
          <t>R7 · Band A experience</t>
        </is>
      </c>
      <c r="B77" s="91" t="n"/>
      <c r="C77" s="92" t="n"/>
      <c r="D77" s="12" t="inlineStr">
        <is>
          <r>
            <rPr>
              <rFont val="Calibri"/>
              <b val="1"/>
              <sz val="10"/>
            </rPr>
            <t>Under 1 year:</t>
          </r>
          <r>
            <rPr>
              <rFont val="Calibri"/>
              <sz val="10"/>
            </rPr>
            <t xml:space="preserve"> A2 at most; 2+ years: A3.</t>
          </r>
        </is>
      </c>
      <c r="E77" s="91" t="n"/>
      <c r="F77" s="91" t="n"/>
      <c r="G77" s="91" t="n"/>
      <c r="H77" s="91" t="n"/>
      <c r="I77" s="91" t="n"/>
      <c r="J77" s="91" t="n"/>
      <c r="K77" s="91" t="n"/>
      <c r="L77" s="91" t="n"/>
      <c r="M77" s="91" t="n"/>
      <c r="N77" s="92" t="n"/>
    </row>
    <row r="78" ht="15" customHeight="1">
      <c r="A78" s="10" t="inlineStr">
        <is>
          <t>R8 · Experience limit</t>
        </is>
      </c>
      <c r="B78" s="91" t="n"/>
      <c r="C78" s="92" t="n"/>
      <c r="D78" s="12" t="inlineStr">
        <is>
          <t>In Bands A–B a role sits at most one level above the level its experience fits · managers exempt.</t>
        </is>
      </c>
      <c r="E78" s="91" t="n"/>
      <c r="F78" s="91" t="n"/>
      <c r="G78" s="91" t="n"/>
      <c r="H78" s="91" t="n"/>
      <c r="I78" s="91" t="n"/>
      <c r="J78" s="91" t="n"/>
      <c r="K78" s="91" t="n"/>
      <c r="L78" s="91" t="n"/>
      <c r="M78" s="91" t="n"/>
      <c r="N78" s="92" t="n"/>
    </row>
    <row r="79" ht="15" customHeight="1">
      <c r="A79" s="10" t="inlineStr">
        <is>
          <t>R9 · Track minimum</t>
        </is>
      </c>
      <c r="B79" s="91" t="n"/>
      <c r="C79" s="92" t="n"/>
      <c r="D79" s="12" t="inlineStr">
        <is>
          <t>POD Leads and People Managers start at B1.</t>
        </is>
      </c>
      <c r="E79" s="91" t="n"/>
      <c r="F79" s="91" t="n"/>
      <c r="G79" s="91" t="n"/>
      <c r="H79" s="91" t="n"/>
      <c r="I79" s="91" t="n"/>
      <c r="J79" s="91" t="n"/>
      <c r="K79" s="91" t="n"/>
      <c r="L79" s="91" t="n"/>
      <c r="M79" s="91" t="n"/>
      <c r="N79" s="92" t="n"/>
    </row>
    <row r="80" ht="28" customHeight="1">
      <c r="A80" s="10" t="inlineStr">
        <is>
          <t>R10 · Player-Coach</t>
        </is>
      </c>
      <c r="B80" s="91" t="n"/>
      <c r="C80" s="92" t="n"/>
      <c r="D80" s="12" t="inlineStr">
        <is>
          <t>At B3 or C2, someone who leads people and still does hands-on work moves to the step above · B+ or C+ if the Player-Coach score and the substance reach the threshold; a shortfall of up to 0.15 is accepted and confirmed in calibration.</t>
        </is>
      </c>
      <c r="E80" s="91" t="n"/>
      <c r="F80" s="91" t="n"/>
      <c r="G80" s="91" t="n"/>
      <c r="H80" s="91" t="n"/>
      <c r="I80" s="91" t="n"/>
      <c r="J80" s="91" t="n"/>
      <c r="K80" s="91" t="n"/>
      <c r="L80" s="91" t="n"/>
      <c r="M80" s="91" t="n"/>
      <c r="N80" s="92" t="n"/>
    </row>
    <row r="81" ht="15" customHeight="1"/>
    <row r="82" ht="20" customHeight="1">
      <c r="A82" s="6" t="inlineStr">
        <is>
          <t>6. Colours and terms</t>
        </is>
      </c>
    </row>
    <row r="83" ht="15" customHeight="1">
      <c r="A83" s="43" t="inlineStr">
        <is>
          <t>Changed vs current · designation or level</t>
        </is>
      </c>
      <c r="B83" s="91" t="n"/>
      <c r="C83" s="91" t="n"/>
      <c r="D83" s="91" t="n"/>
      <c r="E83" s="91" t="n"/>
      <c r="F83" s="91" t="n"/>
      <c r="G83" s="91" t="n"/>
      <c r="H83" s="91" t="n"/>
      <c r="I83" s="91" t="n"/>
      <c r="J83" s="91" t="n"/>
      <c r="K83" s="91" t="n"/>
      <c r="L83" s="91" t="n"/>
      <c r="M83" s="91" t="n"/>
      <c r="N83" s="92" t="n"/>
    </row>
    <row r="84" ht="15" customHeight="1">
      <c r="A84" s="45" t="inlineStr">
        <is>
          <t>Level up</t>
        </is>
      </c>
      <c r="B84" s="91" t="n"/>
      <c r="C84" s="91" t="n"/>
      <c r="D84" s="91" t="n"/>
      <c r="E84" s="91" t="n"/>
      <c r="F84" s="91" t="n"/>
      <c r="G84" s="91" t="n"/>
      <c r="H84" s="91" t="n"/>
      <c r="I84" s="91" t="n"/>
      <c r="J84" s="91" t="n"/>
      <c r="K84" s="91" t="n"/>
      <c r="L84" s="91" t="n"/>
      <c r="M84" s="91" t="n"/>
      <c r="N84" s="92" t="n"/>
    </row>
    <row r="85" ht="15" customHeight="1">
      <c r="A85" s="47" t="inlineStr">
        <is>
          <t>Level down — pay &amp; title protected</t>
        </is>
      </c>
      <c r="B85" s="91" t="n"/>
      <c r="C85" s="91" t="n"/>
      <c r="D85" s="91" t="n"/>
      <c r="E85" s="91" t="n"/>
      <c r="F85" s="91" t="n"/>
      <c r="G85" s="91" t="n"/>
      <c r="H85" s="91" t="n"/>
      <c r="I85" s="91" t="n"/>
      <c r="J85" s="91" t="n"/>
      <c r="K85" s="91" t="n"/>
      <c r="L85" s="91" t="n"/>
      <c r="M85" s="91" t="n"/>
      <c r="N85" s="92" t="n"/>
    </row>
    <row r="86" ht="15" customHeight="1">
      <c r="A86" s="49" t="inlineStr">
        <is>
          <t>Newly mapped</t>
        </is>
      </c>
      <c r="B86" s="91" t="n"/>
      <c r="C86" s="91" t="n"/>
      <c r="D86" s="91" t="n"/>
      <c r="E86" s="91" t="n"/>
      <c r="F86" s="91" t="n"/>
      <c r="G86" s="91" t="n"/>
      <c r="H86" s="91" t="n"/>
      <c r="I86" s="91" t="n"/>
      <c r="J86" s="91" t="n"/>
      <c r="K86" s="91" t="n"/>
      <c r="L86" s="91" t="n"/>
      <c r="M86" s="91" t="n"/>
      <c r="N86" s="92" t="n"/>
    </row>
    <row r="87" ht="15" customHeight="1">
      <c r="A87" s="50" t="inlineStr">
        <is>
          <t>Player-Coach · B+ · C+</t>
        </is>
      </c>
      <c r="B87" s="91" t="n"/>
      <c r="C87" s="91" t="n"/>
      <c r="D87" s="91" t="n"/>
      <c r="E87" s="91" t="n"/>
      <c r="F87" s="91" t="n"/>
      <c r="G87" s="91" t="n"/>
      <c r="H87" s="91" t="n"/>
      <c r="I87" s="91" t="n"/>
      <c r="J87" s="91" t="n"/>
      <c r="K87" s="91" t="n"/>
      <c r="L87" s="91" t="n"/>
      <c r="M87" s="91" t="n"/>
      <c r="N87" s="92" t="n"/>
    </row>
    <row r="88" ht="15" customHeight="1">
      <c r="A88" s="52" t="inlineStr">
        <is>
          <t>RED = critical input needed · could change or confirm the level</t>
        </is>
      </c>
      <c r="B88" s="91" t="n"/>
      <c r="C88" s="91" t="n"/>
      <c r="D88" s="91" t="n"/>
      <c r="E88" s="91" t="n"/>
      <c r="F88" s="91" t="n"/>
      <c r="G88" s="91" t="n"/>
      <c r="H88" s="91" t="n"/>
      <c r="I88" s="91" t="n"/>
      <c r="J88" s="91" t="n"/>
      <c r="K88" s="91" t="n"/>
      <c r="L88" s="91" t="n"/>
      <c r="M88" s="91" t="n"/>
      <c r="N88" s="92" t="n"/>
    </row>
    <row r="89" ht="15" customHeight="1">
      <c r="A89" s="54" t="inlineStr">
        <is>
          <t>YELLOW = to complete in validation</t>
        </is>
      </c>
      <c r="B89" s="91" t="n"/>
      <c r="C89" s="91" t="n"/>
      <c r="D89" s="91" t="n"/>
      <c r="E89" s="91" t="n"/>
      <c r="F89" s="91" t="n"/>
      <c r="G89" s="91" t="n"/>
      <c r="H89" s="91" t="n"/>
      <c r="I89" s="91" t="n"/>
      <c r="J89" s="91" t="n"/>
      <c r="K89" s="91" t="n"/>
      <c r="L89" s="91" t="n"/>
      <c r="M89" s="91" t="n"/>
      <c r="N89" s="92" t="n"/>
    </row>
    <row r="90" ht="15" customHeight="1"/>
    <row r="91" ht="15" customHeight="1">
      <c r="A91" s="8" t="inlineStr">
        <is>
          <t>Term</t>
        </is>
      </c>
      <c r="B91" s="91" t="n"/>
      <c r="C91" s="92" t="n"/>
      <c r="D91" s="8" t="inlineStr">
        <is>
          <t>Meaning</t>
        </is>
      </c>
      <c r="E91" s="91" t="n"/>
      <c r="F91" s="91" t="n"/>
      <c r="G91" s="91" t="n"/>
      <c r="H91" s="91" t="n"/>
      <c r="I91" s="91" t="n"/>
      <c r="J91" s="91" t="n"/>
      <c r="K91" s="91" t="n"/>
      <c r="L91" s="91" t="n"/>
      <c r="M91" s="91" t="n"/>
      <c r="N91" s="92" t="n"/>
    </row>
    <row r="92" ht="15" customHeight="1">
      <c r="A92" s="10" t="inlineStr">
        <is>
          <t>Job family / sub-family</t>
        </is>
      </c>
      <c r="B92" s="91" t="n"/>
      <c r="C92" s="92" t="n"/>
      <c r="D92" s="12" t="inlineStr">
        <is>
          <t>The discipline, and the actual work done inside it</t>
        </is>
      </c>
      <c r="E92" s="91" t="n"/>
      <c r="F92" s="91" t="n"/>
      <c r="G92" s="91" t="n"/>
      <c r="H92" s="91" t="n"/>
      <c r="I92" s="91" t="n"/>
      <c r="J92" s="91" t="n"/>
      <c r="K92" s="91" t="n"/>
      <c r="L92" s="91" t="n"/>
      <c r="M92" s="91" t="n"/>
      <c r="N92" s="92" t="n"/>
    </row>
    <row r="93" ht="15" customHeight="1">
      <c r="A93" s="10" t="inlineStr">
        <is>
          <t>Track</t>
        </is>
      </c>
      <c r="B93" s="91" t="n"/>
      <c r="C93" s="92" t="n"/>
      <c r="D93" s="12" t="inlineStr">
        <is>
          <t>Individual contributor · IC, POD Lead · leads 1–3 while mainly IC, People Manager, Player-Coach, Consultant</t>
        </is>
      </c>
      <c r="E93" s="91" t="n"/>
      <c r="F93" s="91" t="n"/>
      <c r="G93" s="91" t="n"/>
      <c r="H93" s="91" t="n"/>
      <c r="I93" s="91" t="n"/>
      <c r="J93" s="91" t="n"/>
      <c r="K93" s="91" t="n"/>
      <c r="L93" s="91" t="n"/>
      <c r="M93" s="91" t="n"/>
      <c r="N93" s="92" t="n"/>
    </row>
    <row r="94" ht="15" customHeight="1">
      <c r="A94" s="10" t="inlineStr">
        <is>
          <t>Weights</t>
        </is>
      </c>
      <c r="B94" s="91" t="n"/>
      <c r="C94" s="92" t="n"/>
      <c r="D94" s="12" t="inlineStr">
        <is>
          <t>How much each of the six factors counts for this kind of role; they always add up to 100%. Edit them on sheet 6</t>
        </is>
      </c>
      <c r="E94" s="91" t="n"/>
      <c r="F94" s="91" t="n"/>
      <c r="G94" s="91" t="n"/>
      <c r="H94" s="91" t="n"/>
      <c r="I94" s="91" t="n"/>
      <c r="J94" s="91" t="n"/>
      <c r="K94" s="91" t="n"/>
      <c r="L94" s="91" t="n"/>
      <c r="M94" s="91" t="n"/>
      <c r="N94" s="92" t="n"/>
    </row>
    <row r="95" ht="15" customHeight="1">
      <c r="A95" s="10" t="inlineStr">
        <is>
          <t>Score / indicated level</t>
        </is>
      </c>
      <c r="B95" s="91" t="n"/>
      <c r="C95" s="92" t="n"/>
      <c r="D95" s="12" t="inlineStr">
        <is>
          <t>The weighted average of the six ratings on the ladder scale, and the level it rounds to</t>
        </is>
      </c>
      <c r="E95" s="91" t="n"/>
      <c r="F95" s="91" t="n"/>
      <c r="G95" s="91" t="n"/>
      <c r="H95" s="91" t="n"/>
      <c r="I95" s="91" t="n"/>
      <c r="J95" s="91" t="n"/>
      <c r="K95" s="91" t="n"/>
      <c r="L95" s="91" t="n"/>
      <c r="M95" s="91" t="n"/>
      <c r="N95" s="92" t="n"/>
    </row>
    <row r="96" ht="15" customHeight="1">
      <c r="A96" s="10" t="inlineStr">
        <is>
          <t>Close call</t>
        </is>
      </c>
      <c r="B96" s="91" t="n"/>
      <c r="C96" s="92" t="n"/>
      <c r="D96" s="12" t="inlineStr">
        <is>
          <t>The score decided the level and is within 0.05 of a rounding point</t>
        </is>
      </c>
      <c r="E96" s="91" t="n"/>
      <c r="F96" s="91" t="n"/>
      <c r="G96" s="91" t="n"/>
      <c r="H96" s="91" t="n"/>
      <c r="I96" s="91" t="n"/>
      <c r="J96" s="91" t="n"/>
      <c r="K96" s="91" t="n"/>
      <c r="L96" s="91" t="n"/>
      <c r="M96" s="91" t="n"/>
      <c r="N96" s="92" t="n"/>
    </row>
    <row r="97" ht="15" customHeight="1">
      <c r="A97" s="10" t="inlineStr">
        <is>
          <t>Near a gate</t>
        </is>
      </c>
      <c r="B97" s="91" t="n"/>
      <c r="C97" s="92" t="n"/>
      <c r="D97" s="12" t="inlineStr">
        <is>
          <t>A rule set the level and the number behind it is within a quarter-point of changing it</t>
        </is>
      </c>
      <c r="E97" s="91" t="n"/>
      <c r="F97" s="91" t="n"/>
      <c r="G97" s="91" t="n"/>
      <c r="H97" s="91" t="n"/>
      <c r="I97" s="91" t="n"/>
      <c r="J97" s="91" t="n"/>
      <c r="K97" s="91" t="n"/>
      <c r="L97" s="91" t="n"/>
      <c r="M97" s="91" t="n"/>
      <c r="N97" s="92" t="n"/>
    </row>
    <row r="98" ht="15" customHeight="1">
      <c r="A98" s="10" t="inlineStr">
        <is>
          <t>Provisional</t>
        </is>
      </c>
      <c r="B98" s="91" t="n"/>
      <c r="C98" s="92" t="n"/>
      <c r="D98" s="12" t="inlineStr">
        <is>
          <t>The level is kept until HR confirms the experience record</t>
        </is>
      </c>
      <c r="E98" s="91" t="n"/>
      <c r="F98" s="91" t="n"/>
      <c r="G98" s="91" t="n"/>
      <c r="H98" s="91" t="n"/>
      <c r="I98" s="91" t="n"/>
      <c r="J98" s="91" t="n"/>
      <c r="K98" s="91" t="n"/>
      <c r="L98" s="91" t="n"/>
      <c r="M98" s="91" t="n"/>
      <c r="N98" s="92" t="n"/>
    </row>
    <row r="99" ht="15" customHeight="1">
      <c r="A99" s="10" t="inlineStr">
        <is>
          <t>Protected</t>
        </is>
      </c>
      <c r="B99" s="91" t="n"/>
      <c r="C99" s="92" t="n"/>
      <c r="D99" s="12" t="inlineStr">
        <is>
          <t>A move down keeps current pay and title for one cycle, with a review date</t>
        </is>
      </c>
      <c r="E99" s="91" t="n"/>
      <c r="F99" s="91" t="n"/>
      <c r="G99" s="91" t="n"/>
      <c r="H99" s="91" t="n"/>
      <c r="I99" s="91" t="n"/>
      <c r="J99" s="91" t="n"/>
      <c r="K99" s="91" t="n"/>
      <c r="L99" s="91" t="n"/>
      <c r="M99" s="91" t="n"/>
      <c r="N99" s="92" t="n"/>
    </row>
    <row r="100" ht="15" customHeight="1">
      <c r="A100" s="10" t="inlineStr">
        <is>
          <t>Radford / Mercer code</t>
        </is>
      </c>
      <c r="B100" s="91" t="n"/>
      <c r="C100" s="92" t="n"/>
      <c r="D100" s="12" t="inlineStr">
        <is>
          <t>The market survey level used to price the role once pay data is bought</t>
        </is>
      </c>
      <c r="E100" s="91" t="n"/>
      <c r="F100" s="91" t="n"/>
      <c r="G100" s="91" t="n"/>
      <c r="H100" s="91" t="n"/>
      <c r="I100" s="91" t="n"/>
      <c r="J100" s="91" t="n"/>
      <c r="K100" s="91" t="n"/>
      <c r="L100" s="91" t="n"/>
      <c r="M100" s="91" t="n"/>
      <c r="N100" s="92" t="n"/>
    </row>
    <row r="101"/>
    <row r="102" ht="20" customHeight="1">
      <c r="A102" s="6" t="inlineStr">
        <is>
          <t>5. Charts — the shape of this population</t>
        </is>
      </c>
    </row>
    <row r="103">
      <c r="A103" s="40" t="inlineStr">
        <is>
          <t>People at each level, and how levels moved from the current structure. Built from the tables beside them.</t>
        </is>
      </c>
    </row>
    <row r="104">
      <c r="A104" s="8" t="inlineStr">
        <is>
          <t>Level</t>
        </is>
      </c>
      <c r="B104" s="8" t="inlineStr">
        <is>
          <t>People</t>
        </is>
      </c>
    </row>
    <row r="105">
      <c r="A105" s="10" t="inlineStr">
        <is>
          <t>A1</t>
        </is>
      </c>
      <c r="B105" s="42" t="n">
        <v>1</v>
      </c>
    </row>
    <row r="106">
      <c r="A106" s="10" t="inlineStr">
        <is>
          <t>A2</t>
        </is>
      </c>
      <c r="B106" s="42" t="n">
        <v>1</v>
      </c>
    </row>
    <row r="107">
      <c r="A107" s="10" t="inlineStr">
        <is>
          <t>A3</t>
        </is>
      </c>
      <c r="B107" s="42" t="n">
        <v>21</v>
      </c>
    </row>
    <row r="108">
      <c r="A108" s="10" t="inlineStr">
        <is>
          <t>B1</t>
        </is>
      </c>
      <c r="B108" s="42" t="n">
        <v>10</v>
      </c>
    </row>
    <row r="109">
      <c r="A109" s="10" t="inlineStr">
        <is>
          <t>B2</t>
        </is>
      </c>
      <c r="B109" s="42" t="n">
        <v>5</v>
      </c>
    </row>
    <row r="110">
      <c r="A110" s="10" t="inlineStr">
        <is>
          <t>B3</t>
        </is>
      </c>
      <c r="B110" s="42" t="n">
        <v>2</v>
      </c>
    </row>
    <row r="111">
      <c r="A111" s="10" t="inlineStr">
        <is>
          <t>C1</t>
        </is>
      </c>
      <c r="B111" s="42" t="n">
        <v>3</v>
      </c>
    </row>
    <row r="112">
      <c r="A112" s="10" t="inlineStr">
        <is>
          <t>D2</t>
        </is>
      </c>
      <c r="B112" s="42" t="n">
        <v>1</v>
      </c>
    </row>
    <row r="113">
      <c r="A113" s="10" t="inlineStr">
        <is>
          <t>E1</t>
        </is>
      </c>
      <c r="B113" s="42" t="n">
        <v>3</v>
      </c>
    </row>
    <row r="114">
      <c r="A114" s="10" t="inlineStr">
        <is>
          <t>E2</t>
        </is>
      </c>
      <c r="B114" s="42" t="n">
        <v>1</v>
      </c>
    </row>
    <row r="115"/>
    <row r="116"/>
    <row r="117"/>
    <row r="118"/>
    <row r="119"/>
    <row r="120"/>
    <row r="121"/>
    <row r="122"/>
    <row r="123">
      <c r="A123" s="8" t="inlineStr">
        <is>
          <t>Current ↓ / New →</t>
        </is>
      </c>
      <c r="B123" s="8" t="inlineStr">
        <is>
          <t>A1</t>
        </is>
      </c>
      <c r="C123" s="8" t="inlineStr">
        <is>
          <t>A2</t>
        </is>
      </c>
      <c r="D123" s="8" t="inlineStr">
        <is>
          <t>A3</t>
        </is>
      </c>
      <c r="E123" s="8" t="inlineStr">
        <is>
          <t>B1</t>
        </is>
      </c>
      <c r="F123" s="8" t="inlineStr">
        <is>
          <t>B2</t>
        </is>
      </c>
      <c r="G123" s="8" t="inlineStr">
        <is>
          <t>B3</t>
        </is>
      </c>
      <c r="H123" s="8" t="inlineStr">
        <is>
          <t>C1</t>
        </is>
      </c>
      <c r="I123" s="8" t="inlineStr">
        <is>
          <t>D2</t>
        </is>
      </c>
      <c r="J123" s="8" t="inlineStr">
        <is>
          <t>E1</t>
        </is>
      </c>
      <c r="K123" s="8" t="inlineStr">
        <is>
          <t>E2</t>
        </is>
      </c>
      <c r="L123" s="8" t="inlineStr">
        <is>
          <t>Total</t>
        </is>
      </c>
    </row>
    <row r="124">
      <c r="A124" s="10" t="inlineStr">
        <is>
          <t>L4</t>
        </is>
      </c>
      <c r="B124" s="42" t="n"/>
      <c r="C124" s="42" t="n"/>
      <c r="D124" s="42" t="n">
        <v>1</v>
      </c>
      <c r="E124" s="42" t="n"/>
      <c r="F124" s="42" t="n"/>
      <c r="G124" s="42" t="n"/>
      <c r="H124" s="42" t="n"/>
      <c r="I124" s="42" t="n"/>
      <c r="J124" s="42" t="n"/>
      <c r="K124" s="42" t="n"/>
      <c r="L124" s="42" t="n">
        <v>1</v>
      </c>
    </row>
    <row r="125">
      <c r="A125" s="10" t="inlineStr">
        <is>
          <t>L5</t>
        </is>
      </c>
      <c r="B125" s="42" t="n"/>
      <c r="C125" s="42" t="n"/>
      <c r="D125" s="42" t="n">
        <v>1</v>
      </c>
      <c r="E125" s="42" t="n"/>
      <c r="F125" s="42" t="n">
        <v>1</v>
      </c>
      <c r="G125" s="42" t="n"/>
      <c r="H125" s="42" t="n"/>
      <c r="I125" s="42" t="n"/>
      <c r="J125" s="42" t="n"/>
      <c r="K125" s="42" t="n"/>
      <c r="L125" s="42" t="n">
        <v>2</v>
      </c>
    </row>
    <row r="126">
      <c r="A126" s="10" t="inlineStr">
        <is>
          <t>Not mapped</t>
        </is>
      </c>
      <c r="B126" s="42" t="n">
        <v>1</v>
      </c>
      <c r="C126" s="42" t="n">
        <v>1</v>
      </c>
      <c r="D126" s="42" t="n">
        <v>19</v>
      </c>
      <c r="E126" s="42" t="n">
        <v>10</v>
      </c>
      <c r="F126" s="42" t="n">
        <v>4</v>
      </c>
      <c r="G126" s="42" t="n">
        <v>2</v>
      </c>
      <c r="H126" s="42" t="n">
        <v>3</v>
      </c>
      <c r="I126" s="42" t="n">
        <v>1</v>
      </c>
      <c r="J126" s="42" t="n">
        <v>3</v>
      </c>
      <c r="K126" s="42" t="n">
        <v>1</v>
      </c>
      <c r="L126" s="42" t="n">
        <v>45</v>
      </c>
    </row>
    <row r="127">
      <c r="A127" s="93" t="inlineStr">
        <is>
          <t>Total</t>
        </is>
      </c>
      <c r="B127" s="94" t="n">
        <v>1</v>
      </c>
      <c r="C127" s="94" t="n">
        <v>1</v>
      </c>
      <c r="D127" s="94" t="n">
        <v>21</v>
      </c>
      <c r="E127" s="94" t="n">
        <v>10</v>
      </c>
      <c r="F127" s="94" t="n">
        <v>5</v>
      </c>
      <c r="G127" s="94" t="n">
        <v>2</v>
      </c>
      <c r="H127" s="94" t="n">
        <v>3</v>
      </c>
      <c r="I127" s="94" t="n">
        <v>1</v>
      </c>
      <c r="J127" s="94" t="n">
        <v>3</v>
      </c>
      <c r="K127" s="94" t="n">
        <v>1</v>
      </c>
      <c r="L127" s="94" t="n">
        <v>48</v>
      </c>
    </row>
  </sheetData>
  <mergeCells count="218">
    <mergeCell ref="A80:C80"/>
    <mergeCell ref="F32:K32"/>
    <mergeCell ref="D100:N100"/>
    <mergeCell ref="F26:K26"/>
    <mergeCell ref="A59:N59"/>
    <mergeCell ref="B22:C22"/>
    <mergeCell ref="C40:N40"/>
    <mergeCell ref="K7:N7"/>
    <mergeCell ref="D22:E22"/>
    <mergeCell ref="B31:C31"/>
    <mergeCell ref="A45:N45"/>
    <mergeCell ref="L28:M28"/>
    <mergeCell ref="A103:N103"/>
    <mergeCell ref="D31:E31"/>
    <mergeCell ref="H55:I55"/>
    <mergeCell ref="M60:N60"/>
    <mergeCell ref="A71:C71"/>
    <mergeCell ref="I16:J16"/>
    <mergeCell ref="A87:N87"/>
    <mergeCell ref="A41:B41"/>
    <mergeCell ref="F27:K27"/>
    <mergeCell ref="D95:N95"/>
    <mergeCell ref="D10:J10"/>
    <mergeCell ref="A91:C91"/>
    <mergeCell ref="G18:H18"/>
    <mergeCell ref="A37:N37"/>
    <mergeCell ref="A46:N46"/>
    <mergeCell ref="I18:J18"/>
    <mergeCell ref="D70:N70"/>
    <mergeCell ref="A89:N89"/>
    <mergeCell ref="M16:N16"/>
    <mergeCell ref="D97:N97"/>
    <mergeCell ref="L29:M29"/>
    <mergeCell ref="A93:C93"/>
    <mergeCell ref="D72:N72"/>
    <mergeCell ref="D78:N78"/>
    <mergeCell ref="A77:C77"/>
    <mergeCell ref="A17:B17"/>
    <mergeCell ref="D56:E56"/>
    <mergeCell ref="L31:M31"/>
    <mergeCell ref="D11:J11"/>
    <mergeCell ref="C17:D17"/>
    <mergeCell ref="F56:G56"/>
    <mergeCell ref="D71:N71"/>
    <mergeCell ref="F29:K29"/>
    <mergeCell ref="H49:N49"/>
    <mergeCell ref="M17:N17"/>
    <mergeCell ref="B47:G47"/>
    <mergeCell ref="B55:C55"/>
    <mergeCell ref="B24:C24"/>
    <mergeCell ref="F25:K25"/>
    <mergeCell ref="D24:E24"/>
    <mergeCell ref="B33:C33"/>
    <mergeCell ref="D33:E33"/>
    <mergeCell ref="A19:B19"/>
    <mergeCell ref="M62:N62"/>
    <mergeCell ref="B64:L64"/>
    <mergeCell ref="C19:D19"/>
    <mergeCell ref="D73:N73"/>
    <mergeCell ref="B32:C32"/>
    <mergeCell ref="B26:C26"/>
    <mergeCell ref="D26:E26"/>
    <mergeCell ref="F57:G57"/>
    <mergeCell ref="B63:L63"/>
    <mergeCell ref="A39:B39"/>
    <mergeCell ref="A102:N102"/>
    <mergeCell ref="F24:K24"/>
    <mergeCell ref="A83:N83"/>
    <mergeCell ref="B25:C25"/>
    <mergeCell ref="D9:J9"/>
    <mergeCell ref="F54:G54"/>
    <mergeCell ref="A75:C75"/>
    <mergeCell ref="H54:I54"/>
    <mergeCell ref="J57:K57"/>
    <mergeCell ref="L57:M57"/>
    <mergeCell ref="D99:N99"/>
    <mergeCell ref="A12:C12"/>
    <mergeCell ref="B27:C27"/>
    <mergeCell ref="H48:N48"/>
    <mergeCell ref="B66:L66"/>
    <mergeCell ref="A95:C95"/>
    <mergeCell ref="A1:N1"/>
    <mergeCell ref="H56:I56"/>
    <mergeCell ref="M64:N64"/>
    <mergeCell ref="K13:N13"/>
    <mergeCell ref="F23:K23"/>
    <mergeCell ref="A69:N69"/>
    <mergeCell ref="D77:N77"/>
    <mergeCell ref="A97:C97"/>
    <mergeCell ref="B49:G49"/>
    <mergeCell ref="C39:N39"/>
    <mergeCell ref="B61:L61"/>
    <mergeCell ref="A96:C96"/>
    <mergeCell ref="L30:M30"/>
    <mergeCell ref="B51:G51"/>
    <mergeCell ref="M65:N65"/>
    <mergeCell ref="D75:N75"/>
    <mergeCell ref="A3:N3"/>
    <mergeCell ref="A13:C13"/>
    <mergeCell ref="B29:C29"/>
    <mergeCell ref="A21:N21"/>
    <mergeCell ref="B50:G50"/>
    <mergeCell ref="A5:N5"/>
    <mergeCell ref="I17:J17"/>
    <mergeCell ref="L22:M22"/>
    <mergeCell ref="A73:C73"/>
    <mergeCell ref="K17:L17"/>
    <mergeCell ref="E16:F16"/>
    <mergeCell ref="G16:H16"/>
    <mergeCell ref="D29:E29"/>
    <mergeCell ref="A38:N38"/>
    <mergeCell ref="I19:J19"/>
    <mergeCell ref="D23:E23"/>
    <mergeCell ref="K19:L19"/>
    <mergeCell ref="A43:N43"/>
    <mergeCell ref="M66:N66"/>
    <mergeCell ref="M63:N63"/>
    <mergeCell ref="C18:D18"/>
    <mergeCell ref="D98:N98"/>
    <mergeCell ref="A7:C7"/>
    <mergeCell ref="E18:F18"/>
    <mergeCell ref="F30:K30"/>
    <mergeCell ref="K16:L16"/>
    <mergeCell ref="D79:N79"/>
    <mergeCell ref="A99:C99"/>
    <mergeCell ref="B54:C54"/>
    <mergeCell ref="F33:K33"/>
    <mergeCell ref="L32:M32"/>
    <mergeCell ref="D12:J12"/>
    <mergeCell ref="A82:N82"/>
    <mergeCell ref="B56:C56"/>
    <mergeCell ref="K10:N10"/>
    <mergeCell ref="A6:N6"/>
    <mergeCell ref="F28:K28"/>
    <mergeCell ref="L24:M24"/>
    <mergeCell ref="D27:E27"/>
    <mergeCell ref="L33:M33"/>
    <mergeCell ref="B60:L60"/>
    <mergeCell ref="B57:C57"/>
    <mergeCell ref="D76:N76"/>
    <mergeCell ref="K9:N9"/>
    <mergeCell ref="A84:N84"/>
    <mergeCell ref="A72:C72"/>
    <mergeCell ref="L26:M26"/>
    <mergeCell ref="D91:N91"/>
    <mergeCell ref="A2:N2"/>
    <mergeCell ref="A86:N86"/>
    <mergeCell ref="K11:N11"/>
    <mergeCell ref="B28:C28"/>
    <mergeCell ref="L25:M25"/>
    <mergeCell ref="D28:E28"/>
    <mergeCell ref="H57:I57"/>
    <mergeCell ref="D93:N93"/>
    <mergeCell ref="H51:N51"/>
    <mergeCell ref="D25:E25"/>
    <mergeCell ref="A98:C98"/>
    <mergeCell ref="B30:C30"/>
    <mergeCell ref="D55:E55"/>
    <mergeCell ref="D30:E30"/>
    <mergeCell ref="D92:N92"/>
    <mergeCell ref="A79:C79"/>
    <mergeCell ref="D7:J7"/>
    <mergeCell ref="A70:C70"/>
    <mergeCell ref="K8:N8"/>
    <mergeCell ref="D54:E54"/>
    <mergeCell ref="A40:B40"/>
    <mergeCell ref="K18:L18"/>
    <mergeCell ref="D94:N94"/>
    <mergeCell ref="H47:N47"/>
    <mergeCell ref="B62:L62"/>
    <mergeCell ref="C41:N41"/>
    <mergeCell ref="D8:J8"/>
    <mergeCell ref="A15:N15"/>
    <mergeCell ref="A74:C74"/>
    <mergeCell ref="E17:F17"/>
    <mergeCell ref="G17:H17"/>
    <mergeCell ref="D80:N80"/>
    <mergeCell ref="A88:N88"/>
    <mergeCell ref="F55:G55"/>
    <mergeCell ref="A16:B16"/>
    <mergeCell ref="A76:C76"/>
    <mergeCell ref="C16:D16"/>
    <mergeCell ref="D96:N96"/>
    <mergeCell ref="F22:K22"/>
    <mergeCell ref="D57:E57"/>
    <mergeCell ref="A8:C8"/>
    <mergeCell ref="E19:F19"/>
    <mergeCell ref="F31:K31"/>
    <mergeCell ref="G19:H19"/>
    <mergeCell ref="B23:C23"/>
    <mergeCell ref="D32:E32"/>
    <mergeCell ref="A100:C100"/>
    <mergeCell ref="L23:M23"/>
    <mergeCell ref="A18:B18"/>
    <mergeCell ref="J55:K55"/>
    <mergeCell ref="L55:M55"/>
    <mergeCell ref="H50:N50"/>
    <mergeCell ref="A10:C10"/>
    <mergeCell ref="J54:K54"/>
    <mergeCell ref="L54:M54"/>
    <mergeCell ref="A9:C9"/>
    <mergeCell ref="A92:C92"/>
    <mergeCell ref="A85:N85"/>
    <mergeCell ref="D13:J13"/>
    <mergeCell ref="M61:N61"/>
    <mergeCell ref="J56:K56"/>
    <mergeCell ref="B65:L65"/>
    <mergeCell ref="L56:M56"/>
    <mergeCell ref="A11:C11"/>
    <mergeCell ref="A53:N53"/>
    <mergeCell ref="A35:N35"/>
    <mergeCell ref="D74:N74"/>
    <mergeCell ref="A94:C94"/>
    <mergeCell ref="K12:N12"/>
    <mergeCell ref="L27:M27"/>
    <mergeCell ref="A68:N68"/>
    <mergeCell ref="A78:C78"/>
    <mergeCell ref="B48:G48"/>
  </mergeCells>
  <conditionalFormatting sqref="B124:K126">
    <cfRule type="colorScale" priority="1">
      <colorScale>
        <cfvo type="num" val="0"/>
        <cfvo type="max"/>
        <color rgb="00FFFFFF"/>
        <color rgb="002E75B6"/>
      </colorScale>
    </cfRule>
  </conditionalFormatting>
  <hyperlinks>
    <hyperlink xmlns:r="http://schemas.openxmlformats.org/officeDocument/2006/relationships" ref="A9" r:id="rId1"/>
    <hyperlink xmlns:r="http://schemas.openxmlformats.org/officeDocument/2006/relationships" ref="A10" r:id="rId2"/>
    <hyperlink xmlns:r="http://schemas.openxmlformats.org/officeDocument/2006/relationships" ref="A11" r:id="rId3"/>
    <hyperlink xmlns:r="http://schemas.openxmlformats.org/officeDocument/2006/relationships" ref="A12" r:id="rId4"/>
    <hyperlink xmlns:r="http://schemas.openxmlformats.org/officeDocument/2006/relationships" ref="A13" r:id="rId5"/>
  </hyperlinks>
  <pageMargins left="0.4" right="0.4" top="0.5" bottom="0.5" header="0.5" footer="0.5"/>
  <pageSetup orientation="landscape" paperSize="8" fitToHeight="0" fitToWidth="1"/>
  <headerFooter>
    <oddHeader/>
    <oddFooter>&amp;LIRIS · Job Architecture &amp; Job Design · Final v1.12 · October 2026 · Internal — Confidential&amp;RPage &amp;P of &amp;N</oddFooter>
    <evenHeader/>
    <evenFooter/>
    <firstHeader/>
    <firstFooter/>
  </headerFooter>
  <drawing xmlns:r="http://schemas.openxmlformats.org/officeDocument/2006/relationships" r:id="rId6"/>
</worksheet>
</file>

<file path=xl/worksheets/sheet3.xml><?xml version="1.0" encoding="utf-8"?>
<worksheet xmlns="http://schemas.openxmlformats.org/spreadsheetml/2006/main">
  <sheetPr>
    <tabColor rgb="002E75B6"/>
    <outlinePr summaryBelow="1" summaryRight="1"/>
    <pageSetUpPr fitToPage="1"/>
  </sheetPr>
  <dimension ref="A1:AG55"/>
  <sheetViews>
    <sheetView showGridLines="0" zoomScale="85" workbookViewId="0">
      <pane xSplit="2" ySplit="6" topLeftCell="C7" activePane="bottomRight" state="frozen"/>
      <selection pane="topRight" activeCell="A1" sqref="A1"/>
      <selection pane="bottomLeft" activeCell="A1" sqref="A1"/>
      <selection pane="bottomRight" activeCell="A1" sqref="A1"/>
    </sheetView>
  </sheetViews>
  <sheetFormatPr baseColWidth="8" defaultRowHeight="15"/>
  <cols>
    <col width="11" customWidth="1" min="1" max="1"/>
    <col width="22" customWidth="1" min="2" max="2"/>
    <col width="16" customWidth="1" min="3" max="3"/>
    <col width="22" customWidth="1" min="4" max="4"/>
    <col width="26" customWidth="1" min="5" max="5"/>
    <col width="18" customWidth="1" min="6" max="6"/>
    <col width="22" customWidth="1" min="7" max="7"/>
    <col width="11" customWidth="1" min="8" max="8"/>
    <col width="11" customWidth="1" min="9" max="9"/>
    <col width="8" customWidth="1" min="10" max="10"/>
    <col width="16" customWidth="1" min="11" max="11"/>
    <col width="12" customWidth="1" min="12" max="12"/>
    <col width="28" customWidth="1" min="13" max="13"/>
    <col width="8" customWidth="1" min="14" max="14"/>
    <col width="8" customWidth="1" min="15" max="15"/>
    <col width="8" customWidth="1" min="16" max="16"/>
    <col width="8" customWidth="1" min="17" max="17"/>
    <col width="8" customWidth="1" min="18" max="18"/>
    <col width="8" customWidth="1" min="19" max="19"/>
    <col width="8" customWidth="1" min="20" max="20"/>
    <col width="9" customWidth="1" min="21" max="21"/>
    <col width="62" customWidth="1" min="22" max="22"/>
    <col width="74" customWidth="1" min="23" max="23"/>
    <col width="42" customWidth="1" min="24" max="24"/>
    <col width="36" customWidth="1" min="25" max="25"/>
    <col width="42" customWidth="1" min="26" max="26"/>
    <col width="34" customWidth="1" min="27" max="27"/>
    <col width="40" customWidth="1" min="28" max="28"/>
    <col width="12" customWidth="1" min="29" max="29"/>
    <col width="34" customWidth="1" min="30" max="30"/>
    <col width="36" customWidth="1" min="31" max="31"/>
    <col hidden="1" width="6" customWidth="1" min="32" max="32"/>
    <col width="13" customWidth="1" min="33" max="33"/>
  </cols>
  <sheetData>
    <row r="1" ht="34" customHeight="1">
      <c r="A1" s="1" t="inlineStr">
        <is>
          <t>People &amp; Levels — every placement, with its full reasoning</t>
        </is>
      </c>
      <c r="AG1" s="103" t="inlineStr">
        <is>
          <t>◂ Start Here</t>
        </is>
      </c>
    </row>
    <row r="2" ht="30" customHeight="1">
      <c r="A2" s="3" t="inlineStr">
        <is>
          <r>
            <rPr>
              <rFont val="Calibri"/>
              <b val="1"/>
              <i val="1"/>
              <color rgb="00404040"/>
              <sz val="10"/>
            </rPr>
            <t>Sheet 2 · Read left to right:</t>
          </r>
          <r>
            <rPr>
              <rFont val="Calibri"/>
              <i val="1"/>
              <color rgb="00404040"/>
              <sz val="10"/>
            </rPr>
            <t xml:space="preserve"> the person → role before and after → six ratings and the score, live from the Weightage Matrix → why this level · the weights, the rules applied, each factor's rating with its starting point and evidence → the market comparison → the data behind it, points for attention and inputs still needed → your validation · yellow.</t>
          </r>
        </is>
      </c>
    </row>
    <row r="3">
      <c r="A3" s="4" t="inlineStr">
        <is>
          <t>IRIS · Job Architecture &amp; Job Design · Final v1.12 · October 2026 · Internal — Confidential</t>
        </is>
      </c>
    </row>
    <row r="4" ht="30" customHeight="1">
      <c r="A4" s="56" t="inlineStr">
        <is>
          <t>Section colours: each column group has its own header colour and a matching light tint</t>
        </is>
      </c>
      <c r="E4" s="57" t="inlineStr">
        <is>
          <t>Changed vs current · designation or level</t>
        </is>
      </c>
      <c r="F4" s="58" t="inlineStr">
        <is>
          <t>Level up</t>
        </is>
      </c>
      <c r="G4" s="59" t="inlineStr">
        <is>
          <t>Level down — pay &amp; title protected</t>
        </is>
      </c>
      <c r="H4" s="60" t="inlineStr">
        <is>
          <t>Newly mapped</t>
        </is>
      </c>
      <c r="J4" s="62" t="inlineStr">
        <is>
          <t>Player-Coach · B+ · C+</t>
        </is>
      </c>
      <c r="L4" s="64" t="inlineStr">
        <is>
          <t>RED = critical input needed · could change or confirm the level</t>
        </is>
      </c>
      <c r="N4" s="66" t="inlineStr">
        <is>
          <t>YELLOW = to complete in validation</t>
        </is>
      </c>
    </row>
    <row r="5" ht="30" customHeight="1">
      <c r="A5" s="68" t="inlineStr">
        <is>
          <t>PERSON</t>
        </is>
      </c>
      <c r="D5" s="69" t="inlineStr">
        <is>
          <t>ROLE — BEFORE → AFTER</t>
        </is>
      </c>
      <c r="M5" s="70" t="inlineStr">
        <is>
          <t>WEIGHTAGE — six ratings × the Weightage Matrix = the score, live</t>
        </is>
      </c>
      <c r="V5" s="71" t="inlineStr">
        <is>
          <t>WHY THIS LEVEL — the full reasoning</t>
        </is>
      </c>
      <c r="Y5" s="72" t="inlineStr">
        <is>
          <t>EVIDENCE, FLAGS &amp; INPUTS</t>
        </is>
      </c>
      <c r="AC5" s="73" t="inlineStr">
        <is>
          <t>YOUR VALIDATION</t>
        </is>
      </c>
    </row>
    <row r="6" ht="44" customHeight="1">
      <c r="A6" s="74" t="inlineStr">
        <is>
          <t>Emp ID</t>
        </is>
      </c>
      <c r="B6" s="74" t="inlineStr">
        <is>
          <t>Employee name</t>
        </is>
      </c>
      <c r="C6" s="74" t="inlineStr">
        <is>
          <t>Department</t>
        </is>
      </c>
      <c r="D6" s="8" t="inlineStr">
        <is>
          <t>Current designation</t>
        </is>
      </c>
      <c r="E6" s="8" t="inlineStr">
        <is>
          <t>New designation</t>
        </is>
      </c>
      <c r="F6" s="8" t="inlineStr">
        <is>
          <t>Job family</t>
        </is>
      </c>
      <c r="G6" s="8" t="inlineStr">
        <is>
          <t>Sub-family</t>
        </is>
      </c>
      <c r="H6" s="8" t="inlineStr">
        <is>
          <t>Track</t>
        </is>
      </c>
      <c r="I6" s="8" t="inlineStr">
        <is>
          <t>Current level</t>
        </is>
      </c>
      <c r="J6" s="8" t="inlineStr">
        <is>
          <t>NEW LEVEL</t>
        </is>
      </c>
      <c r="K6" s="8" t="inlineStr">
        <is>
          <t>Level title</t>
        </is>
      </c>
      <c r="L6" s="8" t="inlineStr">
        <is>
          <t>Change vs current</t>
        </is>
      </c>
      <c r="M6" s="75" t="inlineStr">
        <is>
          <t>Weight row — Weightage Matrix</t>
        </is>
      </c>
      <c r="N6" s="75" t="inlineStr">
        <is>
          <t>Complexity rating</t>
        </is>
      </c>
      <c r="O6" s="75" t="inlineStr">
        <is>
          <t>Autonomy rating</t>
        </is>
      </c>
      <c r="P6" s="75" t="inlineStr">
        <is>
          <t>Accountab. rating</t>
        </is>
      </c>
      <c r="Q6" s="75" t="inlineStr">
        <is>
          <t>Leadership rating</t>
        </is>
      </c>
      <c r="R6" s="75" t="inlineStr">
        <is>
          <t>Exp + Qual rating</t>
        </is>
      </c>
      <c r="S6" s="75" t="inlineStr">
        <is>
          <t>Bus. Impact rating</t>
        </is>
      </c>
      <c r="T6" s="75" t="inlineStr">
        <is>
          <t>Score</t>
        </is>
      </c>
      <c r="U6" s="75" t="inlineStr">
        <is>
          <t>Level the score indicates</t>
        </is>
      </c>
      <c r="V6" s="76" t="inlineStr">
        <is>
          <t>Why this level</t>
        </is>
      </c>
      <c r="W6" s="76" t="inlineStr">
        <is>
          <t>How each factor was rated · rating of 12 — starting point and evidence</t>
        </is>
      </c>
      <c r="X6" s="76" t="inlineStr">
        <is>
          <t>Market comparison</t>
        </is>
      </c>
      <c r="Y6" s="77" t="inlineStr">
        <is>
          <t>Data behind the placement</t>
        </is>
      </c>
      <c r="Z6" s="77" t="inlineStr">
        <is>
          <t>Points for your attention</t>
        </is>
      </c>
      <c r="AA6" s="77" t="inlineStr">
        <is>
          <t>Input still needed — and who provides it</t>
        </is>
      </c>
      <c r="AB6" s="77" t="inlineStr">
        <is>
          <t>Business impact — from survey and data</t>
        </is>
      </c>
      <c r="AC6" s="78" t="inlineStr">
        <is>
          <t>Your view</t>
        </is>
      </c>
      <c r="AD6" s="78" t="inlineStr">
        <is>
          <t>If change: proposed level / designation, and why</t>
        </is>
      </c>
      <c r="AE6" s="78" t="inlineStr">
        <is>
          <t>Business impact of this person — your view</t>
        </is>
      </c>
      <c r="AF6" s="78" t="inlineStr">
        <is>
          <t>Bus. Impact — model start</t>
        </is>
      </c>
    </row>
    <row r="7" ht="353" customHeight="1">
      <c r="A7" s="12" t="inlineStr">
        <is>
          <t>IRIS1326</t>
        </is>
      </c>
      <c r="B7" s="10" t="inlineStr">
        <is>
          <t>Sujit Acharya</t>
        </is>
      </c>
      <c r="C7" s="12" t="inlineStr">
        <is>
          <t>Administration</t>
        </is>
      </c>
      <c r="D7" s="12" t="inlineStr">
        <is>
          <t>Manager Administration</t>
        </is>
      </c>
      <c r="E7" s="79" t="inlineStr">
        <is>
          <t>Manager – Administration</t>
        </is>
      </c>
      <c r="F7" s="12" t="inlineStr">
        <is>
          <t>Administration, Legal &amp; Secretarial</t>
        </is>
      </c>
      <c r="G7" s="12" t="inlineStr">
        <is>
          <t>Administration &amp; Facilities</t>
        </is>
      </c>
      <c r="H7" s="12" t="inlineStr">
        <is>
          <t>People Manager</t>
        </is>
      </c>
      <c r="I7" s="42" t="inlineStr">
        <is>
          <t>Not in current mapping files</t>
        </is>
      </c>
      <c r="J7" s="20" t="inlineStr">
        <is>
          <t>B2</t>
        </is>
      </c>
      <c r="K7" s="21" t="inlineStr">
        <is>
          <t>Manager</t>
        </is>
      </c>
      <c r="L7" s="80" t="inlineStr">
        <is>
          <t>● Newly mapped</t>
        </is>
      </c>
      <c r="M7" s="12" t="inlineStr">
        <is>
          <t>Corporate · Administration · Band B · People Manager</t>
        </is>
      </c>
      <c r="N7" s="42" t="n">
        <v>4</v>
      </c>
      <c r="O7" s="42" t="n">
        <v>4</v>
      </c>
      <c r="P7" s="42" t="n">
        <v>4</v>
      </c>
      <c r="Q7" s="42" t="n">
        <v>3.5</v>
      </c>
      <c r="R7" s="42" t="n">
        <v>10</v>
      </c>
      <c r="S7" s="81" t="n">
        <v>4</v>
      </c>
      <c r="T7" s="82">
        <f>IF(OR($M7="",COUNT(N7,O7,P7,Q7,R7,S7)&lt;6),"",IFERROR(N7*INDEX(WM_C,MATCH($M7,WM_KEY,0))+O7*INDEX(WM_AU,MATCH($M7,WM_KEY,0))+P7*INDEX(WM_AC,MATCH($M7,WM_KEY,0))+Q7*INDEX(WM_L,MATCH($M7,WM_KEY,0))+R7*INDEX(WM_E,MATCH($M7,WM_KEY,0))+S7*INDEX(WM_BI,MATCH($M7,WM_KEY,0)),""))</f>
        <v>4.825</v>
      </c>
      <c r="U7" s="42" t="str">
        <f>IF(T7="","",INDEX({"A1","A2","A3","B1","B2","B3","C1","C2","D1","D2","E1","E2"},MAX(1,MIN(12,ROUND(T7,0)))))</f>
        <v>B2</v>
      </c>
      <c r="V7" s="12" t="inlineStr">
        <is>
          <r>
            <rPr>
              <rFont val="Calibri"/>
              <sz val="10"/>
            </rPr>
            <t xml:space="preserve">New level B2 · Manager. Current level on record: Not in current mapping files. Change: ● Newly mapped.
Score 4.83 on the ladder scale → indicated level B2.
</t>
          </r>
          <r>
            <rPr>
              <rFont val="Calibri"/>
              <b val="1"/>
              <sz val="10"/>
            </rPr>
            <t>Weights:</t>
          </r>
          <r>
            <rPr>
              <rFont val="Calibri"/>
              <sz val="10"/>
            </rPr>
            <t xml:space="preserve"> Complexity 32% · Autonomy 18% · Leadership 15% · Experience 15% · Accountability 11% · Business impact 9%
</t>
          </r>
          <r>
            <rPr>
              <rFont val="Calibri"/>
              <b val="1"/>
              <sz val="10"/>
            </rPr>
            <t>Why:</t>
          </r>
          <r>
            <rPr>
              <rFont val="Calibri"/>
              <sz val="10"/>
            </rPr>
            <t xml:space="preserve"> a manager's results come through the team, so Leadership rises to 15% and Complexity falls; autonomy, accountability and impact rise.
</t>
          </r>
          <r>
            <rPr>
              <rFont val="Calibri"/>
              <b val="1"/>
              <sz val="10"/>
            </rPr>
            <t>Type of work in the department:</t>
          </r>
          <r>
            <rPr>
              <rFont val="Calibri"/>
              <sz val="10"/>
            </rPr>
            <t xml:space="preserve"> corporate functions rely on professional qualifications such as CA, CS or law, so Experience &amp; Qualification +5 and Complexity −5.
</t>
          </r>
          <r>
            <rPr>
              <rFont val="Calibri"/>
              <b val="1"/>
              <sz val="10"/>
            </rPr>
            <t>Live:</t>
          </r>
          <r>
            <rPr>
              <rFont val="Calibri"/>
              <sz val="10"/>
            </rPr>
            <t xml:space="preserve"> change the department's row on the Weightage Matrix and these weights, the points and the score update.
</t>
          </r>
          <r>
            <rPr>
              <rFont val="Calibri"/>
              <b val="1"/>
              <sz val="10"/>
            </rPr>
            <t>What decided the final level:</t>
          </r>
          <r>
            <rPr>
              <rFont val="Calibri"/>
              <sz val="10"/>
            </rPr>
            <t xml:space="preserve"> the score itself — no rule changed it.</t>
          </r>
        </is>
      </c>
      <c r="W7" s="12" t="inlineStr">
        <is>
          <r>
            <rPr>
              <rFont val="Calibri"/>
              <b val="1"/>
              <sz val="10"/>
            </rPr>
            <t>Complexity &amp; Expertise:</t>
          </r>
          <r>
            <rPr>
              <rFont val="Calibri"/>
              <sz val="10"/>
            </rPr>
            <t xml:space="preserve"> 4 of 12 — Start: 5.0 · manager / senior specialist title; Evidence reads like A3: Runs travel, facilities, vendor contracts, billing and procurement; negotiates routine rates within policy → moved down 1
</t>
          </r>
          <r>
            <rPr>
              <rFont val="Calibri"/>
              <b val="1"/>
              <sz val="10"/>
            </rPr>
            <t>Autonomy &amp; Decision:</t>
          </r>
          <r>
            <rPr>
              <rFont val="Calibri"/>
              <sz val="10"/>
            </rPr>
            <t xml:space="preserve"> 4 of 12 — Start: 5.0 · manager / senior specialist title; Evidence reads like A3: Selects from approved vendors, negotiates routine rates, schedules maintenance within delegated authority → moved down 1
</t>
          </r>
          <r>
            <rPr>
              <rFont val="Calibri"/>
              <b val="1"/>
              <sz val="10"/>
            </rPr>
            <t>Accountability &amp; Impact:</t>
          </r>
          <r>
            <rPr>
              <rFont val="Calibri"/>
              <sz val="10"/>
            </rPr>
            <t xml:space="preserve"> 4 of 12 — Start: 4.5 · manager / senior specialist title; 5 direct reports; Evidence reads like B1: Owns admin area: cost, quality, timeliness of travel, vendor services, maintenance, procurement → moved down 0.5
</t>
          </r>
          <r>
            <rPr>
              <rFont val="Calibri"/>
              <b val="1"/>
              <sz val="10"/>
            </rPr>
            <t>Leadership &amp; Strategy:</t>
          </r>
          <r>
            <rPr>
              <rFont val="Calibri"/>
              <sz val="10"/>
            </rPr>
            <t xml:space="preserve"> 3.5 of 12 · between A3 and B1 — Start: 4.0; Evidence reads like A3: HR shows 5 reports, but text describes no allocation, review or coaching → moved down 0.5; Team: 5 direct reports · People Manager
</t>
          </r>
          <r>
            <rPr>
              <rFont val="Calibri"/>
              <b val="1"/>
              <sz val="10"/>
            </rPr>
            <t>Experience &amp; Qualification:</t>
          </r>
          <r>
            <rPr>
              <rFont val="Calibri"/>
              <sz val="10"/>
            </rPr>
            <t xml:space="preserve"> 10 of 12 — Experience: 21.7 yrs total · 8.2 before IRIS + 13.5 at IRIS = 10.2 on the experience scale; Qualification: B.Com · graduate → no change
</t>
          </r>
          <r>
            <rPr>
              <rFont val="Calibri"/>
              <b val="1"/>
              <sz val="10"/>
            </rPr>
            <t>Business Impact:</t>
          </r>
          <r>
            <rPr>
              <rFont val="Calibri"/>
              <sz val="10"/>
            </rPr>
            <t xml:space="preserve"> 4 of 12 — a starting estimate. — Start: 4, the role's accountability scope — what it answers for.; No survey or manager-mapping signal on criticality: kept at the start point.; Managers and heads: overwrite this rating on the Weightage sheet with the business impact you see — the score updates at once.; Ladder: B1 = Moves a module's, product area's or client account's results</t>
          </r>
        </is>
      </c>
      <c r="X7" s="12" t="inlineStr">
        <is>
          <r>
            <rPr>
              <rFont val="Calibri"/>
              <b val="1"/>
              <sz val="10"/>
            </rPr>
            <t>Market level:</t>
          </r>
          <r>
            <rPr>
              <rFont val="Calibri"/>
              <sz val="10"/>
            </rPr>
            <t xml:space="preserve"> P4 / M3 · SFIA 4–5
</t>
          </r>
          <r>
            <rPr>
              <rFont val="Calibri"/>
              <b val="1"/>
              <sz val="10"/>
            </rPr>
            <t>Typical title:</t>
          </r>
          <r>
            <rPr>
              <rFont val="Calibri"/>
              <sz val="10"/>
            </rPr>
            <t xml:space="preserve"> Manager
</t>
          </r>
          <r>
            <rPr>
              <rFont val="Calibri"/>
              <b val="1"/>
              <sz val="10"/>
            </rPr>
            <t>At peers:</t>
          </r>
          <r>
            <rPr>
              <rFont val="Calibri"/>
              <sz val="10"/>
            </rPr>
            <t xml:space="preserve"> IRIS Vs Competitor Benchmark — corporate services ladder: Manager
</t>
          </r>
          <r>
            <rPr>
              <rFont val="Calibri"/>
              <b val="1"/>
              <sz val="10"/>
            </rPr>
            <t>Typical experience:</t>
          </r>
          <r>
            <rPr>
              <rFont val="Calibri"/>
              <sz val="10"/>
            </rPr>
            <t xml:space="preserve"> 6–10 yrs · IRIS guide 6–9
</t>
          </r>
          <r>
            <rPr>
              <rFont val="Calibri"/>
              <b val="1"/>
              <sz val="10"/>
            </rPr>
            <t>Standard:</t>
          </r>
          <r>
            <rPr>
              <rFont val="Calibri"/>
              <sz val="10"/>
            </rPr>
            <t xml:space="preserve"> ICSI; Companies Act 2013</t>
          </r>
        </is>
      </c>
      <c r="Y7" s="12" t="inlineStr">
        <is>
          <r>
            <rPr>
              <rFont val="Calibri"/>
              <sz val="10"/>
            </rPr>
            <t xml:space="preserve">✓ HRIS: 21.7 yrs, B.Com, 5 direct reports
✓ Survey: 20 of 20 questions answered
✗ KRAs: none on file
✓ Manager mapping: rating, 9-box
✗ Job description: not on file
</t>
          </r>
          <r>
            <rPr>
              <rFont val="Calibri"/>
              <b val="1"/>
              <sz val="10"/>
            </rPr>
            <t>Confidence:</t>
          </r>
          <r>
            <rPr>
              <rFont val="Calibri"/>
              <sz val="10"/>
            </rPr>
            <t xml:space="preserve"> High</t>
          </r>
        </is>
      </c>
      <c r="Z7" s="12" t="inlineStr">
        <is>
          <t>—</t>
        </is>
      </c>
      <c r="AA7" s="12" t="inlineStr">
        <is>
          <t>Nothing outstanding</t>
        </is>
      </c>
      <c r="AB7" s="12" t="inlineStr">
        <is>
          <r>
            <rPr>
              <rFont val="Calibri"/>
              <b val="1"/>
              <sz val="10"/>
            </rPr>
            <t>What the role answers for:</t>
          </r>
          <r>
            <rPr>
              <rFont val="Calibri"/>
              <sz val="10"/>
            </rPr>
            <t xml:space="preserve"> One team or a client portfolio.
</t>
          </r>
          <r>
            <rPr>
              <rFont val="Calibri"/>
              <b val="1"/>
              <sz val="10"/>
            </rPr>
            <t>Accountability &amp; Impact rating:</t>
          </r>
          <r>
            <rPr>
              <rFont val="Calibri"/>
              <sz val="10"/>
            </rPr>
            <t xml:space="preserve"> 4 of 12 · B1-level impact.
Leads 5 direct reports.
Manager talent mapping — Latest rating: Not rated · manager · 9-Box Grid placement: Not placed · manager.</t>
          </r>
        </is>
      </c>
      <c r="AC7" s="83" t="n"/>
      <c r="AD7" s="83" t="n"/>
      <c r="AE7" s="83" t="n"/>
      <c r="AF7" s="12" t="n">
        <v>4</v>
      </c>
    </row>
    <row r="8" ht="353" customHeight="1">
      <c r="A8" s="12" t="inlineStr">
        <is>
          <t>IRIS2431</t>
        </is>
      </c>
      <c r="B8" s="10" t="inlineStr">
        <is>
          <t>Ashish Pawar</t>
        </is>
      </c>
      <c r="C8" s="12" t="inlineStr">
        <is>
          <t>Administration</t>
        </is>
      </c>
      <c r="D8" s="12" t="inlineStr">
        <is>
          <t>Executive Administration</t>
        </is>
      </c>
      <c r="E8" s="79" t="inlineStr">
        <is>
          <t>Senior Administration Executive</t>
        </is>
      </c>
      <c r="F8" s="12" t="inlineStr">
        <is>
          <t>Administration, Legal &amp; Secretarial</t>
        </is>
      </c>
      <c r="G8" s="12" t="inlineStr">
        <is>
          <t>Administration &amp; Facilities</t>
        </is>
      </c>
      <c r="H8" s="12" t="inlineStr">
        <is>
          <t>IC</t>
        </is>
      </c>
      <c r="I8" s="42" t="inlineStr">
        <is>
          <t>Not in current mapping files</t>
        </is>
      </c>
      <c r="J8" s="16" t="inlineStr">
        <is>
          <t>A3</t>
        </is>
      </c>
      <c r="K8" s="17" t="inlineStr">
        <is>
          <t>Senior Associate</t>
        </is>
      </c>
      <c r="L8" s="80" t="inlineStr">
        <is>
          <t>● Newly mapped</t>
        </is>
      </c>
      <c r="M8" s="12" t="inlineStr">
        <is>
          <t>Corporate · Administration · Band A · Early career</t>
        </is>
      </c>
      <c r="N8" s="42" t="n">
        <v>2</v>
      </c>
      <c r="O8" s="42" t="n">
        <v>2</v>
      </c>
      <c r="P8" s="42" t="n">
        <v>2</v>
      </c>
      <c r="Q8" s="42" t="n">
        <v>1</v>
      </c>
      <c r="R8" s="42" t="n">
        <v>7.5</v>
      </c>
      <c r="S8" s="81" t="n">
        <v>2</v>
      </c>
      <c r="T8" s="82">
        <f>IF(OR($M8="",COUNT(N8,O8,P8,Q8,R8,S8)&lt;6),"",IFERROR(N8*INDEX(WM_C,MATCH($M8,WM_KEY,0))+O8*INDEX(WM_AU,MATCH($M8,WM_KEY,0))+P8*INDEX(WM_AC,MATCH($M8,WM_KEY,0))+Q8*INDEX(WM_L,MATCH($M8,WM_KEY,0))+R8*INDEX(WM_E,MATCH($M8,WM_KEY,0))+S8*INDEX(WM_BI,MATCH($M8,WM_KEY,0)),""))</f>
        <v>2.825</v>
      </c>
      <c r="U8" s="42" t="str">
        <f>IF(T8="","",INDEX({"A1","A2","A3","B1","B2","B3","C1","C2","D1","D2","E1","E2"},MAX(1,MIN(12,ROUND(T8,0)))))</f>
        <v>A3</v>
      </c>
      <c r="V8" s="12" t="inlineStr">
        <is>
          <r>
            <rPr>
              <rFont val="Calibri"/>
              <sz val="10"/>
            </rPr>
            <t xml:space="preserve">New level A3 · Senior Associate. Current level on record: Not in current mapping files. Change: ● Newly mapped.
Score 2.83 on the ladder scale → indicated level A3.
</t>
          </r>
          <r>
            <rPr>
              <rFont val="Calibri"/>
              <b val="1"/>
              <sz val="10"/>
            </rPr>
            <t>Weights:</t>
          </r>
          <r>
            <rPr>
              <rFont val="Calibri"/>
              <sz val="10"/>
            </rPr>
            <t xml:space="preserve"> Complexity 54% · Autonomy 16% · Experience 15% · Accountability 9% · Business impact 6% · Leadership 0%
</t>
          </r>
          <r>
            <rPr>
              <rFont val="Calibri"/>
              <b val="1"/>
              <sz val="10"/>
            </rPr>
            <t>Why:</t>
          </r>
          <r>
            <rPr>
              <rFont val="Calibri"/>
              <sz val="10"/>
            </rPr>
            <t xml:space="preserve"> entry and practitioner work is judged mainly on the knowledge and problem solving the work needs; leading others is not expected yet, so Leadership counts 0%.
</t>
          </r>
          <r>
            <rPr>
              <rFont val="Calibri"/>
              <b val="1"/>
              <sz val="10"/>
            </rPr>
            <t>Type of work in the department:</t>
          </r>
          <r>
            <rPr>
              <rFont val="Calibri"/>
              <sz val="10"/>
            </rPr>
            <t xml:space="preserve"> corporate functions rely on professional qualifications such as CA, CS or law, so Experience &amp; Qualification +5 and Complexity −5.
</t>
          </r>
          <r>
            <rPr>
              <rFont val="Calibri"/>
              <b val="1"/>
              <sz val="10"/>
            </rPr>
            <t>Live:</t>
          </r>
          <r>
            <rPr>
              <rFont val="Calibri"/>
              <sz val="10"/>
            </rPr>
            <t xml:space="preserve"> change the department's row on the Weightage Matrix and these weights, the points and the score update.
</t>
          </r>
          <r>
            <rPr>
              <rFont val="Calibri"/>
              <b val="1"/>
              <sz val="10"/>
            </rPr>
            <t>What decided the final level:</t>
          </r>
          <r>
            <rPr>
              <rFont val="Calibri"/>
              <sz val="10"/>
            </rPr>
            <t xml:space="preserve"> the score itself — no rule changed it.</t>
          </r>
        </is>
      </c>
      <c r="W8" s="12" t="inlineStr">
        <is>
          <r>
            <rPr>
              <rFont val="Calibri"/>
              <b val="1"/>
              <sz val="10"/>
            </rPr>
            <t>Complexity &amp; Expertise:</t>
          </r>
          <r>
            <rPr>
              <rFont val="Calibri"/>
              <sz val="10"/>
            </rPr>
            <t xml:space="preserve"> 2 of 12 — Start: 2.0 · practitioner title; Evidence reads like A2: own survey / KRA answers · summarised by the rater; not quoted → matches the start
</t>
          </r>
          <r>
            <rPr>
              <rFont val="Calibri"/>
              <b val="1"/>
              <sz val="10"/>
            </rPr>
            <t>Autonomy &amp; Decision:</t>
          </r>
          <r>
            <rPr>
              <rFont val="Calibri"/>
              <sz val="10"/>
            </rPr>
            <t xml:space="preserve"> 2 of 12 — Start: 2.0 · practitioner title; Evidence reads like A2: States 'routine decisions' only → matches the start
</t>
          </r>
          <r>
            <rPr>
              <rFont val="Calibri"/>
              <b val="1"/>
              <sz val="10"/>
            </rPr>
            <t>Accountability &amp; Impact:</t>
          </r>
          <r>
            <rPr>
              <rFont val="Calibri"/>
              <sz val="10"/>
            </rPr>
            <t xml:space="preserve"> 2 of 12 — Start: 2.0 · practitioner title; Evidence reads like A2: Own admin support and vendor coordination; errors cause delays or extra cost → matches the start
</t>
          </r>
          <r>
            <rPr>
              <rFont val="Calibri"/>
              <b val="1"/>
              <sz val="10"/>
            </rPr>
            <t>Leadership &amp; Strategy:</t>
          </r>
          <r>
            <rPr>
              <rFont val="Calibri"/>
              <sz val="10"/>
            </rPr>
            <t xml:space="preserve"> 1 of 12 — not counted: the weight is 0% at this level — Start: 1.0 · individual contributor, so influence only; Evidence reads like A1: No guidance or leadership of others described → matches the start; Team: 0 direct reports · IC
</t>
          </r>
          <r>
            <rPr>
              <rFont val="Calibri"/>
              <b val="1"/>
              <sz val="10"/>
            </rPr>
            <t>Experience &amp; Qualification:</t>
          </r>
          <r>
            <rPr>
              <rFont val="Calibri"/>
              <sz val="10"/>
            </rPr>
            <t xml:space="preserve"> 7.5 of 12 · between C1 and C2 — Experience: 13.2 yrs total · 12.2 before IRIS + 1.0 at IRIS = 7.5 on the experience scale; Qualification: BA · graduate → no change
</t>
          </r>
          <r>
            <rPr>
              <rFont val="Calibri"/>
              <b val="1"/>
              <sz val="10"/>
            </rPr>
            <t>Business Impact:</t>
          </r>
          <r>
            <rPr>
              <rFont val="Calibri"/>
              <sz val="10"/>
            </rPr>
            <t xml:space="preserve"> 2 of 12 — a starting estimate. — Start: 2, the role's accountability scope — what it answers for.; No survey or manager-mapping signal on criticality: kept at the start point.; Managers and heads: overwrite this rating on the Weightage sheet with the business impact you see — the score updates at once.; Ladder: A2 = Own deliverables feed a team's output and turnaround</t>
          </r>
        </is>
      </c>
      <c r="X8" s="12" t="inlineStr">
        <is>
          <r>
            <rPr>
              <rFont val="Calibri"/>
              <b val="1"/>
              <sz val="10"/>
            </rPr>
            <t>Market level:</t>
          </r>
          <r>
            <rPr>
              <rFont val="Calibri"/>
              <sz val="10"/>
            </rPr>
            <t xml:space="preserve"> P2 · SFIA 3 Apply
</t>
          </r>
          <r>
            <rPr>
              <rFont val="Calibri"/>
              <b val="1"/>
              <sz val="10"/>
            </rPr>
            <t>Typical title:</t>
          </r>
          <r>
            <rPr>
              <rFont val="Calibri"/>
              <sz val="10"/>
            </rPr>
            <t xml:space="preserve"> Admin / Secretarial Executive
</t>
          </r>
          <r>
            <rPr>
              <rFont val="Calibri"/>
              <b val="1"/>
              <sz val="10"/>
            </rPr>
            <t>At peers:</t>
          </r>
          <r>
            <rPr>
              <rFont val="Calibri"/>
              <sz val="10"/>
            </rPr>
            <t xml:space="preserve"> IRIS Vs Competitor Benchmark — corporate services ladder: Senior Executive
</t>
          </r>
          <r>
            <rPr>
              <rFont val="Calibri"/>
              <b val="1"/>
              <sz val="10"/>
            </rPr>
            <t>Typical experience:</t>
          </r>
          <r>
            <rPr>
              <rFont val="Calibri"/>
              <sz val="10"/>
            </rPr>
            <t xml:space="preserve"> 2–5 yrs · IRIS guide 2–4
</t>
          </r>
          <r>
            <rPr>
              <rFont val="Calibri"/>
              <b val="1"/>
              <sz val="10"/>
            </rPr>
            <t>Standard:</t>
          </r>
          <r>
            <rPr>
              <rFont val="Calibri"/>
              <sz val="10"/>
            </rPr>
            <t xml:space="preserve"> ICSI; Companies Act 2013</t>
          </r>
        </is>
      </c>
      <c r="Y8" s="12" t="inlineStr">
        <is>
          <r>
            <rPr>
              <rFont val="Calibri"/>
              <sz val="10"/>
            </rPr>
            <t xml:space="preserve">✓ HRIS: 13.2 yrs, BA, 0 direct reports
✓ Survey: 19 of 20 questions answered
✗ KRAs: none on file
✓ Manager mapping: rating, 9-box
✗ Job description: not on file
</t>
          </r>
          <r>
            <rPr>
              <rFont val="Calibri"/>
              <b val="1"/>
              <sz val="10"/>
            </rPr>
            <t>Confidence:</t>
          </r>
          <r>
            <rPr>
              <rFont val="Calibri"/>
              <sz val="10"/>
            </rPr>
            <t xml:space="preserve"> Medium</t>
          </r>
        </is>
      </c>
      <c r="Z8" s="12" t="inlineStr">
        <is>
          <t>—</t>
        </is>
      </c>
      <c r="AA8" s="12" t="inlineStr">
        <is>
          <t>Nothing outstanding</t>
        </is>
      </c>
      <c r="AB8" s="12" t="inlineStr">
        <is>
          <r>
            <rPr>
              <rFont val="Calibri"/>
              <b val="1"/>
              <sz val="10"/>
            </rPr>
            <t>What the role answers for:</t>
          </r>
          <r>
            <rPr>
              <rFont val="Calibri"/>
              <sz val="10"/>
            </rPr>
            <t xml:space="preserve"> A module / process, or work with client or regulatory consequences.
</t>
          </r>
          <r>
            <rPr>
              <rFont val="Calibri"/>
              <b val="1"/>
              <sz val="10"/>
            </rPr>
            <t>Accountability &amp; Impact rating:</t>
          </r>
          <r>
            <rPr>
              <rFont val="Calibri"/>
              <sz val="10"/>
            </rPr>
            <t xml:space="preserve"> 2 of 12 · A2-level impact.
Manager talent mapping — Latest rating: Not rated · manager · 9-Box Grid placement: Not placed · manager.</t>
          </r>
        </is>
      </c>
      <c r="AC8" s="83" t="n"/>
      <c r="AD8" s="83" t="n"/>
      <c r="AE8" s="83" t="n"/>
      <c r="AF8" s="12" t="n">
        <v>2</v>
      </c>
    </row>
    <row r="9" ht="353" customHeight="1">
      <c r="A9" s="12" t="inlineStr">
        <is>
          <t>IRIS0020</t>
        </is>
      </c>
      <c r="B9" s="10" t="inlineStr">
        <is>
          <t>Mangesh Kosty</t>
        </is>
      </c>
      <c r="C9" s="12" t="inlineStr">
        <is>
          <t>Administration</t>
        </is>
      </c>
      <c r="D9" s="12" t="inlineStr">
        <is>
          <t>Executive Administration</t>
        </is>
      </c>
      <c r="E9" s="79" t="inlineStr">
        <is>
          <t>Senior Administration Executive</t>
        </is>
      </c>
      <c r="F9" s="12" t="inlineStr">
        <is>
          <t>Administration, Legal &amp; Secretarial</t>
        </is>
      </c>
      <c r="G9" s="12" t="inlineStr">
        <is>
          <t>Administration &amp; Facilities</t>
        </is>
      </c>
      <c r="H9" s="12" t="inlineStr">
        <is>
          <t>IC</t>
        </is>
      </c>
      <c r="I9" s="42" t="inlineStr">
        <is>
          <t>Not in current mapping files</t>
        </is>
      </c>
      <c r="J9" s="16" t="inlineStr">
        <is>
          <t>A3</t>
        </is>
      </c>
      <c r="K9" s="17" t="inlineStr">
        <is>
          <t>Senior Associate</t>
        </is>
      </c>
      <c r="L9" s="80" t="inlineStr">
        <is>
          <t>● Newly mapped</t>
        </is>
      </c>
      <c r="M9" s="12" t="inlineStr">
        <is>
          <t>Corporate · Administration · Band A · Early career</t>
        </is>
      </c>
      <c r="N9" s="42" t="n">
        <v>2</v>
      </c>
      <c r="O9" s="42" t="n">
        <v>2</v>
      </c>
      <c r="P9" s="42" t="n">
        <v>2</v>
      </c>
      <c r="Q9" s="42" t="n">
        <v>1</v>
      </c>
      <c r="R9" s="42" t="n">
        <v>9.5</v>
      </c>
      <c r="S9" s="81" t="n">
        <v>2</v>
      </c>
      <c r="T9" s="82">
        <f>IF(OR($M9="",COUNT(N9,O9,P9,Q9,R9,S9)&lt;6),"",IFERROR(N9*INDEX(WM_C,MATCH($M9,WM_KEY,0))+O9*INDEX(WM_AU,MATCH($M9,WM_KEY,0))+P9*INDEX(WM_AC,MATCH($M9,WM_KEY,0))+Q9*INDEX(WM_L,MATCH($M9,WM_KEY,0))+R9*INDEX(WM_E,MATCH($M9,WM_KEY,0))+S9*INDEX(WM_BI,MATCH($M9,WM_KEY,0)),""))</f>
        <v>3.125</v>
      </c>
      <c r="U9" s="42" t="str">
        <f>IF(T9="","",INDEX({"A1","A2","A3","B1","B2","B3","C1","C2","D1","D2","E1","E2"},MAX(1,MIN(12,ROUND(T9,0)))))</f>
        <v>A3</v>
      </c>
      <c r="V9" s="12" t="inlineStr">
        <is>
          <r>
            <rPr>
              <rFont val="Calibri"/>
              <sz val="10"/>
            </rPr>
            <t xml:space="preserve">New level A3 · Senior Associate. Current level on record: Not in current mapping files. Change: ● Newly mapped.
Score 3.12 on the ladder scale → indicated level A3.
</t>
          </r>
          <r>
            <rPr>
              <rFont val="Calibri"/>
              <b val="1"/>
              <sz val="10"/>
            </rPr>
            <t>Weights:</t>
          </r>
          <r>
            <rPr>
              <rFont val="Calibri"/>
              <sz val="10"/>
            </rPr>
            <t xml:space="preserve"> Complexity 54% · Autonomy 16% · Experience 15% · Accountability 9% · Business impact 6% · Leadership 0%
</t>
          </r>
          <r>
            <rPr>
              <rFont val="Calibri"/>
              <b val="1"/>
              <sz val="10"/>
            </rPr>
            <t>Why:</t>
          </r>
          <r>
            <rPr>
              <rFont val="Calibri"/>
              <sz val="10"/>
            </rPr>
            <t xml:space="preserve"> entry and practitioner work is judged mainly on the knowledge and problem solving the work needs; leading others is not expected yet, so Leadership counts 0%.
</t>
          </r>
          <r>
            <rPr>
              <rFont val="Calibri"/>
              <b val="1"/>
              <sz val="10"/>
            </rPr>
            <t>Type of work in the department:</t>
          </r>
          <r>
            <rPr>
              <rFont val="Calibri"/>
              <sz val="10"/>
            </rPr>
            <t xml:space="preserve"> corporate functions rely on professional qualifications such as CA, CS or law, so Experience &amp; Qualification +5 and Complexity −5.
</t>
          </r>
          <r>
            <rPr>
              <rFont val="Calibri"/>
              <b val="1"/>
              <sz val="10"/>
            </rPr>
            <t>Live:</t>
          </r>
          <r>
            <rPr>
              <rFont val="Calibri"/>
              <sz val="10"/>
            </rPr>
            <t xml:space="preserve"> change the department's row on the Weightage Matrix and these weights, the points and the score update.
</t>
          </r>
          <r>
            <rPr>
              <rFont val="Calibri"/>
              <b val="1"/>
              <sz val="10"/>
            </rPr>
            <t>What decided the final level:</t>
          </r>
          <r>
            <rPr>
              <rFont val="Calibri"/>
              <sz val="10"/>
            </rPr>
            <t xml:space="preserve"> the score itself — no rule changed it.</t>
          </r>
        </is>
      </c>
      <c r="W9" s="12" t="inlineStr">
        <is>
          <r>
            <rPr>
              <rFont val="Calibri"/>
              <b val="1"/>
              <sz val="10"/>
            </rPr>
            <t>Complexity &amp; Expertise:</t>
          </r>
          <r>
            <rPr>
              <rFont val="Calibri"/>
              <sz val="10"/>
            </rPr>
            <t xml:space="preserve"> 2 of 12 — Start: 2.0 · practitioner title; Evidence: no survey answers or KRAs on file → rating stays at the start
</t>
          </r>
          <r>
            <rPr>
              <rFont val="Calibri"/>
              <b val="1"/>
              <sz val="10"/>
            </rPr>
            <t>Autonomy &amp; Decision:</t>
          </r>
          <r>
            <rPr>
              <rFont val="Calibri"/>
              <sz val="10"/>
            </rPr>
            <t xml:space="preserve"> 2 of 12 — Start: 2.0 · practitioner title; Evidence: no survey answers or KRAs on file → rating stays at the start
</t>
          </r>
          <r>
            <rPr>
              <rFont val="Calibri"/>
              <b val="1"/>
              <sz val="10"/>
            </rPr>
            <t>Accountability &amp; Impact:</t>
          </r>
          <r>
            <rPr>
              <rFont val="Calibri"/>
              <sz val="10"/>
            </rPr>
            <t xml:space="preserve"> 2 of 12 — Start: 2.0 · practitioner title; Evidence: no survey answers or KRAs on file → rating stays at the start
</t>
          </r>
          <r>
            <rPr>
              <rFont val="Calibri"/>
              <b val="1"/>
              <sz val="10"/>
            </rPr>
            <t>Leadership &amp; Strategy:</t>
          </r>
          <r>
            <rPr>
              <rFont val="Calibri"/>
              <sz val="10"/>
            </rPr>
            <t xml:space="preserve"> 1 of 12 — not counted: the weight is 0% at this level — Start: 1.0 · individual contributor, so influence only; Evidence: no survey answers or KRAs on file → rating stays at the start; Team: 0 direct reports · IC
</t>
          </r>
          <r>
            <rPr>
              <rFont val="Calibri"/>
              <b val="1"/>
              <sz val="10"/>
            </rPr>
            <t>Experience &amp; Qualification:</t>
          </r>
          <r>
            <rPr>
              <rFont val="Calibri"/>
              <sz val="10"/>
            </rPr>
            <t xml:space="preserve"> 9.5 of 12 · between D1 and D2 — Experience: 21.7 yrs total · 21.7 at IRIS; none recorded before IRIS = 10.2 on the experience scale; Note: the record looks incomplete, so this is a minimum · HR to confirm; Qualification: Undergraduate · below graduate → −0.5
</t>
          </r>
          <r>
            <rPr>
              <rFont val="Calibri"/>
              <b val="1"/>
              <sz val="10"/>
            </rPr>
            <t>Business Impact:</t>
          </r>
          <r>
            <rPr>
              <rFont val="Calibri"/>
              <sz val="10"/>
            </rPr>
            <t xml:space="preserve"> 2 of 12 — a starting estimate. — Start: 2, the role's accountability scope — what it answers for.; No survey or manager-mapping signal on criticality: kept at the start point.; Managers and heads: overwrite this rating on the Weightage sheet with the business impact you see — the score updates at once.; Ladder: A2 = Own deliverables feed a team's output and turnaround</t>
          </r>
        </is>
      </c>
      <c r="X9" s="12" t="inlineStr">
        <is>
          <r>
            <rPr>
              <rFont val="Calibri"/>
              <b val="1"/>
              <sz val="10"/>
            </rPr>
            <t>Market level:</t>
          </r>
          <r>
            <rPr>
              <rFont val="Calibri"/>
              <sz val="10"/>
            </rPr>
            <t xml:space="preserve"> P2 · SFIA 3 Apply
</t>
          </r>
          <r>
            <rPr>
              <rFont val="Calibri"/>
              <b val="1"/>
              <sz val="10"/>
            </rPr>
            <t>Typical title:</t>
          </r>
          <r>
            <rPr>
              <rFont val="Calibri"/>
              <sz val="10"/>
            </rPr>
            <t xml:space="preserve"> Admin / Secretarial Executive
</t>
          </r>
          <r>
            <rPr>
              <rFont val="Calibri"/>
              <b val="1"/>
              <sz val="10"/>
            </rPr>
            <t>At peers:</t>
          </r>
          <r>
            <rPr>
              <rFont val="Calibri"/>
              <sz val="10"/>
            </rPr>
            <t xml:space="preserve"> IRIS Vs Competitor Benchmark — corporate services ladder: Senior Executive
</t>
          </r>
          <r>
            <rPr>
              <rFont val="Calibri"/>
              <b val="1"/>
              <sz val="10"/>
            </rPr>
            <t>Typical experience:</t>
          </r>
          <r>
            <rPr>
              <rFont val="Calibri"/>
              <sz val="10"/>
            </rPr>
            <t xml:space="preserve"> 2–5 yrs · IRIS guide 2–4
</t>
          </r>
          <r>
            <rPr>
              <rFont val="Calibri"/>
              <b val="1"/>
              <sz val="10"/>
            </rPr>
            <t>Standard:</t>
          </r>
          <r>
            <rPr>
              <rFont val="Calibri"/>
              <sz val="10"/>
            </rPr>
            <t xml:space="preserve"> ICSI; Companies Act 2013</t>
          </r>
        </is>
      </c>
      <c r="Y9" s="12" t="inlineStr">
        <is>
          <r>
            <rPr>
              <rFont val="Calibri"/>
              <sz val="10"/>
            </rPr>
            <t xml:space="preserve">✓ HRIS: 21.7 yrs, Undergraduate, 0 direct reports
✗ Survey: no response
✗ KRAs: none on file
✓ Manager mapping: rating, 9-box
✗ Job description: not on file
</t>
          </r>
          <r>
            <rPr>
              <rFont val="Calibri"/>
              <b val="1"/>
              <sz val="10"/>
            </rPr>
            <t>Confidence:</t>
          </r>
          <r>
            <rPr>
              <rFont val="Calibri"/>
              <sz val="10"/>
            </rPr>
            <t xml:space="preserve"> Low</t>
          </r>
        </is>
      </c>
      <c r="Z9" s="12" t="inlineStr">
        <is>
          <t>—</t>
        </is>
      </c>
      <c r="AA9" s="84" t="inlineStr">
        <is>
          <t>• Survey response or KRAs describing the work · nothing on file — Employee + manager
• Correct the experience record — HR</t>
        </is>
      </c>
      <c r="AB9" s="12" t="inlineStr">
        <is>
          <r>
            <rPr>
              <rFont val="Calibri"/>
              <b val="1"/>
              <sz val="10"/>
            </rPr>
            <t>What the role answers for:</t>
          </r>
          <r>
            <rPr>
              <rFont val="Calibri"/>
              <sz val="10"/>
            </rPr>
            <t xml:space="preserve"> A module / process, or work with client or regulatory consequences.
</t>
          </r>
          <r>
            <rPr>
              <rFont val="Calibri"/>
              <b val="1"/>
              <sz val="10"/>
            </rPr>
            <t>Accountability &amp; Impact rating:</t>
          </r>
          <r>
            <rPr>
              <rFont val="Calibri"/>
              <sz val="10"/>
            </rPr>
            <t xml:space="preserve"> 2 of 12 · A2-level impact.
Manager talent mapping — Latest rating: Not rated · manager · 9-Box Grid placement: Not placed · manager.</t>
          </r>
        </is>
      </c>
      <c r="AC9" s="83" t="n"/>
      <c r="AD9" s="83" t="n"/>
      <c r="AE9" s="83" t="n"/>
      <c r="AF9" s="12" t="n">
        <v>2</v>
      </c>
    </row>
    <row r="10" ht="379" customHeight="1">
      <c r="A10" s="12" t="inlineStr">
        <is>
          <t>IRIS0021</t>
        </is>
      </c>
      <c r="B10" s="10" t="inlineStr">
        <is>
          <t>Rajesh Khurambe</t>
        </is>
      </c>
      <c r="C10" s="12" t="inlineStr">
        <is>
          <t>Administration</t>
        </is>
      </c>
      <c r="D10" s="12" t="inlineStr">
        <is>
          <t>Executive Administration</t>
        </is>
      </c>
      <c r="E10" s="79" t="inlineStr">
        <is>
          <t>Senior Administration Executive</t>
        </is>
      </c>
      <c r="F10" s="12" t="inlineStr">
        <is>
          <t>Administration, Legal &amp; Secretarial</t>
        </is>
      </c>
      <c r="G10" s="12" t="inlineStr">
        <is>
          <t>Administration &amp; Facilities</t>
        </is>
      </c>
      <c r="H10" s="12" t="inlineStr">
        <is>
          <t>IC</t>
        </is>
      </c>
      <c r="I10" s="42" t="inlineStr">
        <is>
          <t>Not in current mapping files</t>
        </is>
      </c>
      <c r="J10" s="16" t="inlineStr">
        <is>
          <t>A3</t>
        </is>
      </c>
      <c r="K10" s="17" t="inlineStr">
        <is>
          <t>Senior Associate</t>
        </is>
      </c>
      <c r="L10" s="80" t="inlineStr">
        <is>
          <t>● Newly mapped</t>
        </is>
      </c>
      <c r="M10" s="12" t="inlineStr">
        <is>
          <t>Corporate · Administration · Band A · Early career</t>
        </is>
      </c>
      <c r="N10" s="42" t="n">
        <v>2</v>
      </c>
      <c r="O10" s="42" t="n">
        <v>2</v>
      </c>
      <c r="P10" s="42" t="n">
        <v>2</v>
      </c>
      <c r="Q10" s="42" t="n">
        <v>1</v>
      </c>
      <c r="R10" s="42" t="n">
        <v>9.5</v>
      </c>
      <c r="S10" s="81" t="n">
        <v>2</v>
      </c>
      <c r="T10" s="82">
        <f>IF(OR($M10="",COUNT(N10,O10,P10,Q10,R10,S10)&lt;6),"",IFERROR(N10*INDEX(WM_C,MATCH($M10,WM_KEY,0))+O10*INDEX(WM_AU,MATCH($M10,WM_KEY,0))+P10*INDEX(WM_AC,MATCH($M10,WM_KEY,0))+Q10*INDEX(WM_L,MATCH($M10,WM_KEY,0))+R10*INDEX(WM_E,MATCH($M10,WM_KEY,0))+S10*INDEX(WM_BI,MATCH($M10,WM_KEY,0)),""))</f>
        <v>3.125</v>
      </c>
      <c r="U10" s="42" t="str">
        <f>IF(T10="","",INDEX({"A1","A2","A3","B1","B2","B3","C1","C2","D1","D2","E1","E2"},MAX(1,MIN(12,ROUND(T10,0)))))</f>
        <v>A3</v>
      </c>
      <c r="V10" s="12" t="inlineStr">
        <is>
          <r>
            <rPr>
              <rFont val="Calibri"/>
              <sz val="10"/>
            </rPr>
            <t xml:space="preserve">New level A3 · Senior Associate. Current level on record: Not in current mapping files. Change: ● Newly mapped.
Score 3.12 on the ladder scale → indicated level A3.
</t>
          </r>
          <r>
            <rPr>
              <rFont val="Calibri"/>
              <b val="1"/>
              <sz val="10"/>
            </rPr>
            <t>Weights:</t>
          </r>
          <r>
            <rPr>
              <rFont val="Calibri"/>
              <sz val="10"/>
            </rPr>
            <t xml:space="preserve"> Complexity 54% · Autonomy 16% · Experience 15% · Accountability 9% · Business impact 6% · Leadership 0%
</t>
          </r>
          <r>
            <rPr>
              <rFont val="Calibri"/>
              <b val="1"/>
              <sz val="10"/>
            </rPr>
            <t>Why:</t>
          </r>
          <r>
            <rPr>
              <rFont val="Calibri"/>
              <sz val="10"/>
            </rPr>
            <t xml:space="preserve"> entry and practitioner work is judged mainly on the knowledge and problem solving the work needs; leading others is not expected yet, so Leadership counts 0%.
</t>
          </r>
          <r>
            <rPr>
              <rFont val="Calibri"/>
              <b val="1"/>
              <sz val="10"/>
            </rPr>
            <t>Type of work in the department:</t>
          </r>
          <r>
            <rPr>
              <rFont val="Calibri"/>
              <sz val="10"/>
            </rPr>
            <t xml:space="preserve"> corporate functions rely on professional qualifications such as CA, CS or law, so Experience &amp; Qualification +5 and Complexity −5.
</t>
          </r>
          <r>
            <rPr>
              <rFont val="Calibri"/>
              <b val="1"/>
              <sz val="10"/>
            </rPr>
            <t>Live:</t>
          </r>
          <r>
            <rPr>
              <rFont val="Calibri"/>
              <sz val="10"/>
            </rPr>
            <t xml:space="preserve"> change the department's row on the Weightage Matrix and these weights, the points and the score update.
</t>
          </r>
          <r>
            <rPr>
              <rFont val="Calibri"/>
              <b val="1"/>
              <sz val="10"/>
            </rPr>
            <t>What decided the final level:</t>
          </r>
          <r>
            <rPr>
              <rFont val="Calibri"/>
              <sz val="10"/>
            </rPr>
            <t xml:space="preserve"> the score itself — no rule changed it.</t>
          </r>
        </is>
      </c>
      <c r="W10" s="12" t="inlineStr">
        <is>
          <r>
            <rPr>
              <rFont val="Calibri"/>
              <b val="1"/>
              <sz val="10"/>
            </rPr>
            <t>Complexity &amp; Expertise:</t>
          </r>
          <r>
            <rPr>
              <rFont val="Calibri"/>
              <sz val="10"/>
            </rPr>
            <t xml:space="preserve"> 2 of 12 — Start: 2.0 · practitioner title; Evidence: no survey answers or KRAs on file → rating stays at the start
</t>
          </r>
          <r>
            <rPr>
              <rFont val="Calibri"/>
              <b val="1"/>
              <sz val="10"/>
            </rPr>
            <t>Autonomy &amp; Decision:</t>
          </r>
          <r>
            <rPr>
              <rFont val="Calibri"/>
              <sz val="10"/>
            </rPr>
            <t xml:space="preserve"> 2 of 12 — Start: 2.0 · practitioner title; Evidence: no survey answers or KRAs on file → rating stays at the start
</t>
          </r>
          <r>
            <rPr>
              <rFont val="Calibri"/>
              <b val="1"/>
              <sz val="10"/>
            </rPr>
            <t>Accountability &amp; Impact:</t>
          </r>
          <r>
            <rPr>
              <rFont val="Calibri"/>
              <sz val="10"/>
            </rPr>
            <t xml:space="preserve"> 2 of 12 — Start: 2.0 · practitioner title; Evidence: no survey answers or KRAs on file → rating stays at the start
</t>
          </r>
          <r>
            <rPr>
              <rFont val="Calibri"/>
              <b val="1"/>
              <sz val="10"/>
            </rPr>
            <t>Leadership &amp; Strategy:</t>
          </r>
          <r>
            <rPr>
              <rFont val="Calibri"/>
              <sz val="10"/>
            </rPr>
            <t xml:space="preserve"> 1 of 12 — not counted: the weight is 0% at this level — Start: 1.0 · individual contributor, so influence only; Evidence: no survey answers or KRAs on file → rating stays at the start; Team: 0 direct reports · IC
</t>
          </r>
          <r>
            <rPr>
              <rFont val="Calibri"/>
              <b val="1"/>
              <sz val="10"/>
            </rPr>
            <t>Experience &amp; Qualification:</t>
          </r>
          <r>
            <rPr>
              <rFont val="Calibri"/>
              <sz val="10"/>
            </rPr>
            <t xml:space="preserve"> 9.5 of 12 · between D1 and D2 — Experience: 21.7 yrs total · 21.7 at IRIS; none recorded before IRIS = 10.2 on the experience scale; Note: the record looks incomplete, so this is a minimum · HR to confirm; Qualification: Undergraduate · below graduate → −0.5
</t>
          </r>
          <r>
            <rPr>
              <rFont val="Calibri"/>
              <b val="1"/>
              <sz val="10"/>
            </rPr>
            <t>Business Impact:</t>
          </r>
          <r>
            <rPr>
              <rFont val="Calibri"/>
              <sz val="10"/>
            </rPr>
            <t xml:space="preserve"> 2 of 12 — a starting estimate. — Start: 2, the role's accountability scope — what it answers for.; No survey or manager-mapping signal on criticality: kept at the start point.; Managers and heads: overwrite this rating on the Weightage sheet with the business impact you see — the score updates at once.; Ladder: A2 = Own deliverables feed a team's output and turnaround</t>
          </r>
        </is>
      </c>
      <c r="X10" s="12" t="inlineStr">
        <is>
          <r>
            <rPr>
              <rFont val="Calibri"/>
              <b val="1"/>
              <sz val="10"/>
            </rPr>
            <t>Market level:</t>
          </r>
          <r>
            <rPr>
              <rFont val="Calibri"/>
              <sz val="10"/>
            </rPr>
            <t xml:space="preserve"> P2 · SFIA 3 Apply
</t>
          </r>
          <r>
            <rPr>
              <rFont val="Calibri"/>
              <b val="1"/>
              <sz val="10"/>
            </rPr>
            <t>Typical title:</t>
          </r>
          <r>
            <rPr>
              <rFont val="Calibri"/>
              <sz val="10"/>
            </rPr>
            <t xml:space="preserve"> Admin / Secretarial Executive
</t>
          </r>
          <r>
            <rPr>
              <rFont val="Calibri"/>
              <b val="1"/>
              <sz val="10"/>
            </rPr>
            <t>At peers:</t>
          </r>
          <r>
            <rPr>
              <rFont val="Calibri"/>
              <sz val="10"/>
            </rPr>
            <t xml:space="preserve"> IRIS Vs Competitor Benchmark — corporate services ladder: Senior Executive
</t>
          </r>
          <r>
            <rPr>
              <rFont val="Calibri"/>
              <b val="1"/>
              <sz val="10"/>
            </rPr>
            <t>Typical experience:</t>
          </r>
          <r>
            <rPr>
              <rFont val="Calibri"/>
              <sz val="10"/>
            </rPr>
            <t xml:space="preserve"> 2–5 yrs · IRIS guide 2–4
</t>
          </r>
          <r>
            <rPr>
              <rFont val="Calibri"/>
              <b val="1"/>
              <sz val="10"/>
            </rPr>
            <t>Standard:</t>
          </r>
          <r>
            <rPr>
              <rFont val="Calibri"/>
              <sz val="10"/>
            </rPr>
            <t xml:space="preserve"> ICSI; Companies Act 2013</t>
          </r>
        </is>
      </c>
      <c r="Y10" s="12" t="inlineStr">
        <is>
          <r>
            <rPr>
              <rFont val="Calibri"/>
              <sz val="10"/>
            </rPr>
            <t xml:space="preserve">✓ HRIS: 21.7 yrs, Undergraduate, 0 direct reports
✗ Survey: no response
✗ KRAs: none on file
✓ Manager mapping: rating, 9-box
✗ Job description: not on file
</t>
          </r>
          <r>
            <rPr>
              <rFont val="Calibri"/>
              <b val="1"/>
              <sz val="10"/>
            </rPr>
            <t>Confidence:</t>
          </r>
          <r>
            <rPr>
              <rFont val="Calibri"/>
              <sz val="10"/>
            </rPr>
            <t xml:space="preserve"> Low</t>
          </r>
        </is>
      </c>
      <c r="Z10" s="12" t="inlineStr">
        <is>
          <t>—</t>
        </is>
      </c>
      <c r="AA10" s="84" t="inlineStr">
        <is>
          <t>• Survey response or KRAs describing the work · nothing on file — Employee + manager
• Correct the experience record — HR</t>
        </is>
      </c>
      <c r="AB10" s="12" t="inlineStr">
        <is>
          <r>
            <rPr>
              <rFont val="Calibri"/>
              <b val="1"/>
              <sz val="10"/>
            </rPr>
            <t>What the role answers for:</t>
          </r>
          <r>
            <rPr>
              <rFont val="Calibri"/>
              <sz val="10"/>
            </rPr>
            <t xml:space="preserve"> A module / process, or work with client or regulatory consequences.
</t>
          </r>
          <r>
            <rPr>
              <rFont val="Calibri"/>
              <b val="1"/>
              <sz val="10"/>
            </rPr>
            <t>Accountability &amp; Impact rating:</t>
          </r>
          <r>
            <rPr>
              <rFont val="Calibri"/>
              <sz val="10"/>
            </rPr>
            <t xml:space="preserve"> 2 of 12 · A2-level impact.
Manager talent mapping — Latest rating: Not rated · manager · 9-Box Grid placement: Not placed · manager.</t>
          </r>
        </is>
      </c>
      <c r="AC10" s="83" t="n"/>
      <c r="AD10" s="83" t="n"/>
      <c r="AE10" s="83" t="n"/>
      <c r="AF10" s="12" t="n">
        <v>2</v>
      </c>
    </row>
    <row r="11" ht="379" customHeight="1">
      <c r="A11" s="12" t="inlineStr">
        <is>
          <t>IRIS1008</t>
        </is>
      </c>
      <c r="B11" s="10" t="inlineStr">
        <is>
          <t>Sunil Pawar</t>
        </is>
      </c>
      <c r="C11" s="12" t="inlineStr">
        <is>
          <t>Administration</t>
        </is>
      </c>
      <c r="D11" s="12" t="inlineStr">
        <is>
          <t>Executive Administration</t>
        </is>
      </c>
      <c r="E11" s="79" t="inlineStr">
        <is>
          <t>Senior Administration Executive</t>
        </is>
      </c>
      <c r="F11" s="12" t="inlineStr">
        <is>
          <t>Administration, Legal &amp; Secretarial</t>
        </is>
      </c>
      <c r="G11" s="12" t="inlineStr">
        <is>
          <t>Administration &amp; Facilities</t>
        </is>
      </c>
      <c r="H11" s="12" t="inlineStr">
        <is>
          <t>IC</t>
        </is>
      </c>
      <c r="I11" s="42" t="inlineStr">
        <is>
          <t>Not in current mapping files</t>
        </is>
      </c>
      <c r="J11" s="16" t="inlineStr">
        <is>
          <t>A3</t>
        </is>
      </c>
      <c r="K11" s="17" t="inlineStr">
        <is>
          <t>Senior Associate</t>
        </is>
      </c>
      <c r="L11" s="80" t="inlineStr">
        <is>
          <t>● Newly mapped</t>
        </is>
      </c>
      <c r="M11" s="12" t="inlineStr">
        <is>
          <t>Corporate · Administration · Band A · Early career</t>
        </is>
      </c>
      <c r="N11" s="42" t="n">
        <v>2</v>
      </c>
      <c r="O11" s="42" t="n">
        <v>2</v>
      </c>
      <c r="P11" s="42" t="n">
        <v>2</v>
      </c>
      <c r="Q11" s="42" t="n">
        <v>1</v>
      </c>
      <c r="R11" s="42" t="n">
        <v>7.5</v>
      </c>
      <c r="S11" s="81" t="n">
        <v>2</v>
      </c>
      <c r="T11" s="82">
        <f>IF(OR($M11="",COUNT(N11,O11,P11,Q11,R11,S11)&lt;6),"",IFERROR(N11*INDEX(WM_C,MATCH($M11,WM_KEY,0))+O11*INDEX(WM_AU,MATCH($M11,WM_KEY,0))+P11*INDEX(WM_AC,MATCH($M11,WM_KEY,0))+Q11*INDEX(WM_L,MATCH($M11,WM_KEY,0))+R11*INDEX(WM_E,MATCH($M11,WM_KEY,0))+S11*INDEX(WM_BI,MATCH($M11,WM_KEY,0)),""))</f>
        <v>2.825</v>
      </c>
      <c r="U11" s="42" t="str">
        <f>IF(T11="","",INDEX({"A1","A2","A3","B1","B2","B3","C1","C2","D1","D2","E1","E2"},MAX(1,MIN(12,ROUND(T11,0)))))</f>
        <v>A3</v>
      </c>
      <c r="V11" s="12" t="inlineStr">
        <is>
          <r>
            <rPr>
              <rFont val="Calibri"/>
              <sz val="10"/>
            </rPr>
            <t xml:space="preserve">New level A3 · Senior Associate. Current level on record: Not in current mapping files. Change: ● Newly mapped.
Score 2.83 on the ladder scale → indicated level A3.
</t>
          </r>
          <r>
            <rPr>
              <rFont val="Calibri"/>
              <b val="1"/>
              <sz val="10"/>
            </rPr>
            <t>Weights:</t>
          </r>
          <r>
            <rPr>
              <rFont val="Calibri"/>
              <sz val="10"/>
            </rPr>
            <t xml:space="preserve"> Complexity 54% · Autonomy 16% · Experience 15% · Accountability 9% · Business impact 6% · Leadership 0%
</t>
          </r>
          <r>
            <rPr>
              <rFont val="Calibri"/>
              <b val="1"/>
              <sz val="10"/>
            </rPr>
            <t>Why:</t>
          </r>
          <r>
            <rPr>
              <rFont val="Calibri"/>
              <sz val="10"/>
            </rPr>
            <t xml:space="preserve"> entry and practitioner work is judged mainly on the knowledge and problem solving the work needs; leading others is not expected yet, so Leadership counts 0%.
</t>
          </r>
          <r>
            <rPr>
              <rFont val="Calibri"/>
              <b val="1"/>
              <sz val="10"/>
            </rPr>
            <t>Type of work in the department:</t>
          </r>
          <r>
            <rPr>
              <rFont val="Calibri"/>
              <sz val="10"/>
            </rPr>
            <t xml:space="preserve"> corporate functions rely on professional qualifications such as CA, CS or law, so Experience &amp; Qualification +5 and Complexity −5.
</t>
          </r>
          <r>
            <rPr>
              <rFont val="Calibri"/>
              <b val="1"/>
              <sz val="10"/>
            </rPr>
            <t>Live:</t>
          </r>
          <r>
            <rPr>
              <rFont val="Calibri"/>
              <sz val="10"/>
            </rPr>
            <t xml:space="preserve"> change the department's row on the Weightage Matrix and these weights, the points and the score update.
</t>
          </r>
          <r>
            <rPr>
              <rFont val="Calibri"/>
              <b val="1"/>
              <sz val="10"/>
            </rPr>
            <t>What decided the final level:</t>
          </r>
          <r>
            <rPr>
              <rFont val="Calibri"/>
              <sz val="10"/>
            </rPr>
            <t xml:space="preserve"> the score itself — no rule changed it.</t>
          </r>
        </is>
      </c>
      <c r="W11" s="12" t="inlineStr">
        <is>
          <r>
            <rPr>
              <rFont val="Calibri"/>
              <b val="1"/>
              <sz val="10"/>
            </rPr>
            <t>Complexity &amp; Expertise:</t>
          </r>
          <r>
            <rPr>
              <rFont val="Calibri"/>
              <sz val="10"/>
            </rPr>
            <t xml:space="preserve"> 2 of 12 — Start: 2.0 · practitioner title; Evidence: no survey answers or KRAs on file → rating stays at the start
</t>
          </r>
          <r>
            <rPr>
              <rFont val="Calibri"/>
              <b val="1"/>
              <sz val="10"/>
            </rPr>
            <t>Autonomy &amp; Decision:</t>
          </r>
          <r>
            <rPr>
              <rFont val="Calibri"/>
              <sz val="10"/>
            </rPr>
            <t xml:space="preserve"> 2 of 12 — Start: 2.0 · practitioner title; Evidence: no survey answers or KRAs on file → rating stays at the start
</t>
          </r>
          <r>
            <rPr>
              <rFont val="Calibri"/>
              <b val="1"/>
              <sz val="10"/>
            </rPr>
            <t>Accountability &amp; Impact:</t>
          </r>
          <r>
            <rPr>
              <rFont val="Calibri"/>
              <sz val="10"/>
            </rPr>
            <t xml:space="preserve"> 2 of 12 — Start: 2.0 · practitioner title; Evidence: no survey answers or KRAs on file → rating stays at the start
</t>
          </r>
          <r>
            <rPr>
              <rFont val="Calibri"/>
              <b val="1"/>
              <sz val="10"/>
            </rPr>
            <t>Leadership &amp; Strategy:</t>
          </r>
          <r>
            <rPr>
              <rFont val="Calibri"/>
              <sz val="10"/>
            </rPr>
            <t xml:space="preserve"> 1 of 12 — not counted: the weight is 0% at this level — Start: 1.0 · individual contributor, so influence only; Evidence: no survey answers or KRAs on file → rating stays at the start; Team: 0 direct reports · IC
</t>
          </r>
          <r>
            <rPr>
              <rFont val="Calibri"/>
              <b val="1"/>
              <sz val="10"/>
            </rPr>
            <t>Experience &amp; Qualification:</t>
          </r>
          <r>
            <rPr>
              <rFont val="Calibri"/>
              <sz val="10"/>
            </rPr>
            <t xml:space="preserve"> 7.5 of 12 · between C1 and C2 — Experience: 14.9 yrs total · 14.9 at IRIS; none recorded before IRIS = 8.1 on the experience scale; Note: the record looks incomplete, so this is a minimum · HR to confirm; Qualification: Undergraduate · below graduate → −0.5
</t>
          </r>
          <r>
            <rPr>
              <rFont val="Calibri"/>
              <b val="1"/>
              <sz val="10"/>
            </rPr>
            <t>Business Impact:</t>
          </r>
          <r>
            <rPr>
              <rFont val="Calibri"/>
              <sz val="10"/>
            </rPr>
            <t xml:space="preserve"> 2 of 12 — a starting estimate. — Start: 2, the role's accountability scope — what it answers for.; No survey or manager-mapping signal on criticality: kept at the start point.; Managers and heads: overwrite this rating on the Weightage sheet with the business impact you see — the score updates at once.; Ladder: A2 = Own deliverables feed a team's output and turnaround</t>
          </r>
        </is>
      </c>
      <c r="X11" s="12" t="inlineStr">
        <is>
          <r>
            <rPr>
              <rFont val="Calibri"/>
              <b val="1"/>
              <sz val="10"/>
            </rPr>
            <t>Market level:</t>
          </r>
          <r>
            <rPr>
              <rFont val="Calibri"/>
              <sz val="10"/>
            </rPr>
            <t xml:space="preserve"> P2 · SFIA 3 Apply
</t>
          </r>
          <r>
            <rPr>
              <rFont val="Calibri"/>
              <b val="1"/>
              <sz val="10"/>
            </rPr>
            <t>Typical title:</t>
          </r>
          <r>
            <rPr>
              <rFont val="Calibri"/>
              <sz val="10"/>
            </rPr>
            <t xml:space="preserve"> Admin / Secretarial Executive
</t>
          </r>
          <r>
            <rPr>
              <rFont val="Calibri"/>
              <b val="1"/>
              <sz val="10"/>
            </rPr>
            <t>At peers:</t>
          </r>
          <r>
            <rPr>
              <rFont val="Calibri"/>
              <sz val="10"/>
            </rPr>
            <t xml:space="preserve"> IRIS Vs Competitor Benchmark — corporate services ladder: Senior Executive
</t>
          </r>
          <r>
            <rPr>
              <rFont val="Calibri"/>
              <b val="1"/>
              <sz val="10"/>
            </rPr>
            <t>Typical experience:</t>
          </r>
          <r>
            <rPr>
              <rFont val="Calibri"/>
              <sz val="10"/>
            </rPr>
            <t xml:space="preserve"> 2–5 yrs · IRIS guide 2–4
</t>
          </r>
          <r>
            <rPr>
              <rFont val="Calibri"/>
              <b val="1"/>
              <sz val="10"/>
            </rPr>
            <t>Standard:</t>
          </r>
          <r>
            <rPr>
              <rFont val="Calibri"/>
              <sz val="10"/>
            </rPr>
            <t xml:space="preserve"> ICSI; Companies Act 2013</t>
          </r>
        </is>
      </c>
      <c r="Y11" s="12" t="inlineStr">
        <is>
          <r>
            <rPr>
              <rFont val="Calibri"/>
              <sz val="10"/>
            </rPr>
            <t xml:space="preserve">✓ HRIS: 14.9 yrs, Undergraduate, 0 direct reports
✗ Survey: no response
✗ KRAs: none on file
✓ Manager mapping: rating, 9-box
✗ Job description: not on file
</t>
          </r>
          <r>
            <rPr>
              <rFont val="Calibri"/>
              <b val="1"/>
              <sz val="10"/>
            </rPr>
            <t>Confidence:</t>
          </r>
          <r>
            <rPr>
              <rFont val="Calibri"/>
              <sz val="10"/>
            </rPr>
            <t xml:space="preserve"> Low</t>
          </r>
        </is>
      </c>
      <c r="Z11" s="12" t="inlineStr">
        <is>
          <t>—</t>
        </is>
      </c>
      <c r="AA11" s="84" t="inlineStr">
        <is>
          <t>• Survey response or KRAs describing the work · nothing on file — Employee + manager
• Correct the experience record — HR</t>
        </is>
      </c>
      <c r="AB11" s="12" t="inlineStr">
        <is>
          <r>
            <rPr>
              <rFont val="Calibri"/>
              <b val="1"/>
              <sz val="10"/>
            </rPr>
            <t>What the role answers for:</t>
          </r>
          <r>
            <rPr>
              <rFont val="Calibri"/>
              <sz val="10"/>
            </rPr>
            <t xml:space="preserve"> A module / process, or work with client or regulatory consequences.
</t>
          </r>
          <r>
            <rPr>
              <rFont val="Calibri"/>
              <b val="1"/>
              <sz val="10"/>
            </rPr>
            <t>Accountability &amp; Impact rating:</t>
          </r>
          <r>
            <rPr>
              <rFont val="Calibri"/>
              <sz val="10"/>
            </rPr>
            <t xml:space="preserve"> 2 of 12 · A2-level impact.
Manager talent mapping — Latest rating: Not rated · manager · 9-Box Grid placement: Not placed · manager.</t>
          </r>
        </is>
      </c>
      <c r="AC11" s="83" t="n"/>
      <c r="AD11" s="83" t="n"/>
      <c r="AE11" s="83" t="n"/>
      <c r="AF11" s="12" t="n">
        <v>2</v>
      </c>
    </row>
    <row r="12" ht="93" customHeight="1">
      <c r="A12" s="12" t="inlineStr">
        <is>
          <t>IRISC291</t>
        </is>
      </c>
      <c r="B12" s="10" t="inlineStr">
        <is>
          <t>Ganesh Prabhakar Amrutsagar</t>
        </is>
      </c>
      <c r="C12" s="12" t="inlineStr">
        <is>
          <t>Administration</t>
        </is>
      </c>
      <c r="D12" s="12" t="inlineStr">
        <is>
          <t>Consultant</t>
        </is>
      </c>
      <c r="E12" s="79" t="inlineStr">
        <is>
          <t>Associate Consultant – Administration &amp; Facilities</t>
        </is>
      </c>
      <c r="F12" s="12" t="inlineStr">
        <is>
          <t>Administration, Legal &amp; Secretarial</t>
        </is>
      </c>
      <c r="G12" s="12" t="inlineStr">
        <is>
          <t>Administration &amp; Facilities</t>
        </is>
      </c>
      <c r="H12" s="12" t="inlineStr">
        <is>
          <t>Consultant</t>
        </is>
      </c>
      <c r="I12" s="42" t="inlineStr">
        <is>
          <t>—</t>
        </is>
      </c>
      <c r="J12" s="36" t="inlineStr">
        <is>
          <t>X1</t>
        </is>
      </c>
      <c r="K12" s="37" t="inlineStr">
        <is>
          <t>Associate Consultant</t>
        </is>
      </c>
      <c r="L12" s="85" t="inlineStr">
        <is>
          <t>• Same level</t>
        </is>
      </c>
      <c r="M12" s="12" t="inlineStr">
        <is>
          <t>—</t>
        </is>
      </c>
      <c r="N12" s="42" t="inlineStr">
        <is>
          <t>—</t>
        </is>
      </c>
      <c r="O12" s="42" t="inlineStr">
        <is>
          <t>—</t>
        </is>
      </c>
      <c r="P12" s="42" t="inlineStr">
        <is>
          <t>—</t>
        </is>
      </c>
      <c r="Q12" s="42" t="inlineStr">
        <is>
          <t>—</t>
        </is>
      </c>
      <c r="R12" s="42" t="inlineStr">
        <is>
          <t>—</t>
        </is>
      </c>
      <c r="S12" s="81" t="inlineStr">
        <is>
          <t>—</t>
        </is>
      </c>
      <c r="T12" s="82" t="inlineStr">
        <is>
          <t>—</t>
        </is>
      </c>
      <c r="U12" s="42" t="inlineStr">
        <is>
          <t>Not scored</t>
        </is>
      </c>
      <c r="V12" s="12" t="inlineStr">
        <is>
          <t>New level X1 · Associate Consultant. Current level on record: —. Change: • Same level.
Consultants sit outside the career ladder, at X1–X3 by the scope of their statement of work.</t>
        </is>
      </c>
      <c r="W12" s="12" t="inlineStr">
        <is>
          <r>
            <rPr>
              <rFont val="Calibri"/>
              <b val="1"/>
              <sz val="10"/>
            </rPr>
            <t>Not scored:</t>
          </r>
          <r>
            <rPr>
              <rFont val="Calibri"/>
              <sz val="10"/>
            </rPr>
            <t xml:space="preserve"> consultants sit outside the career ladder · X1–X3, by the scope of their statement of work.</t>
          </r>
        </is>
      </c>
      <c r="X12" s="12" t="inlineStr">
        <is>
          <r>
            <rPr>
              <rFont val="Calibri"/>
              <b val="1"/>
              <sz val="10"/>
            </rPr>
            <t>Consultant:</t>
          </r>
          <r>
            <rPr>
              <rFont val="Calibri"/>
              <sz val="10"/>
            </rPr>
            <t xml:space="preserve"> priced by rate card under the statement of work.</t>
          </r>
        </is>
      </c>
      <c r="Y12" s="12" t="inlineStr">
        <is>
          <r>
            <rPr>
              <rFont val="Calibri"/>
              <sz val="10"/>
            </rPr>
            <t xml:space="preserve">✓ HRIS: 2.6 yrs, Undergraduate, 0 direct reports
✗ Survey: no response
✗ KRAs: none on file
✓ Manager mapping: rating
✗ Job description: not on file
</t>
          </r>
          <r>
            <rPr>
              <rFont val="Calibri"/>
              <b val="1"/>
              <sz val="10"/>
            </rPr>
            <t>Confidence:</t>
          </r>
          <r>
            <rPr>
              <rFont val="Calibri"/>
              <sz val="10"/>
            </rPr>
            <t xml:space="preserve"> —</t>
          </r>
        </is>
      </c>
      <c r="Z12" s="12" t="inlineStr">
        <is>
          <t>—</t>
        </is>
      </c>
      <c r="AA12" s="12" t="inlineStr">
        <is>
          <t>Nothing outstanding</t>
        </is>
      </c>
      <c r="AB12" s="12" t="inlineStr">
        <is>
          <r>
            <rPr>
              <rFont val="Calibri"/>
              <b val="1"/>
              <sz val="10"/>
            </rPr>
            <t>What the role answers for:</t>
          </r>
          <r>
            <rPr>
              <rFont val="Calibri"/>
              <sz val="10"/>
            </rPr>
            <t xml:space="preserve"> —.
Manager talent mapping — Latest rating: Not rated · manager.</t>
          </r>
        </is>
      </c>
      <c r="AC12" s="83" t="n"/>
      <c r="AD12" s="83" t="n"/>
      <c r="AE12" s="83" t="n"/>
      <c r="AF12" s="12" t="inlineStr">
        <is>
          <t>—</t>
        </is>
      </c>
    </row>
    <row r="13" ht="379" customHeight="1">
      <c r="A13" s="12" t="inlineStr">
        <is>
          <t>IRIS0919</t>
        </is>
      </c>
      <c r="B13" s="10" t="inlineStr">
        <is>
          <t>Vineet Kandoi</t>
        </is>
      </c>
      <c r="C13" s="12" t="inlineStr">
        <is>
          <t>Finance</t>
        </is>
      </c>
      <c r="D13" s="12" t="inlineStr">
        <is>
          <t>Chief Financial Officer</t>
        </is>
      </c>
      <c r="E13" s="12" t="inlineStr">
        <is>
          <t>Chief Financial Officer</t>
        </is>
      </c>
      <c r="F13" s="12" t="inlineStr">
        <is>
          <t>Executive Leadership</t>
        </is>
      </c>
      <c r="G13" s="12" t="inlineStr">
        <is>
          <t>Enterprise Leadership</t>
        </is>
      </c>
      <c r="H13" s="12" t="inlineStr">
        <is>
          <t>People Manager</t>
        </is>
      </c>
      <c r="I13" s="42" t="inlineStr">
        <is>
          <t>Not in current mapping files</t>
        </is>
      </c>
      <c r="J13" s="32" t="inlineStr">
        <is>
          <t>E1</t>
        </is>
      </c>
      <c r="K13" s="33" t="inlineStr">
        <is>
          <t>CXO / President</t>
        </is>
      </c>
      <c r="L13" s="80" t="inlineStr">
        <is>
          <t>● Newly mapped</t>
        </is>
      </c>
      <c r="M13" s="12" t="inlineStr">
        <is>
          <t>Corporate · Finance · Bands D–E · Leadership</t>
        </is>
      </c>
      <c r="N13" s="42" t="n">
        <v>11</v>
      </c>
      <c r="O13" s="42" t="n">
        <v>11</v>
      </c>
      <c r="P13" s="42" t="n">
        <v>11</v>
      </c>
      <c r="Q13" s="42" t="n">
        <v>11</v>
      </c>
      <c r="R13" s="42" t="n">
        <v>9</v>
      </c>
      <c r="S13" s="81" t="n">
        <v>11</v>
      </c>
      <c r="T13" s="82">
        <f>IF(OR($M13="",COUNT(N13,O13,P13,Q13,R13,S13)&lt;6),"",IFERROR(N13*INDEX(WM_C,MATCH($M13,WM_KEY,0))+O13*INDEX(WM_AU,MATCH($M13,WM_KEY,0))+P13*INDEX(WM_AC,MATCH($M13,WM_KEY,0))+Q13*INDEX(WM_L,MATCH($M13,WM_KEY,0))+R13*INDEX(WM_E,MATCH($M13,WM_KEY,0))+S13*INDEX(WM_BI,MATCH($M13,WM_KEY,0)),""))</f>
        <v>10.9</v>
      </c>
      <c r="U13" s="42" t="str">
        <f>IF(T13="","",INDEX({"A1","A2","A3","B1","B2","B3","C1","C2","D1","D2","E1","E2"},MAX(1,MIN(12,ROUND(T13,0)))))</f>
        <v>E1</v>
      </c>
      <c r="V13" s="12" t="inlineStr">
        <is>
          <r>
            <rPr>
              <rFont val="Calibri"/>
              <sz val="10"/>
            </rPr>
            <t xml:space="preserve">New level E1 · CXO / President. Current level on record: Not in current mapping files. Change: ● Newly mapped.
Score 10.90 on the ladder scale → indicated level E1.
</t>
          </r>
          <r>
            <rPr>
              <rFont val="Calibri"/>
              <b val="1"/>
              <sz val="10"/>
            </rPr>
            <t>Weights:</t>
          </r>
          <r>
            <rPr>
              <rFont val="Calibri"/>
              <sz val="10"/>
            </rPr>
            <t xml:space="preserve"> Complexity 37% · Leadership 20% · Autonomy 19% · Accountability 11% · Business impact 8% · Experience 5%
</t>
          </r>
          <r>
            <rPr>
              <rFont val="Calibri"/>
              <b val="1"/>
              <sz val="10"/>
            </rPr>
            <t>Why:</t>
          </r>
          <r>
            <rPr>
              <rFont val="Calibri"/>
              <sz val="10"/>
            </rPr>
            <t xml:space="preserve"> leaders are judged on the hardest problems, on leading — 20% — and on the decisions, scope and business impact of the job.
</t>
          </r>
          <r>
            <rPr>
              <rFont val="Calibri"/>
              <b val="1"/>
              <sz val="10"/>
            </rPr>
            <t>Type of work in the department:</t>
          </r>
          <r>
            <rPr>
              <rFont val="Calibri"/>
              <sz val="10"/>
            </rPr>
            <t xml:space="preserve"> no adjustment at this level.
</t>
          </r>
          <r>
            <rPr>
              <rFont val="Calibri"/>
              <b val="1"/>
              <sz val="10"/>
            </rPr>
            <t>Live:</t>
          </r>
          <r>
            <rPr>
              <rFont val="Calibri"/>
              <sz val="10"/>
            </rPr>
            <t xml:space="preserve"> change the department's row on the Weightage Matrix and these weights, the points and the score update.
</t>
          </r>
          <r>
            <rPr>
              <rFont val="Calibri"/>
              <b val="1"/>
              <sz val="10"/>
            </rPr>
            <t>What decided the final level:</t>
          </r>
          <r>
            <rPr>
              <rFont val="Calibri"/>
              <sz val="10"/>
            </rPr>
            <t xml:space="preserve"> the score itself — no rule changed it.</t>
          </r>
        </is>
      </c>
      <c r="W13" s="12" t="inlineStr">
        <is>
          <r>
            <rPr>
              <rFont val="Calibri"/>
              <b val="1"/>
              <sz val="10"/>
            </rPr>
            <t>Complexity &amp; Expertise:</t>
          </r>
          <r>
            <rPr>
              <rFont val="Calibri"/>
              <sz val="10"/>
            </rPr>
            <t xml:space="preserve"> 11 of 12 — Start: 11.0 · CXO title; Evidence: no survey answers or KRAs on file → rating stays at the start
</t>
          </r>
          <r>
            <rPr>
              <rFont val="Calibri"/>
              <b val="1"/>
              <sz val="10"/>
            </rPr>
            <t>Autonomy &amp; Decision:</t>
          </r>
          <r>
            <rPr>
              <rFont val="Calibri"/>
              <sz val="10"/>
            </rPr>
            <t xml:space="preserve"> 11 of 12 — Start: 11.0 · CXO title; Evidence: no survey answers or KRAs on file → rating stays at the start
</t>
          </r>
          <r>
            <rPr>
              <rFont val="Calibri"/>
              <b val="1"/>
              <sz val="10"/>
            </rPr>
            <t>Accountability &amp; Impact:</t>
          </r>
          <r>
            <rPr>
              <rFont val="Calibri"/>
              <sz val="10"/>
            </rPr>
            <t xml:space="preserve"> 11 of 12 — Start: 11.0 · CXO title; 2 direct reports, 16 people in the organisation; Evidence: no survey answers or KRAs on file → rating stays at the start
</t>
          </r>
          <r>
            <rPr>
              <rFont val="Calibri"/>
              <b val="1"/>
              <sz val="10"/>
            </rPr>
            <t>Leadership &amp; Strategy:</t>
          </r>
          <r>
            <rPr>
              <rFont val="Calibri"/>
              <sz val="10"/>
            </rPr>
            <t xml:space="preserve"> 11 of 12 — Start: 11.0; Evidence: no survey answers or KRAs on file → rating stays at the start; Team: 2 direct reports · People Manager
</t>
          </r>
          <r>
            <rPr>
              <rFont val="Calibri"/>
              <b val="1"/>
              <sz val="10"/>
            </rPr>
            <t>Experience &amp; Qualification:</t>
          </r>
          <r>
            <rPr>
              <rFont val="Calibri"/>
              <sz val="10"/>
            </rPr>
            <t xml:space="preserve"> 9 of 12 — Experience: 15.0 yrs total · 15.0 at IRIS; none recorded before IRIS = 8.2 on the experience scale; Qualification: CA + Senior Management Program · professional, relevant to the work → +1.0
</t>
          </r>
          <r>
            <rPr>
              <rFont val="Calibri"/>
              <b val="1"/>
              <sz val="10"/>
            </rPr>
            <t>Business Impact:</t>
          </r>
          <r>
            <rPr>
              <rFont val="Calibri"/>
              <sz val="10"/>
            </rPr>
            <t xml:space="preserve"> 11 of 12 — a starting estimate. — Start: 11, the role's accountability scope — what it answers for.; No survey or manager-mapping signal on criticality: kept at the start point.; Managers and heads: overwrite this rating on the Weightage sheet with the business impact you see — the score updates at once.; Ladder: E1 = Shapes company-wide results through a function</t>
          </r>
        </is>
      </c>
      <c r="X13" s="12" t="inlineStr">
        <is>
          <r>
            <rPr>
              <rFont val="Calibri"/>
              <b val="1"/>
              <sz val="10"/>
            </rPr>
            <t>Market level:</t>
          </r>
          <r>
            <rPr>
              <rFont val="Calibri"/>
              <sz val="10"/>
            </rPr>
            <t xml:space="preserve"> E5 · SFIA 7
</t>
          </r>
          <r>
            <rPr>
              <rFont val="Calibri"/>
              <b val="1"/>
              <sz val="10"/>
            </rPr>
            <t>Typical title:</t>
          </r>
          <r>
            <rPr>
              <rFont val="Calibri"/>
              <sz val="10"/>
            </rPr>
            <t xml:space="preserve"> CXO · functional chief
</t>
          </r>
          <r>
            <rPr>
              <rFont val="Calibri"/>
              <b val="1"/>
              <sz val="10"/>
            </rPr>
            <t>At peers:</t>
          </r>
          <r>
            <rPr>
              <rFont val="Calibri"/>
              <sz val="10"/>
            </rPr>
            <t xml:space="preserve"> IRIS Vs Market Benchmark — Aon Radford / Mercer executive codes: E5 C-level · functional · IRIS Vs Competitor Benchmark — regtech / SaaS executive titles: CTO · CFO · CRO · CCO · COO
</t>
          </r>
          <r>
            <rPr>
              <rFont val="Calibri"/>
              <b val="1"/>
              <sz val="10"/>
            </rPr>
            <t>Standard:</t>
          </r>
          <r>
            <rPr>
              <rFont val="Calibri"/>
              <sz val="10"/>
            </rPr>
            <t xml:space="preserve"> Aon Radford executive levels E1–E6; Mercer ET1–ET3</t>
          </r>
        </is>
      </c>
      <c r="Y13" s="12" t="inlineStr">
        <is>
          <r>
            <rPr>
              <rFont val="Calibri"/>
              <sz val="10"/>
            </rPr>
            <t xml:space="preserve">✓ HRIS: 15.0 yrs, CA + Senior Management Program, 2 direct reports
✗ Survey: no response
✗ KRAs: none on file
✓ Manager mapping: rating, 9-box
✗ Job description: not on file
</t>
          </r>
          <r>
            <rPr>
              <rFont val="Calibri"/>
              <b val="1"/>
              <sz val="10"/>
            </rPr>
            <t>Confidence:</t>
          </r>
          <r>
            <rPr>
              <rFont val="Calibri"/>
              <sz val="10"/>
            </rPr>
            <t xml:space="preserve"> Low</t>
          </r>
        </is>
      </c>
      <c r="Z13" s="12" t="inlineStr">
        <is>
          <t>—</t>
        </is>
      </c>
      <c r="AA13" s="84" t="inlineStr">
        <is>
          <t>• Survey response or KRAs describing the work · nothing on file — Employee + manager</t>
        </is>
      </c>
      <c r="AB13" s="12" t="inlineStr">
        <is>
          <r>
            <rPr>
              <rFont val="Calibri"/>
              <b val="1"/>
              <sz val="10"/>
            </rPr>
            <t>What the role answers for:</t>
          </r>
          <r>
            <rPr>
              <rFont val="Calibri"/>
              <sz val="10"/>
            </rPr>
            <t xml:space="preserve"> Enterprise-wide functional results.
</t>
          </r>
          <r>
            <rPr>
              <rFont val="Calibri"/>
              <b val="1"/>
              <sz val="10"/>
            </rPr>
            <t>Accountability &amp; Impact rating:</t>
          </r>
          <r>
            <rPr>
              <rFont val="Calibri"/>
              <sz val="10"/>
            </rPr>
            <t xml:space="preserve"> 11 of 12 · E1-level impact.
Leads 2 direct reports.
Manager talent mapping — Latest rating: Not rated · manager · 9-Box Grid placement: Not placed · manager.</t>
          </r>
        </is>
      </c>
      <c r="AC13" s="83" t="n"/>
      <c r="AD13" s="83" t="n"/>
      <c r="AE13" s="83" t="n"/>
      <c r="AF13" s="12" t="n">
        <v>11</v>
      </c>
    </row>
    <row r="14" ht="379" customHeight="1">
      <c r="A14" s="12" t="inlineStr">
        <is>
          <t>IRIS1918</t>
        </is>
      </c>
      <c r="B14" s="10" t="inlineStr">
        <is>
          <t>Nishant Gupta</t>
        </is>
      </c>
      <c r="C14" s="12" t="inlineStr">
        <is>
          <t>Finance</t>
        </is>
      </c>
      <c r="D14" s="12" t="inlineStr">
        <is>
          <t>Head Finance &amp; Accounts</t>
        </is>
      </c>
      <c r="E14" s="79" t="inlineStr">
        <is>
          <t>Associate Head – Finance &amp; Accounts</t>
        </is>
      </c>
      <c r="F14" s="12" t="inlineStr">
        <is>
          <t>Finance &amp; Accounts</t>
        </is>
      </c>
      <c r="G14" s="12" t="inlineStr">
        <is>
          <t>Finance Leadership</t>
        </is>
      </c>
      <c r="H14" s="12" t="inlineStr">
        <is>
          <t>People Manager</t>
        </is>
      </c>
      <c r="I14" s="42" t="inlineStr">
        <is>
          <t>Not in current mapping files</t>
        </is>
      </c>
      <c r="J14" s="24" t="inlineStr">
        <is>
          <t>C1</t>
        </is>
      </c>
      <c r="K14" s="25" t="inlineStr">
        <is>
          <t>Associate Head</t>
        </is>
      </c>
      <c r="L14" s="80" t="inlineStr">
        <is>
          <t>● Newly mapped</t>
        </is>
      </c>
      <c r="M14" s="12" t="inlineStr">
        <is>
          <t>Corporate · Finance · Band C · Head / Manager</t>
        </is>
      </c>
      <c r="N14" s="42" t="n">
        <v>8</v>
      </c>
      <c r="O14" s="42" t="n">
        <v>8</v>
      </c>
      <c r="P14" s="42" t="n">
        <v>6.5</v>
      </c>
      <c r="Q14" s="42" t="n">
        <v>7</v>
      </c>
      <c r="R14" s="42" t="n">
        <v>6</v>
      </c>
      <c r="S14" s="81" t="n">
        <v>6.5</v>
      </c>
      <c r="T14" s="82">
        <f>IF(OR($M14="",COUNT(N14,O14,P14,Q14,R14,S14)&lt;6),"",IFERROR(N14*INDEX(WM_C,MATCH($M14,WM_KEY,0))+O14*INDEX(WM_AU,MATCH($M14,WM_KEY,0))+P14*INDEX(WM_AC,MATCH($M14,WM_KEY,0))+Q14*INDEX(WM_L,MATCH($M14,WM_KEY,0))+R14*INDEX(WM_E,MATCH($M14,WM_KEY,0))+S14*INDEX(WM_BI,MATCH($M14,WM_KEY,0)),""))</f>
        <v>7.365</v>
      </c>
      <c r="U14" s="42" t="str">
        <f>IF(T14="","",INDEX({"A1","A2","A3","B1","B2","B3","C1","C2","D1","D2","E1","E2"},MAX(1,MIN(12,ROUND(T14,0)))))</f>
        <v>C1</v>
      </c>
      <c r="V14" s="12" t="inlineStr">
        <is>
          <r>
            <rPr>
              <rFont val="Calibri"/>
              <sz val="10"/>
            </rPr>
            <t xml:space="preserve">New level C1 · Associate Head. Current level on record: Not in current mapping files. Change: ● Newly mapped.
Score 7.37 on the ladder scale → indicated level C1.
</t>
          </r>
          <r>
            <rPr>
              <rFont val="Calibri"/>
              <b val="1"/>
              <sz val="10"/>
            </rPr>
            <t>Weights:</t>
          </r>
          <r>
            <rPr>
              <rFont val="Calibri"/>
              <sz val="10"/>
            </rPr>
            <t xml:space="preserve"> Complexity 38% · Autonomy 18% · Leadership 15% · Accountability 11% · Experience 10% · Business impact 8%
</t>
          </r>
          <r>
            <rPr>
              <rFont val="Calibri"/>
              <b val="1"/>
              <sz val="10"/>
            </rPr>
            <t>Why:</t>
          </r>
          <r>
            <rPr>
              <rFont val="Calibri"/>
              <sz val="10"/>
            </rPr>
            <t xml:space="preserve"> a head answers for a function through managers: Leadership 15%, with autonomy, accountability and impact rising; expertise still counts most.
</t>
          </r>
          <r>
            <rPr>
              <rFont val="Calibri"/>
              <b val="1"/>
              <sz val="10"/>
            </rPr>
            <t>Type of work in the department:</t>
          </r>
          <r>
            <rPr>
              <rFont val="Calibri"/>
              <sz val="10"/>
            </rPr>
            <t xml:space="preserve"> corporate functions rely on professional qualifications such as CA, CS or law, so Experience &amp; Qualification +5 and Complexity −5.
</t>
          </r>
          <r>
            <rPr>
              <rFont val="Calibri"/>
              <b val="1"/>
              <sz val="10"/>
            </rPr>
            <t>Live:</t>
          </r>
          <r>
            <rPr>
              <rFont val="Calibri"/>
              <sz val="10"/>
            </rPr>
            <t xml:space="preserve"> change the department's row on the Weightage Matrix and these weights, the points and the score update.
</t>
          </r>
          <r>
            <rPr>
              <rFont val="Calibri"/>
              <b val="1"/>
              <sz val="10"/>
            </rPr>
            <t>What decided the final level:</t>
          </r>
          <r>
            <rPr>
              <rFont val="Calibri"/>
              <sz val="10"/>
            </rPr>
            <t xml:space="preserve"> the score itself — no rule changed it.</t>
          </r>
        </is>
      </c>
      <c r="W14" s="12" t="inlineStr">
        <is>
          <r>
            <rPr>
              <rFont val="Calibri"/>
              <b val="1"/>
              <sz val="10"/>
            </rPr>
            <t>Complexity &amp; Expertise:</t>
          </r>
          <r>
            <rPr>
              <rFont val="Calibri"/>
              <sz val="10"/>
            </rPr>
            <t xml:space="preserve"> 8 of 12 — Start: 8.0 · head-of-function title; Evidence: no survey answers or KRAs on file → rating stays at the start
</t>
          </r>
          <r>
            <rPr>
              <rFont val="Calibri"/>
              <b val="1"/>
              <sz val="10"/>
            </rPr>
            <t>Autonomy &amp; Decision:</t>
          </r>
          <r>
            <rPr>
              <rFont val="Calibri"/>
              <sz val="10"/>
            </rPr>
            <t xml:space="preserve"> 8 of 12 — Start: 8.0 · head-of-function title; Evidence: no survey answers or KRAs on file → rating stays at the start
</t>
          </r>
          <r>
            <rPr>
              <rFont val="Calibri"/>
              <b val="1"/>
              <sz val="10"/>
            </rPr>
            <t>Accountability &amp; Impact:</t>
          </r>
          <r>
            <rPr>
              <rFont val="Calibri"/>
              <sz val="10"/>
            </rPr>
            <t xml:space="preserve"> 6.5 of 12 · between B3 and C1 — Start: 6.5 · head-of-function title; 3 direct reports, 8 people below; Evidence: no survey answers or KRAs on file → rating stays at the start
</t>
          </r>
          <r>
            <rPr>
              <rFont val="Calibri"/>
              <b val="1"/>
              <sz val="10"/>
            </rPr>
            <t>Leadership &amp; Strategy:</t>
          </r>
          <r>
            <rPr>
              <rFont val="Calibri"/>
              <sz val="10"/>
            </rPr>
            <t xml:space="preserve"> 7 of 12 — Start: 7.0; Evidence: no survey answers or KRAs on file → rating stays at the start; Team: 3 direct reports · People Manager
</t>
          </r>
          <r>
            <rPr>
              <rFont val="Calibri"/>
              <b val="1"/>
              <sz val="10"/>
            </rPr>
            <t>Experience &amp; Qualification:</t>
          </r>
          <r>
            <rPr>
              <rFont val="Calibri"/>
              <sz val="10"/>
            </rPr>
            <t xml:space="preserve"> 6 of 12 — Experience: 7.3 yrs total · 2.0 before IRIS + 5.3 at IRIS = 4.9 on the experience scale; Qualification: CA · professional, relevant to the work → +1.0
</t>
          </r>
          <r>
            <rPr>
              <rFont val="Calibri"/>
              <b val="1"/>
              <sz val="10"/>
            </rPr>
            <t>Business Impact:</t>
          </r>
          <r>
            <rPr>
              <rFont val="Calibri"/>
              <sz val="10"/>
            </rPr>
            <t xml:space="preserve"> 6.5 of 12 — a starting estimate. — Start: 6.5, the role's accountability scope — what it answers for.; No survey or manager-mapping signal on criticality: kept at the start point.; Managers and heads: overwrite this rating on the Weightage sheet with the business impact you see — the score updates at once.; Ladder: B3 = Shapes the results of a practice or several teams · C1 = Changes results across a sub-function or across products</t>
          </r>
        </is>
      </c>
      <c r="X14" s="12" t="inlineStr">
        <is>
          <r>
            <rPr>
              <rFont val="Calibri"/>
              <b val="1"/>
              <sz val="10"/>
            </rPr>
            <t>Market level:</t>
          </r>
          <r>
            <rPr>
              <rFont val="Calibri"/>
              <sz val="10"/>
            </rPr>
            <t xml:space="preserve"> P6 / M5 · SFIA 5–6
</t>
          </r>
          <r>
            <rPr>
              <rFont val="Calibri"/>
              <b val="1"/>
              <sz val="10"/>
            </rPr>
            <t>Typical title:</t>
          </r>
          <r>
            <rPr>
              <rFont val="Calibri"/>
              <sz val="10"/>
            </rPr>
            <t xml:space="preserve"> Head of Function / AGM
</t>
          </r>
          <r>
            <rPr>
              <rFont val="Calibri"/>
              <b val="1"/>
              <sz val="10"/>
            </rPr>
            <t>At peers:</t>
          </r>
          <r>
            <rPr>
              <rFont val="Calibri"/>
              <sz val="10"/>
            </rPr>
            <t xml:space="preserve"> Atlassian company-wide P-levels – P60 Accountant · Principal · IRIS Vs Competitor Benchmark — finance ladder: Associate Director Finance
</t>
          </r>
          <r>
            <rPr>
              <rFont val="Calibri"/>
              <b val="1"/>
              <sz val="10"/>
            </rPr>
            <t>Typical experience:</t>
          </r>
          <r>
            <rPr>
              <rFont val="Calibri"/>
              <sz val="10"/>
            </rPr>
            <t xml:space="preserve"> 12–17 yrs · IRIS guide 10–14
</t>
          </r>
          <r>
            <rPr>
              <rFont val="Calibri"/>
              <b val="1"/>
              <sz val="10"/>
            </rPr>
            <t>Standard:</t>
          </r>
          <r>
            <rPr>
              <rFont val="Calibri"/>
              <sz val="10"/>
            </rPr>
            <t xml:space="preserve"> IMA Management Accounting Competency Framework; ICAI / CA</t>
          </r>
        </is>
      </c>
      <c r="Y14" s="12" t="inlineStr">
        <is>
          <r>
            <rPr>
              <rFont val="Calibri"/>
              <sz val="10"/>
            </rPr>
            <t xml:space="preserve">✓ HRIS: 7.3 yrs, CA, 3 direct reports
✗ Survey: no response
✗ KRAs: none on file
✓ Manager mapping: rating, 9-box
✗ Job description: not on file
</t>
          </r>
          <r>
            <rPr>
              <rFont val="Calibri"/>
              <b val="1"/>
              <sz val="10"/>
            </rPr>
            <t>Confidence:</t>
          </r>
          <r>
            <rPr>
              <rFont val="Calibri"/>
              <sz val="10"/>
            </rPr>
            <t xml:space="preserve"> Low</t>
          </r>
        </is>
      </c>
      <c r="Z14" s="12" t="inlineStr">
        <is>
          <t>—</t>
        </is>
      </c>
      <c r="AA14" s="84" t="inlineStr">
        <is>
          <t>• Survey response or KRAs describing the work · nothing on file — Employee + manager</t>
        </is>
      </c>
      <c r="AB14" s="12" t="inlineStr">
        <is>
          <r>
            <rPr>
              <rFont val="Calibri"/>
              <b val="1"/>
              <sz val="10"/>
            </rPr>
            <t>What the role answers for:</t>
          </r>
          <r>
            <rPr>
              <rFont val="Calibri"/>
              <sz val="10"/>
            </rPr>
            <t xml:space="preserve"> Sub-function results or domain quality across products.
</t>
          </r>
          <r>
            <rPr>
              <rFont val="Calibri"/>
              <b val="1"/>
              <sz val="10"/>
            </rPr>
            <t>Accountability &amp; Impact rating:</t>
          </r>
          <r>
            <rPr>
              <rFont val="Calibri"/>
              <sz val="10"/>
            </rPr>
            <t xml:space="preserve"> 6.5 of 12 · B3-level impact.
Leads 3 direct reports.
Manager talent mapping — Latest rating: Not rated · manager · 9-Box Grid placement: Not placed · manager.</t>
          </r>
        </is>
      </c>
      <c r="AC14" s="83" t="n"/>
      <c r="AD14" s="83" t="n"/>
      <c r="AE14" s="83" t="n"/>
      <c r="AF14" s="12" t="n">
        <v>6.5</v>
      </c>
    </row>
    <row r="15" ht="379" customHeight="1">
      <c r="A15" s="12" t="inlineStr">
        <is>
          <t>IRIS0006</t>
        </is>
      </c>
      <c r="B15" s="10" t="inlineStr">
        <is>
          <t>Sudhakar Sawant</t>
        </is>
      </c>
      <c r="C15" s="12" t="inlineStr">
        <is>
          <t>Finance</t>
        </is>
      </c>
      <c r="D15" s="12" t="inlineStr">
        <is>
          <t>Head – Admin &amp; Internal Audit</t>
        </is>
      </c>
      <c r="E15" s="79" t="inlineStr">
        <is>
          <t>Associate Head – Admin &amp; Internal Audit</t>
        </is>
      </c>
      <c r="F15" s="12" t="inlineStr">
        <is>
          <t>Finance &amp; Accounts</t>
        </is>
      </c>
      <c r="G15" s="12" t="inlineStr">
        <is>
          <t>Finance Leadership</t>
        </is>
      </c>
      <c r="H15" s="12" t="inlineStr">
        <is>
          <t>People Manager</t>
        </is>
      </c>
      <c r="I15" s="42" t="inlineStr">
        <is>
          <t>Not in current mapping files</t>
        </is>
      </c>
      <c r="J15" s="24" t="inlineStr">
        <is>
          <t>C1</t>
        </is>
      </c>
      <c r="K15" s="25" t="inlineStr">
        <is>
          <t>Associate Head</t>
        </is>
      </c>
      <c r="L15" s="80" t="inlineStr">
        <is>
          <t>● Newly mapped</t>
        </is>
      </c>
      <c r="M15" s="12" t="inlineStr">
        <is>
          <t>Corporate · Finance · Band C · Head / Manager</t>
        </is>
      </c>
      <c r="N15" s="42" t="n">
        <v>8</v>
      </c>
      <c r="O15" s="42" t="n">
        <v>8</v>
      </c>
      <c r="P15" s="42" t="n">
        <v>6</v>
      </c>
      <c r="Q15" s="42" t="n">
        <v>7</v>
      </c>
      <c r="R15" s="42" t="n">
        <v>12</v>
      </c>
      <c r="S15" s="81" t="n">
        <v>6</v>
      </c>
      <c r="T15" s="82">
        <f>IF(OR($M15="",COUNT(N15,O15,P15,Q15,R15,S15)&lt;6),"",IFERROR(N15*INDEX(WM_C,MATCH($M15,WM_KEY,0))+O15*INDEX(WM_AU,MATCH($M15,WM_KEY,0))+P15*INDEX(WM_AC,MATCH($M15,WM_KEY,0))+Q15*INDEX(WM_L,MATCH($M15,WM_KEY,0))+R15*INDEX(WM_E,MATCH($M15,WM_KEY,0))+S15*INDEX(WM_BI,MATCH($M15,WM_KEY,0)),""))</f>
        <v>7.87</v>
      </c>
      <c r="U15" s="42" t="str">
        <f>IF(T15="","",INDEX({"A1","A2","A3","B1","B2","B3","C1","C2","D1","D2","E1","E2"},MAX(1,MIN(12,ROUND(T15,0)))))</f>
        <v>C2</v>
      </c>
      <c r="V15" s="12" t="inlineStr">
        <is>
          <r>
            <rPr>
              <rFont val="Calibri"/>
              <sz val="10"/>
            </rPr>
            <t xml:space="preserve">New level C1 · Associate Head. Current level on record: Not in current mapping files. Change: ● Newly mapped.
Score 7.87 on the ladder scale → indicated level C2.
</t>
          </r>
          <r>
            <rPr>
              <rFont val="Calibri"/>
              <b val="1"/>
              <sz val="10"/>
            </rPr>
            <t>Weights:</t>
          </r>
          <r>
            <rPr>
              <rFont val="Calibri"/>
              <sz val="10"/>
            </rPr>
            <t xml:space="preserve"> Complexity 38% · Autonomy 18% · Leadership 15% · Accountability 11% · Experience 10% · Business impact 8%
</t>
          </r>
          <r>
            <rPr>
              <rFont val="Calibri"/>
              <b val="1"/>
              <sz val="10"/>
            </rPr>
            <t>Why:</t>
          </r>
          <r>
            <rPr>
              <rFont val="Calibri"/>
              <sz val="10"/>
            </rPr>
            <t xml:space="preserve"> a head answers for a function through managers: Leadership 15%, with autonomy, accountability and impact rising; expertise still counts most.
</t>
          </r>
          <r>
            <rPr>
              <rFont val="Calibri"/>
              <b val="1"/>
              <sz val="10"/>
            </rPr>
            <t>Type of work in the department:</t>
          </r>
          <r>
            <rPr>
              <rFont val="Calibri"/>
              <sz val="10"/>
            </rPr>
            <t xml:space="preserve"> corporate functions rely on professional qualifications such as CA, CS or law, so Experience &amp; Qualification +5 and Complexity −5.
</t>
          </r>
          <r>
            <rPr>
              <rFont val="Calibri"/>
              <b val="1"/>
              <sz val="10"/>
            </rPr>
            <t>Live:</t>
          </r>
          <r>
            <rPr>
              <rFont val="Calibri"/>
              <sz val="10"/>
            </rPr>
            <t xml:space="preserve"> change the department's row on the Weightage Matrix and these weights, the points and the score update.
</t>
          </r>
          <r>
            <rPr>
              <rFont val="Calibri"/>
              <b val="1"/>
              <sz val="10"/>
            </rPr>
            <t>What decided the final level:</t>
          </r>
          <r>
            <rPr>
              <rFont val="Calibri"/>
              <sz val="10"/>
            </rPr>
            <t xml:space="preserve"> 
• </t>
          </r>
          <r>
            <rPr>
              <rFont val="Calibri"/>
              <b val="1"/>
              <sz val="10"/>
            </rPr>
            <t>Held at C1 instead of C2:</t>
          </r>
          <r>
            <rPr>
              <rFont val="Calibri"/>
              <sz val="10"/>
            </rPr>
            <t xml:space="preserve"> C2 needs a whole function or a company-wide discipline, and the org chart does not show this yet.
</t>
          </r>
          <r>
            <rPr>
              <rFont val="Calibri"/>
              <b val="1"/>
              <sz val="10"/>
            </rPr>
            <t>Final level:</t>
          </r>
          <r>
            <rPr>
              <rFont val="Calibri"/>
              <sz val="10"/>
            </rPr>
            <t xml:space="preserve"> C1.</t>
          </r>
        </is>
      </c>
      <c r="W15" s="12" t="inlineStr">
        <is>
          <r>
            <rPr>
              <rFont val="Calibri"/>
              <b val="1"/>
              <sz val="10"/>
            </rPr>
            <t>Complexity &amp; Expertise:</t>
          </r>
          <r>
            <rPr>
              <rFont val="Calibri"/>
              <sz val="10"/>
            </rPr>
            <t xml:space="preserve"> 8 of 12 — Start: 8.0 · head-of-function title; Evidence: no survey answers or KRAs on file → rating stays at the start
</t>
          </r>
          <r>
            <rPr>
              <rFont val="Calibri"/>
              <b val="1"/>
              <sz val="10"/>
            </rPr>
            <t>Autonomy &amp; Decision:</t>
          </r>
          <r>
            <rPr>
              <rFont val="Calibri"/>
              <sz val="10"/>
            </rPr>
            <t xml:space="preserve"> 8 of 12 — Start: 8.0 · head-of-function title; Evidence: no survey answers or KRAs on file → rating stays at the start
</t>
          </r>
          <r>
            <rPr>
              <rFont val="Calibri"/>
              <b val="1"/>
              <sz val="10"/>
            </rPr>
            <t>Accountability &amp; Impact:</t>
          </r>
          <r>
            <rPr>
              <rFont val="Calibri"/>
              <sz val="10"/>
            </rPr>
            <t xml:space="preserve"> 6 of 12 — Start: 5.8 · head-of-function title; 1 direct report, 6 people below, 1 of them leads a team; Evidence: no survey answers or KRAs on file → rating stays at the start
</t>
          </r>
          <r>
            <rPr>
              <rFont val="Calibri"/>
              <b val="1"/>
              <sz val="10"/>
            </rPr>
            <t>Leadership &amp; Strategy:</t>
          </r>
          <r>
            <rPr>
              <rFont val="Calibri"/>
              <sz val="10"/>
            </rPr>
            <t xml:space="preserve"> 7 of 12 — Start: 7.0; Evidence: no survey answers or KRAs on file → rating stays at the start; Team: 1 direct report · People Manager
</t>
          </r>
          <r>
            <rPr>
              <rFont val="Calibri"/>
              <b val="1"/>
              <sz val="10"/>
            </rPr>
            <t>Experience &amp; Qualification:</t>
          </r>
          <r>
            <rPr>
              <rFont val="Calibri"/>
              <sz val="10"/>
            </rPr>
            <t xml:space="preserve"> 12 of 12 — Experience: 28.3 yrs total · 6.2 before IRIS + 22.1 at IRIS = 12.0 on the experience scale; Qualification: B.Com · graduate, relevant to the work → no change
</t>
          </r>
          <r>
            <rPr>
              <rFont val="Calibri"/>
              <b val="1"/>
              <sz val="10"/>
            </rPr>
            <t>Business Impact:</t>
          </r>
          <r>
            <rPr>
              <rFont val="Calibri"/>
              <sz val="10"/>
            </rPr>
            <t xml:space="preserve"> 6 of 12 — a starting estimate. — Start: 6, the role's accountability scope — what it answers for.; No survey or manager-mapping signal on criticality: kept at the start point.; Managers and heads: overwrite this rating on the Weightage sheet with the business impact you see — the score updates at once.; Ladder: B3 = Shapes the results of a practice or several teams</t>
          </r>
        </is>
      </c>
      <c r="X15" s="12" t="inlineStr">
        <is>
          <r>
            <rPr>
              <rFont val="Calibri"/>
              <b val="1"/>
              <sz val="10"/>
            </rPr>
            <t>Market level:</t>
          </r>
          <r>
            <rPr>
              <rFont val="Calibri"/>
              <sz val="10"/>
            </rPr>
            <t xml:space="preserve"> P6 / M5 · SFIA 5–6
</t>
          </r>
          <r>
            <rPr>
              <rFont val="Calibri"/>
              <b val="1"/>
              <sz val="10"/>
            </rPr>
            <t>Typical title:</t>
          </r>
          <r>
            <rPr>
              <rFont val="Calibri"/>
              <sz val="10"/>
            </rPr>
            <t xml:space="preserve"> Head of Function / AGM
</t>
          </r>
          <r>
            <rPr>
              <rFont val="Calibri"/>
              <b val="1"/>
              <sz val="10"/>
            </rPr>
            <t>At peers:</t>
          </r>
          <r>
            <rPr>
              <rFont val="Calibri"/>
              <sz val="10"/>
            </rPr>
            <t xml:space="preserve"> Atlassian company-wide P-levels – P60 Accountant · Principal · IRIS Vs Competitor Benchmark — finance ladder: Associate Director Finance
</t>
          </r>
          <r>
            <rPr>
              <rFont val="Calibri"/>
              <b val="1"/>
              <sz val="10"/>
            </rPr>
            <t>Typical experience:</t>
          </r>
          <r>
            <rPr>
              <rFont val="Calibri"/>
              <sz val="10"/>
            </rPr>
            <t xml:space="preserve"> 12–17 yrs · IRIS guide 10–14
</t>
          </r>
          <r>
            <rPr>
              <rFont val="Calibri"/>
              <b val="1"/>
              <sz val="10"/>
            </rPr>
            <t>Standard:</t>
          </r>
          <r>
            <rPr>
              <rFont val="Calibri"/>
              <sz val="10"/>
            </rPr>
            <t xml:space="preserve"> IMA Management Accounting Competency Framework; ICAI / CA</t>
          </r>
        </is>
      </c>
      <c r="Y15" s="12" t="inlineStr">
        <is>
          <r>
            <rPr>
              <rFont val="Calibri"/>
              <sz val="10"/>
            </rPr>
            <t xml:space="preserve">✓ HRIS: 28.3 yrs, B.Com, 1 direct report
✗ Survey: no response
✗ KRAs: none on file
✓ Manager mapping: rating, 9-box
✗ Job description: not on file
</t>
          </r>
          <r>
            <rPr>
              <rFont val="Calibri"/>
              <b val="1"/>
              <sz val="10"/>
            </rPr>
            <t>Confidence:</t>
          </r>
          <r>
            <rPr>
              <rFont val="Calibri"/>
              <sz val="10"/>
            </rPr>
            <t xml:space="preserve"> Low</t>
          </r>
        </is>
      </c>
      <c r="Z15" s="86" t="inlineStr">
        <is>
          <r>
            <rPr>
              <rFont val="Calibri"/>
              <color rgb="009C5700"/>
              <sz val="10"/>
            </rPr>
            <t xml:space="preserve">• </t>
          </r>
          <r>
            <rPr>
              <rFont val="Calibri"/>
              <b val="1"/>
              <color rgb="009C5700"/>
              <sz val="10"/>
            </rPr>
            <t>Senior title held at this level by the structural gate:</t>
          </r>
          <r>
            <rPr>
              <rFont val="Calibri"/>
              <color rgb="009C5700"/>
              <sz val="10"/>
            </rPr>
            <t xml:space="preserve"> confirm the scope</t>
          </r>
        </is>
      </c>
      <c r="AA15" s="84" t="inlineStr">
        <is>
          <t>• Survey response or KRAs describing the work · nothing on file — Employee + manager
• Confirm structure behind the senior title · org chart — Business head</t>
        </is>
      </c>
      <c r="AB15" s="12" t="inlineStr">
        <is>
          <r>
            <rPr>
              <rFont val="Calibri"/>
              <b val="1"/>
              <sz val="10"/>
            </rPr>
            <t>What the role answers for:</t>
          </r>
          <r>
            <rPr>
              <rFont val="Calibri"/>
              <sz val="10"/>
            </rPr>
            <t xml:space="preserve"> Sub-function results or domain quality across products.
</t>
          </r>
          <r>
            <rPr>
              <rFont val="Calibri"/>
              <b val="1"/>
              <sz val="10"/>
            </rPr>
            <t>Accountability &amp; Impact rating:</t>
          </r>
          <r>
            <rPr>
              <rFont val="Calibri"/>
              <sz val="10"/>
            </rPr>
            <t xml:space="preserve"> 6 of 12 · B3-level impact.
Leads 1 direct report.
Manager talent mapping — Latest rating: Not rated · manager · 9-Box Grid placement: Not placed · manager.</t>
          </r>
        </is>
      </c>
      <c r="AC15" s="83" t="n"/>
      <c r="AD15" s="83" t="n"/>
      <c r="AE15" s="83" t="n"/>
      <c r="AF15" s="12" t="n">
        <v>6</v>
      </c>
    </row>
    <row r="16" ht="379" customHeight="1">
      <c r="A16" s="12" t="inlineStr">
        <is>
          <t>IRIS1508</t>
        </is>
      </c>
      <c r="B16" s="10" t="inlineStr">
        <is>
          <t>Winny Nair</t>
        </is>
      </c>
      <c r="C16" s="12" t="inlineStr">
        <is>
          <t>Finance</t>
        </is>
      </c>
      <c r="D16" s="12" t="inlineStr">
        <is>
          <t>Manager - Finance and Accounts</t>
        </is>
      </c>
      <c r="E16" s="79" t="inlineStr">
        <is>
          <t>Senior Finance Specialist – POD Lead</t>
        </is>
      </c>
      <c r="F16" s="12" t="inlineStr">
        <is>
          <t>Finance &amp; Accounts</t>
        </is>
      </c>
      <c r="G16" s="12" t="inlineStr">
        <is>
          <t>Financial Reporting, Compliance &amp; Audit</t>
        </is>
      </c>
      <c r="H16" s="12" t="inlineStr">
        <is>
          <t>POD Lead</t>
        </is>
      </c>
      <c r="I16" s="42" t="inlineStr">
        <is>
          <t>Not in current mapping files</t>
        </is>
      </c>
      <c r="J16" s="20" t="inlineStr">
        <is>
          <t>B2</t>
        </is>
      </c>
      <c r="K16" s="21" t="inlineStr">
        <is>
          <t>Senior Specialist · POD Lead</t>
        </is>
      </c>
      <c r="L16" s="80" t="inlineStr">
        <is>
          <t>● Newly mapped</t>
        </is>
      </c>
      <c r="M16" s="12" t="inlineStr">
        <is>
          <t>Corporate · Finance · Band B · Expert / POD Lead</t>
        </is>
      </c>
      <c r="N16" s="42" t="n">
        <v>5</v>
      </c>
      <c r="O16" s="42" t="n">
        <v>4</v>
      </c>
      <c r="P16" s="42" t="n">
        <v>4.5</v>
      </c>
      <c r="Q16" s="42" t="n">
        <v>3.5</v>
      </c>
      <c r="R16" s="42" t="n">
        <v>10</v>
      </c>
      <c r="S16" s="81" t="n">
        <v>4.5</v>
      </c>
      <c r="T16" s="82">
        <f>IF(OR($M16="",COUNT(N16,O16,P16,Q16,R16,S16)&lt;6),"",IFERROR(N16*INDEX(WM_C,MATCH($M16,WM_KEY,0))+O16*INDEX(WM_AU,MATCH($M16,WM_KEY,0))+P16*INDEX(WM_AC,MATCH($M16,WM_KEY,0))+Q16*INDEX(WM_L,MATCH($M16,WM_KEY,0))+R16*INDEX(WM_E,MATCH($M16,WM_KEY,0))+S16*INDEX(WM_BI,MATCH($M16,WM_KEY,0)),""))</f>
        <v>5.42</v>
      </c>
      <c r="U16" s="42" t="str">
        <f>IF(T16="","",INDEX({"A1","A2","A3","B1","B2","B3","C1","C2","D1","D2","E1","E2"},MAX(1,MIN(12,ROUND(T16,0)))))</f>
        <v>B2</v>
      </c>
      <c r="V16" s="12" t="inlineStr">
        <is>
          <r>
            <rPr>
              <rFont val="Calibri"/>
              <sz val="10"/>
            </rPr>
            <t xml:space="preserve">New level B2 · Senior Specialist · POD Lead. Current level on record: Not in current mapping files. Change: ● Newly mapped.
Score 5.42 on the ladder scale → indicated level B2.
</t>
          </r>
          <r>
            <rPr>
              <rFont val="Calibri"/>
              <b val="1"/>
              <sz val="10"/>
            </rPr>
            <t>Weights:</t>
          </r>
          <r>
            <rPr>
              <rFont val="Calibri"/>
              <sz val="10"/>
            </rPr>
            <t xml:space="preserve"> Complexity 46% · Autonomy 17% · Experience 15% · Accountability 10% · Business impact 7% · Leadership 5%
</t>
          </r>
          <r>
            <rPr>
              <rFont val="Calibri"/>
              <b val="1"/>
              <sz val="10"/>
            </rPr>
            <t>Why:</t>
          </r>
          <r>
            <rPr>
              <rFont val="Calibri"/>
              <sz val="10"/>
            </rPr>
            <t xml:space="preserve"> specialists are judged mainly on depth of expertise, then on what they decide alone, what they answer for and their impact.
</t>
          </r>
          <r>
            <rPr>
              <rFont val="Calibri"/>
              <b val="1"/>
              <sz val="10"/>
            </rPr>
            <t>Type of work in the department:</t>
          </r>
          <r>
            <rPr>
              <rFont val="Calibri"/>
              <sz val="10"/>
            </rPr>
            <t xml:space="preserve"> corporate functions rely on professional qualifications such as CA, CS or law, so Experience &amp; Qualification +5 and Complexity −5.
</t>
          </r>
          <r>
            <rPr>
              <rFont val="Calibri"/>
              <b val="1"/>
              <sz val="10"/>
            </rPr>
            <t>Live:</t>
          </r>
          <r>
            <rPr>
              <rFont val="Calibri"/>
              <sz val="10"/>
            </rPr>
            <t xml:space="preserve"> change the department's row on the Weightage Matrix and these weights, the points and the score update.
</t>
          </r>
          <r>
            <rPr>
              <rFont val="Calibri"/>
              <b val="1"/>
              <sz val="10"/>
            </rPr>
            <t>What decided the final level:</t>
          </r>
          <r>
            <rPr>
              <rFont val="Calibri"/>
              <sz val="10"/>
            </rPr>
            <t xml:space="preserve"> the score itself — no rule changed it.</t>
          </r>
        </is>
      </c>
      <c r="W16" s="12" t="inlineStr">
        <is>
          <r>
            <rPr>
              <rFont val="Calibri"/>
              <b val="1"/>
              <sz val="10"/>
            </rPr>
            <t>Complexity &amp; Expertise:</t>
          </r>
          <r>
            <rPr>
              <rFont val="Calibri"/>
              <sz val="10"/>
            </rPr>
            <t xml:space="preserve"> 5 of 12 — Start: 5.0 · manager / senior specialist title; Evidence reads like B2: Spans statutory compliance, subsidiary book closing, audits, banking, forex hedging and regulatory notices → matches the start
</t>
          </r>
          <r>
            <rPr>
              <rFont val="Calibri"/>
              <b val="1"/>
              <sz val="10"/>
            </rPr>
            <t>Autonomy &amp; Decision:</t>
          </r>
          <r>
            <rPr>
              <rFont val="Calibri"/>
              <sz val="10"/>
            </rPr>
            <t xml:space="preserve"> 4 of 12 — Start: 5.0 · manager / senior specialist title; Evidence reads like A2: States decides 'Nothing' independently, though approves entries and executes forex hedging → moved down 1
</t>
          </r>
          <r>
            <rPr>
              <rFont val="Calibri"/>
              <b val="1"/>
              <sz val="10"/>
            </rPr>
            <t>Accountability &amp; Impact:</t>
          </r>
          <r>
            <rPr>
              <rFont val="Calibri"/>
              <sz val="10"/>
            </rPr>
            <t xml:space="preserve"> 4.5 of 12 · between B1 and B2 — Start: 4.2 · manager / senior specialist title; 1 direct report, 5 people below, 1 of them leads a team; Evidence reads like B2: own survey / KRA answers · summarised by the rater; not quoted → moved up 0.2
</t>
          </r>
          <r>
            <rPr>
              <rFont val="Calibri"/>
              <b val="1"/>
              <sz val="10"/>
            </rPr>
            <t>Leadership &amp; Strategy:</t>
          </r>
          <r>
            <rPr>
              <rFont val="Calibri"/>
              <sz val="10"/>
            </rPr>
            <t xml:space="preserve"> 3.5 of 12 · between A3 and B1 — Start: 4.0; Evidence reads like A3: Approves entries and gets work done through others; 1 direct report → moved down 0.5; Team: 1 direct report · POD Lead
</t>
          </r>
          <r>
            <rPr>
              <rFont val="Calibri"/>
              <b val="1"/>
              <sz val="10"/>
            </rPr>
            <t>Experience &amp; Qualification:</t>
          </r>
          <r>
            <rPr>
              <rFont val="Calibri"/>
              <sz val="10"/>
            </rPr>
            <t xml:space="preserve"> 10 of 12 — Experience: 19.9 yrs total · 8.2 before IRIS + 11.7 at IRIS = 9.7 on the experience scale; Qualification: PGDM · postgraduate, relevant to the work → +0.5
</t>
          </r>
          <r>
            <rPr>
              <rFont val="Calibri"/>
              <b val="1"/>
              <sz val="10"/>
            </rPr>
            <t>Business Impact:</t>
          </r>
          <r>
            <rPr>
              <rFont val="Calibri"/>
              <sz val="10"/>
            </rPr>
            <t xml:space="preserve"> 4.5 of 12 — a starting estimate. — Start: 4.5, the role's accountability scope — what it answers for.; No survey or manager-mapping signal on criticality: kept at the start point.; Managers and heads: overwrite this rating on the Weightage sheet with the business impact you see — the score updates at once.; Ladder: B1 = Moves a module's, product area's or client account's results · B2 = Visible effect on a team's or client portfolio's revenue, quality or compliance</t>
          </r>
        </is>
      </c>
      <c r="X16" s="12" t="inlineStr">
        <is>
          <r>
            <rPr>
              <rFont val="Calibri"/>
              <b val="1"/>
              <sz val="10"/>
            </rPr>
            <t>Market level:</t>
          </r>
          <r>
            <rPr>
              <rFont val="Calibri"/>
              <sz val="10"/>
            </rPr>
            <t xml:space="preserve"> P4 / M3 · SFIA 4–5
</t>
          </r>
          <r>
            <rPr>
              <rFont val="Calibri"/>
              <b val="1"/>
              <sz val="10"/>
            </rPr>
            <t>Typical title:</t>
          </r>
          <r>
            <rPr>
              <rFont val="Calibri"/>
              <sz val="10"/>
            </rPr>
            <t xml:space="preserve"> Finance Specialist / Asst. Manager
</t>
          </r>
          <r>
            <rPr>
              <rFont val="Calibri"/>
              <b val="1"/>
              <sz val="10"/>
            </rPr>
            <t>At peers:</t>
          </r>
          <r>
            <rPr>
              <rFont val="Calibri"/>
              <sz val="10"/>
            </rPr>
            <t xml:space="preserve"> Atlassian company-wide P-levels – P50 Senior · Toppan Merrill – Senior Financial Analyst · IRIS Vs Competitor Benchmark — finance ladder: Finance Manager
</t>
          </r>
          <r>
            <rPr>
              <rFont val="Calibri"/>
              <b val="1"/>
              <sz val="10"/>
            </rPr>
            <t>Typical experience:</t>
          </r>
          <r>
            <rPr>
              <rFont val="Calibri"/>
              <sz val="10"/>
            </rPr>
            <t xml:space="preserve"> 6–10 yrs · IRIS guide 6–9
</t>
          </r>
          <r>
            <rPr>
              <rFont val="Calibri"/>
              <b val="1"/>
              <sz val="10"/>
            </rPr>
            <t>Standard:</t>
          </r>
          <r>
            <rPr>
              <rFont val="Calibri"/>
              <sz val="10"/>
            </rPr>
            <t xml:space="preserve"> IMA Management Accounting Competency Framework; ICAI / CA</t>
          </r>
        </is>
      </c>
      <c r="Y16" s="12" t="inlineStr">
        <is>
          <r>
            <rPr>
              <rFont val="Calibri"/>
              <sz val="10"/>
            </rPr>
            <t xml:space="preserve">✓ HRIS: 19.9 yrs, PGDM, 1 direct report
✓ Survey: 19 of 20 questions answered
✗ KRAs: none on file
✓ Manager mapping: rating, 9-box
✗ Job description: not on file
</t>
          </r>
          <r>
            <rPr>
              <rFont val="Calibri"/>
              <b val="1"/>
              <sz val="10"/>
            </rPr>
            <t>Confidence:</t>
          </r>
          <r>
            <rPr>
              <rFont val="Calibri"/>
              <sz val="10"/>
            </rPr>
            <t xml:space="preserve"> Medium</t>
          </r>
        </is>
      </c>
      <c r="Z16" s="12" t="inlineStr">
        <is>
          <t>—</t>
        </is>
      </c>
      <c r="AA16" s="12" t="inlineStr">
        <is>
          <t>Nothing outstanding</t>
        </is>
      </c>
      <c r="AB16" s="12" t="inlineStr">
        <is>
          <r>
            <rPr>
              <rFont val="Calibri"/>
              <b val="1"/>
              <sz val="10"/>
            </rPr>
            <t>What the role answers for:</t>
          </r>
          <r>
            <rPr>
              <rFont val="Calibri"/>
              <sz val="10"/>
            </rPr>
            <t xml:space="preserve"> One team or a client portfolio.
</t>
          </r>
          <r>
            <rPr>
              <rFont val="Calibri"/>
              <b val="1"/>
              <sz val="10"/>
            </rPr>
            <t>Accountability &amp; Impact rating:</t>
          </r>
          <r>
            <rPr>
              <rFont val="Calibri"/>
              <sz val="10"/>
            </rPr>
            <t xml:space="preserve"> 4.5 of 12 · B1-level impact.
Leads 1 direct report.
Manager talent mapping — Latest rating: Not rated · manager · 9-Box Grid placement: Not placed · manager.</t>
          </r>
        </is>
      </c>
      <c r="AC16" s="83" t="n"/>
      <c r="AD16" s="83" t="n"/>
      <c r="AE16" s="83" t="n"/>
      <c r="AF16" s="12" t="n">
        <v>4.5</v>
      </c>
    </row>
    <row r="17" ht="379" customHeight="1">
      <c r="A17" s="12" t="inlineStr">
        <is>
          <t>IRIS1724</t>
        </is>
      </c>
      <c r="B17" s="10" t="inlineStr">
        <is>
          <t>Anita Chavan</t>
        </is>
      </c>
      <c r="C17" s="12" t="inlineStr">
        <is>
          <t>Finance</t>
        </is>
      </c>
      <c r="D17" s="12" t="inlineStr">
        <is>
          <t>Senior Executive Accounts</t>
        </is>
      </c>
      <c r="E17" s="79" t="inlineStr">
        <is>
          <t>Accounts Specialist – POD Lead</t>
        </is>
      </c>
      <c r="F17" s="12" t="inlineStr">
        <is>
          <t>Finance &amp; Accounts</t>
        </is>
      </c>
      <c r="G17" s="12" t="inlineStr">
        <is>
          <t>Accounting &amp; Transaction Processing</t>
        </is>
      </c>
      <c r="H17" s="12" t="inlineStr">
        <is>
          <t>POD Lead</t>
        </is>
      </c>
      <c r="I17" s="42" t="inlineStr">
        <is>
          <t>Not in current mapping files</t>
        </is>
      </c>
      <c r="J17" s="20" t="inlineStr">
        <is>
          <t>B1</t>
        </is>
      </c>
      <c r="K17" s="21" t="inlineStr">
        <is>
          <t>Specialist · POD Lead</t>
        </is>
      </c>
      <c r="L17" s="80" t="inlineStr">
        <is>
          <t>● Newly mapped</t>
        </is>
      </c>
      <c r="M17" s="12" t="inlineStr">
        <is>
          <t>Corporate · Finance · Band B · Expert / POD Lead</t>
        </is>
      </c>
      <c r="N17" s="42" t="n">
        <v>3</v>
      </c>
      <c r="O17" s="42" t="n">
        <v>2.5</v>
      </c>
      <c r="P17" s="42" t="n">
        <v>3</v>
      </c>
      <c r="Q17" s="42" t="n">
        <v>2.5</v>
      </c>
      <c r="R17" s="42" t="n">
        <v>10</v>
      </c>
      <c r="S17" s="81" t="n">
        <v>3</v>
      </c>
      <c r="T17" s="82">
        <f>IF(OR($M17="",COUNT(N17,O17,P17,Q17,R17,S17)&lt;6),"",IFERROR(N17*INDEX(WM_C,MATCH($M17,WM_KEY,0))+O17*INDEX(WM_AU,MATCH($M17,WM_KEY,0))+P17*INDEX(WM_AC,MATCH($M17,WM_KEY,0))+Q17*INDEX(WM_L,MATCH($M17,WM_KEY,0))+R17*INDEX(WM_E,MATCH($M17,WM_KEY,0))+S17*INDEX(WM_BI,MATCH($M17,WM_KEY,0)),""))</f>
        <v>3.94</v>
      </c>
      <c r="U17" s="42" t="str">
        <f>IF(T17="","",INDEX({"A1","A2","A3","B1","B2","B3","C1","C2","D1","D2","E1","E2"},MAX(1,MIN(12,ROUND(T17,0)))))</f>
        <v>B1</v>
      </c>
      <c r="V17" s="12" t="inlineStr">
        <is>
          <r>
            <rPr>
              <rFont val="Calibri"/>
              <sz val="10"/>
            </rPr>
            <t xml:space="preserve">New level B1 · Specialist · POD Lead. Current level on record: Not in current mapping files. Change: ● Newly mapped.
Score 3.94 on the ladder scale → indicated level B1.
</t>
          </r>
          <r>
            <rPr>
              <rFont val="Calibri"/>
              <b val="1"/>
              <sz val="10"/>
            </rPr>
            <t>Weights:</t>
          </r>
          <r>
            <rPr>
              <rFont val="Calibri"/>
              <sz val="10"/>
            </rPr>
            <t xml:space="preserve"> Complexity 46% · Autonomy 17% · Experience 15% · Accountability 10% · Business impact 7% · Leadership 5%
</t>
          </r>
          <r>
            <rPr>
              <rFont val="Calibri"/>
              <b val="1"/>
              <sz val="10"/>
            </rPr>
            <t>Why:</t>
          </r>
          <r>
            <rPr>
              <rFont val="Calibri"/>
              <sz val="10"/>
            </rPr>
            <t xml:space="preserve"> specialists are judged mainly on depth of expertise, then on what they decide alone, what they answer for and their impact.
</t>
          </r>
          <r>
            <rPr>
              <rFont val="Calibri"/>
              <b val="1"/>
              <sz val="10"/>
            </rPr>
            <t>Type of work in the department:</t>
          </r>
          <r>
            <rPr>
              <rFont val="Calibri"/>
              <sz val="10"/>
            </rPr>
            <t xml:space="preserve"> corporate functions rely on professional qualifications such as CA, CS or law, so Experience &amp; Qualification +5 and Complexity −5.
</t>
          </r>
          <r>
            <rPr>
              <rFont val="Calibri"/>
              <b val="1"/>
              <sz val="10"/>
            </rPr>
            <t>Live:</t>
          </r>
          <r>
            <rPr>
              <rFont val="Calibri"/>
              <sz val="10"/>
            </rPr>
            <t xml:space="preserve"> change the department's row on the Weightage Matrix and these weights, the points and the score update.
</t>
          </r>
          <r>
            <rPr>
              <rFont val="Calibri"/>
              <b val="1"/>
              <sz val="10"/>
            </rPr>
            <t>What decided the final level:</t>
          </r>
          <r>
            <rPr>
              <rFont val="Calibri"/>
              <sz val="10"/>
            </rPr>
            <t xml:space="preserve"> the score itself — no rule changed it.</t>
          </r>
        </is>
      </c>
      <c r="W17" s="12" t="inlineStr">
        <is>
          <r>
            <rPr>
              <rFont val="Calibri"/>
              <b val="1"/>
              <sz val="10"/>
            </rPr>
            <t>Complexity &amp; Expertise:</t>
          </r>
          <r>
            <rPr>
              <rFont val="Calibri"/>
              <sz val="10"/>
            </rPr>
            <t xml:space="preserve"> 3 of 12 — Start: 3.0 · senior practitioner title; Evidence reads like A3: Bank payments, TDS and GST compliance, reimbursements, ledger reconciliations, audit and reporting → matches the start
</t>
          </r>
          <r>
            <rPr>
              <rFont val="Calibri"/>
              <b val="1"/>
              <sz val="10"/>
            </rPr>
            <t>Autonomy &amp; Decision:</t>
          </r>
          <r>
            <rPr>
              <rFont val="Calibri"/>
              <sz val="10"/>
            </rPr>
            <t xml:space="preserve"> 2.5 of 12 · between A2 and A3 — Start: 3.0 · senior practitioner title; Evidence reads like A2: Decides within compliance activities; routine → moved down 0.5
</t>
          </r>
          <r>
            <rPr>
              <rFont val="Calibri"/>
              <b val="1"/>
              <sz val="10"/>
            </rPr>
            <t>Accountability &amp; Impact:</t>
          </r>
          <r>
            <rPr>
              <rFont val="Calibri"/>
              <sz val="10"/>
            </rPr>
            <t xml:space="preserve"> 3 of 12 — Start: 3.5 · senior practitioner title; 1 direct report; Evidence reads like A3: Timely statutory and bank payments; delays bring penalties or interest → moved down 0.5
</t>
          </r>
          <r>
            <rPr>
              <rFont val="Calibri"/>
              <b val="1"/>
              <sz val="10"/>
            </rPr>
            <t>Leadership &amp; Strategy:</t>
          </r>
          <r>
            <rPr>
              <rFont val="Calibri"/>
              <sz val="10"/>
            </rPr>
            <t xml:space="preserve"> 2.5 of 12 · between A2 and A3 — Start: 3.5; Evidence reads like A1: No guidance of others described despite 1 direct report → moved down 1; Team: 1 direct report · POD Lead
</t>
          </r>
          <r>
            <rPr>
              <rFont val="Calibri"/>
              <b val="1"/>
              <sz val="10"/>
            </rPr>
            <t>Experience &amp; Qualification:</t>
          </r>
          <r>
            <rPr>
              <rFont val="Calibri"/>
              <sz val="10"/>
            </rPr>
            <t xml:space="preserve"> 10 of 12 — Experience: 20.6 yrs total · 12.3 before IRIS + 8.3 at IRIS = 9.9 on the experience scale; Qualification: B.Com · graduate, relevant to the work → no change
</t>
          </r>
          <r>
            <rPr>
              <rFont val="Calibri"/>
              <b val="1"/>
              <sz val="10"/>
            </rPr>
            <t>Business Impact:</t>
          </r>
          <r>
            <rPr>
              <rFont val="Calibri"/>
              <sz val="10"/>
            </rPr>
            <t xml:space="preserve"> 3 of 12 — a starting estimate. — Start: 3, the role's accountability scope — what it answers for.; No survey or manager-mapping signal on criticality: kept at the start point.; Managers and heads: overwrite this rating on the Weightage sheet with the business impact you see — the score updates at once.; Ladder: A3 = A process or client deliverable depends on this work</t>
          </r>
        </is>
      </c>
      <c r="X17" s="12" t="inlineStr">
        <is>
          <r>
            <rPr>
              <rFont val="Calibri"/>
              <b val="1"/>
              <sz val="10"/>
            </rPr>
            <t>Market level:</t>
          </r>
          <r>
            <rPr>
              <rFont val="Calibri"/>
              <sz val="10"/>
            </rPr>
            <t xml:space="preserve"> P3 / M2 · SFIA 4 Enable
</t>
          </r>
          <r>
            <rPr>
              <rFont val="Calibri"/>
              <b val="1"/>
              <sz val="10"/>
            </rPr>
            <t>Typical title:</t>
          </r>
          <r>
            <rPr>
              <rFont val="Calibri"/>
              <sz val="10"/>
            </rPr>
            <t xml:space="preserve"> Senior Accountant
</t>
          </r>
          <r>
            <rPr>
              <rFont val="Calibri"/>
              <b val="1"/>
              <sz val="10"/>
            </rPr>
            <t>At peers:</t>
          </r>
          <r>
            <rPr>
              <rFont val="Calibri"/>
              <sz val="10"/>
            </rPr>
            <t xml:space="preserve"> Toppan Merrill – Senior Accountant · IRIS Vs Competitor Benchmark — finance ladder: Finance Specialist / Asst. Manager
</t>
          </r>
          <r>
            <rPr>
              <rFont val="Calibri"/>
              <b val="1"/>
              <sz val="10"/>
            </rPr>
            <t>Typical experience:</t>
          </r>
          <r>
            <rPr>
              <rFont val="Calibri"/>
              <sz val="10"/>
            </rPr>
            <t xml:space="preserve"> 4–8 yrs · IRIS guide 4–7
</t>
          </r>
          <r>
            <rPr>
              <rFont val="Calibri"/>
              <b val="1"/>
              <sz val="10"/>
            </rPr>
            <t>Standard:</t>
          </r>
          <r>
            <rPr>
              <rFont val="Calibri"/>
              <sz val="10"/>
            </rPr>
            <t xml:space="preserve"> IMA Management Accounting Competency Framework; ICAI / CA</t>
          </r>
        </is>
      </c>
      <c r="Y17" s="12" t="inlineStr">
        <is>
          <r>
            <rPr>
              <rFont val="Calibri"/>
              <sz val="10"/>
            </rPr>
            <t xml:space="preserve">✓ HRIS: 20.6 yrs, B.Com, 1 direct report
✓ Survey: 20 of 20 questions answered
✗ KRAs: none on file
✓ Manager mapping: rating, 9-box
✗ Job description: not on file
</t>
          </r>
          <r>
            <rPr>
              <rFont val="Calibri"/>
              <b val="1"/>
              <sz val="10"/>
            </rPr>
            <t>Confidence:</t>
          </r>
          <r>
            <rPr>
              <rFont val="Calibri"/>
              <sz val="10"/>
            </rPr>
            <t xml:space="preserve"> Medium</t>
          </r>
        </is>
      </c>
      <c r="Z17" s="12" t="inlineStr">
        <is>
          <t>—</t>
        </is>
      </c>
      <c r="AA17" s="12" t="inlineStr">
        <is>
          <t>Nothing outstanding</t>
        </is>
      </c>
      <c r="AB17" s="12" t="inlineStr">
        <is>
          <r>
            <rPr>
              <rFont val="Calibri"/>
              <b val="1"/>
              <sz val="10"/>
            </rPr>
            <t>What the role answers for:</t>
          </r>
          <r>
            <rPr>
              <rFont val="Calibri"/>
              <sz val="10"/>
            </rPr>
            <t xml:space="preserve"> A domain or a small team.
</t>
          </r>
          <r>
            <rPr>
              <rFont val="Calibri"/>
              <b val="1"/>
              <sz val="10"/>
            </rPr>
            <t>Accountability &amp; Impact rating:</t>
          </r>
          <r>
            <rPr>
              <rFont val="Calibri"/>
              <sz val="10"/>
            </rPr>
            <t xml:space="preserve"> 3 of 12 · A3-level impact.
Leads 1 direct report.
</t>
          </r>
          <r>
            <rPr>
              <rFont val="Calibri"/>
              <b val="1"/>
              <sz val="10"/>
            </rPr>
            <t>If the work is missed · role-holders' themes:</t>
          </r>
          <r>
            <rPr>
              <rFont val="Calibri"/>
              <sz val="10"/>
            </rPr>
            <t xml:space="preserve"> delayed.
Manager talent mapping — Latest rating: Not rated · manager · 9-Box Grid placement: Not placed · manager.</t>
          </r>
        </is>
      </c>
      <c r="AC17" s="83" t="n"/>
      <c r="AD17" s="83" t="n"/>
      <c r="AE17" s="83" t="n"/>
      <c r="AF17" s="12" t="n">
        <v>3</v>
      </c>
    </row>
    <row r="18" ht="379" customHeight="1">
      <c r="A18" s="12" t="inlineStr">
        <is>
          <t>IRIS1557</t>
        </is>
      </c>
      <c r="B18" s="10" t="inlineStr">
        <is>
          <t>Gaurangee Gaurav Tawde</t>
        </is>
      </c>
      <c r="C18" s="12" t="inlineStr">
        <is>
          <t>Finance</t>
        </is>
      </c>
      <c r="D18" s="12" t="inlineStr">
        <is>
          <t>Senior Executive Accounts</t>
        </is>
      </c>
      <c r="E18" s="79" t="inlineStr">
        <is>
          <t>Accounts Specialist – POD Lead</t>
        </is>
      </c>
      <c r="F18" s="12" t="inlineStr">
        <is>
          <t>Finance &amp; Accounts</t>
        </is>
      </c>
      <c r="G18" s="12" t="inlineStr">
        <is>
          <t>Accounting &amp; Transaction Processing</t>
        </is>
      </c>
      <c r="H18" s="12" t="inlineStr">
        <is>
          <t>POD Lead</t>
        </is>
      </c>
      <c r="I18" s="42" t="inlineStr">
        <is>
          <t>Not in current mapping files</t>
        </is>
      </c>
      <c r="J18" s="20" t="inlineStr">
        <is>
          <t>B1</t>
        </is>
      </c>
      <c r="K18" s="21" t="inlineStr">
        <is>
          <t>Specialist · POD Lead</t>
        </is>
      </c>
      <c r="L18" s="80" t="inlineStr">
        <is>
          <t>● Newly mapped</t>
        </is>
      </c>
      <c r="M18" s="12" t="inlineStr">
        <is>
          <t>Corporate · Finance · Band B · Expert / POD Lead</t>
        </is>
      </c>
      <c r="N18" s="42" t="n">
        <v>3</v>
      </c>
      <c r="O18" s="42" t="n">
        <v>2.5</v>
      </c>
      <c r="P18" s="42" t="n">
        <v>3</v>
      </c>
      <c r="Q18" s="42" t="n">
        <v>2.5</v>
      </c>
      <c r="R18" s="42" t="n">
        <v>10</v>
      </c>
      <c r="S18" s="81" t="n">
        <v>3</v>
      </c>
      <c r="T18" s="82">
        <f>IF(OR($M18="",COUNT(N18,O18,P18,Q18,R18,S18)&lt;6),"",IFERROR(N18*INDEX(WM_C,MATCH($M18,WM_KEY,0))+O18*INDEX(WM_AU,MATCH($M18,WM_KEY,0))+P18*INDEX(WM_AC,MATCH($M18,WM_KEY,0))+Q18*INDEX(WM_L,MATCH($M18,WM_KEY,0))+R18*INDEX(WM_E,MATCH($M18,WM_KEY,0))+S18*INDEX(WM_BI,MATCH($M18,WM_KEY,0)),""))</f>
        <v>3.94</v>
      </c>
      <c r="U18" s="42" t="str">
        <f>IF(T18="","",INDEX({"A1","A2","A3","B1","B2","B3","C1","C2","D1","D2","E1","E2"},MAX(1,MIN(12,ROUND(T18,0)))))</f>
        <v>B1</v>
      </c>
      <c r="V18" s="12" t="inlineStr">
        <is>
          <r>
            <rPr>
              <rFont val="Calibri"/>
              <sz val="10"/>
            </rPr>
            <t xml:space="preserve">New level B1 · Specialist · POD Lead. Current level on record: Not in current mapping files. Change: ● Newly mapped.
Score 3.94 on the ladder scale → indicated level B1.
</t>
          </r>
          <r>
            <rPr>
              <rFont val="Calibri"/>
              <b val="1"/>
              <sz val="10"/>
            </rPr>
            <t>Weights:</t>
          </r>
          <r>
            <rPr>
              <rFont val="Calibri"/>
              <sz val="10"/>
            </rPr>
            <t xml:space="preserve"> Complexity 46% · Autonomy 17% · Experience 15% · Accountability 10% · Business impact 7% · Leadership 5%
</t>
          </r>
          <r>
            <rPr>
              <rFont val="Calibri"/>
              <b val="1"/>
              <sz val="10"/>
            </rPr>
            <t>Why:</t>
          </r>
          <r>
            <rPr>
              <rFont val="Calibri"/>
              <sz val="10"/>
            </rPr>
            <t xml:space="preserve"> specialists are judged mainly on depth of expertise, then on what they decide alone, what they answer for and their impact.
</t>
          </r>
          <r>
            <rPr>
              <rFont val="Calibri"/>
              <b val="1"/>
              <sz val="10"/>
            </rPr>
            <t>Type of work in the department:</t>
          </r>
          <r>
            <rPr>
              <rFont val="Calibri"/>
              <sz val="10"/>
            </rPr>
            <t xml:space="preserve"> corporate functions rely on professional qualifications such as CA, CS or law, so Experience &amp; Qualification +5 and Complexity −5.
</t>
          </r>
          <r>
            <rPr>
              <rFont val="Calibri"/>
              <b val="1"/>
              <sz val="10"/>
            </rPr>
            <t>Live:</t>
          </r>
          <r>
            <rPr>
              <rFont val="Calibri"/>
              <sz val="10"/>
            </rPr>
            <t xml:space="preserve"> change the department's row on the Weightage Matrix and these weights, the points and the score update.
</t>
          </r>
          <r>
            <rPr>
              <rFont val="Calibri"/>
              <b val="1"/>
              <sz val="10"/>
            </rPr>
            <t>What decided the final level:</t>
          </r>
          <r>
            <rPr>
              <rFont val="Calibri"/>
              <sz val="10"/>
            </rPr>
            <t xml:space="preserve"> the score itself — no rule changed it.</t>
          </r>
        </is>
      </c>
      <c r="W18" s="12" t="inlineStr">
        <is>
          <r>
            <rPr>
              <rFont val="Calibri"/>
              <b val="1"/>
              <sz val="10"/>
            </rPr>
            <t>Complexity &amp; Expertise:</t>
          </r>
          <r>
            <rPr>
              <rFont val="Calibri"/>
              <sz val="10"/>
            </rPr>
            <t xml:space="preserve"> 3 of 12 — Start: 3.0 · senior practitioner title; Evidence reads like A3: GST compliance, bank guarantees, Softex settlement, forward contract booking, audit coordination, MIS → matches the start
</t>
          </r>
          <r>
            <rPr>
              <rFont val="Calibri"/>
              <b val="1"/>
              <sz val="10"/>
            </rPr>
            <t>Autonomy &amp; Decision:</t>
          </r>
          <r>
            <rPr>
              <rFont val="Calibri"/>
              <sz val="10"/>
            </rPr>
            <t xml:space="preserve"> 2.5 of 12 · between A2 and A3 — Start: 3.0 · senior practitioner title; Evidence reads like A2: Decides within compliance work; nothing broader stated → moved down 0.5
</t>
          </r>
          <r>
            <rPr>
              <rFont val="Calibri"/>
              <b val="1"/>
              <sz val="10"/>
            </rPr>
            <t>Accountability &amp; Impact:</t>
          </r>
          <r>
            <rPr>
              <rFont val="Calibri"/>
              <sz val="10"/>
            </rPr>
            <t xml:space="preserve"> 3 of 12 — Start: 3.5 · senior practitioner title; 1 direct report; Evidence reads like A3: GST, bank guarantee and Softex compliance; late filing fees if missed → moved down 0.5
</t>
          </r>
          <r>
            <rPr>
              <rFont val="Calibri"/>
              <b val="1"/>
              <sz val="10"/>
            </rPr>
            <t>Leadership &amp; Strategy:</t>
          </r>
          <r>
            <rPr>
              <rFont val="Calibri"/>
              <sz val="10"/>
            </rPr>
            <t xml:space="preserve"> 2.5 of 12 · between A2 and A3 — Start: 3.5; Evidence reads like A1: No guidance of others described despite 1 direct report → moved down 1; Team: 1 direct report · POD Lead
</t>
          </r>
          <r>
            <rPr>
              <rFont val="Calibri"/>
              <b val="1"/>
              <sz val="10"/>
            </rPr>
            <t>Experience &amp; Qualification:</t>
          </r>
          <r>
            <rPr>
              <rFont val="Calibri"/>
              <sz val="10"/>
            </rPr>
            <t xml:space="preserve"> 10 of 12 — Experience: 20.1 yrs total · 9.0 before IRIS + 11.1 at IRIS = 9.7 on the experience scale; Qualification: PGDM · postgraduate, relevant to the work → +0.5
</t>
          </r>
          <r>
            <rPr>
              <rFont val="Calibri"/>
              <b val="1"/>
              <sz val="10"/>
            </rPr>
            <t>Business Impact:</t>
          </r>
          <r>
            <rPr>
              <rFont val="Calibri"/>
              <sz val="10"/>
            </rPr>
            <t xml:space="preserve"> 3 of 12 — a starting estimate. — Start: 3, the role's accountability scope — what it answers for.; No survey or manager-mapping signal on criticality: kept at the start point.; Managers and heads: overwrite this rating on the Weightage sheet with the business impact you see — the score updates at once.; Ladder: A3 = A process or client deliverable depends on this work</t>
          </r>
        </is>
      </c>
      <c r="X18" s="12" t="inlineStr">
        <is>
          <r>
            <rPr>
              <rFont val="Calibri"/>
              <b val="1"/>
              <sz val="10"/>
            </rPr>
            <t>Market level:</t>
          </r>
          <r>
            <rPr>
              <rFont val="Calibri"/>
              <sz val="10"/>
            </rPr>
            <t xml:space="preserve"> P3 / M2 · SFIA 4 Enable
</t>
          </r>
          <r>
            <rPr>
              <rFont val="Calibri"/>
              <b val="1"/>
              <sz val="10"/>
            </rPr>
            <t>Typical title:</t>
          </r>
          <r>
            <rPr>
              <rFont val="Calibri"/>
              <sz val="10"/>
            </rPr>
            <t xml:space="preserve"> Senior Accountant
</t>
          </r>
          <r>
            <rPr>
              <rFont val="Calibri"/>
              <b val="1"/>
              <sz val="10"/>
            </rPr>
            <t>At peers:</t>
          </r>
          <r>
            <rPr>
              <rFont val="Calibri"/>
              <sz val="10"/>
            </rPr>
            <t xml:space="preserve"> Toppan Merrill – Senior Accountant · IRIS Vs Competitor Benchmark — finance ladder: Finance Specialist / Asst. Manager
</t>
          </r>
          <r>
            <rPr>
              <rFont val="Calibri"/>
              <b val="1"/>
              <sz val="10"/>
            </rPr>
            <t>Typical experience:</t>
          </r>
          <r>
            <rPr>
              <rFont val="Calibri"/>
              <sz val="10"/>
            </rPr>
            <t xml:space="preserve"> 4–8 yrs · IRIS guide 4–7
</t>
          </r>
          <r>
            <rPr>
              <rFont val="Calibri"/>
              <b val="1"/>
              <sz val="10"/>
            </rPr>
            <t>Standard:</t>
          </r>
          <r>
            <rPr>
              <rFont val="Calibri"/>
              <sz val="10"/>
            </rPr>
            <t xml:space="preserve"> IMA Management Accounting Competency Framework; ICAI / CA</t>
          </r>
        </is>
      </c>
      <c r="Y18" s="12" t="inlineStr">
        <is>
          <r>
            <rPr>
              <rFont val="Calibri"/>
              <sz val="10"/>
            </rPr>
            <t xml:space="preserve">✓ HRIS: 20.1 yrs, PGDM, 1 direct report
✓ Survey: 20 of 20 questions answered
✗ KRAs: none on file
✓ Manager mapping: rating, 9-box
✗ Job description: not on file
</t>
          </r>
          <r>
            <rPr>
              <rFont val="Calibri"/>
              <b val="1"/>
              <sz val="10"/>
            </rPr>
            <t>Confidence:</t>
          </r>
          <r>
            <rPr>
              <rFont val="Calibri"/>
              <sz val="10"/>
            </rPr>
            <t xml:space="preserve"> Medium</t>
          </r>
        </is>
      </c>
      <c r="Z18" s="12" t="inlineStr">
        <is>
          <t>—</t>
        </is>
      </c>
      <c r="AA18" s="12" t="inlineStr">
        <is>
          <t>Nothing outstanding</t>
        </is>
      </c>
      <c r="AB18" s="12" t="inlineStr">
        <is>
          <r>
            <rPr>
              <rFont val="Calibri"/>
              <b val="1"/>
              <sz val="10"/>
            </rPr>
            <t>What the role answers for:</t>
          </r>
          <r>
            <rPr>
              <rFont val="Calibri"/>
              <sz val="10"/>
            </rPr>
            <t xml:space="preserve"> A domain or a small team.
</t>
          </r>
          <r>
            <rPr>
              <rFont val="Calibri"/>
              <b val="1"/>
              <sz val="10"/>
            </rPr>
            <t>Accountability &amp; Impact rating:</t>
          </r>
          <r>
            <rPr>
              <rFont val="Calibri"/>
              <sz val="10"/>
            </rPr>
            <t xml:space="preserve"> 3 of 12 · A3-level impact.
Leads 1 direct report.
</t>
          </r>
          <r>
            <rPr>
              <rFont val="Calibri"/>
              <b val="1"/>
              <sz val="10"/>
            </rPr>
            <t>If the work is missed · role-holders' themes:</t>
          </r>
          <r>
            <rPr>
              <rFont val="Calibri"/>
              <sz val="10"/>
            </rPr>
            <t xml:space="preserve"> delayed.
Manager talent mapping — Latest rating: Not rated · manager · 9-Box Grid placement: Not placed · manager.</t>
          </r>
        </is>
      </c>
      <c r="AC18" s="83" t="n"/>
      <c r="AD18" s="83" t="n"/>
      <c r="AE18" s="83" t="n"/>
      <c r="AF18" s="12" t="n">
        <v>3</v>
      </c>
    </row>
    <row r="19" ht="379" customHeight="1">
      <c r="A19" s="12" t="inlineStr">
        <is>
          <t>IRIS2547</t>
        </is>
      </c>
      <c r="B19" s="10" t="inlineStr">
        <is>
          <t>Lalit Choudhary</t>
        </is>
      </c>
      <c r="C19" s="12" t="inlineStr">
        <is>
          <t>Finance</t>
        </is>
      </c>
      <c r="D19" s="12" t="inlineStr">
        <is>
          <t>Assistant Manager - Finance and Accounts</t>
        </is>
      </c>
      <c r="E19" s="79" t="inlineStr">
        <is>
          <t>Finance Specialist</t>
        </is>
      </c>
      <c r="F19" s="12" t="inlineStr">
        <is>
          <t>Finance &amp; Accounts</t>
        </is>
      </c>
      <c r="G19" s="12" t="inlineStr">
        <is>
          <t>Financial Reporting, Compliance &amp; Audit</t>
        </is>
      </c>
      <c r="H19" s="12" t="inlineStr">
        <is>
          <t>IC</t>
        </is>
      </c>
      <c r="I19" s="42" t="inlineStr">
        <is>
          <t>Not in current mapping files</t>
        </is>
      </c>
      <c r="J19" s="20" t="inlineStr">
        <is>
          <t>B1</t>
        </is>
      </c>
      <c r="K19" s="21" t="inlineStr">
        <is>
          <t>Specialist</t>
        </is>
      </c>
      <c r="L19" s="80" t="inlineStr">
        <is>
          <t>● Newly mapped</t>
        </is>
      </c>
      <c r="M19" s="12" t="inlineStr">
        <is>
          <t>Corporate · Finance · Band B · Expert / POD Lead</t>
        </is>
      </c>
      <c r="N19" s="42" t="n">
        <v>4</v>
      </c>
      <c r="O19" s="42" t="n">
        <v>3</v>
      </c>
      <c r="P19" s="42" t="n">
        <v>3.5</v>
      </c>
      <c r="Q19" s="42" t="n">
        <v>2</v>
      </c>
      <c r="R19" s="42" t="n">
        <v>4.5</v>
      </c>
      <c r="S19" s="81" t="n">
        <v>3.5</v>
      </c>
      <c r="T19" s="82">
        <f>IF(OR($M19="",COUNT(N19,O19,P19,Q19,R19,S19)&lt;6),"",IFERROR(N19*INDEX(WM_C,MATCH($M19,WM_KEY,0))+O19*INDEX(WM_AU,MATCH($M19,WM_KEY,0))+P19*INDEX(WM_AC,MATCH($M19,WM_KEY,0))+Q19*INDEX(WM_L,MATCH($M19,WM_KEY,0))+R19*INDEX(WM_E,MATCH($M19,WM_KEY,0))+S19*INDEX(WM_BI,MATCH($M19,WM_KEY,0)),""))</f>
        <v>3.72</v>
      </c>
      <c r="U19" s="42" t="str">
        <f>IF(T19="","",INDEX({"A1","A2","A3","B1","B2","B3","C1","C2","D1","D2","E1","E2"},MAX(1,MIN(12,ROUND(T19,0)))))</f>
        <v>B1</v>
      </c>
      <c r="V19" s="12" t="inlineStr">
        <is>
          <r>
            <rPr>
              <rFont val="Calibri"/>
              <sz val="10"/>
            </rPr>
            <t xml:space="preserve">New level B1 · Specialist. Current level on record: Not in current mapping files. Change: ● Newly mapped.
Score 3.72 on the ladder scale → indicated level B1.
</t>
          </r>
          <r>
            <rPr>
              <rFont val="Calibri"/>
              <b val="1"/>
              <sz val="10"/>
            </rPr>
            <t>Weights:</t>
          </r>
          <r>
            <rPr>
              <rFont val="Calibri"/>
              <sz val="10"/>
            </rPr>
            <t xml:space="preserve"> Complexity 46% · Autonomy 17% · Experience 15% · Accountability 10% · Business impact 7% · Leadership 5%
</t>
          </r>
          <r>
            <rPr>
              <rFont val="Calibri"/>
              <b val="1"/>
              <sz val="10"/>
            </rPr>
            <t>Why:</t>
          </r>
          <r>
            <rPr>
              <rFont val="Calibri"/>
              <sz val="10"/>
            </rPr>
            <t xml:space="preserve"> specialists are judged mainly on depth of expertise, then on what they decide alone, what they answer for and their impact.
</t>
          </r>
          <r>
            <rPr>
              <rFont val="Calibri"/>
              <b val="1"/>
              <sz val="10"/>
            </rPr>
            <t>Type of work in the department:</t>
          </r>
          <r>
            <rPr>
              <rFont val="Calibri"/>
              <sz val="10"/>
            </rPr>
            <t xml:space="preserve"> corporate functions rely on professional qualifications such as CA, CS or law, so Experience &amp; Qualification +5 and Complexity −5.
</t>
          </r>
          <r>
            <rPr>
              <rFont val="Calibri"/>
              <b val="1"/>
              <sz val="10"/>
            </rPr>
            <t>Live:</t>
          </r>
          <r>
            <rPr>
              <rFont val="Calibri"/>
              <sz val="10"/>
            </rPr>
            <t xml:space="preserve"> change the department's row on the Weightage Matrix and these weights, the points and the score update.
</t>
          </r>
          <r>
            <rPr>
              <rFont val="Calibri"/>
              <b val="1"/>
              <sz val="10"/>
            </rPr>
            <t>What decided the final level:</t>
          </r>
          <r>
            <rPr>
              <rFont val="Calibri"/>
              <sz val="10"/>
            </rPr>
            <t xml:space="preserve"> the score itself — no rule changed it.</t>
          </r>
        </is>
      </c>
      <c r="W19" s="12" t="inlineStr">
        <is>
          <r>
            <rPr>
              <rFont val="Calibri"/>
              <b val="1"/>
              <sz val="10"/>
            </rPr>
            <t>Complexity &amp; Expertise:</t>
          </r>
          <r>
            <rPr>
              <rFont val="Calibri"/>
              <sz val="10"/>
            </rPr>
            <t xml:space="preserve"> 4 of 12 — Start: 4.0 · lead / specialist title; Evidence reads like B1: Expense variance analysis, subsidiary and consolidated financial statements, budget preparation, GST/MSME compliance → matches the start
</t>
          </r>
          <r>
            <rPr>
              <rFont val="Calibri"/>
              <b val="1"/>
              <sz val="10"/>
            </rPr>
            <t>Autonomy &amp; Decision:</t>
          </r>
          <r>
            <rPr>
              <rFont val="Calibri"/>
              <sz val="10"/>
            </rPr>
            <t xml:space="preserve"> 3 of 12 — Start: 4.0 · lead / specialist title; Evidence reads like A2: Independent decisions limited to how expenses are analysed → moved down 1
</t>
          </r>
          <r>
            <rPr>
              <rFont val="Calibri"/>
              <b val="1"/>
              <sz val="10"/>
            </rPr>
            <t>Accountability &amp; Impact:</t>
          </r>
          <r>
            <rPr>
              <rFont val="Calibri"/>
              <sz val="10"/>
            </rPr>
            <t xml:space="preserve"> 3.5 of 12 · between A3 and B1 — Start: 4.0 · lead / specialist title; Evidence reads like A3: Owns expense analysis and the Ideal Business order book feeding financials → moved down 0.5
</t>
          </r>
          <r>
            <rPr>
              <rFont val="Calibri"/>
              <b val="1"/>
              <sz val="10"/>
            </rPr>
            <t>Leadership &amp; Strategy:</t>
          </r>
          <r>
            <rPr>
              <rFont val="Calibri"/>
              <sz val="10"/>
            </rPr>
            <t xml:space="preserve"> 2 of 12 — Start: 3.0 · individual contributor, so influence only; Evidence reads like A1: No guidance or leadership of others described → moved down 1; Team: 0 direct reports · IC
</t>
          </r>
          <r>
            <rPr>
              <rFont val="Calibri"/>
              <b val="1"/>
              <sz val="10"/>
            </rPr>
            <t>Experience &amp; Qualification:</t>
          </r>
          <r>
            <rPr>
              <rFont val="Calibri"/>
              <sz val="10"/>
            </rPr>
            <t xml:space="preserve"> 4.5 of 12 · between B1 and B2 — Experience: 4.8 yrs total · 4.6 before IRIS + 0.2 at IRIS = 3.7 on the experience scale; Qualification: CA · professional, relevant to the work → +1.0
</t>
          </r>
          <r>
            <rPr>
              <rFont val="Calibri"/>
              <b val="1"/>
              <sz val="10"/>
            </rPr>
            <t>Business Impact:</t>
          </r>
          <r>
            <rPr>
              <rFont val="Calibri"/>
              <sz val="10"/>
            </rPr>
            <t xml:space="preserve"> 3.5 of 12 — a starting estimate. — Start: 3.5, the role's accountability scope — what it answers for.; No survey or manager-mapping signal on criticality: kept at the start point.; Managers and heads: overwrite this rating on the Weightage sheet with the business impact you see — the score updates at once.; Ladder: A3 = A process or client deliverable depends on this work · B1 = Moves a module's, product area's or client account's results</t>
          </r>
        </is>
      </c>
      <c r="X19" s="12" t="inlineStr">
        <is>
          <r>
            <rPr>
              <rFont val="Calibri"/>
              <b val="1"/>
              <sz val="10"/>
            </rPr>
            <t>Market level:</t>
          </r>
          <r>
            <rPr>
              <rFont val="Calibri"/>
              <sz val="10"/>
            </rPr>
            <t xml:space="preserve"> P3 / M2 · SFIA 4 Enable
</t>
          </r>
          <r>
            <rPr>
              <rFont val="Calibri"/>
              <b val="1"/>
              <sz val="10"/>
            </rPr>
            <t>Typical title:</t>
          </r>
          <r>
            <rPr>
              <rFont val="Calibri"/>
              <sz val="10"/>
            </rPr>
            <t xml:space="preserve"> Senior Accountant
</t>
          </r>
          <r>
            <rPr>
              <rFont val="Calibri"/>
              <b val="1"/>
              <sz val="10"/>
            </rPr>
            <t>At peers:</t>
          </r>
          <r>
            <rPr>
              <rFont val="Calibri"/>
              <sz val="10"/>
            </rPr>
            <t xml:space="preserve"> Toppan Merrill – Senior Accountant · IRIS Vs Competitor Benchmark — finance ladder: Finance Specialist / Asst. Manager
</t>
          </r>
          <r>
            <rPr>
              <rFont val="Calibri"/>
              <b val="1"/>
              <sz val="10"/>
            </rPr>
            <t>Typical experience:</t>
          </r>
          <r>
            <rPr>
              <rFont val="Calibri"/>
              <sz val="10"/>
            </rPr>
            <t xml:space="preserve"> 4–8 yrs · IRIS guide 4–7
</t>
          </r>
          <r>
            <rPr>
              <rFont val="Calibri"/>
              <b val="1"/>
              <sz val="10"/>
            </rPr>
            <t>Standard:</t>
          </r>
          <r>
            <rPr>
              <rFont val="Calibri"/>
              <sz val="10"/>
            </rPr>
            <t xml:space="preserve"> IMA Management Accounting Competency Framework; ICAI / CA</t>
          </r>
        </is>
      </c>
      <c r="Y19" s="12" t="inlineStr">
        <is>
          <r>
            <rPr>
              <rFont val="Calibri"/>
              <sz val="10"/>
            </rPr>
            <t xml:space="preserve">✓ HRIS: 4.8 yrs, CA, 0 direct reports
✓ Survey: 19 of 20 questions answered
✗ KRAs: none on file
✓ Manager mapping: rating, 9-box
✗ Job description: not on file
</t>
          </r>
          <r>
            <rPr>
              <rFont val="Calibri"/>
              <b val="1"/>
              <sz val="10"/>
            </rPr>
            <t>Confidence:</t>
          </r>
          <r>
            <rPr>
              <rFont val="Calibri"/>
              <sz val="10"/>
            </rPr>
            <t xml:space="preserve"> Medium</t>
          </r>
        </is>
      </c>
      <c r="Z19" s="12" t="inlineStr">
        <is>
          <t>—</t>
        </is>
      </c>
      <c r="AA19" s="12" t="inlineStr">
        <is>
          <t>Nothing outstanding</t>
        </is>
      </c>
      <c r="AB19" s="12" t="inlineStr">
        <is>
          <r>
            <rPr>
              <rFont val="Calibri"/>
              <b val="1"/>
              <sz val="10"/>
            </rPr>
            <t>What the role answers for:</t>
          </r>
          <r>
            <rPr>
              <rFont val="Calibri"/>
              <sz val="10"/>
            </rPr>
            <t xml:space="preserve"> A domain or a small team.
</t>
          </r>
          <r>
            <rPr>
              <rFont val="Calibri"/>
              <b val="1"/>
              <sz val="10"/>
            </rPr>
            <t>Accountability &amp; Impact rating:</t>
          </r>
          <r>
            <rPr>
              <rFont val="Calibri"/>
              <sz val="10"/>
            </rPr>
            <t xml:space="preserve"> 3.5 of 12 · B1-level impact.
Manager talent mapping — Latest rating: Not rated · manager · 9-Box Grid placement: Not placed · manager.</t>
          </r>
        </is>
      </c>
      <c r="AC19" s="83" t="n"/>
      <c r="AD19" s="83" t="n"/>
      <c r="AE19" s="83" t="n"/>
      <c r="AF19" s="12" t="n">
        <v>3.5</v>
      </c>
    </row>
    <row r="20" ht="379" customHeight="1">
      <c r="A20" s="12" t="inlineStr">
        <is>
          <t>IRIS2561</t>
        </is>
      </c>
      <c r="B20" s="10" t="inlineStr">
        <is>
          <t>Radhika Karnani</t>
        </is>
      </c>
      <c r="C20" s="12" t="inlineStr">
        <is>
          <t>Finance</t>
        </is>
      </c>
      <c r="D20" s="12" t="inlineStr">
        <is>
          <t>Assistant Manager - Finance and Accounts</t>
        </is>
      </c>
      <c r="E20" s="79" t="inlineStr">
        <is>
          <t>Finance Specialist</t>
        </is>
      </c>
      <c r="F20" s="12" t="inlineStr">
        <is>
          <t>Finance &amp; Accounts</t>
        </is>
      </c>
      <c r="G20" s="12" t="inlineStr">
        <is>
          <t>Financial Reporting, Compliance &amp; Audit</t>
        </is>
      </c>
      <c r="H20" s="12" t="inlineStr">
        <is>
          <t>IC</t>
        </is>
      </c>
      <c r="I20" s="42" t="inlineStr">
        <is>
          <t>Not in current mapping files</t>
        </is>
      </c>
      <c r="J20" s="20" t="inlineStr">
        <is>
          <t>B1</t>
        </is>
      </c>
      <c r="K20" s="21" t="inlineStr">
        <is>
          <t>Specialist</t>
        </is>
      </c>
      <c r="L20" s="80" t="inlineStr">
        <is>
          <t>● Newly mapped</t>
        </is>
      </c>
      <c r="M20" s="12" t="inlineStr">
        <is>
          <t>Corporate · Finance · Band B · Expert / POD Lead</t>
        </is>
      </c>
      <c r="N20" s="42" t="n">
        <v>4</v>
      </c>
      <c r="O20" s="42" t="n">
        <v>3</v>
      </c>
      <c r="P20" s="42" t="n">
        <v>3.5</v>
      </c>
      <c r="Q20" s="42" t="n">
        <v>2.5</v>
      </c>
      <c r="R20" s="42" t="n">
        <v>5</v>
      </c>
      <c r="S20" s="81" t="n">
        <v>3.5</v>
      </c>
      <c r="T20" s="82">
        <f>IF(OR($M20="",COUNT(N20,O20,P20,Q20,R20,S20)&lt;6),"",IFERROR(N20*INDEX(WM_C,MATCH($M20,WM_KEY,0))+O20*INDEX(WM_AU,MATCH($M20,WM_KEY,0))+P20*INDEX(WM_AC,MATCH($M20,WM_KEY,0))+Q20*INDEX(WM_L,MATCH($M20,WM_KEY,0))+R20*INDEX(WM_E,MATCH($M20,WM_KEY,0))+S20*INDEX(WM_BI,MATCH($M20,WM_KEY,0)),""))</f>
        <v>3.82</v>
      </c>
      <c r="U20" s="42" t="str">
        <f>IF(T20="","",INDEX({"A1","A2","A3","B1","B2","B3","C1","C2","D1","D2","E1","E2"},MAX(1,MIN(12,ROUND(T20,0)))))</f>
        <v>B1</v>
      </c>
      <c r="V20" s="12" t="inlineStr">
        <is>
          <r>
            <rPr>
              <rFont val="Calibri"/>
              <sz val="10"/>
            </rPr>
            <t xml:space="preserve">New level B1 · Specialist. Current level on record: Not in current mapping files. Change: ● Newly mapped.
Score 3.82 on the ladder scale → indicated level B1.
</t>
          </r>
          <r>
            <rPr>
              <rFont val="Calibri"/>
              <b val="1"/>
              <sz val="10"/>
            </rPr>
            <t>Weights:</t>
          </r>
          <r>
            <rPr>
              <rFont val="Calibri"/>
              <sz val="10"/>
            </rPr>
            <t xml:space="preserve"> Complexity 46% · Autonomy 17% · Experience 15% · Accountability 10% · Business impact 7% · Leadership 5%
</t>
          </r>
          <r>
            <rPr>
              <rFont val="Calibri"/>
              <b val="1"/>
              <sz val="10"/>
            </rPr>
            <t>Why:</t>
          </r>
          <r>
            <rPr>
              <rFont val="Calibri"/>
              <sz val="10"/>
            </rPr>
            <t xml:space="preserve"> specialists are judged mainly on depth of expertise, then on what they decide alone, what they answer for and their impact.
</t>
          </r>
          <r>
            <rPr>
              <rFont val="Calibri"/>
              <b val="1"/>
              <sz val="10"/>
            </rPr>
            <t>Type of work in the department:</t>
          </r>
          <r>
            <rPr>
              <rFont val="Calibri"/>
              <sz val="10"/>
            </rPr>
            <t xml:space="preserve"> corporate functions rely on professional qualifications such as CA, CS or law, so Experience &amp; Qualification +5 and Complexity −5.
</t>
          </r>
          <r>
            <rPr>
              <rFont val="Calibri"/>
              <b val="1"/>
              <sz val="10"/>
            </rPr>
            <t>Live:</t>
          </r>
          <r>
            <rPr>
              <rFont val="Calibri"/>
              <sz val="10"/>
            </rPr>
            <t xml:space="preserve"> change the department's row on the Weightage Matrix and these weights, the points and the score update.
</t>
          </r>
          <r>
            <rPr>
              <rFont val="Calibri"/>
              <b val="1"/>
              <sz val="10"/>
            </rPr>
            <t>What decided the final level:</t>
          </r>
          <r>
            <rPr>
              <rFont val="Calibri"/>
              <sz val="10"/>
            </rPr>
            <t xml:space="preserve"> 
• </t>
          </r>
          <r>
            <rPr>
              <rFont val="Calibri"/>
              <b val="1"/>
              <sz val="10"/>
            </rPr>
            <t>Provisional:</t>
          </r>
          <r>
            <rPr>
              <rFont val="Calibri"/>
              <sz val="10"/>
            </rPr>
            <t xml:space="preserve"> the experience record looks incomplete, so this level is kept until HR confirms it.
</t>
          </r>
          <r>
            <rPr>
              <rFont val="Calibri"/>
              <b val="1"/>
              <sz val="10"/>
            </rPr>
            <t>Final level:</t>
          </r>
          <r>
            <rPr>
              <rFont val="Calibri"/>
              <sz val="10"/>
            </rPr>
            <t xml:space="preserve"> B1.</t>
          </r>
        </is>
      </c>
      <c r="W20" s="12" t="inlineStr">
        <is>
          <r>
            <rPr>
              <rFont val="Calibri"/>
              <b val="1"/>
              <sz val="10"/>
            </rPr>
            <t>Complexity &amp; Expertise:</t>
          </r>
          <r>
            <rPr>
              <rFont val="Calibri"/>
              <sz val="10"/>
            </rPr>
            <t xml:space="preserve"> 4 of 12 — Start: 4.0 · lead / specialist title; Evidence reads like B1: own survey / KRA answers · summarised by the rater; not quoted → matches the start
</t>
          </r>
          <r>
            <rPr>
              <rFont val="Calibri"/>
              <b val="1"/>
              <sz val="10"/>
            </rPr>
            <t>Autonomy &amp; Decision:</t>
          </r>
          <r>
            <rPr>
              <rFont val="Calibri"/>
              <sz val="10"/>
            </rPr>
            <t xml:space="preserve"> 3 of 12 — Start: 4.0 · lead / specialist title; Evidence reads like A2: Only 'process improvement' named as an independent decision → moved down 1
</t>
          </r>
          <r>
            <rPr>
              <rFont val="Calibri"/>
              <b val="1"/>
              <sz val="10"/>
            </rPr>
            <t>Accountability &amp; Impact:</t>
          </r>
          <r>
            <rPr>
              <rFont val="Calibri"/>
              <sz val="10"/>
            </rPr>
            <t xml:space="preserve"> 3.5 of 12 · between A3 and B1 — Start: 4.0 · lead / specialist title; Evidence reads like A3: own survey / KRA answers · summarised by the rater; not quoted → moved down 0.5
</t>
          </r>
          <r>
            <rPr>
              <rFont val="Calibri"/>
              <b val="1"/>
              <sz val="10"/>
            </rPr>
            <t>Leadership &amp; Strategy:</t>
          </r>
          <r>
            <rPr>
              <rFont val="Calibri"/>
              <sz val="10"/>
            </rPr>
            <t xml:space="preserve"> 2.5 of 12 · between A2 and A3 — Start: 3.0 · individual contributor, so influence only; Evidence reads like A2: Reviews sales orders and invoices prepared by others; no guiding role stated → moved down 0.5; Team: 0 direct reports · IC
</t>
          </r>
          <r>
            <rPr>
              <rFont val="Calibri"/>
              <b val="1"/>
              <sz val="10"/>
            </rPr>
            <t>Experience &amp; Qualification:</t>
          </r>
          <r>
            <rPr>
              <rFont val="Calibri"/>
              <sz val="10"/>
            </rPr>
            <t xml:space="preserve"> 5 of 12 — Experience: not on record · input needed from HR, so set at the role's own level: it neither helps nor hurts; Qualification: CA · professional, relevant to the work → +1.0
</t>
          </r>
          <r>
            <rPr>
              <rFont val="Calibri"/>
              <b val="1"/>
              <sz val="10"/>
            </rPr>
            <t>Business Impact:</t>
          </r>
          <r>
            <rPr>
              <rFont val="Calibri"/>
              <sz val="10"/>
            </rPr>
            <t xml:space="preserve"> 3.5 of 12 — a starting estimate. — Start: 3.5, the role's accountability scope — what it answers for.; No survey or manager-mapping signal on criticality: kept at the start point.; Managers and heads: overwrite this rating on the Weightage sheet with the business impact you see — the score updates at once.; Ladder: A3 = A process or client deliverable depends on this work · B1 = Moves a module's, product area's or client account's results</t>
          </r>
        </is>
      </c>
      <c r="X20" s="12" t="inlineStr">
        <is>
          <r>
            <rPr>
              <rFont val="Calibri"/>
              <b val="1"/>
              <sz val="10"/>
            </rPr>
            <t>Market level:</t>
          </r>
          <r>
            <rPr>
              <rFont val="Calibri"/>
              <sz val="10"/>
            </rPr>
            <t xml:space="preserve"> P3 / M2 · SFIA 4 Enable
</t>
          </r>
          <r>
            <rPr>
              <rFont val="Calibri"/>
              <b val="1"/>
              <sz val="10"/>
            </rPr>
            <t>Typical title:</t>
          </r>
          <r>
            <rPr>
              <rFont val="Calibri"/>
              <sz val="10"/>
            </rPr>
            <t xml:space="preserve"> Senior Accountant
</t>
          </r>
          <r>
            <rPr>
              <rFont val="Calibri"/>
              <b val="1"/>
              <sz val="10"/>
            </rPr>
            <t>At peers:</t>
          </r>
          <r>
            <rPr>
              <rFont val="Calibri"/>
              <sz val="10"/>
            </rPr>
            <t xml:space="preserve"> Toppan Merrill – Senior Accountant · IRIS Vs Competitor Benchmark — finance ladder: Finance Specialist / Asst. Manager
</t>
          </r>
          <r>
            <rPr>
              <rFont val="Calibri"/>
              <b val="1"/>
              <sz val="10"/>
            </rPr>
            <t>Typical experience:</t>
          </r>
          <r>
            <rPr>
              <rFont val="Calibri"/>
              <sz val="10"/>
            </rPr>
            <t xml:space="preserve"> 4–8 yrs · IRIS guide 4–7
</t>
          </r>
          <r>
            <rPr>
              <rFont val="Calibri"/>
              <b val="1"/>
              <sz val="10"/>
            </rPr>
            <t>Standard:</t>
          </r>
          <r>
            <rPr>
              <rFont val="Calibri"/>
              <sz val="10"/>
            </rPr>
            <t xml:space="preserve"> IMA Management Accounting Competency Framework; ICAI / CA</t>
          </r>
        </is>
      </c>
      <c r="Y20" s="12" t="inlineStr">
        <is>
          <r>
            <rPr>
              <rFont val="Calibri"/>
              <sz val="10"/>
            </rPr>
            <t xml:space="preserve">✗ HRIS: experience missing, CA, 0 direct reports
✓ Survey: 19 of 20 questions answered
✗ KRAs: none on file
✓ Manager mapping: rating, 9-box
✗ Job description: not on file
</t>
          </r>
          <r>
            <rPr>
              <rFont val="Calibri"/>
              <b val="1"/>
              <sz val="10"/>
            </rPr>
            <t>Confidence:</t>
          </r>
          <r>
            <rPr>
              <rFont val="Calibri"/>
              <sz val="10"/>
            </rPr>
            <t xml:space="preserve"> Low</t>
          </r>
        </is>
      </c>
      <c r="Z20" s="86" t="inlineStr">
        <is>
          <r>
            <rPr>
              <rFont val="Calibri"/>
              <color rgb="009C5700"/>
              <sz val="10"/>
            </rPr>
            <t xml:space="preserve">• </t>
          </r>
          <r>
            <rPr>
              <rFont val="Calibri"/>
              <b val="1"/>
              <color rgb="009C5700"/>
              <sz val="10"/>
            </rPr>
            <t>Provisional:</t>
          </r>
          <r>
            <rPr>
              <rFont val="Calibri"/>
              <color rgb="009C5700"/>
              <sz val="10"/>
            </rPr>
            <t xml:space="preserve"> experience to be confirmed by HR</t>
          </r>
        </is>
      </c>
      <c r="AA20" s="84" t="inlineStr">
        <is>
          <t>• Total experience · outside + at IRIS — HR — HRIS
• Confirm prior experience · provisional placement — HR</t>
        </is>
      </c>
      <c r="AB20" s="12" t="inlineStr">
        <is>
          <r>
            <rPr>
              <rFont val="Calibri"/>
              <b val="1"/>
              <sz val="10"/>
            </rPr>
            <t>What the role answers for:</t>
          </r>
          <r>
            <rPr>
              <rFont val="Calibri"/>
              <sz val="10"/>
            </rPr>
            <t xml:space="preserve"> A domain or a small team.
</t>
          </r>
          <r>
            <rPr>
              <rFont val="Calibri"/>
              <b val="1"/>
              <sz val="10"/>
            </rPr>
            <t>Accountability &amp; Impact rating:</t>
          </r>
          <r>
            <rPr>
              <rFont val="Calibri"/>
              <sz val="10"/>
            </rPr>
            <t xml:space="preserve"> 3.5 of 12 · B1-level impact.
Manager talent mapping — Latest rating: Not rated · manager · 9-Box Grid placement: Not placed · manager.</t>
          </r>
        </is>
      </c>
      <c r="AC20" s="83" t="n"/>
      <c r="AD20" s="83" t="n"/>
      <c r="AE20" s="83" t="n"/>
      <c r="AF20" s="12" t="n">
        <v>3.5</v>
      </c>
    </row>
    <row r="21" ht="379" customHeight="1">
      <c r="A21" s="12" t="inlineStr">
        <is>
          <t>IRIS2214</t>
        </is>
      </c>
      <c r="B21" s="10" t="inlineStr">
        <is>
          <t>Shreya Singh</t>
        </is>
      </c>
      <c r="C21" s="12" t="inlineStr">
        <is>
          <t>Finance</t>
        </is>
      </c>
      <c r="D21" s="12" t="inlineStr">
        <is>
          <t>Assistant Manager - Finance and Accounts</t>
        </is>
      </c>
      <c r="E21" s="79" t="inlineStr">
        <is>
          <t>Finance Specialist – POD Lead</t>
        </is>
      </c>
      <c r="F21" s="12" t="inlineStr">
        <is>
          <t>Finance &amp; Accounts</t>
        </is>
      </c>
      <c r="G21" s="12" t="inlineStr">
        <is>
          <t>Financial Reporting, Compliance &amp; Audit</t>
        </is>
      </c>
      <c r="H21" s="12" t="inlineStr">
        <is>
          <t>POD Lead</t>
        </is>
      </c>
      <c r="I21" s="42" t="inlineStr">
        <is>
          <t>Not in current mapping files</t>
        </is>
      </c>
      <c r="J21" s="20" t="inlineStr">
        <is>
          <t>B1</t>
        </is>
      </c>
      <c r="K21" s="21" t="inlineStr">
        <is>
          <t>Specialist · POD Lead</t>
        </is>
      </c>
      <c r="L21" s="80" t="inlineStr">
        <is>
          <t>● Newly mapped</t>
        </is>
      </c>
      <c r="M21" s="12" t="inlineStr">
        <is>
          <t>Corporate · Finance · Band B · Expert / POD Lead</t>
        </is>
      </c>
      <c r="N21" s="42" t="n">
        <v>4</v>
      </c>
      <c r="O21" s="42" t="n">
        <v>3.5</v>
      </c>
      <c r="P21" s="42" t="n">
        <v>4</v>
      </c>
      <c r="Q21" s="42" t="n">
        <v>3.5</v>
      </c>
      <c r="R21" s="42" t="n">
        <v>4.5</v>
      </c>
      <c r="S21" s="81" t="n">
        <v>4</v>
      </c>
      <c r="T21" s="82">
        <f>IF(OR($M21="",COUNT(N21,O21,P21,Q21,R21,S21)&lt;6),"",IFERROR(N21*INDEX(WM_C,MATCH($M21,WM_KEY,0))+O21*INDEX(WM_AU,MATCH($M21,WM_KEY,0))+P21*INDEX(WM_AC,MATCH($M21,WM_KEY,0))+Q21*INDEX(WM_L,MATCH($M21,WM_KEY,0))+R21*INDEX(WM_E,MATCH($M21,WM_KEY,0))+S21*INDEX(WM_BI,MATCH($M21,WM_KEY,0)),""))</f>
        <v>3.965</v>
      </c>
      <c r="U21" s="42" t="str">
        <f>IF(T21="","",INDEX({"A1","A2","A3","B1","B2","B3","C1","C2","D1","D2","E1","E2"},MAX(1,MIN(12,ROUND(T21,0)))))</f>
        <v>B1</v>
      </c>
      <c r="V21" s="12" t="inlineStr">
        <is>
          <r>
            <rPr>
              <rFont val="Calibri"/>
              <sz val="10"/>
            </rPr>
            <t xml:space="preserve">New level B1 · Specialist · POD Lead. Current level on record: Not in current mapping files. Change: ● Newly mapped.
Score 3.97 on the ladder scale → indicated level B1.
</t>
          </r>
          <r>
            <rPr>
              <rFont val="Calibri"/>
              <b val="1"/>
              <sz val="10"/>
            </rPr>
            <t>Weights:</t>
          </r>
          <r>
            <rPr>
              <rFont val="Calibri"/>
              <sz val="10"/>
            </rPr>
            <t xml:space="preserve"> Complexity 46% · Autonomy 17% · Experience 15% · Accountability 10% · Business impact 7% · Leadership 5%
</t>
          </r>
          <r>
            <rPr>
              <rFont val="Calibri"/>
              <b val="1"/>
              <sz val="10"/>
            </rPr>
            <t>Why:</t>
          </r>
          <r>
            <rPr>
              <rFont val="Calibri"/>
              <sz val="10"/>
            </rPr>
            <t xml:space="preserve"> specialists are judged mainly on depth of expertise, then on what they decide alone, what they answer for and their impact.
</t>
          </r>
          <r>
            <rPr>
              <rFont val="Calibri"/>
              <b val="1"/>
              <sz val="10"/>
            </rPr>
            <t>Type of work in the department:</t>
          </r>
          <r>
            <rPr>
              <rFont val="Calibri"/>
              <sz val="10"/>
            </rPr>
            <t xml:space="preserve"> corporate functions rely on professional qualifications such as CA, CS or law, so Experience &amp; Qualification +5 and Complexity −5.
</t>
          </r>
          <r>
            <rPr>
              <rFont val="Calibri"/>
              <b val="1"/>
              <sz val="10"/>
            </rPr>
            <t>Live:</t>
          </r>
          <r>
            <rPr>
              <rFont val="Calibri"/>
              <sz val="10"/>
            </rPr>
            <t xml:space="preserve"> change the department's row on the Weightage Matrix and these weights, the points and the score update.
</t>
          </r>
          <r>
            <rPr>
              <rFont val="Calibri"/>
              <b val="1"/>
              <sz val="10"/>
            </rPr>
            <t>What decided the final level:</t>
          </r>
          <r>
            <rPr>
              <rFont val="Calibri"/>
              <sz val="10"/>
            </rPr>
            <t xml:space="preserve"> the score itself — no rule changed it.</t>
          </r>
        </is>
      </c>
      <c r="W21" s="12" t="inlineStr">
        <is>
          <r>
            <rPr>
              <rFont val="Calibri"/>
              <b val="1"/>
              <sz val="10"/>
            </rPr>
            <t>Complexity &amp; Expertise:</t>
          </r>
          <r>
            <rPr>
              <rFont val="Calibri"/>
              <sz val="10"/>
            </rPr>
            <t xml:space="preserve"> 4 of 12 — Start: 4.0 · lead / specialist title; Evidence reads like B1: Revenue report, standalone financial statements, statutory auditor queries, ERP phase 2 development, DM tool → matches the start
</t>
          </r>
          <r>
            <rPr>
              <rFont val="Calibri"/>
              <b val="1"/>
              <sz val="10"/>
            </rPr>
            <t>Autonomy &amp; Decision:</t>
          </r>
          <r>
            <rPr>
              <rFont val="Calibri"/>
              <sz val="10"/>
            </rPr>
            <t xml:space="preserve"> 3.5 of 12 · between A3 and B1 — Start: 4.0 · lead / specialist title; Evidence reads like A3: Decides sales order renewals; approves sales orders and invoices → moved down 0.5
</t>
          </r>
          <r>
            <rPr>
              <rFont val="Calibri"/>
              <b val="1"/>
              <sz val="10"/>
            </rPr>
            <t>Accountability &amp; Impact:</t>
          </r>
          <r>
            <rPr>
              <rFont val="Calibri"/>
              <sz val="10"/>
            </rPr>
            <t xml:space="preserve"> 4 of 12 — Start: 4.0 · lead / specialist title; 2 direct reports, 4 people below; Evidence reads like B1: own survey / KRA answers · summarised by the rater; not quoted → matches the start
</t>
          </r>
          <r>
            <rPr>
              <rFont val="Calibri"/>
              <b val="1"/>
              <sz val="10"/>
            </rPr>
            <t>Leadership &amp; Strategy:</t>
          </r>
          <r>
            <rPr>
              <rFont val="Calibri"/>
              <sz val="10"/>
            </rPr>
            <t xml:space="preserve"> 3.5 of 12 · between A3 and B1 — Start: 4.0; Evidence reads like A3: Approves entries made by others; 2 direct reports → moved down 0.5; Team: 2 direct reports · POD Lead
</t>
          </r>
          <r>
            <rPr>
              <rFont val="Calibri"/>
              <b val="1"/>
              <sz val="10"/>
            </rPr>
            <t>Experience &amp; Qualification:</t>
          </r>
          <r>
            <rPr>
              <rFont val="Calibri"/>
              <sz val="10"/>
            </rPr>
            <t xml:space="preserve"> 4.5 of 12 · between B1 and B2 — Experience: 6.1 yrs total · 3.3 before IRIS + 2.8 at IRIS = 4.3 on the experience scale; Qualification: B.Com · graduate, relevant to the work → no change
</t>
          </r>
          <r>
            <rPr>
              <rFont val="Calibri"/>
              <b val="1"/>
              <sz val="10"/>
            </rPr>
            <t>Business Impact:</t>
          </r>
          <r>
            <rPr>
              <rFont val="Calibri"/>
              <sz val="10"/>
            </rPr>
            <t xml:space="preserve"> 4 of 12 — a starting estimate. — Start: 4, the role's accountability scope — what it answers for.; No survey or manager-mapping signal on criticality: kept at the start point.; Managers and heads: overwrite this rating on the Weightage sheet with the business impact you see — the score updates at once.; Ladder: B1 = Moves a module's, product area's or client account's results</t>
          </r>
        </is>
      </c>
      <c r="X21" s="12" t="inlineStr">
        <is>
          <r>
            <rPr>
              <rFont val="Calibri"/>
              <b val="1"/>
              <sz val="10"/>
            </rPr>
            <t>Market level:</t>
          </r>
          <r>
            <rPr>
              <rFont val="Calibri"/>
              <sz val="10"/>
            </rPr>
            <t xml:space="preserve"> P3 / M2 · SFIA 4 Enable
</t>
          </r>
          <r>
            <rPr>
              <rFont val="Calibri"/>
              <b val="1"/>
              <sz val="10"/>
            </rPr>
            <t>Typical title:</t>
          </r>
          <r>
            <rPr>
              <rFont val="Calibri"/>
              <sz val="10"/>
            </rPr>
            <t xml:space="preserve"> Senior Accountant
</t>
          </r>
          <r>
            <rPr>
              <rFont val="Calibri"/>
              <b val="1"/>
              <sz val="10"/>
            </rPr>
            <t>At peers:</t>
          </r>
          <r>
            <rPr>
              <rFont val="Calibri"/>
              <sz val="10"/>
            </rPr>
            <t xml:space="preserve"> Toppan Merrill – Senior Accountant · IRIS Vs Competitor Benchmark — finance ladder: Finance Specialist / Asst. Manager
</t>
          </r>
          <r>
            <rPr>
              <rFont val="Calibri"/>
              <b val="1"/>
              <sz val="10"/>
            </rPr>
            <t>Typical experience:</t>
          </r>
          <r>
            <rPr>
              <rFont val="Calibri"/>
              <sz val="10"/>
            </rPr>
            <t xml:space="preserve"> 4–8 yrs · IRIS guide 4–7
</t>
          </r>
          <r>
            <rPr>
              <rFont val="Calibri"/>
              <b val="1"/>
              <sz val="10"/>
            </rPr>
            <t>Standard:</t>
          </r>
          <r>
            <rPr>
              <rFont val="Calibri"/>
              <sz val="10"/>
            </rPr>
            <t xml:space="preserve"> IMA Management Accounting Competency Framework; ICAI / CA</t>
          </r>
        </is>
      </c>
      <c r="Y21" s="12" t="inlineStr">
        <is>
          <r>
            <rPr>
              <rFont val="Calibri"/>
              <sz val="10"/>
            </rPr>
            <t xml:space="preserve">✓ HRIS: 6.1 yrs, B.Com, 2 direct reports
✓ Survey: 20 of 20 questions answered
✗ KRAs: none on file
✓ Manager mapping: rating, 9-box
✗ Job description: not on file
</t>
          </r>
          <r>
            <rPr>
              <rFont val="Calibri"/>
              <b val="1"/>
              <sz val="10"/>
            </rPr>
            <t>Confidence:</t>
          </r>
          <r>
            <rPr>
              <rFont val="Calibri"/>
              <sz val="10"/>
            </rPr>
            <t xml:space="preserve"> High</t>
          </r>
        </is>
      </c>
      <c r="Z21" s="12" t="inlineStr">
        <is>
          <t>—</t>
        </is>
      </c>
      <c r="AA21" s="12" t="inlineStr">
        <is>
          <t>Nothing outstanding</t>
        </is>
      </c>
      <c r="AB21" s="12" t="inlineStr">
        <is>
          <r>
            <rPr>
              <rFont val="Calibri"/>
              <b val="1"/>
              <sz val="10"/>
            </rPr>
            <t>What the role answers for:</t>
          </r>
          <r>
            <rPr>
              <rFont val="Calibri"/>
              <sz val="10"/>
            </rPr>
            <t xml:space="preserve"> A domain or a small team.
</t>
          </r>
          <r>
            <rPr>
              <rFont val="Calibri"/>
              <b val="1"/>
              <sz val="10"/>
            </rPr>
            <t>Accountability &amp; Impact rating:</t>
          </r>
          <r>
            <rPr>
              <rFont val="Calibri"/>
              <sz val="10"/>
            </rPr>
            <t xml:space="preserve"> 4 of 12 · B1-level impact.
Leads 2 direct reports.
Manager talent mapping — Latest rating: Not rated · manager · 9-Box Grid placement: Not placed · manager.</t>
          </r>
        </is>
      </c>
      <c r="AC21" s="83" t="n"/>
      <c r="AD21" s="83" t="n"/>
      <c r="AE21" s="83" t="n"/>
      <c r="AF21" s="12" t="n">
        <v>4</v>
      </c>
    </row>
    <row r="22" ht="379" customHeight="1">
      <c r="A22" s="12" t="inlineStr">
        <is>
          <t>IRIS2217</t>
        </is>
      </c>
      <c r="B22" s="10" t="inlineStr">
        <is>
          <t>Bhushan Kashid</t>
        </is>
      </c>
      <c r="C22" s="12" t="inlineStr">
        <is>
          <t>Finance</t>
        </is>
      </c>
      <c r="D22" s="12" t="inlineStr">
        <is>
          <t>Executive Accounts</t>
        </is>
      </c>
      <c r="E22" s="79" t="inlineStr">
        <is>
          <t>Senior Accounts Executive</t>
        </is>
      </c>
      <c r="F22" s="12" t="inlineStr">
        <is>
          <t>Finance &amp; Accounts</t>
        </is>
      </c>
      <c r="G22" s="12" t="inlineStr">
        <is>
          <t>Accounting &amp; Transaction Processing</t>
        </is>
      </c>
      <c r="H22" s="12" t="inlineStr">
        <is>
          <t>IC</t>
        </is>
      </c>
      <c r="I22" s="42" t="inlineStr">
        <is>
          <t>Not in current mapping files</t>
        </is>
      </c>
      <c r="J22" s="16" t="inlineStr">
        <is>
          <t>A3</t>
        </is>
      </c>
      <c r="K22" s="17" t="inlineStr">
        <is>
          <t>Senior Associate</t>
        </is>
      </c>
      <c r="L22" s="80" t="inlineStr">
        <is>
          <t>● Newly mapped</t>
        </is>
      </c>
      <c r="M22" s="12" t="inlineStr">
        <is>
          <t>Corporate · Finance · Band A · Early career</t>
        </is>
      </c>
      <c r="N22" s="42" t="n">
        <v>2</v>
      </c>
      <c r="O22" s="42" t="n">
        <v>2</v>
      </c>
      <c r="P22" s="42" t="n">
        <v>2</v>
      </c>
      <c r="Q22" s="42" t="n">
        <v>1</v>
      </c>
      <c r="R22" s="42" t="n">
        <v>5.5</v>
      </c>
      <c r="S22" s="81" t="n">
        <v>2</v>
      </c>
      <c r="T22" s="82">
        <f>IF(OR($M22="",COUNT(N22,O22,P22,Q22,R22,S22)&lt;6),"",IFERROR(N22*INDEX(WM_C,MATCH($M22,WM_KEY,0))+O22*INDEX(WM_AU,MATCH($M22,WM_KEY,0))+P22*INDEX(WM_AC,MATCH($M22,WM_KEY,0))+Q22*INDEX(WM_L,MATCH($M22,WM_KEY,0))+R22*INDEX(WM_E,MATCH($M22,WM_KEY,0))+S22*INDEX(WM_BI,MATCH($M22,WM_KEY,0)),""))</f>
        <v>2.525</v>
      </c>
      <c r="U22" s="42" t="str">
        <f>IF(T22="","",INDEX({"A1","A2","A3","B1","B2","B3","C1","C2","D1","D2","E1","E2"},MAX(1,MIN(12,ROUND(T22,0)))))</f>
        <v>A3</v>
      </c>
      <c r="V22" s="12" t="inlineStr">
        <is>
          <r>
            <rPr>
              <rFont val="Calibri"/>
              <sz val="10"/>
            </rPr>
            <t xml:space="preserve">New level A3 · Senior Associate. Current level on record: Not in current mapping files. Change: ● Newly mapped.
Score 2.52 on the ladder scale → indicated level A3.
</t>
          </r>
          <r>
            <rPr>
              <rFont val="Calibri"/>
              <b val="1"/>
              <sz val="10"/>
            </rPr>
            <t>Weights:</t>
          </r>
          <r>
            <rPr>
              <rFont val="Calibri"/>
              <sz val="10"/>
            </rPr>
            <t xml:space="preserve"> Complexity 54% · Autonomy 16% · Experience 15% · Accountability 9% · Business impact 6% · Leadership 0%
</t>
          </r>
          <r>
            <rPr>
              <rFont val="Calibri"/>
              <b val="1"/>
              <sz val="10"/>
            </rPr>
            <t>Why:</t>
          </r>
          <r>
            <rPr>
              <rFont val="Calibri"/>
              <sz val="10"/>
            </rPr>
            <t xml:space="preserve"> entry and practitioner work is judged mainly on the knowledge and problem solving the work needs; leading others is not expected yet, so Leadership counts 0%.
</t>
          </r>
          <r>
            <rPr>
              <rFont val="Calibri"/>
              <b val="1"/>
              <sz val="10"/>
            </rPr>
            <t>Type of work in the department:</t>
          </r>
          <r>
            <rPr>
              <rFont val="Calibri"/>
              <sz val="10"/>
            </rPr>
            <t xml:space="preserve"> corporate functions rely on professional qualifications such as CA, CS or law, so Experience &amp; Qualification +5 and Complexity −5.
</t>
          </r>
          <r>
            <rPr>
              <rFont val="Calibri"/>
              <b val="1"/>
              <sz val="10"/>
            </rPr>
            <t>Live:</t>
          </r>
          <r>
            <rPr>
              <rFont val="Calibri"/>
              <sz val="10"/>
            </rPr>
            <t xml:space="preserve"> change the department's row on the Weightage Matrix and these weights, the points and the score update.
</t>
          </r>
          <r>
            <rPr>
              <rFont val="Calibri"/>
              <b val="1"/>
              <sz val="10"/>
            </rPr>
            <t>What decided the final level:</t>
          </r>
          <r>
            <rPr>
              <rFont val="Calibri"/>
              <sz val="10"/>
            </rPr>
            <t xml:space="preserve"> the score itself — no rule changed it.</t>
          </r>
        </is>
      </c>
      <c r="W22" s="12" t="inlineStr">
        <is>
          <r>
            <rPr>
              <rFont val="Calibri"/>
              <b val="1"/>
              <sz val="10"/>
            </rPr>
            <t>Complexity &amp; Expertise:</t>
          </r>
          <r>
            <rPr>
              <rFont val="Calibri"/>
              <sz val="10"/>
            </rPr>
            <t xml:space="preserve"> 2 of 12 — Start: 2.0 · practitioner title; Evidence reads like A2: Invoice verification and booking, payment processing, vendor reconciliation, supplier creation → matches the start
</t>
          </r>
          <r>
            <rPr>
              <rFont val="Calibri"/>
              <b val="1"/>
              <sz val="10"/>
            </rPr>
            <t>Autonomy &amp; Decision:</t>
          </r>
          <r>
            <rPr>
              <rFont val="Calibri"/>
              <sz val="10"/>
            </rPr>
            <t xml:space="preserve"> 2 of 12 — Start: 2.0 · practitioner title; Evidence reads like A2: Decides purchase booking; queries anomalies rather than deciding them → matches the start
</t>
          </r>
          <r>
            <rPr>
              <rFont val="Calibri"/>
              <b val="1"/>
              <sz val="10"/>
            </rPr>
            <t>Accountability &amp; Impact:</t>
          </r>
          <r>
            <rPr>
              <rFont val="Calibri"/>
              <sz val="10"/>
            </rPr>
            <t xml:space="preserve"> 2 of 12 — Start: 2.0 · practitioner title; Evidence reads like A2: Accuracy of own invoice bookings, payment entries and reconciliations → matches the start
</t>
          </r>
          <r>
            <rPr>
              <rFont val="Calibri"/>
              <b val="1"/>
              <sz val="10"/>
            </rPr>
            <t>Leadership &amp; Strategy:</t>
          </r>
          <r>
            <rPr>
              <rFont val="Calibri"/>
              <sz val="10"/>
            </rPr>
            <t xml:space="preserve"> 1 of 12 — not counted: the weight is 0% at this level — Start: 1.0 · individual contributor, so influence only; Evidence reads like A1: No guidance or leadership of others described → matches the start; Team: 0 direct reports · IC
</t>
          </r>
          <r>
            <rPr>
              <rFont val="Calibri"/>
              <b val="1"/>
              <sz val="10"/>
            </rPr>
            <t>Experience &amp; Qualification:</t>
          </r>
          <r>
            <rPr>
              <rFont val="Calibri"/>
              <sz val="10"/>
            </rPr>
            <t xml:space="preserve"> 5.5 of 12 · between B2 and B3 — Experience: 8.7 yrs total · 6.0 before IRIS + 2.7 at IRIS = 5.5 on the experience scale; Qualification: B.Com · graduate, relevant to the work → no change
</t>
          </r>
          <r>
            <rPr>
              <rFont val="Calibri"/>
              <b val="1"/>
              <sz val="10"/>
            </rPr>
            <t>Business Impact:</t>
          </r>
          <r>
            <rPr>
              <rFont val="Calibri"/>
              <sz val="10"/>
            </rPr>
            <t xml:space="preserve"> 2 of 12 — a starting estimate. — Start: 2, the role's accountability scope — what it answers for.; No survey or manager-mapping signal on criticality: kept at the start point.; Managers and heads: overwrite this rating on the Weightage sheet with the business impact you see — the score updates at once.; Ladder: A2 = Own deliverables feed a team's output and turnaround</t>
          </r>
        </is>
      </c>
      <c r="X22" s="12" t="inlineStr">
        <is>
          <r>
            <rPr>
              <rFont val="Calibri"/>
              <b val="1"/>
              <sz val="10"/>
            </rPr>
            <t>Market level:</t>
          </r>
          <r>
            <rPr>
              <rFont val="Calibri"/>
              <sz val="10"/>
            </rPr>
            <t xml:space="preserve"> P2 · SFIA 3 Apply
</t>
          </r>
          <r>
            <rPr>
              <rFont val="Calibri"/>
              <b val="1"/>
              <sz val="10"/>
            </rPr>
            <t>Typical title:</t>
          </r>
          <r>
            <rPr>
              <rFont val="Calibri"/>
              <sz val="10"/>
            </rPr>
            <t xml:space="preserve"> Accounts Executive
</t>
          </r>
          <r>
            <rPr>
              <rFont val="Calibri"/>
              <b val="1"/>
              <sz val="10"/>
            </rPr>
            <t>At peers:</t>
          </r>
          <r>
            <rPr>
              <rFont val="Calibri"/>
              <sz val="10"/>
            </rPr>
            <t xml:space="preserve"> Atlassian company-wide P-levels – P40 · IRIS Vs Competitor Benchmark — finance ladder: Senior Accountant
</t>
          </r>
          <r>
            <rPr>
              <rFont val="Calibri"/>
              <b val="1"/>
              <sz val="10"/>
            </rPr>
            <t>Typical experience:</t>
          </r>
          <r>
            <rPr>
              <rFont val="Calibri"/>
              <sz val="10"/>
            </rPr>
            <t xml:space="preserve"> 2–5 yrs · IRIS guide 2–4
</t>
          </r>
          <r>
            <rPr>
              <rFont val="Calibri"/>
              <b val="1"/>
              <sz val="10"/>
            </rPr>
            <t>Standard:</t>
          </r>
          <r>
            <rPr>
              <rFont val="Calibri"/>
              <sz val="10"/>
            </rPr>
            <t xml:space="preserve"> IMA Management Accounting Competency Framework; ICAI / CA</t>
          </r>
        </is>
      </c>
      <c r="Y22" s="12" t="inlineStr">
        <is>
          <r>
            <rPr>
              <rFont val="Calibri"/>
              <sz val="10"/>
            </rPr>
            <t xml:space="preserve">✓ HRIS: 8.7 yrs, B.Com, 0 direct reports
✓ Survey: 19 of 20 questions answered
✗ KRAs: none on file
✓ Manager mapping: rating, 9-box
✗ Job description: not on file
</t>
          </r>
          <r>
            <rPr>
              <rFont val="Calibri"/>
              <b val="1"/>
              <sz val="10"/>
            </rPr>
            <t>Confidence:</t>
          </r>
          <r>
            <rPr>
              <rFont val="Calibri"/>
              <sz val="10"/>
            </rPr>
            <t xml:space="preserve"> High</t>
          </r>
        </is>
      </c>
      <c r="Z22" s="86" t="inlineStr">
        <is>
          <r>
            <rPr>
              <rFont val="Calibri"/>
              <color rgb="009C5700"/>
              <sz val="10"/>
            </rPr>
            <t xml:space="preserve">• </t>
          </r>
          <r>
            <rPr>
              <rFont val="Calibri"/>
              <b val="1"/>
              <color rgb="009C5700"/>
              <sz val="10"/>
            </rPr>
            <t>Close call:</t>
          </r>
          <r>
            <rPr>
              <rFont val="Calibri"/>
              <color rgb="009C5700"/>
              <sz val="10"/>
            </rPr>
            <t xml:space="preserve"> score 2.52 is within 0.05 of a rounding point</t>
          </r>
        </is>
      </c>
      <c r="AA22" s="12" t="inlineStr">
        <is>
          <t>Nothing outstanding</t>
        </is>
      </c>
      <c r="AB22" s="12" t="inlineStr">
        <is>
          <r>
            <rPr>
              <rFont val="Calibri"/>
              <b val="1"/>
              <sz val="10"/>
            </rPr>
            <t>What the role answers for:</t>
          </r>
          <r>
            <rPr>
              <rFont val="Calibri"/>
              <sz val="10"/>
            </rPr>
            <t xml:space="preserve"> A module / process, or work with client or regulatory consequences.
</t>
          </r>
          <r>
            <rPr>
              <rFont val="Calibri"/>
              <b val="1"/>
              <sz val="10"/>
            </rPr>
            <t>Accountability &amp; Impact rating:</t>
          </r>
          <r>
            <rPr>
              <rFont val="Calibri"/>
              <sz val="10"/>
            </rPr>
            <t xml:space="preserve"> 2 of 12 · A2-level impact.
</t>
          </r>
          <r>
            <rPr>
              <rFont val="Calibri"/>
              <b val="1"/>
              <sz val="10"/>
            </rPr>
            <t>If the work is missed · role-holders' themes:</t>
          </r>
          <r>
            <rPr>
              <rFont val="Calibri"/>
              <sz val="10"/>
            </rPr>
            <t xml:space="preserve"> delayed.
Manager talent mapping — Latest rating: Not rated · manager · 9-Box Grid placement: Not placed · manager.</t>
          </r>
        </is>
      </c>
      <c r="AC22" s="83" t="n"/>
      <c r="AD22" s="83" t="n"/>
      <c r="AE22" s="83" t="n"/>
      <c r="AF22" s="12" t="n">
        <v>2</v>
      </c>
    </row>
    <row r="23" ht="379" customHeight="1">
      <c r="A23" s="12" t="inlineStr">
        <is>
          <t>IRIS2062</t>
        </is>
      </c>
      <c r="B23" s="10" t="inlineStr">
        <is>
          <t>Riddhi Narkar</t>
        </is>
      </c>
      <c r="C23" s="12" t="inlineStr">
        <is>
          <t>Finance</t>
        </is>
      </c>
      <c r="D23" s="12" t="inlineStr">
        <is>
          <t>Executive Accounts</t>
        </is>
      </c>
      <c r="E23" s="79" t="inlineStr">
        <is>
          <t>Senior Accounts Executive</t>
        </is>
      </c>
      <c r="F23" s="12" t="inlineStr">
        <is>
          <t>Finance &amp; Accounts</t>
        </is>
      </c>
      <c r="G23" s="12" t="inlineStr">
        <is>
          <t>Accounting &amp; Transaction Processing</t>
        </is>
      </c>
      <c r="H23" s="12" t="inlineStr">
        <is>
          <t>IC</t>
        </is>
      </c>
      <c r="I23" s="42" t="inlineStr">
        <is>
          <t>Not in current mapping files</t>
        </is>
      </c>
      <c r="J23" s="16" t="inlineStr">
        <is>
          <t>A3</t>
        </is>
      </c>
      <c r="K23" s="17" t="inlineStr">
        <is>
          <t>Senior Associate</t>
        </is>
      </c>
      <c r="L23" s="80" t="inlineStr">
        <is>
          <t>● Newly mapped</t>
        </is>
      </c>
      <c r="M23" s="12" t="inlineStr">
        <is>
          <t>Corporate · Finance · Band A · Early career</t>
        </is>
      </c>
      <c r="N23" s="42" t="n">
        <v>2</v>
      </c>
      <c r="O23" s="42" t="n">
        <v>1.5</v>
      </c>
      <c r="P23" s="42" t="n">
        <v>2</v>
      </c>
      <c r="Q23" s="42" t="n">
        <v>1</v>
      </c>
      <c r="R23" s="42" t="n">
        <v>6</v>
      </c>
      <c r="S23" s="81" t="n">
        <v>2</v>
      </c>
      <c r="T23" s="82">
        <f>IF(OR($M23="",COUNT(N23,O23,P23,Q23,R23,S23)&lt;6),"",IFERROR(N23*INDEX(WM_C,MATCH($M23,WM_KEY,0))+O23*INDEX(WM_AU,MATCH($M23,WM_KEY,0))+P23*INDEX(WM_AC,MATCH($M23,WM_KEY,0))+Q23*INDEX(WM_L,MATCH($M23,WM_KEY,0))+R23*INDEX(WM_E,MATCH($M23,WM_KEY,0))+S23*INDEX(WM_BI,MATCH($M23,WM_KEY,0)),""))</f>
        <v>2.52</v>
      </c>
      <c r="U23" s="42" t="str">
        <f>IF(T23="","",INDEX({"A1","A2","A3","B1","B2","B3","C1","C2","D1","D2","E1","E2"},MAX(1,MIN(12,ROUND(T23,0)))))</f>
        <v>A3</v>
      </c>
      <c r="V23" s="12" t="inlineStr">
        <is>
          <r>
            <rPr>
              <rFont val="Calibri"/>
              <sz val="10"/>
            </rPr>
            <t xml:space="preserve">New level A3 · Senior Associate. Current level on record: Not in current mapping files. Change: ● Newly mapped.
Score 2.52 on the ladder scale → indicated level A3.
</t>
          </r>
          <r>
            <rPr>
              <rFont val="Calibri"/>
              <b val="1"/>
              <sz val="10"/>
            </rPr>
            <t>Weights:</t>
          </r>
          <r>
            <rPr>
              <rFont val="Calibri"/>
              <sz val="10"/>
            </rPr>
            <t xml:space="preserve"> Complexity 54% · Autonomy 16% · Experience 15% · Accountability 9% · Business impact 6% · Leadership 0%
</t>
          </r>
          <r>
            <rPr>
              <rFont val="Calibri"/>
              <b val="1"/>
              <sz val="10"/>
            </rPr>
            <t>Why:</t>
          </r>
          <r>
            <rPr>
              <rFont val="Calibri"/>
              <sz val="10"/>
            </rPr>
            <t xml:space="preserve"> entry and practitioner work is judged mainly on the knowledge and problem solving the work needs; leading others is not expected yet, so Leadership counts 0%.
</t>
          </r>
          <r>
            <rPr>
              <rFont val="Calibri"/>
              <b val="1"/>
              <sz val="10"/>
            </rPr>
            <t>Type of work in the department:</t>
          </r>
          <r>
            <rPr>
              <rFont val="Calibri"/>
              <sz val="10"/>
            </rPr>
            <t xml:space="preserve"> corporate functions rely on professional qualifications such as CA, CS or law, so Experience &amp; Qualification +5 and Complexity −5.
</t>
          </r>
          <r>
            <rPr>
              <rFont val="Calibri"/>
              <b val="1"/>
              <sz val="10"/>
            </rPr>
            <t>Live:</t>
          </r>
          <r>
            <rPr>
              <rFont val="Calibri"/>
              <sz val="10"/>
            </rPr>
            <t xml:space="preserve"> change the department's row on the Weightage Matrix and these weights, the points and the score update.
</t>
          </r>
          <r>
            <rPr>
              <rFont val="Calibri"/>
              <b val="1"/>
              <sz val="10"/>
            </rPr>
            <t>What decided the final level:</t>
          </r>
          <r>
            <rPr>
              <rFont val="Calibri"/>
              <sz val="10"/>
            </rPr>
            <t xml:space="preserve"> the score itself — no rule changed it.</t>
          </r>
        </is>
      </c>
      <c r="W23" s="12" t="inlineStr">
        <is>
          <r>
            <rPr>
              <rFont val="Calibri"/>
              <b val="1"/>
              <sz val="10"/>
            </rPr>
            <t>Complexity &amp; Expertise:</t>
          </r>
          <r>
            <rPr>
              <rFont val="Calibri"/>
              <sz val="10"/>
            </rPr>
            <t xml:space="preserve"> 2 of 12 — Start: 2.0 · practitioner title; Evidence reads like A2: Creates sales orders and invoices, records daily bank transactions, fixed asset data → matches the start
</t>
          </r>
          <r>
            <rPr>
              <rFont val="Calibri"/>
              <b val="1"/>
              <sz val="10"/>
            </rPr>
            <t>Autonomy &amp; Decision:</t>
          </r>
          <r>
            <rPr>
              <rFont val="Calibri"/>
              <sz val="10"/>
            </rPr>
            <t xml:space="preserve"> 1.5 of 12 · between A1 and A2 — Start: 2.0 · practitioner title; Evidence reads like A1: States 'No freedom' to decide independently → moved down 0.5
</t>
          </r>
          <r>
            <rPr>
              <rFont val="Calibri"/>
              <b val="1"/>
              <sz val="10"/>
            </rPr>
            <t>Accountability &amp; Impact:</t>
          </r>
          <r>
            <rPr>
              <rFont val="Calibri"/>
              <sz val="10"/>
            </rPr>
            <t xml:space="preserve"> 2 of 12 — Start: 2.0 · practitioner title; Evidence reads like A2: Entry-level accuracy and reports feeding the revenue report → matches the start
</t>
          </r>
          <r>
            <rPr>
              <rFont val="Calibri"/>
              <b val="1"/>
              <sz val="10"/>
            </rPr>
            <t>Leadership &amp; Strategy:</t>
          </r>
          <r>
            <rPr>
              <rFont val="Calibri"/>
              <sz val="10"/>
            </rPr>
            <t xml:space="preserve"> 1 of 12 — not counted: the weight is 0% at this level — Start: 1.0 · individual contributor, so influence only; Evidence reads like A1: No guidance or leadership of others described → matches the start; Team: 0 direct reports · IC
</t>
          </r>
          <r>
            <rPr>
              <rFont val="Calibri"/>
              <b val="1"/>
              <sz val="10"/>
            </rPr>
            <t>Experience &amp; Qualification:</t>
          </r>
          <r>
            <rPr>
              <rFont val="Calibri"/>
              <sz val="10"/>
            </rPr>
            <t xml:space="preserve"> 6 of 12 — Experience: 9.8 yrs total · 5.8 before IRIS + 4.0 at IRIS = 5.9 on the experience scale; Qualification: B.Com · graduate, relevant to the work → no change
</t>
          </r>
          <r>
            <rPr>
              <rFont val="Calibri"/>
              <b val="1"/>
              <sz val="10"/>
            </rPr>
            <t>Business Impact:</t>
          </r>
          <r>
            <rPr>
              <rFont val="Calibri"/>
              <sz val="10"/>
            </rPr>
            <t xml:space="preserve"> 2 of 12 — a starting estimate. — Start: 2, the role's accountability scope — what it answers for.; No survey or manager-mapping signal on criticality: kept at the start point.; Managers and heads: overwrite this rating on the Weightage sheet with the business impact you see — the score updates at once.; Ladder: A2 = Own deliverables feed a team's output and turnaround</t>
          </r>
        </is>
      </c>
      <c r="X23" s="12" t="inlineStr">
        <is>
          <r>
            <rPr>
              <rFont val="Calibri"/>
              <b val="1"/>
              <sz val="10"/>
            </rPr>
            <t>Market level:</t>
          </r>
          <r>
            <rPr>
              <rFont val="Calibri"/>
              <sz val="10"/>
            </rPr>
            <t xml:space="preserve"> P2 · SFIA 3 Apply
</t>
          </r>
          <r>
            <rPr>
              <rFont val="Calibri"/>
              <b val="1"/>
              <sz val="10"/>
            </rPr>
            <t>Typical title:</t>
          </r>
          <r>
            <rPr>
              <rFont val="Calibri"/>
              <sz val="10"/>
            </rPr>
            <t xml:space="preserve"> Accounts Executive
</t>
          </r>
          <r>
            <rPr>
              <rFont val="Calibri"/>
              <b val="1"/>
              <sz val="10"/>
            </rPr>
            <t>At peers:</t>
          </r>
          <r>
            <rPr>
              <rFont val="Calibri"/>
              <sz val="10"/>
            </rPr>
            <t xml:space="preserve"> Atlassian company-wide P-levels – P40 · IRIS Vs Competitor Benchmark — finance ladder: Senior Accountant
</t>
          </r>
          <r>
            <rPr>
              <rFont val="Calibri"/>
              <b val="1"/>
              <sz val="10"/>
            </rPr>
            <t>Typical experience:</t>
          </r>
          <r>
            <rPr>
              <rFont val="Calibri"/>
              <sz val="10"/>
            </rPr>
            <t xml:space="preserve"> 2–5 yrs · IRIS guide 2–4
</t>
          </r>
          <r>
            <rPr>
              <rFont val="Calibri"/>
              <b val="1"/>
              <sz val="10"/>
            </rPr>
            <t>Standard:</t>
          </r>
          <r>
            <rPr>
              <rFont val="Calibri"/>
              <sz val="10"/>
            </rPr>
            <t xml:space="preserve"> IMA Management Accounting Competency Framework; ICAI / CA</t>
          </r>
        </is>
      </c>
      <c r="Y23" s="12" t="inlineStr">
        <is>
          <r>
            <rPr>
              <rFont val="Calibri"/>
              <sz val="10"/>
            </rPr>
            <t xml:space="preserve">✓ HRIS: 9.8 yrs, B.Com, 0 direct reports
✓ Survey: 19 of 20 questions answered
✗ KRAs: none on file
✓ Manager mapping: rating, 9-box
✗ Job description: not on file
</t>
          </r>
          <r>
            <rPr>
              <rFont val="Calibri"/>
              <b val="1"/>
              <sz val="10"/>
            </rPr>
            <t>Confidence:</t>
          </r>
          <r>
            <rPr>
              <rFont val="Calibri"/>
              <sz val="10"/>
            </rPr>
            <t xml:space="preserve"> High</t>
          </r>
        </is>
      </c>
      <c r="Z23" s="86" t="inlineStr">
        <is>
          <r>
            <rPr>
              <rFont val="Calibri"/>
              <color rgb="009C5700"/>
              <sz val="10"/>
            </rPr>
            <t xml:space="preserve">• </t>
          </r>
          <r>
            <rPr>
              <rFont val="Calibri"/>
              <b val="1"/>
              <color rgb="009C5700"/>
              <sz val="10"/>
            </rPr>
            <t>Close call:</t>
          </r>
          <r>
            <rPr>
              <rFont val="Calibri"/>
              <color rgb="009C5700"/>
              <sz val="10"/>
            </rPr>
            <t xml:space="preserve"> score 2.52 is within 0.05 of a rounding point</t>
          </r>
        </is>
      </c>
      <c r="AA23" s="12" t="inlineStr">
        <is>
          <t>Nothing outstanding</t>
        </is>
      </c>
      <c r="AB23" s="12" t="inlineStr">
        <is>
          <r>
            <rPr>
              <rFont val="Calibri"/>
              <b val="1"/>
              <sz val="10"/>
            </rPr>
            <t>What the role answers for:</t>
          </r>
          <r>
            <rPr>
              <rFont val="Calibri"/>
              <sz val="10"/>
            </rPr>
            <t xml:space="preserve"> A module / process, or work with client or regulatory consequences.
</t>
          </r>
          <r>
            <rPr>
              <rFont val="Calibri"/>
              <b val="1"/>
              <sz val="10"/>
            </rPr>
            <t>Accountability &amp; Impact rating:</t>
          </r>
          <r>
            <rPr>
              <rFont val="Calibri"/>
              <sz val="10"/>
            </rPr>
            <t xml:space="preserve"> 2 of 12 · A2-level impact.
</t>
          </r>
          <r>
            <rPr>
              <rFont val="Calibri"/>
              <b val="1"/>
              <sz val="10"/>
            </rPr>
            <t>If the work is missed · role-holders' themes:</t>
          </r>
          <r>
            <rPr>
              <rFont val="Calibri"/>
              <sz val="10"/>
            </rPr>
            <t xml:space="preserve"> delayed.
Manager talent mapping — Latest rating: Not rated · manager · 9-Box Grid placement: Not placed · manager.</t>
          </r>
        </is>
      </c>
      <c r="AC23" s="83" t="n"/>
      <c r="AD23" s="83" t="n"/>
      <c r="AE23" s="83" t="n"/>
      <c r="AF23" s="12" t="n">
        <v>2</v>
      </c>
    </row>
    <row r="24" ht="379" customHeight="1">
      <c r="A24" s="12" t="inlineStr">
        <is>
          <t>IRIS2533</t>
        </is>
      </c>
      <c r="B24" s="10" t="inlineStr">
        <is>
          <t>Shweta Jha</t>
        </is>
      </c>
      <c r="C24" s="12" t="inlineStr">
        <is>
          <t>HR</t>
        </is>
      </c>
      <c r="D24" s="12" t="inlineStr">
        <is>
          <t>Vice President - Human Resource</t>
        </is>
      </c>
      <c r="E24" s="79" t="inlineStr">
        <is>
          <t>Vice President – Human Resources</t>
        </is>
      </c>
      <c r="F24" s="12" t="inlineStr">
        <is>
          <t>Human Resources</t>
        </is>
      </c>
      <c r="G24" s="12" t="inlineStr">
        <is>
          <t>HR Leadership</t>
        </is>
      </c>
      <c r="H24" s="12" t="inlineStr">
        <is>
          <t>People Manager</t>
        </is>
      </c>
      <c r="I24" s="42" t="inlineStr">
        <is>
          <t>Not in current mapping files</t>
        </is>
      </c>
      <c r="J24" s="28" t="inlineStr">
        <is>
          <t>D2</t>
        </is>
      </c>
      <c r="K24" s="29" t="inlineStr">
        <is>
          <t>Vice President</t>
        </is>
      </c>
      <c r="L24" s="80" t="inlineStr">
        <is>
          <t>● Newly mapped</t>
        </is>
      </c>
      <c r="M24" s="12" t="inlineStr">
        <is>
          <t>Corporate · HR · Bands D–E · Leadership</t>
        </is>
      </c>
      <c r="N24" s="42" t="n">
        <v>10</v>
      </c>
      <c r="O24" s="42" t="n">
        <v>10</v>
      </c>
      <c r="P24" s="42" t="n">
        <v>10</v>
      </c>
      <c r="Q24" s="42" t="n">
        <v>10</v>
      </c>
      <c r="R24" s="42" t="n">
        <v>9.5</v>
      </c>
      <c r="S24" s="81" t="n">
        <v>10</v>
      </c>
      <c r="T24" s="82">
        <f>IF(OR($M24="",COUNT(N24,O24,P24,Q24,R24,S24)&lt;6),"",IFERROR(N24*INDEX(WM_C,MATCH($M24,WM_KEY,0))+O24*INDEX(WM_AU,MATCH($M24,WM_KEY,0))+P24*INDEX(WM_AC,MATCH($M24,WM_KEY,0))+Q24*INDEX(WM_L,MATCH($M24,WM_KEY,0))+R24*INDEX(WM_E,MATCH($M24,WM_KEY,0))+S24*INDEX(WM_BI,MATCH($M24,WM_KEY,0)),""))</f>
        <v>9.975</v>
      </c>
      <c r="U24" s="42" t="str">
        <f>IF(T24="","",INDEX({"A1","A2","A3","B1","B2","B3","C1","C2","D1","D2","E1","E2"},MAX(1,MIN(12,ROUND(T24,0)))))</f>
        <v>D2</v>
      </c>
      <c r="V24" s="12" t="inlineStr">
        <is>
          <r>
            <rPr>
              <rFont val="Calibri"/>
              <sz val="10"/>
            </rPr>
            <t xml:space="preserve">New level D2 · Vice President. Current level on record: Not in current mapping files. Change: ● Newly mapped.
Score 9.97 on the ladder scale → indicated level D2.
</t>
          </r>
          <r>
            <rPr>
              <rFont val="Calibri"/>
              <b val="1"/>
              <sz val="10"/>
            </rPr>
            <t>Weights:</t>
          </r>
          <r>
            <rPr>
              <rFont val="Calibri"/>
              <sz val="10"/>
            </rPr>
            <t xml:space="preserve"> Complexity 37% · Leadership 20% · Autonomy 19% · Accountability 11% · Business impact 8% · Experience 5%
</t>
          </r>
          <r>
            <rPr>
              <rFont val="Calibri"/>
              <b val="1"/>
              <sz val="10"/>
            </rPr>
            <t>Why:</t>
          </r>
          <r>
            <rPr>
              <rFont val="Calibri"/>
              <sz val="10"/>
            </rPr>
            <t xml:space="preserve"> leaders are judged on the hardest problems, on leading — 20% — and on the decisions, scope and business impact of the job.
</t>
          </r>
          <r>
            <rPr>
              <rFont val="Calibri"/>
              <b val="1"/>
              <sz val="10"/>
            </rPr>
            <t>Type of work in the department:</t>
          </r>
          <r>
            <rPr>
              <rFont val="Calibri"/>
              <sz val="10"/>
            </rPr>
            <t xml:space="preserve"> no adjustment at this level.
</t>
          </r>
          <r>
            <rPr>
              <rFont val="Calibri"/>
              <b val="1"/>
              <sz val="10"/>
            </rPr>
            <t>Live:</t>
          </r>
          <r>
            <rPr>
              <rFont val="Calibri"/>
              <sz val="10"/>
            </rPr>
            <t xml:space="preserve"> change the department's row on the Weightage Matrix and these weights, the points and the score update.
</t>
          </r>
          <r>
            <rPr>
              <rFont val="Calibri"/>
              <b val="1"/>
              <sz val="10"/>
            </rPr>
            <t>What decided the final level:</t>
          </r>
          <r>
            <rPr>
              <rFont val="Calibri"/>
              <sz val="10"/>
            </rPr>
            <t xml:space="preserve"> the score itself — no rule changed it.</t>
          </r>
        </is>
      </c>
      <c r="W24" s="12" t="inlineStr">
        <is>
          <r>
            <rPr>
              <rFont val="Calibri"/>
              <b val="1"/>
              <sz val="10"/>
            </rPr>
            <t>Complexity &amp; Expertise:</t>
          </r>
          <r>
            <rPr>
              <rFont val="Calibri"/>
              <sz val="10"/>
            </rPr>
            <t xml:space="preserve"> 10 of 12 — Start: 10.0 · vice president title; Evidence: no survey answers or KRAs on file → rating stays at the start
</t>
          </r>
          <r>
            <rPr>
              <rFont val="Calibri"/>
              <b val="1"/>
              <sz val="10"/>
            </rPr>
            <t>Autonomy &amp; Decision:</t>
          </r>
          <r>
            <rPr>
              <rFont val="Calibri"/>
              <sz val="10"/>
            </rPr>
            <t xml:space="preserve"> 10 of 12 — Start: 10.0 · vice president title; Evidence: no survey answers or KRAs on file → rating stays at the start
</t>
          </r>
          <r>
            <rPr>
              <rFont val="Calibri"/>
              <b val="1"/>
              <sz val="10"/>
            </rPr>
            <t>Accountability &amp; Impact:</t>
          </r>
          <r>
            <rPr>
              <rFont val="Calibri"/>
              <sz val="10"/>
            </rPr>
            <t xml:space="preserve"> 10 of 12 — Start: 10.0 · vice president title; 6 direct reports, 7 people in the organisation; Evidence: no survey answers or KRAs on file → rating stays at the start
</t>
          </r>
          <r>
            <rPr>
              <rFont val="Calibri"/>
              <b val="1"/>
              <sz val="10"/>
            </rPr>
            <t>Leadership &amp; Strategy:</t>
          </r>
          <r>
            <rPr>
              <rFont val="Calibri"/>
              <sz val="10"/>
            </rPr>
            <t xml:space="preserve"> 10 of 12 — Start: 10.0; Evidence: no survey answers or KRAs on file → rating stays at the start; Team: 6 direct reports · People Manager
</t>
          </r>
          <r>
            <rPr>
              <rFont val="Calibri"/>
              <b val="1"/>
              <sz val="10"/>
            </rPr>
            <t>Experience &amp; Qualification:</t>
          </r>
          <r>
            <rPr>
              <rFont val="Calibri"/>
              <sz val="10"/>
            </rPr>
            <t xml:space="preserve"> 9.5 of 12 · between D1 and D2 — Experience: 18.2 yrs total · 17.9 before IRIS + 0.3 at IRIS = 9.2 on the experience scale; Qualification: MBA · postgraduate, relevant to the work → +0.5
</t>
          </r>
          <r>
            <rPr>
              <rFont val="Calibri"/>
              <b val="1"/>
              <sz val="10"/>
            </rPr>
            <t>Business Impact:</t>
          </r>
          <r>
            <rPr>
              <rFont val="Calibri"/>
              <sz val="10"/>
            </rPr>
            <t xml:space="preserve"> 10 of 12 — a starting estimate. — Start: 10, the role's accountability scope — what it answers for.; No survey or manager-mapping signal on criticality: kept at the start point.; Managers and heads: overwrite this rating on the Weightage sheet with the business impact you see — the score updates at once.; Ladder: D2 = Owns the results of several business lines</t>
          </r>
        </is>
      </c>
      <c r="X24" s="12" t="inlineStr">
        <is>
          <r>
            <rPr>
              <rFont val="Calibri"/>
              <b val="1"/>
              <sz val="10"/>
            </rPr>
            <t>Market level:</t>
          </r>
          <r>
            <rPr>
              <rFont val="Calibri"/>
              <sz val="10"/>
            </rPr>
            <t xml:space="preserve"> E3–E4 · SFIA 7 Set strategy
</t>
          </r>
          <r>
            <rPr>
              <rFont val="Calibri"/>
              <b val="1"/>
              <sz val="10"/>
            </rPr>
            <t>Typical title:</t>
          </r>
          <r>
            <rPr>
              <rFont val="Calibri"/>
              <sz val="10"/>
            </rPr>
            <t xml:space="preserve"> Vice President / Senior Vice President / Senior Vice President
</t>
          </r>
          <r>
            <rPr>
              <rFont val="Calibri"/>
              <b val="1"/>
              <sz val="10"/>
            </rPr>
            <t>At peers:</t>
          </r>
          <r>
            <rPr>
              <rFont val="Calibri"/>
              <sz val="10"/>
            </rPr>
            <t xml:space="preserve"> IRIS Vs Competitor Benchmark — HR ladder: VP HR
</t>
          </r>
          <r>
            <rPr>
              <rFont val="Calibri"/>
              <b val="1"/>
              <sz val="10"/>
            </rPr>
            <t>Standard:</t>
          </r>
          <r>
            <rPr>
              <rFont val="Calibri"/>
              <sz val="10"/>
            </rPr>
            <t xml:space="preserve"> SHRM BASK; CIPD Profession Map</t>
          </r>
        </is>
      </c>
      <c r="Y24" s="12" t="inlineStr">
        <is>
          <r>
            <rPr>
              <rFont val="Calibri"/>
              <sz val="10"/>
            </rPr>
            <t xml:space="preserve">✓ HRIS: 18.2 yrs, MBA, 6 direct reports
✗ Survey: no response
✗ KRAs: none on file
✓ Manager mapping: rating, 9-box
✗ Job description: not on file
</t>
          </r>
          <r>
            <rPr>
              <rFont val="Calibri"/>
              <b val="1"/>
              <sz val="10"/>
            </rPr>
            <t>Confidence:</t>
          </r>
          <r>
            <rPr>
              <rFont val="Calibri"/>
              <sz val="10"/>
            </rPr>
            <t xml:space="preserve"> Low</t>
          </r>
        </is>
      </c>
      <c r="Z24" s="12" t="inlineStr">
        <is>
          <t>—</t>
        </is>
      </c>
      <c r="AA24" s="84" t="inlineStr">
        <is>
          <t>• Survey response or KRAs describing the work · nothing on file — Employee + manager</t>
        </is>
      </c>
      <c r="AB24" s="12" t="inlineStr">
        <is>
          <r>
            <rPr>
              <rFont val="Calibri"/>
              <b val="1"/>
              <sz val="10"/>
            </rPr>
            <t>What the role answers for:</t>
          </r>
          <r>
            <rPr>
              <rFont val="Calibri"/>
              <sz val="10"/>
            </rPr>
            <t xml:space="preserve"> Multi-business results.
</t>
          </r>
          <r>
            <rPr>
              <rFont val="Calibri"/>
              <b val="1"/>
              <sz val="10"/>
            </rPr>
            <t>Accountability &amp; Impact rating:</t>
          </r>
          <r>
            <rPr>
              <rFont val="Calibri"/>
              <sz val="10"/>
            </rPr>
            <t xml:space="preserve"> 10 of 12 · D2-level impact.
Leads 6 direct reports.
Manager talent mapping — Latest rating: Not rated · manager · 9-Box Grid placement: Not placed · manager.</t>
          </r>
        </is>
      </c>
      <c r="AC24" s="83" t="n"/>
      <c r="AD24" s="83" t="n"/>
      <c r="AE24" s="83" t="n"/>
      <c r="AF24" s="12" t="n">
        <v>10</v>
      </c>
    </row>
    <row r="25" ht="400" customHeight="1">
      <c r="A25" s="12" t="inlineStr">
        <is>
          <t>IRIS2556</t>
        </is>
      </c>
      <c r="B25" s="10" t="inlineStr">
        <is>
          <t>Mohammed Hanzala Shaikh</t>
        </is>
      </c>
      <c r="C25" s="12" t="inlineStr">
        <is>
          <t>HR</t>
        </is>
      </c>
      <c r="D25" s="12" t="inlineStr">
        <is>
          <t>Lead HR Transformation</t>
        </is>
      </c>
      <c r="E25" s="79" t="inlineStr">
        <is>
          <t>Lead HR Specialist – Transformation &amp; OD</t>
        </is>
      </c>
      <c r="F25" s="12" t="inlineStr">
        <is>
          <t>Human Resources</t>
        </is>
      </c>
      <c r="G25" s="12" t="inlineStr">
        <is>
          <t>HR Transformation &amp; OD</t>
        </is>
      </c>
      <c r="H25" s="12" t="inlineStr">
        <is>
          <t>IC</t>
        </is>
      </c>
      <c r="I25" s="42" t="inlineStr">
        <is>
          <t>Not in current mapping files</t>
        </is>
      </c>
      <c r="J25" s="20" t="inlineStr">
        <is>
          <t>B3</t>
        </is>
      </c>
      <c r="K25" s="21" t="inlineStr">
        <is>
          <t>Lead Specialist</t>
        </is>
      </c>
      <c r="L25" s="80" t="inlineStr">
        <is>
          <t>● Newly mapped</t>
        </is>
      </c>
      <c r="M25" s="12" t="inlineStr">
        <is>
          <t>Corporate · HR · Band B · Expert / POD Lead</t>
        </is>
      </c>
      <c r="N25" s="42" t="n">
        <v>6</v>
      </c>
      <c r="O25" s="42" t="n">
        <v>6</v>
      </c>
      <c r="P25" s="42" t="n">
        <v>6</v>
      </c>
      <c r="Q25" s="42" t="n">
        <v>5</v>
      </c>
      <c r="R25" s="42" t="n">
        <v>4.5</v>
      </c>
      <c r="S25" s="81" t="n">
        <v>6</v>
      </c>
      <c r="T25" s="82">
        <f>IF(OR($M25="",COUNT(N25,O25,P25,Q25,R25,S25)&lt;6),"",IFERROR(N25*INDEX(WM_C,MATCH($M25,WM_KEY,0))+O25*INDEX(WM_AU,MATCH($M25,WM_KEY,0))+P25*INDEX(WM_AC,MATCH($M25,WM_KEY,0))+Q25*INDEX(WM_L,MATCH($M25,WM_KEY,0))+R25*INDEX(WM_E,MATCH($M25,WM_KEY,0))+S25*INDEX(WM_BI,MATCH($M25,WM_KEY,0)),""))</f>
        <v>5.725</v>
      </c>
      <c r="U25" s="42" t="str">
        <f>IF(T25="","",INDEX({"A1","A2","A3","B1","B2","B3","C1","C2","D1","D2","E1","E2"},MAX(1,MIN(12,ROUND(T25,0)))))</f>
        <v>B3</v>
      </c>
      <c r="V25" s="12" t="inlineStr">
        <is>
          <r>
            <rPr>
              <rFont val="Calibri"/>
              <sz val="10"/>
            </rPr>
            <t xml:space="preserve">New level B3 · Lead Specialist. Current level on record: Not in current mapping files. Change: ● Newly mapped.
Score 5.73 on the ladder scale → indicated level B3.
</t>
          </r>
          <r>
            <rPr>
              <rFont val="Calibri"/>
              <b val="1"/>
              <sz val="10"/>
            </rPr>
            <t>Weights:</t>
          </r>
          <r>
            <rPr>
              <rFont val="Calibri"/>
              <sz val="10"/>
            </rPr>
            <t xml:space="preserve"> Complexity 46% · Autonomy 17% · Experience 15% · Accountability 10% · Business impact 7% · Leadership 5%
</t>
          </r>
          <r>
            <rPr>
              <rFont val="Calibri"/>
              <b val="1"/>
              <sz val="10"/>
            </rPr>
            <t>Why:</t>
          </r>
          <r>
            <rPr>
              <rFont val="Calibri"/>
              <sz val="10"/>
            </rPr>
            <t xml:space="preserve"> specialists are judged mainly on depth of expertise, then on what they decide alone, what they answer for and their impact.
</t>
          </r>
          <r>
            <rPr>
              <rFont val="Calibri"/>
              <b val="1"/>
              <sz val="10"/>
            </rPr>
            <t>Type of work in the department:</t>
          </r>
          <r>
            <rPr>
              <rFont val="Calibri"/>
              <sz val="10"/>
            </rPr>
            <t xml:space="preserve"> corporate functions rely on professional qualifications such as CA, CS or law, so Experience &amp; Qualification +5 and Complexity −5.
</t>
          </r>
          <r>
            <rPr>
              <rFont val="Calibri"/>
              <b val="1"/>
              <sz val="10"/>
            </rPr>
            <t>Live:</t>
          </r>
          <r>
            <rPr>
              <rFont val="Calibri"/>
              <sz val="10"/>
            </rPr>
            <t xml:space="preserve"> change the department's row on the Weightage Matrix and these weights, the points and the score update.
</t>
          </r>
          <r>
            <rPr>
              <rFont val="Calibri"/>
              <b val="1"/>
              <sz val="10"/>
            </rPr>
            <t>What decided the final level:</t>
          </r>
          <r>
            <rPr>
              <rFont val="Calibri"/>
              <sz val="10"/>
            </rPr>
            <t xml:space="preserve"> the score itself — no rule changed it.</t>
          </r>
        </is>
      </c>
      <c r="W25" s="12" t="inlineStr">
        <is>
          <r>
            <rPr>
              <rFont val="Calibri"/>
              <b val="1"/>
              <sz val="10"/>
            </rPr>
            <t>Complexity &amp; Expertise:</t>
          </r>
          <r>
            <rPr>
              <rFont val="Calibri"/>
              <sz val="10"/>
            </rPr>
            <t xml:space="preserve"> 6 of 12 — Validated: 5.0 → 6 · Designs the enterprise-wide job architecture, role mapping and restructuring for all six businesses — a domain owned end to end · B3 standard · Role scope as defined by the HR transformation programme; calibration panel to confirm · 2026-10-08.; Before validation — Start: 5.0 · manager / senior specialist title; Before validation — Evidence: no survey answers or KRAs on file → rating stays at the start
</t>
          </r>
          <r>
            <rPr>
              <rFont val="Calibri"/>
              <b val="1"/>
              <sz val="10"/>
            </rPr>
            <t>Autonomy &amp; Decision:</t>
          </r>
          <r>
            <rPr>
              <rFont val="Calibri"/>
              <sz val="10"/>
            </rPr>
            <t xml:space="preserve"> 6 of 12 — Validated: 5.0 → 6 · Sets method and design for five concurrent workstreams · job architecture, role mapping, restructuring, L&amp;D, AI enablement reporting to the executive sponsor · Role scope; calibration panel to confirm · 2026-10-08.; Before validation — Start: 5.0 · manager / senior specialist title; Before validation — Evidence: no survey answers or KRAs on file → rating stays at the start
</t>
          </r>
          <r>
            <rPr>
              <rFont val="Calibri"/>
              <b val="1"/>
              <sz val="10"/>
            </rPr>
            <t>Accountability &amp; Impact:</t>
          </r>
          <r>
            <rPr>
              <rFont val="Calibri"/>
              <sz val="10"/>
            </rPr>
            <t xml:space="preserve"> 6 of 12 — Validated: 5.0 → 6 · Accountable for the placement, title and career framework of every person at IRIS — enterprise impact through others · Role scope; calibration panel to confirm · 2026-10-08.; Before validation — Start: 5.0 · manager / senior specialist title; Before validation — Evidence: no survey answers or KRAs on file → rating stays at the start
</t>
          </r>
          <r>
            <rPr>
              <rFont val="Calibri"/>
              <b val="1"/>
              <sz val="10"/>
            </rPr>
            <t>Leadership &amp; Strategy:</t>
          </r>
          <r>
            <rPr>
              <rFont val="Calibri"/>
              <sz val="10"/>
            </rPr>
            <t xml:space="preserve"> 5 of 12 — Validated: 4.0 → 5 · Shapes enterprise org-design and talent strategy with the executive sponsor and leads cross-business workstreams without formal reports · B2 standard for an IC · Role scope; calibration panel to confirm · 2026-10-08.; Before validation — Start: 4.0 · individual contributor, so influence only; Before validation — Evidence: no survey answers or KRAs on file → rating stays at the start; Team: 0 direct reports · IC
</t>
          </r>
          <r>
            <rPr>
              <rFont val="Calibri"/>
              <b val="1"/>
              <sz val="10"/>
            </rPr>
            <t>Experience &amp; Qualification:</t>
          </r>
          <r>
            <rPr>
              <rFont val="Calibri"/>
              <sz val="10"/>
            </rPr>
            <t xml:space="preserve"> 4.5 of 12 · between B1 and B2 — Validated: 5.0 → 4.5 · 6.7 yrs total fits B2 on the experience scale; BMS graduate — the same rating as peers with 6–7 yrs and a graduate degree · Experience scale M6 · 2026-10-08.; Experience now on record: 6.7 yrs; qualification: BMS
</t>
          </r>
          <r>
            <rPr>
              <rFont val="Calibri"/>
              <b val="1"/>
              <sz val="10"/>
            </rPr>
            <t>Business Impact:</t>
          </r>
          <r>
            <rPr>
              <rFont val="Calibri"/>
              <sz val="10"/>
            </rPr>
            <t xml:space="preserve"> 6 of 12 — a starting estimate. — Start: 6, the role's accountability scope — what it answers for.; No survey or manager-mapping signal on criticality: kept at the start point.; Managers and heads: overwrite this rating on the Weightage sheet with the business impact you see — the score updates at once.; Ladder: B3 = Shapes the results of a practice or several teams</t>
          </r>
        </is>
      </c>
      <c r="X25" s="12" t="inlineStr">
        <is>
          <r>
            <rPr>
              <rFont val="Calibri"/>
              <b val="1"/>
              <sz val="10"/>
            </rPr>
            <t>Market level:</t>
          </r>
          <r>
            <rPr>
              <rFont val="Calibri"/>
              <sz val="10"/>
            </rPr>
            <t xml:space="preserve"> P5 / M4 · SFIA 5 Ensure, advise
</t>
          </r>
          <r>
            <rPr>
              <rFont val="Calibri"/>
              <b val="1"/>
              <sz val="10"/>
            </rPr>
            <t>Typical title:</t>
          </r>
          <r>
            <rPr>
              <rFont val="Calibri"/>
              <sz val="10"/>
            </rPr>
            <t xml:space="preserve"> HR Specialist / HRBP
</t>
          </r>
          <r>
            <rPr>
              <rFont val="Calibri"/>
              <b val="1"/>
              <sz val="10"/>
            </rPr>
            <t>At peers:</t>
          </r>
          <r>
            <rPr>
              <rFont val="Calibri"/>
              <sz val="10"/>
            </rPr>
            <t xml:space="preserve"> IRIS Vs Competitor Benchmark — HR ladder: Senior HR Manager · SHRM-SCP
</t>
          </r>
          <r>
            <rPr>
              <rFont val="Calibri"/>
              <b val="1"/>
              <sz val="10"/>
            </rPr>
            <t>Typical experience:</t>
          </r>
          <r>
            <rPr>
              <rFont val="Calibri"/>
              <sz val="10"/>
            </rPr>
            <t xml:space="preserve"> 8–13 yrs · IRIS guide 8–12
</t>
          </r>
          <r>
            <rPr>
              <rFont val="Calibri"/>
              <b val="1"/>
              <sz val="10"/>
            </rPr>
            <t>Standard:</t>
          </r>
          <r>
            <rPr>
              <rFont val="Calibri"/>
              <sz val="10"/>
            </rPr>
            <t xml:space="preserve"> SHRM BASK; CIPD Profession Map</t>
          </r>
        </is>
      </c>
      <c r="Y25" s="12" t="inlineStr">
        <is>
          <r>
            <rPr>
              <rFont val="Calibri"/>
              <sz val="10"/>
            </rPr>
            <t xml:space="preserve">✓ HRIS: 6.7 yrs, BMS, 0 direct reports
✗ Survey: no response
✗ KRAs: none on file
✓ Manager mapping: rating, 9-box
✗ Job description: not on file
✓ Validated inputs: Total Experience · yrs: Not provided · HRIS → 6.7 · Working since February 2020 · 6.7 yrs to October 2026: full-time roles at Deloitte · USI, Capita and Holcim plus freelance HR consulting; HRIS record was blank · Stated by the role holder · Hanzala; HR to update the HRIS record · 2026-10-08; Decision status: Provisional — experience to be confirmed by HR → Confirmed · Experience now on record — provisional hold lifted · Stated by the role holder; HR to confirm · 2026-10-08; Complexity &amp; Expertise: 5.0 → 6 · Designs the enterprise-wide job architecture, role mapping and restructuring for all six businesses — a domain owned end to end · B3 standard · Role scope as defined by the HR transformation programme; calibration panel to confirm · 2026-10-08; Autonomy &amp; Decision: 5.0 → 6 · Sets method and design for five concurrent workstreams · job architecture, role mapping, restructuring, L&amp;D, AI enablement reporting to the executive sponsor · Role scope; calibration panel to confirm · 2026-10-08; Accountability &amp; Impact: 5.0 → 6 · Accountable for the placement, title and career framework of every person at IRIS — enterprise impact through others · Role scope; calibration panel to confirm · 2026-10-08; Leadership &amp; Strategy: 4.0 → 5 · Shapes enterprise org-design and talent strategy with the executive sponsor and leads cross-business workstreams without formal reports · B2 standard for an IC · Role scope; calibration panel to confirm · 2026-10-08; Proposed Designation: Senior HR Specialist → Lead HR Specialist – Transformation &amp; OD · Title rule N1 at B3 · IC: level marker 'Lead' + role noun; keeps the current 'Lead HR Transformation' meaning · Title rules N1–N5 · 2026-10-08; Points to confirm: Total experience is not on record · new joiner — level is provisional until HR adds it. | No survey answers or KRA — the role factors rest on designation and reporting lines only. → Ratings for Complexity, Autonomy, Accountability and Leadership set from the stated role scope · validated inputs — calibration panel to confirm | Self-placement: the role holder designed the model, so the executive sponsor approves this level · Governance V2–V3 · 2026-10-08; Experience &amp; Qualification: 5.0 → 4.5 · 6.7 yrs total fits B2 on the experience scale; BMS graduate — the same rating as peers with 6–7 yrs and a graduate degree · Experience scale M6 · 2026-10-08
</t>
          </r>
          <r>
            <rPr>
              <rFont val="Calibri"/>
              <b val="1"/>
              <sz val="10"/>
            </rPr>
            <t>Confidence:</t>
          </r>
          <r>
            <rPr>
              <rFont val="Calibri"/>
              <sz val="10"/>
            </rPr>
            <t xml:space="preserve"> Low</t>
          </r>
        </is>
      </c>
      <c r="Z25" s="12" t="inlineStr">
        <is>
          <t>—</t>
        </is>
      </c>
      <c r="AA25" s="84" t="inlineStr">
        <is>
          <t>• Survey response or KRAs describing the work · nothing on file — Employee + manager</t>
        </is>
      </c>
      <c r="AB25" s="12" t="inlineStr">
        <is>
          <r>
            <rPr>
              <rFont val="Calibri"/>
              <b val="1"/>
              <sz val="10"/>
            </rPr>
            <t>What the role answers for:</t>
          </r>
          <r>
            <rPr>
              <rFont val="Calibri"/>
              <sz val="10"/>
            </rPr>
            <t xml:space="preserve"> Several teams or a practice.
</t>
          </r>
          <r>
            <rPr>
              <rFont val="Calibri"/>
              <b val="1"/>
              <sz val="10"/>
            </rPr>
            <t>Accountability &amp; Impact rating:</t>
          </r>
          <r>
            <rPr>
              <rFont val="Calibri"/>
              <sz val="10"/>
            </rPr>
            <t xml:space="preserve"> 6 of 12 · B3-level impact.
Manager talent mapping — Latest rating: Not rated · manager · 9-Box Grid placement: Not placed · manager.</t>
          </r>
        </is>
      </c>
      <c r="AC25" s="83" t="n"/>
      <c r="AD25" s="83" t="n"/>
      <c r="AE25" s="83" t="n"/>
      <c r="AF25" s="12" t="n">
        <v>6</v>
      </c>
    </row>
    <row r="26" ht="379" customHeight="1">
      <c r="A26" s="12" t="inlineStr">
        <is>
          <t>IRIS2557</t>
        </is>
      </c>
      <c r="B26" s="10" t="inlineStr">
        <is>
          <t>Simran Kaur Raina</t>
        </is>
      </c>
      <c r="C26" s="12" t="inlineStr">
        <is>
          <t>HR</t>
        </is>
      </c>
      <c r="D26" s="12" t="inlineStr">
        <is>
          <t>Manager- Talent Acquisition</t>
        </is>
      </c>
      <c r="E26" s="79" t="inlineStr">
        <is>
          <t>Senior Talent Acquisition Specialist</t>
        </is>
      </c>
      <c r="F26" s="12" t="inlineStr">
        <is>
          <t>Human Resources</t>
        </is>
      </c>
      <c r="G26" s="12" t="inlineStr">
        <is>
          <t>Talent Acquisition</t>
        </is>
      </c>
      <c r="H26" s="12" t="inlineStr">
        <is>
          <t>IC</t>
        </is>
      </c>
      <c r="I26" s="42" t="inlineStr">
        <is>
          <t>Not in current mapping files</t>
        </is>
      </c>
      <c r="J26" s="20" t="inlineStr">
        <is>
          <t>B2</t>
        </is>
      </c>
      <c r="K26" s="21" t="inlineStr">
        <is>
          <t>Senior Specialist</t>
        </is>
      </c>
      <c r="L26" s="80" t="inlineStr">
        <is>
          <t>● Newly mapped</t>
        </is>
      </c>
      <c r="M26" s="12" t="inlineStr">
        <is>
          <t>Corporate · HR · Band B · Expert / POD Lead</t>
        </is>
      </c>
      <c r="N26" s="42" t="n">
        <v>4.5</v>
      </c>
      <c r="O26" s="42" t="n">
        <v>4.5</v>
      </c>
      <c r="P26" s="42" t="n">
        <v>4.5</v>
      </c>
      <c r="Q26" s="42" t="n">
        <v>3.5</v>
      </c>
      <c r="R26" s="42" t="n">
        <v>5</v>
      </c>
      <c r="S26" s="81" t="n">
        <v>4.5</v>
      </c>
      <c r="T26" s="82">
        <f>IF(OR($M26="",COUNT(N26,O26,P26,Q26,R26,S26)&lt;6),"",IFERROR(N26*INDEX(WM_C,MATCH($M26,WM_KEY,0))+O26*INDEX(WM_AU,MATCH($M26,WM_KEY,0))+P26*INDEX(WM_AC,MATCH($M26,WM_KEY,0))+Q26*INDEX(WM_L,MATCH($M26,WM_KEY,0))+R26*INDEX(WM_E,MATCH($M26,WM_KEY,0))+S26*INDEX(WM_BI,MATCH($M26,WM_KEY,0)),""))</f>
        <v>4.525</v>
      </c>
      <c r="U26" s="42" t="str">
        <f>IF(T26="","",INDEX({"A1","A2","A3","B1","B2","B3","C1","C2","D1","D2","E1","E2"},MAX(1,MIN(12,ROUND(T26,0)))))</f>
        <v>B2</v>
      </c>
      <c r="V26" s="12" t="inlineStr">
        <is>
          <r>
            <rPr>
              <rFont val="Calibri"/>
              <sz val="10"/>
            </rPr>
            <t xml:space="preserve">New level B2 · Senior Specialist. Current level on record: Not in current mapping files. Change: ● Newly mapped.
Score 4.53 on the ladder scale → indicated level B2.
</t>
          </r>
          <r>
            <rPr>
              <rFont val="Calibri"/>
              <b val="1"/>
              <sz val="10"/>
            </rPr>
            <t>Weights:</t>
          </r>
          <r>
            <rPr>
              <rFont val="Calibri"/>
              <sz val="10"/>
            </rPr>
            <t xml:space="preserve"> Complexity 46% · Autonomy 17% · Experience 15% · Accountability 10% · Business impact 7% · Leadership 5%
</t>
          </r>
          <r>
            <rPr>
              <rFont val="Calibri"/>
              <b val="1"/>
              <sz val="10"/>
            </rPr>
            <t>Why:</t>
          </r>
          <r>
            <rPr>
              <rFont val="Calibri"/>
              <sz val="10"/>
            </rPr>
            <t xml:space="preserve"> specialists are judged mainly on depth of expertise, then on what they decide alone, what they answer for and their impact.
</t>
          </r>
          <r>
            <rPr>
              <rFont val="Calibri"/>
              <b val="1"/>
              <sz val="10"/>
            </rPr>
            <t>Type of work in the department:</t>
          </r>
          <r>
            <rPr>
              <rFont val="Calibri"/>
              <sz val="10"/>
            </rPr>
            <t xml:space="preserve"> corporate functions rely on professional qualifications such as CA, CS or law, so Experience &amp; Qualification +5 and Complexity −5.
</t>
          </r>
          <r>
            <rPr>
              <rFont val="Calibri"/>
              <b val="1"/>
              <sz val="10"/>
            </rPr>
            <t>Live:</t>
          </r>
          <r>
            <rPr>
              <rFont val="Calibri"/>
              <sz val="10"/>
            </rPr>
            <t xml:space="preserve"> change the department's row on the Weightage Matrix and these weights, the points and the score update.
</t>
          </r>
          <r>
            <rPr>
              <rFont val="Calibri"/>
              <b val="1"/>
              <sz val="10"/>
            </rPr>
            <t>What decided the final level:</t>
          </r>
          <r>
            <rPr>
              <rFont val="Calibri"/>
              <sz val="10"/>
            </rPr>
            <t xml:space="preserve"> 
• </t>
          </r>
          <r>
            <rPr>
              <rFont val="Calibri"/>
              <b val="1"/>
              <sz val="10"/>
            </rPr>
            <t>Provisional:</t>
          </r>
          <r>
            <rPr>
              <rFont val="Calibri"/>
              <sz val="10"/>
            </rPr>
            <t xml:space="preserve"> the experience record looks incomplete, so this level is kept until HR confirms it.
</t>
          </r>
          <r>
            <rPr>
              <rFont val="Calibri"/>
              <b val="1"/>
              <sz val="10"/>
            </rPr>
            <t>Final level:</t>
          </r>
          <r>
            <rPr>
              <rFont val="Calibri"/>
              <sz val="10"/>
            </rPr>
            <t xml:space="preserve"> B2.</t>
          </r>
        </is>
      </c>
      <c r="W26" s="12" t="inlineStr">
        <is>
          <r>
            <rPr>
              <rFont val="Calibri"/>
              <b val="1"/>
              <sz val="10"/>
            </rPr>
            <t>Complexity &amp; Expertise:</t>
          </r>
          <r>
            <rPr>
              <rFont val="Calibri"/>
              <sz val="10"/>
            </rPr>
            <t xml:space="preserve"> 4.5 of 12 · between B1 and B2 — Start: 5.0 · manager / senior specialist title; Evidence reads like A2: Cold-calling and sourcing via job portals; offer rollout → moved down 0.5
</t>
          </r>
          <r>
            <rPr>
              <rFont val="Calibri"/>
              <b val="1"/>
              <sz val="10"/>
            </rPr>
            <t>Autonomy &amp; Decision:</t>
          </r>
          <r>
            <rPr>
              <rFont val="Calibri"/>
              <sz val="10"/>
            </rPr>
            <t xml:space="preserve"> 4.5 of 12 · between B1 and B2 — Start: 5.0 · manager / senior specialist title; Evidence reads like A2: Decides source of hiring only → moved down 0.5
</t>
          </r>
          <r>
            <rPr>
              <rFont val="Calibri"/>
              <b val="1"/>
              <sz val="10"/>
            </rPr>
            <t>Accountability &amp; Impact:</t>
          </r>
          <r>
            <rPr>
              <rFont val="Calibri"/>
              <sz val="10"/>
            </rPr>
            <t xml:space="preserve"> 4.5 of 12 · between B1 and B2 — Start: 5.0 · manager / senior specialist title; Evidence reads like A2: Keeping the ATS accurate and up to date → moved down 0.5
</t>
          </r>
          <r>
            <rPr>
              <rFont val="Calibri"/>
              <b val="1"/>
              <sz val="10"/>
            </rPr>
            <t>Leadership &amp; Strategy:</t>
          </r>
          <r>
            <rPr>
              <rFont val="Calibri"/>
              <sz val="10"/>
            </rPr>
            <t xml:space="preserve"> 3.5 of 12 · between A3 and B1 — Start: 4.0 · individual contributor, so influence only; Evidence reads like A1: No team or guidance of others described; 0 reports → moved down 0.5; Team: 0 direct reports · IC
</t>
          </r>
          <r>
            <rPr>
              <rFont val="Calibri"/>
              <b val="1"/>
              <sz val="10"/>
            </rPr>
            <t>Experience &amp; Qualification:</t>
          </r>
          <r>
            <rPr>
              <rFont val="Calibri"/>
              <sz val="10"/>
            </rPr>
            <t xml:space="preserve"> 5 of 12 — Experience: not on record · input needed from HR, so set at the role's own level: it neither helps nor hurts; Qualification: PGDM · postgraduate, relevant to the work → +0.5
</t>
          </r>
          <r>
            <rPr>
              <rFont val="Calibri"/>
              <b val="1"/>
              <sz val="10"/>
            </rPr>
            <t>Business Impact:</t>
          </r>
          <r>
            <rPr>
              <rFont val="Calibri"/>
              <sz val="10"/>
            </rPr>
            <t xml:space="preserve"> 4.5 of 12 — a starting estimate. — Start: 4.5, the role's accountability scope — what it answers for.; No survey or manager-mapping signal on criticality: kept at the start point.; Managers and heads: overwrite this rating on the Weightage sheet with the business impact you see — the score updates at once.; Ladder: B1 = Moves a module's, product area's or client account's results · B2 = Visible effect on a team's or client portfolio's revenue, quality or compliance</t>
          </r>
        </is>
      </c>
      <c r="X26" s="12" t="inlineStr">
        <is>
          <r>
            <rPr>
              <rFont val="Calibri"/>
              <b val="1"/>
              <sz val="10"/>
            </rPr>
            <t>Market level:</t>
          </r>
          <r>
            <rPr>
              <rFont val="Calibri"/>
              <sz val="10"/>
            </rPr>
            <t xml:space="preserve"> P4 / M3 · SFIA 4–5
</t>
          </r>
          <r>
            <rPr>
              <rFont val="Calibri"/>
              <b val="1"/>
              <sz val="10"/>
            </rPr>
            <t>Typical title:</t>
          </r>
          <r>
            <rPr>
              <rFont val="Calibri"/>
              <sz val="10"/>
            </rPr>
            <t xml:space="preserve"> HR Specialist / HRBP
</t>
          </r>
          <r>
            <rPr>
              <rFont val="Calibri"/>
              <b val="1"/>
              <sz val="10"/>
            </rPr>
            <t>At peers:</t>
          </r>
          <r>
            <rPr>
              <rFont val="Calibri"/>
              <sz val="10"/>
            </rPr>
            <t xml:space="preserve"> IRIS Vs Competitor Benchmark — HR ladder: HR Manager / Senior HRBP
</t>
          </r>
          <r>
            <rPr>
              <rFont val="Calibri"/>
              <b val="1"/>
              <sz val="10"/>
            </rPr>
            <t>Typical experience:</t>
          </r>
          <r>
            <rPr>
              <rFont val="Calibri"/>
              <sz val="10"/>
            </rPr>
            <t xml:space="preserve"> 6–10 yrs · IRIS guide 6–9
</t>
          </r>
          <r>
            <rPr>
              <rFont val="Calibri"/>
              <b val="1"/>
              <sz val="10"/>
            </rPr>
            <t>Standard:</t>
          </r>
          <r>
            <rPr>
              <rFont val="Calibri"/>
              <sz val="10"/>
            </rPr>
            <t xml:space="preserve"> SHRM BASK; CIPD Profession Map</t>
          </r>
        </is>
      </c>
      <c r="Y26" s="12" t="inlineStr">
        <is>
          <r>
            <rPr>
              <rFont val="Calibri"/>
              <sz val="10"/>
            </rPr>
            <t xml:space="preserve">✗ HRIS: experience missing, PGDM, 0 direct reports
✓ Survey: 14 of 20 questions answered
✗ KRAs: none on file
✓ Manager mapping: rating, 9-box
✗ Job description: not on file
</t>
          </r>
          <r>
            <rPr>
              <rFont val="Calibri"/>
              <b val="1"/>
              <sz val="10"/>
            </rPr>
            <t>Confidence:</t>
          </r>
          <r>
            <rPr>
              <rFont val="Calibri"/>
              <sz val="10"/>
            </rPr>
            <t xml:space="preserve"> Low</t>
          </r>
        </is>
      </c>
      <c r="Z26" s="86" t="inlineStr">
        <is>
          <r>
            <rPr>
              <rFont val="Calibri"/>
              <color rgb="009C5700"/>
              <sz val="10"/>
            </rPr>
            <t xml:space="preserve">• </t>
          </r>
          <r>
            <rPr>
              <rFont val="Calibri"/>
              <b val="1"/>
              <color rgb="009C5700"/>
              <sz val="10"/>
            </rPr>
            <t>Provisional:</t>
          </r>
          <r>
            <rPr>
              <rFont val="Calibri"/>
              <color rgb="009C5700"/>
              <sz val="10"/>
            </rPr>
            <t xml:space="preserve"> experience to be confirmed by HR</t>
          </r>
        </is>
      </c>
      <c r="AA26" s="84" t="inlineStr">
        <is>
          <t>• Total experience · outside + at IRIS — HR — HRIS
• Confirm prior experience · provisional placement — HR</t>
        </is>
      </c>
      <c r="AB26" s="12" t="inlineStr">
        <is>
          <r>
            <rPr>
              <rFont val="Calibri"/>
              <b val="1"/>
              <sz val="10"/>
            </rPr>
            <t>What the role answers for:</t>
          </r>
          <r>
            <rPr>
              <rFont val="Calibri"/>
              <sz val="10"/>
            </rPr>
            <t xml:space="preserve"> One team or a client portfolio.
</t>
          </r>
          <r>
            <rPr>
              <rFont val="Calibri"/>
              <b val="1"/>
              <sz val="10"/>
            </rPr>
            <t>Accountability &amp; Impact rating:</t>
          </r>
          <r>
            <rPr>
              <rFont val="Calibri"/>
              <sz val="10"/>
            </rPr>
            <t xml:space="preserve"> 4.5 of 12 · B1-level impact.
</t>
          </r>
          <r>
            <rPr>
              <rFont val="Calibri"/>
              <b val="1"/>
              <sz val="10"/>
            </rPr>
            <t>If the work is missed · role-holders' themes:</t>
          </r>
          <r>
            <rPr>
              <rFont val="Calibri"/>
              <sz val="10"/>
            </rPr>
            <t xml:space="preserve"> business.
Manager talent mapping — Latest rating: Not rated · manager · 9-Box Grid placement: Not placed · manager.</t>
          </r>
        </is>
      </c>
      <c r="AC26" s="83" t="n"/>
      <c r="AD26" s="83" t="n"/>
      <c r="AE26" s="83" t="n"/>
      <c r="AF26" s="12" t="n">
        <v>4.5</v>
      </c>
    </row>
    <row r="27" ht="379" customHeight="1">
      <c r="A27" s="12" t="inlineStr">
        <is>
          <t>IRIS0204</t>
        </is>
      </c>
      <c r="B27" s="10" t="inlineStr">
        <is>
          <t>Chandrakumar Moopanar</t>
        </is>
      </c>
      <c r="C27" s="12" t="inlineStr">
        <is>
          <t>HR</t>
        </is>
      </c>
      <c r="D27" s="12" t="inlineStr">
        <is>
          <t>HRIS &amp; Payroll Specialist</t>
        </is>
      </c>
      <c r="E27" s="79" t="inlineStr">
        <is>
          <t>HR Specialist</t>
        </is>
      </c>
      <c r="F27" s="12" t="inlineStr">
        <is>
          <t>Human Resources</t>
        </is>
      </c>
      <c r="G27" s="12" t="inlineStr">
        <is>
          <t>HR Operations &amp; Payroll</t>
        </is>
      </c>
      <c r="H27" s="12" t="inlineStr">
        <is>
          <t>IC</t>
        </is>
      </c>
      <c r="I27" s="42" t="inlineStr">
        <is>
          <t>Not in current mapping files</t>
        </is>
      </c>
      <c r="J27" s="20" t="inlineStr">
        <is>
          <t>B1</t>
        </is>
      </c>
      <c r="K27" s="21" t="inlineStr">
        <is>
          <t>Specialist</t>
        </is>
      </c>
      <c r="L27" s="80" t="inlineStr">
        <is>
          <t>● Newly mapped</t>
        </is>
      </c>
      <c r="M27" s="12" t="inlineStr">
        <is>
          <t>Corporate · HR · Band B · Expert / POD Lead</t>
        </is>
      </c>
      <c r="N27" s="42" t="n">
        <v>3.5</v>
      </c>
      <c r="O27" s="42" t="n">
        <v>3</v>
      </c>
      <c r="P27" s="42" t="n">
        <v>3.5</v>
      </c>
      <c r="Q27" s="42" t="n">
        <v>2</v>
      </c>
      <c r="R27" s="42" t="n">
        <v>9.5</v>
      </c>
      <c r="S27" s="81" t="n">
        <v>3.5</v>
      </c>
      <c r="T27" s="82">
        <f>IF(OR($M27="",COUNT(N27,O27,P27,Q27,R27,S27)&lt;6),"",IFERROR(N27*INDEX(WM_C,MATCH($M27,WM_KEY,0))+O27*INDEX(WM_AU,MATCH($M27,WM_KEY,0))+P27*INDEX(WM_AC,MATCH($M27,WM_KEY,0))+Q27*INDEX(WM_L,MATCH($M27,WM_KEY,0))+R27*INDEX(WM_E,MATCH($M27,WM_KEY,0))+S27*INDEX(WM_BI,MATCH($M27,WM_KEY,0)),""))</f>
        <v>4.24</v>
      </c>
      <c r="U27" s="42" t="str">
        <f>IF(T27="","",INDEX({"A1","A2","A3","B1","B2","B3","C1","C2","D1","D2","E1","E2"},MAX(1,MIN(12,ROUND(T27,0)))))</f>
        <v>B1</v>
      </c>
      <c r="V27" s="12" t="inlineStr">
        <is>
          <r>
            <rPr>
              <rFont val="Calibri"/>
              <sz val="10"/>
            </rPr>
            <t xml:space="preserve">New level B1 · Specialist. Current level on record: Not in current mapping files. Change: ● Newly mapped.
Score 4.24 on the ladder scale → indicated level B1.
</t>
          </r>
          <r>
            <rPr>
              <rFont val="Calibri"/>
              <b val="1"/>
              <sz val="10"/>
            </rPr>
            <t>Weights:</t>
          </r>
          <r>
            <rPr>
              <rFont val="Calibri"/>
              <sz val="10"/>
            </rPr>
            <t xml:space="preserve"> Complexity 46% · Autonomy 17% · Experience 15% · Accountability 10% · Business impact 7% · Leadership 5%
</t>
          </r>
          <r>
            <rPr>
              <rFont val="Calibri"/>
              <b val="1"/>
              <sz val="10"/>
            </rPr>
            <t>Why:</t>
          </r>
          <r>
            <rPr>
              <rFont val="Calibri"/>
              <sz val="10"/>
            </rPr>
            <t xml:space="preserve"> specialists are judged mainly on depth of expertise, then on what they decide alone, what they answer for and their impact.
</t>
          </r>
          <r>
            <rPr>
              <rFont val="Calibri"/>
              <b val="1"/>
              <sz val="10"/>
            </rPr>
            <t>Type of work in the department:</t>
          </r>
          <r>
            <rPr>
              <rFont val="Calibri"/>
              <sz val="10"/>
            </rPr>
            <t xml:space="preserve"> corporate functions rely on professional qualifications such as CA, CS or law, so Experience &amp; Qualification +5 and Complexity −5.
</t>
          </r>
          <r>
            <rPr>
              <rFont val="Calibri"/>
              <b val="1"/>
              <sz val="10"/>
            </rPr>
            <t>Live:</t>
          </r>
          <r>
            <rPr>
              <rFont val="Calibri"/>
              <sz val="10"/>
            </rPr>
            <t xml:space="preserve"> change the department's row on the Weightage Matrix and these weights, the points and the score update.
</t>
          </r>
          <r>
            <rPr>
              <rFont val="Calibri"/>
              <b val="1"/>
              <sz val="10"/>
            </rPr>
            <t>What decided the final level:</t>
          </r>
          <r>
            <rPr>
              <rFont val="Calibri"/>
              <sz val="10"/>
            </rPr>
            <t xml:space="preserve"> the score itself — no rule changed it.</t>
          </r>
        </is>
      </c>
      <c r="W27" s="12" t="inlineStr">
        <is>
          <r>
            <rPr>
              <rFont val="Calibri"/>
              <b val="1"/>
              <sz val="10"/>
            </rPr>
            <t>Complexity &amp; Expertise:</t>
          </r>
          <r>
            <rPr>
              <rFont val="Calibri"/>
              <sz val="10"/>
            </rPr>
            <t xml:space="preserve"> 3.5 of 12 · between A3 and B1 — Start: 4.0 · lead / specialist title; Evidence reads like A3: Monthly payroll plus TDS, PF, ESIC, PT, LWF compliance and quarterly filings → moved down 0.5
</t>
          </r>
          <r>
            <rPr>
              <rFont val="Calibri"/>
              <b val="1"/>
              <sz val="10"/>
            </rPr>
            <t>Autonomy &amp; Decision:</t>
          </r>
          <r>
            <rPr>
              <rFont val="Calibri"/>
              <sz val="10"/>
            </rPr>
            <t xml:space="preserve"> 3 of 12 — Start: 4.0 · lead / specialist title; Evidence reads like A2: Only 'multiple reports' named as independent decisions → moved down 1
</t>
          </r>
          <r>
            <rPr>
              <rFont val="Calibri"/>
              <b val="1"/>
              <sz val="10"/>
            </rPr>
            <t>Accountability &amp; Impact:</t>
          </r>
          <r>
            <rPr>
              <rFont val="Calibri"/>
              <sz val="10"/>
            </rPr>
            <t xml:space="preserve"> 3.5 of 12 · between A3 and B1 — Start: 4.0 · lead / specialist title; Evidence reads like A3: Monthly salary and statutory compliance; payroll misses are compliance-critical → moved down 0.5
</t>
          </r>
          <r>
            <rPr>
              <rFont val="Calibri"/>
              <b val="1"/>
              <sz val="10"/>
            </rPr>
            <t>Leadership &amp; Strategy:</t>
          </r>
          <r>
            <rPr>
              <rFont val="Calibri"/>
              <sz val="10"/>
            </rPr>
            <t xml:space="preserve"> 2 of 12 — Start: 3.0 · individual contributor, so influence only; Evidence reads like A1: No guidance or leadership of others described → moved down 1; Team: 0 direct reports · IC
</t>
          </r>
          <r>
            <rPr>
              <rFont val="Calibri"/>
              <b val="1"/>
              <sz val="10"/>
            </rPr>
            <t>Experience &amp; Qualification:</t>
          </r>
          <r>
            <rPr>
              <rFont val="Calibri"/>
              <sz val="10"/>
            </rPr>
            <t xml:space="preserve"> 9.5 of 12 · between D1 and D2 — Experience: 19.3 yrs total · 1.0 before IRIS + 18.3 at IRIS = 9.5 on the experience scale; Qualification: B.Com · graduate → no change
</t>
          </r>
          <r>
            <rPr>
              <rFont val="Calibri"/>
              <b val="1"/>
              <sz val="10"/>
            </rPr>
            <t>Business Impact:</t>
          </r>
          <r>
            <rPr>
              <rFont val="Calibri"/>
              <sz val="10"/>
            </rPr>
            <t xml:space="preserve"> 3.5 of 12 — a starting estimate. — Start: 3.5, the role's accountability scope — what it answers for.; No survey or manager-mapping signal on criticality: kept at the start point.; Managers and heads: overwrite this rating on the Weightage sheet with the business impact you see — the score updates at once.; Ladder: A3 = A process or client deliverable depends on this work · B1 = Moves a module's, product area's or client account's results</t>
          </r>
        </is>
      </c>
      <c r="X27" s="12" t="inlineStr">
        <is>
          <r>
            <rPr>
              <rFont val="Calibri"/>
              <b val="1"/>
              <sz val="10"/>
            </rPr>
            <t>Market level:</t>
          </r>
          <r>
            <rPr>
              <rFont val="Calibri"/>
              <sz val="10"/>
            </rPr>
            <t xml:space="preserve"> P3 / M2 · SFIA 4 Enable
</t>
          </r>
          <r>
            <rPr>
              <rFont val="Calibri"/>
              <b val="1"/>
              <sz val="10"/>
            </rPr>
            <t>Typical title:</t>
          </r>
          <r>
            <rPr>
              <rFont val="Calibri"/>
              <sz val="10"/>
            </rPr>
            <t xml:space="preserve"> Senior HR Executive
</t>
          </r>
          <r>
            <rPr>
              <rFont val="Calibri"/>
              <b val="1"/>
              <sz val="10"/>
            </rPr>
            <t>At peers:</t>
          </r>
          <r>
            <rPr>
              <rFont val="Calibri"/>
              <sz val="10"/>
            </rPr>
            <t xml:space="preserve"> IRIS Vs Competitor Benchmark — HR ladder: HR Specialist / HRBP
</t>
          </r>
          <r>
            <rPr>
              <rFont val="Calibri"/>
              <b val="1"/>
              <sz val="10"/>
            </rPr>
            <t>Typical experience:</t>
          </r>
          <r>
            <rPr>
              <rFont val="Calibri"/>
              <sz val="10"/>
            </rPr>
            <t xml:space="preserve"> 4–8 yrs · IRIS guide 4–7
</t>
          </r>
          <r>
            <rPr>
              <rFont val="Calibri"/>
              <b val="1"/>
              <sz val="10"/>
            </rPr>
            <t>Standard:</t>
          </r>
          <r>
            <rPr>
              <rFont val="Calibri"/>
              <sz val="10"/>
            </rPr>
            <t xml:space="preserve"> SHRM BASK; CIPD Profession Map</t>
          </r>
        </is>
      </c>
      <c r="Y27" s="12" t="inlineStr">
        <is>
          <r>
            <rPr>
              <rFont val="Calibri"/>
              <sz val="10"/>
            </rPr>
            <t xml:space="preserve">✓ HRIS: 19.3 yrs, B.Com, 0 direct reports
✓ Survey: 16 of 20 questions answered
✗ KRAs: none on file
✓ Manager mapping: rating, 9-box
✗ Job description: not on file
</t>
          </r>
          <r>
            <rPr>
              <rFont val="Calibri"/>
              <b val="1"/>
              <sz val="10"/>
            </rPr>
            <t>Confidence:</t>
          </r>
          <r>
            <rPr>
              <rFont val="Calibri"/>
              <sz val="10"/>
            </rPr>
            <t xml:space="preserve"> Medium</t>
          </r>
        </is>
      </c>
      <c r="Z27" s="12" t="inlineStr">
        <is>
          <t>—</t>
        </is>
      </c>
      <c r="AA27" s="12" t="inlineStr">
        <is>
          <t>Nothing outstanding</t>
        </is>
      </c>
      <c r="AB27" s="12" t="inlineStr">
        <is>
          <r>
            <rPr>
              <rFont val="Calibri"/>
              <b val="1"/>
              <sz val="10"/>
            </rPr>
            <t>What the role answers for:</t>
          </r>
          <r>
            <rPr>
              <rFont val="Calibri"/>
              <sz val="10"/>
            </rPr>
            <t xml:space="preserve"> A domain or a small team.
</t>
          </r>
          <r>
            <rPr>
              <rFont val="Calibri"/>
              <b val="1"/>
              <sz val="10"/>
            </rPr>
            <t>Accountability &amp; Impact rating:</t>
          </r>
          <r>
            <rPr>
              <rFont val="Calibri"/>
              <sz val="10"/>
            </rPr>
            <t xml:space="preserve"> 3.5 of 12 · B1-level impact.
</t>
          </r>
          <r>
            <rPr>
              <rFont val="Calibri"/>
              <b val="1"/>
              <sz val="10"/>
            </rPr>
            <t>If the work is missed · role-holders' themes:</t>
          </r>
          <r>
            <rPr>
              <rFont val="Calibri"/>
              <sz val="10"/>
            </rPr>
            <t xml:space="preserve"> compliance · employee.
Manager talent mapping — Latest rating: Not rated · manager · 9-Box Grid placement: Not placed · manager.</t>
          </r>
        </is>
      </c>
      <c r="AC27" s="83" t="n"/>
      <c r="AD27" s="83" t="n"/>
      <c r="AE27" s="83" t="n"/>
      <c r="AF27" s="12" t="n">
        <v>3.5</v>
      </c>
    </row>
    <row r="28" ht="379" customHeight="1">
      <c r="A28" s="12" t="inlineStr">
        <is>
          <t>IRIS2152</t>
        </is>
      </c>
      <c r="B28" s="10" t="inlineStr">
        <is>
          <t>Nikitha Nair</t>
        </is>
      </c>
      <c r="C28" s="12" t="inlineStr">
        <is>
          <t>HR</t>
        </is>
      </c>
      <c r="D28" s="12" t="inlineStr">
        <is>
          <t>Employee Experience Specialist</t>
        </is>
      </c>
      <c r="E28" s="79" t="inlineStr">
        <is>
          <t>HR Specialist – POD Lead</t>
        </is>
      </c>
      <c r="F28" s="12" t="inlineStr">
        <is>
          <t>Human Resources</t>
        </is>
      </c>
      <c r="G28" s="12" t="inlineStr">
        <is>
          <t>HR Operations &amp; Payroll</t>
        </is>
      </c>
      <c r="H28" s="12" t="inlineStr">
        <is>
          <t>POD Lead</t>
        </is>
      </c>
      <c r="I28" s="42" t="inlineStr">
        <is>
          <t>Not in current mapping files</t>
        </is>
      </c>
      <c r="J28" s="20" t="inlineStr">
        <is>
          <t>B1</t>
        </is>
      </c>
      <c r="K28" s="21" t="inlineStr">
        <is>
          <t>Specialist · POD Lead</t>
        </is>
      </c>
      <c r="L28" s="80" t="inlineStr">
        <is>
          <t>● Newly mapped</t>
        </is>
      </c>
      <c r="M28" s="12" t="inlineStr">
        <is>
          <t>Corporate · HR · Band B · Expert / POD Lead</t>
        </is>
      </c>
      <c r="N28" s="42" t="n">
        <v>3.5</v>
      </c>
      <c r="O28" s="42" t="n">
        <v>3.5</v>
      </c>
      <c r="P28" s="42" t="n">
        <v>3.5</v>
      </c>
      <c r="Q28" s="42" t="n">
        <v>3</v>
      </c>
      <c r="R28" s="42" t="n">
        <v>4</v>
      </c>
      <c r="S28" s="81" t="n">
        <v>3.5</v>
      </c>
      <c r="T28" s="82">
        <f>IF(OR($M28="",COUNT(N28,O28,P28,Q28,R28,S28)&lt;6),"",IFERROR(N28*INDEX(WM_C,MATCH($M28,WM_KEY,0))+O28*INDEX(WM_AU,MATCH($M28,WM_KEY,0))+P28*INDEX(WM_AC,MATCH($M28,WM_KEY,0))+Q28*INDEX(WM_L,MATCH($M28,WM_KEY,0))+R28*INDEX(WM_E,MATCH($M28,WM_KEY,0))+S28*INDEX(WM_BI,MATCH($M28,WM_KEY,0)),""))</f>
        <v>3.55</v>
      </c>
      <c r="U28" s="42" t="str">
        <f>IF(T28="","",INDEX({"A1","A2","A3","B1","B2","B3","C1","C2","D1","D2","E1","E2"},MAX(1,MIN(12,ROUND(T28,0)))))</f>
        <v>B1</v>
      </c>
      <c r="V28" s="12" t="inlineStr">
        <is>
          <r>
            <rPr>
              <rFont val="Calibri"/>
              <sz val="10"/>
            </rPr>
            <t xml:space="preserve">New level B1 · Specialist · POD Lead. Current level on record: Not in current mapping files. Change: ● Newly mapped.
Score 3.55 on the ladder scale → indicated level B1.
</t>
          </r>
          <r>
            <rPr>
              <rFont val="Calibri"/>
              <b val="1"/>
              <sz val="10"/>
            </rPr>
            <t>Weights:</t>
          </r>
          <r>
            <rPr>
              <rFont val="Calibri"/>
              <sz val="10"/>
            </rPr>
            <t xml:space="preserve"> Complexity 46% · Autonomy 17% · Experience 15% · Accountability 10% · Business impact 7% · Leadership 5%
</t>
          </r>
          <r>
            <rPr>
              <rFont val="Calibri"/>
              <b val="1"/>
              <sz val="10"/>
            </rPr>
            <t>Why:</t>
          </r>
          <r>
            <rPr>
              <rFont val="Calibri"/>
              <sz val="10"/>
            </rPr>
            <t xml:space="preserve"> specialists are judged mainly on depth of expertise, then on what they decide alone, what they answer for and their impact.
</t>
          </r>
          <r>
            <rPr>
              <rFont val="Calibri"/>
              <b val="1"/>
              <sz val="10"/>
            </rPr>
            <t>Type of work in the department:</t>
          </r>
          <r>
            <rPr>
              <rFont val="Calibri"/>
              <sz val="10"/>
            </rPr>
            <t xml:space="preserve"> corporate functions rely on professional qualifications such as CA, CS or law, so Experience &amp; Qualification +5 and Complexity −5.
</t>
          </r>
          <r>
            <rPr>
              <rFont val="Calibri"/>
              <b val="1"/>
              <sz val="10"/>
            </rPr>
            <t>Live:</t>
          </r>
          <r>
            <rPr>
              <rFont val="Calibri"/>
              <sz val="10"/>
            </rPr>
            <t xml:space="preserve"> change the department's row on the Weightage Matrix and these weights, the points and the score update.
</t>
          </r>
          <r>
            <rPr>
              <rFont val="Calibri"/>
              <b val="1"/>
              <sz val="10"/>
            </rPr>
            <t>What decided the final level:</t>
          </r>
          <r>
            <rPr>
              <rFont val="Calibri"/>
              <sz val="10"/>
            </rPr>
            <t xml:space="preserve"> the score itself — no rule changed it.</t>
          </r>
        </is>
      </c>
      <c r="W28" s="12" t="inlineStr">
        <is>
          <r>
            <rPr>
              <rFont val="Calibri"/>
              <b val="1"/>
              <sz val="10"/>
            </rPr>
            <t>Complexity &amp; Expertise:</t>
          </r>
          <r>
            <rPr>
              <rFont val="Calibri"/>
              <sz val="10"/>
            </rPr>
            <t xml:space="preserve"> 3.5 of 12 · between A3 and B1 — Start: 4.0 · lead / specialist title; Evidence reads like A3: Onboarding, exits, grievance management, medical insurance, letters, performance management support → moved down 0.5
</t>
          </r>
          <r>
            <rPr>
              <rFont val="Calibri"/>
              <b val="1"/>
              <sz val="10"/>
            </rPr>
            <t>Autonomy &amp; Decision:</t>
          </r>
          <r>
            <rPr>
              <rFont val="Calibri"/>
              <sz val="10"/>
            </rPr>
            <t xml:space="preserve"> 3.5 of 12 · between A3 and B1 — Start: 4.0 · lead / specialist title; Evidence reads like A3: Decides employee connects, communications and engagement activities → moved down 0.5
</t>
          </r>
          <r>
            <rPr>
              <rFont val="Calibri"/>
              <b val="1"/>
              <sz val="10"/>
            </rPr>
            <t>Accountability &amp; Impact:</t>
          </r>
          <r>
            <rPr>
              <rFont val="Calibri"/>
              <sz val="10"/>
            </rPr>
            <t xml:space="preserve"> 3.5 of 12 · between A3 and B1 — Start: 3.8 · lead / specialist title; 1 direct report; Evidence reads like A3: Employee experience from onboarding through exit, including grievances → moved down 0.2
</t>
          </r>
          <r>
            <rPr>
              <rFont val="Calibri"/>
              <b val="1"/>
              <sz val="10"/>
            </rPr>
            <t>Leadership &amp; Strategy:</t>
          </r>
          <r>
            <rPr>
              <rFont val="Calibri"/>
              <sz val="10"/>
            </rPr>
            <t xml:space="preserve"> 3 of 12 — Start: 3.5; Evidence reads like A2: Coordinates stakeholders; no guidance of others described; 1 direct report → moved down 0.5; Team: 1 direct report · POD Lead
</t>
          </r>
          <r>
            <rPr>
              <rFont val="Calibri"/>
              <b val="1"/>
              <sz val="10"/>
            </rPr>
            <t>Experience &amp; Qualification:</t>
          </r>
          <r>
            <rPr>
              <rFont val="Calibri"/>
              <sz val="10"/>
            </rPr>
            <t xml:space="preserve"> 4 of 12 — Experience: 4.2 yrs total · 1.0 before IRIS + 3.2 at IRIS = 3.5 on the experience scale; Qualification: MBA · postgraduate, relevant to the work → +0.5
</t>
          </r>
          <r>
            <rPr>
              <rFont val="Calibri"/>
              <b val="1"/>
              <sz val="10"/>
            </rPr>
            <t>Business Impact:</t>
          </r>
          <r>
            <rPr>
              <rFont val="Calibri"/>
              <sz val="10"/>
            </rPr>
            <t xml:space="preserve"> 3.5 of 12 — a starting estimate. — Start: 3.5, the role's accountability scope — what it answers for.; No survey or manager-mapping signal on criticality: kept at the start point.; Managers and heads: overwrite this rating on the Weightage sheet with the business impact you see — the score updates at once.; Ladder: A3 = A process or client deliverable depends on this work · B1 = Moves a module's, product area's or client account's results</t>
          </r>
        </is>
      </c>
      <c r="X28" s="12" t="inlineStr">
        <is>
          <r>
            <rPr>
              <rFont val="Calibri"/>
              <b val="1"/>
              <sz val="10"/>
            </rPr>
            <t>Market level:</t>
          </r>
          <r>
            <rPr>
              <rFont val="Calibri"/>
              <sz val="10"/>
            </rPr>
            <t xml:space="preserve"> P3 / M2 · SFIA 4 Enable
</t>
          </r>
          <r>
            <rPr>
              <rFont val="Calibri"/>
              <b val="1"/>
              <sz val="10"/>
            </rPr>
            <t>Typical title:</t>
          </r>
          <r>
            <rPr>
              <rFont val="Calibri"/>
              <sz val="10"/>
            </rPr>
            <t xml:space="preserve"> Senior HR Executive
</t>
          </r>
          <r>
            <rPr>
              <rFont val="Calibri"/>
              <b val="1"/>
              <sz val="10"/>
            </rPr>
            <t>At peers:</t>
          </r>
          <r>
            <rPr>
              <rFont val="Calibri"/>
              <sz val="10"/>
            </rPr>
            <t xml:space="preserve"> IRIS Vs Competitor Benchmark — HR ladder: HR Specialist / HRBP
</t>
          </r>
          <r>
            <rPr>
              <rFont val="Calibri"/>
              <b val="1"/>
              <sz val="10"/>
            </rPr>
            <t>Typical experience:</t>
          </r>
          <r>
            <rPr>
              <rFont val="Calibri"/>
              <sz val="10"/>
            </rPr>
            <t xml:space="preserve"> 4–8 yrs · IRIS guide 4–7
</t>
          </r>
          <r>
            <rPr>
              <rFont val="Calibri"/>
              <b val="1"/>
              <sz val="10"/>
            </rPr>
            <t>Standard:</t>
          </r>
          <r>
            <rPr>
              <rFont val="Calibri"/>
              <sz val="10"/>
            </rPr>
            <t xml:space="preserve"> SHRM BASK; CIPD Profession Map</t>
          </r>
        </is>
      </c>
      <c r="Y28" s="12" t="inlineStr">
        <is>
          <r>
            <rPr>
              <rFont val="Calibri"/>
              <sz val="10"/>
            </rPr>
            <t xml:space="preserve">✓ HRIS: 4.2 yrs, MBA, 1 direct report
✓ Survey: 20 of 20 questions answered
✗ KRAs: none on file
✓ Manager mapping: rating, 9-box
✗ Job description: not on file
</t>
          </r>
          <r>
            <rPr>
              <rFont val="Calibri"/>
              <b val="1"/>
              <sz val="10"/>
            </rPr>
            <t>Confidence:</t>
          </r>
          <r>
            <rPr>
              <rFont val="Calibri"/>
              <sz val="10"/>
            </rPr>
            <t xml:space="preserve"> Medium</t>
          </r>
        </is>
      </c>
      <c r="Z28" s="12" t="inlineStr">
        <is>
          <t>—</t>
        </is>
      </c>
      <c r="AA28" s="12" t="inlineStr">
        <is>
          <t>Nothing outstanding</t>
        </is>
      </c>
      <c r="AB28" s="12" t="inlineStr">
        <is>
          <r>
            <rPr>
              <rFont val="Calibri"/>
              <b val="1"/>
              <sz val="10"/>
            </rPr>
            <t>What the role answers for:</t>
          </r>
          <r>
            <rPr>
              <rFont val="Calibri"/>
              <sz val="10"/>
            </rPr>
            <t xml:space="preserve"> A domain or a small team.
</t>
          </r>
          <r>
            <rPr>
              <rFont val="Calibri"/>
              <b val="1"/>
              <sz val="10"/>
            </rPr>
            <t>Accountability &amp; Impact rating:</t>
          </r>
          <r>
            <rPr>
              <rFont val="Calibri"/>
              <sz val="10"/>
            </rPr>
            <t xml:space="preserve"> 3.5 of 12 · B1-level impact.
Leads 1 direct report.
</t>
          </r>
          <r>
            <rPr>
              <rFont val="Calibri"/>
              <b val="1"/>
              <sz val="10"/>
            </rPr>
            <t>If the work is missed · role-holders' themes:</t>
          </r>
          <r>
            <rPr>
              <rFont val="Calibri"/>
              <sz val="10"/>
            </rPr>
            <t xml:space="preserve"> compliance · employee.
Manager talent mapping — Latest rating: Not rated · manager · 9-Box Grid placement: Not placed · manager.</t>
          </r>
        </is>
      </c>
      <c r="AC28" s="83" t="n"/>
      <c r="AD28" s="83" t="n"/>
      <c r="AE28" s="83" t="n"/>
      <c r="AF28" s="12" t="n">
        <v>3.5</v>
      </c>
    </row>
    <row r="29" ht="379" customHeight="1">
      <c r="A29" s="12" t="inlineStr">
        <is>
          <t>IRIS2402</t>
        </is>
      </c>
      <c r="B29" s="10" t="inlineStr">
        <is>
          <t>Renuka Badhoria</t>
        </is>
      </c>
      <c r="C29" s="12" t="inlineStr">
        <is>
          <t>HR</t>
        </is>
      </c>
      <c r="D29" s="12" t="inlineStr">
        <is>
          <t>Talent Acquisition Specialist</t>
        </is>
      </c>
      <c r="E29" s="79" t="inlineStr">
        <is>
          <t>Senior Talent Acquisition Executive</t>
        </is>
      </c>
      <c r="F29" s="12" t="inlineStr">
        <is>
          <t>Human Resources</t>
        </is>
      </c>
      <c r="G29" s="12" t="inlineStr">
        <is>
          <t>Talent Acquisition</t>
        </is>
      </c>
      <c r="H29" s="12" t="inlineStr">
        <is>
          <t>IC</t>
        </is>
      </c>
      <c r="I29" s="42" t="inlineStr">
        <is>
          <t>Not in current mapping files</t>
        </is>
      </c>
      <c r="J29" s="16" t="inlineStr">
        <is>
          <t>A3</t>
        </is>
      </c>
      <c r="K29" s="17" t="inlineStr">
        <is>
          <t>Senior Associate</t>
        </is>
      </c>
      <c r="L29" s="80" t="inlineStr">
        <is>
          <t>● Newly mapped</t>
        </is>
      </c>
      <c r="M29" s="12" t="inlineStr">
        <is>
          <t>Corporate · HR · Band A · Early career</t>
        </is>
      </c>
      <c r="N29" s="42" t="n">
        <v>3</v>
      </c>
      <c r="O29" s="42" t="n">
        <v>3</v>
      </c>
      <c r="P29" s="42" t="n">
        <v>3.5</v>
      </c>
      <c r="Q29" s="42" t="n">
        <v>2</v>
      </c>
      <c r="R29" s="42" t="n">
        <v>3.5</v>
      </c>
      <c r="S29" s="81" t="n">
        <v>3.5</v>
      </c>
      <c r="T29" s="82">
        <f>IF(OR($M29="",COUNT(N29,O29,P29,Q29,R29,S29)&lt;6),"",IFERROR(N29*INDEX(WM_C,MATCH($M29,WM_KEY,0))+O29*INDEX(WM_AU,MATCH($M29,WM_KEY,0))+P29*INDEX(WM_AC,MATCH($M29,WM_KEY,0))+Q29*INDEX(WM_L,MATCH($M29,WM_KEY,0))+R29*INDEX(WM_E,MATCH($M29,WM_KEY,0))+S29*INDEX(WM_BI,MATCH($M29,WM_KEY,0)),""))</f>
        <v>3.15</v>
      </c>
      <c r="U29" s="42" t="str">
        <f>IF(T29="","",INDEX({"A1","A2","A3","B1","B2","B3","C1","C2","D1","D2","E1","E2"},MAX(1,MIN(12,ROUND(T29,0)))))</f>
        <v>A3</v>
      </c>
      <c r="V29" s="12" t="inlineStr">
        <is>
          <r>
            <rPr>
              <rFont val="Calibri"/>
              <sz val="10"/>
            </rPr>
            <t xml:space="preserve">New level A3 · Senior Associate. Current level on record: Not in current mapping files. Change: ● Newly mapped.
Score 3.15 on the ladder scale → indicated level A3.
</t>
          </r>
          <r>
            <rPr>
              <rFont val="Calibri"/>
              <b val="1"/>
              <sz val="10"/>
            </rPr>
            <t>Weights:</t>
          </r>
          <r>
            <rPr>
              <rFont val="Calibri"/>
              <sz val="10"/>
            </rPr>
            <t xml:space="preserve"> Complexity 54% · Autonomy 16% · Experience 15% · Accountability 9% · Business impact 6% · Leadership 0%
</t>
          </r>
          <r>
            <rPr>
              <rFont val="Calibri"/>
              <b val="1"/>
              <sz val="10"/>
            </rPr>
            <t>Why:</t>
          </r>
          <r>
            <rPr>
              <rFont val="Calibri"/>
              <sz val="10"/>
            </rPr>
            <t xml:space="preserve"> entry and practitioner work is judged mainly on the knowledge and problem solving the work needs; leading others is not expected yet, so Leadership counts 0%.
</t>
          </r>
          <r>
            <rPr>
              <rFont val="Calibri"/>
              <b val="1"/>
              <sz val="10"/>
            </rPr>
            <t>Type of work in the department:</t>
          </r>
          <r>
            <rPr>
              <rFont val="Calibri"/>
              <sz val="10"/>
            </rPr>
            <t xml:space="preserve"> corporate functions rely on professional qualifications such as CA, CS or law, so Experience &amp; Qualification +5 and Complexity −5.
</t>
          </r>
          <r>
            <rPr>
              <rFont val="Calibri"/>
              <b val="1"/>
              <sz val="10"/>
            </rPr>
            <t>Live:</t>
          </r>
          <r>
            <rPr>
              <rFont val="Calibri"/>
              <sz val="10"/>
            </rPr>
            <t xml:space="preserve"> change the department's row on the Weightage Matrix and these weights, the points and the score update.
</t>
          </r>
          <r>
            <rPr>
              <rFont val="Calibri"/>
              <b val="1"/>
              <sz val="10"/>
            </rPr>
            <t>What decided the final level:</t>
          </r>
          <r>
            <rPr>
              <rFont val="Calibri"/>
              <sz val="10"/>
            </rPr>
            <t xml:space="preserve"> the score itself — no rule changed it.</t>
          </r>
        </is>
      </c>
      <c r="W29" s="12" t="inlineStr">
        <is>
          <r>
            <rPr>
              <rFont val="Calibri"/>
              <b val="1"/>
              <sz val="10"/>
            </rPr>
            <t>Complexity &amp; Expertise:</t>
          </r>
          <r>
            <rPr>
              <rFont val="Calibri"/>
              <sz val="10"/>
            </rPr>
            <t xml:space="preserve"> 3 of 12 — Start: 4.0 · lead / specialist title; Evidence reads like A2: End-to-end recruitment: requirement gathering, role market research, multi-channel sourcing → moved down 1
</t>
          </r>
          <r>
            <rPr>
              <rFont val="Calibri"/>
              <b val="1"/>
              <sz val="10"/>
            </rPr>
            <t>Autonomy &amp; Decision:</t>
          </r>
          <r>
            <rPr>
              <rFont val="Calibri"/>
              <sz val="10"/>
            </rPr>
            <t xml:space="preserve"> 3 of 12 — Start: 4.0 · lead / specialist title; Evidence reads like A2: Chooses sourcing channels; nothing broader stated → moved down 1
</t>
          </r>
          <r>
            <rPr>
              <rFont val="Calibri"/>
              <b val="1"/>
              <sz val="10"/>
            </rPr>
            <t>Accountability &amp; Impact:</t>
          </r>
          <r>
            <rPr>
              <rFont val="Calibri"/>
              <sz val="10"/>
            </rPr>
            <t xml:space="preserve"> 3.5 of 12 · between A3 and B1 — Start: 4.0 · lead / specialist title; Evidence reads like A3: Filling critical positions by hiring managers' deadlines; hiring numbers → moved down 0.5
</t>
          </r>
          <r>
            <rPr>
              <rFont val="Calibri"/>
              <b val="1"/>
              <sz val="10"/>
            </rPr>
            <t>Leadership &amp; Strategy:</t>
          </r>
          <r>
            <rPr>
              <rFont val="Calibri"/>
              <sz val="10"/>
            </rPr>
            <t xml:space="preserve"> 2 of 12 — not counted: the weight is 0% at this level — Start: 3.0 · individual contributor, so influence only; Evidence reads like A1: No guidance or leadership of others described → moved down 1; Team: 0 direct reports · IC
</t>
          </r>
          <r>
            <rPr>
              <rFont val="Calibri"/>
              <b val="1"/>
              <sz val="10"/>
            </rPr>
            <t>Experience &amp; Qualification:</t>
          </r>
          <r>
            <rPr>
              <rFont val="Calibri"/>
              <sz val="10"/>
            </rPr>
            <t xml:space="preserve"> 3.5 of 12 · between A3 and B1 — Experience: 3.4 yrs total · 2.2 before IRIS + 1.2 at IRIS = 3.2 on the experience scale; Qualification: MBA PGDM · postgraduate, relevant to the work → +0.5
</t>
          </r>
          <r>
            <rPr>
              <rFont val="Calibri"/>
              <b val="1"/>
              <sz val="10"/>
            </rPr>
            <t>Business Impact:</t>
          </r>
          <r>
            <rPr>
              <rFont val="Calibri"/>
              <sz val="10"/>
            </rPr>
            <t xml:space="preserve"> 3.5 of 12 — a starting estimate. — Start: 3.5, the role's accountability scope — what it answers for.; No survey or manager-mapping signal on criticality: kept at the start point.; Managers and heads: overwrite this rating on the Weightage sheet with the business impact you see — the score updates at once.; Ladder: A3 = A process or client deliverable depends on this work · B1 = Moves a module's, product area's or client account's results</t>
          </r>
        </is>
      </c>
      <c r="X29" s="12" t="inlineStr">
        <is>
          <r>
            <rPr>
              <rFont val="Calibri"/>
              <b val="1"/>
              <sz val="10"/>
            </rPr>
            <t>Market level:</t>
          </r>
          <r>
            <rPr>
              <rFont val="Calibri"/>
              <sz val="10"/>
            </rPr>
            <t xml:space="preserve"> P2 · SFIA 3 Apply
</t>
          </r>
          <r>
            <rPr>
              <rFont val="Calibri"/>
              <b val="1"/>
              <sz val="10"/>
            </rPr>
            <t>Typical title:</t>
          </r>
          <r>
            <rPr>
              <rFont val="Calibri"/>
              <sz val="10"/>
            </rPr>
            <t xml:space="preserve"> HR Executive
</t>
          </r>
          <r>
            <rPr>
              <rFont val="Calibri"/>
              <b val="1"/>
              <sz val="10"/>
            </rPr>
            <t>At peers:</t>
          </r>
          <r>
            <rPr>
              <rFont val="Calibri"/>
              <sz val="10"/>
            </rPr>
            <t xml:space="preserve"> IRIS Vs Competitor Benchmark — HR ladder: Senior HR Executive · SHRM-CP
</t>
          </r>
          <r>
            <rPr>
              <rFont val="Calibri"/>
              <b val="1"/>
              <sz val="10"/>
            </rPr>
            <t>Typical experience:</t>
          </r>
          <r>
            <rPr>
              <rFont val="Calibri"/>
              <sz val="10"/>
            </rPr>
            <t xml:space="preserve"> 2–5 yrs · IRIS guide 2–4
</t>
          </r>
          <r>
            <rPr>
              <rFont val="Calibri"/>
              <b val="1"/>
              <sz val="10"/>
            </rPr>
            <t>Standard:</t>
          </r>
          <r>
            <rPr>
              <rFont val="Calibri"/>
              <sz val="10"/>
            </rPr>
            <t xml:space="preserve"> SHRM BASK; CIPD Profession Map</t>
          </r>
        </is>
      </c>
      <c r="Y29" s="12" t="inlineStr">
        <is>
          <r>
            <rPr>
              <rFont val="Calibri"/>
              <sz val="10"/>
            </rPr>
            <t xml:space="preserve">✓ HRIS: 3.4 yrs, MBA PGDM, 0 direct reports
✓ Survey: 19 of 20 questions answered
✗ KRAs: none on file
✓ Manager mapping: rating, 9-box
✗ Job description: not on file
</t>
          </r>
          <r>
            <rPr>
              <rFont val="Calibri"/>
              <b val="1"/>
              <sz val="10"/>
            </rPr>
            <t>Confidence:</t>
          </r>
          <r>
            <rPr>
              <rFont val="Calibri"/>
              <sz val="10"/>
            </rPr>
            <t xml:space="preserve"> High</t>
          </r>
        </is>
      </c>
      <c r="Z29" s="12" t="inlineStr">
        <is>
          <t>—</t>
        </is>
      </c>
      <c r="AA29" s="12" t="inlineStr">
        <is>
          <t>Nothing outstanding</t>
        </is>
      </c>
      <c r="AB29" s="12" t="inlineStr">
        <is>
          <r>
            <rPr>
              <rFont val="Calibri"/>
              <b val="1"/>
              <sz val="10"/>
            </rPr>
            <t>What the role answers for:</t>
          </r>
          <r>
            <rPr>
              <rFont val="Calibri"/>
              <sz val="10"/>
            </rPr>
            <t xml:space="preserve"> A module / process, or work with client or regulatory consequences.
</t>
          </r>
          <r>
            <rPr>
              <rFont val="Calibri"/>
              <b val="1"/>
              <sz val="10"/>
            </rPr>
            <t>Accountability &amp; Impact rating:</t>
          </r>
          <r>
            <rPr>
              <rFont val="Calibri"/>
              <sz val="10"/>
            </rPr>
            <t xml:space="preserve"> 3.5 of 12 · B1-level impact.
</t>
          </r>
          <r>
            <rPr>
              <rFont val="Calibri"/>
              <b val="1"/>
              <sz val="10"/>
            </rPr>
            <t>If the work is missed · role-holders' themes:</t>
          </r>
          <r>
            <rPr>
              <rFont val="Calibri"/>
              <sz val="10"/>
            </rPr>
            <t xml:space="preserve"> business.
Manager talent mapping — Latest rating: Not rated · manager · 9-Box Grid placement: Not placed · manager.</t>
          </r>
        </is>
      </c>
      <c r="AC29" s="83" t="n"/>
      <c r="AD29" s="83" t="n"/>
      <c r="AE29" s="83" t="n"/>
      <c r="AF29" s="12" t="n">
        <v>3.5</v>
      </c>
    </row>
    <row r="30" ht="379" customHeight="1">
      <c r="A30" s="12" t="inlineStr">
        <is>
          <t>IRIS2245</t>
        </is>
      </c>
      <c r="B30" s="10" t="inlineStr">
        <is>
          <t>Shruti Gawas</t>
        </is>
      </c>
      <c r="C30" s="12" t="inlineStr">
        <is>
          <t>HR</t>
        </is>
      </c>
      <c r="D30" s="12" t="inlineStr">
        <is>
          <t>Senior Executive - Talent Acquisition</t>
        </is>
      </c>
      <c r="E30" s="79" t="inlineStr">
        <is>
          <t>Senior Talent Acquisition Executive</t>
        </is>
      </c>
      <c r="F30" s="12" t="inlineStr">
        <is>
          <t>Human Resources</t>
        </is>
      </c>
      <c r="G30" s="12" t="inlineStr">
        <is>
          <t>Talent Acquisition</t>
        </is>
      </c>
      <c r="H30" s="12" t="inlineStr">
        <is>
          <t>IC</t>
        </is>
      </c>
      <c r="I30" s="42" t="inlineStr">
        <is>
          <t>Not in current mapping files</t>
        </is>
      </c>
      <c r="J30" s="16" t="inlineStr">
        <is>
          <t>A3</t>
        </is>
      </c>
      <c r="K30" s="17" t="inlineStr">
        <is>
          <t>Senior Associate</t>
        </is>
      </c>
      <c r="L30" s="80" t="inlineStr">
        <is>
          <t>● Newly mapped</t>
        </is>
      </c>
      <c r="M30" s="12" t="inlineStr">
        <is>
          <t>Corporate · HR · Band A · Early career</t>
        </is>
      </c>
      <c r="N30" s="42" t="n">
        <v>3</v>
      </c>
      <c r="O30" s="42" t="n">
        <v>3</v>
      </c>
      <c r="P30" s="42" t="n">
        <v>3</v>
      </c>
      <c r="Q30" s="42" t="n">
        <v>1.5</v>
      </c>
      <c r="R30" s="42" t="n">
        <v>3.5</v>
      </c>
      <c r="S30" s="81" t="n">
        <v>3</v>
      </c>
      <c r="T30" s="82">
        <f>IF(OR($M30="",COUNT(N30,O30,P30,Q30,R30,S30)&lt;6),"",IFERROR(N30*INDEX(WM_C,MATCH($M30,WM_KEY,0))+O30*INDEX(WM_AU,MATCH($M30,WM_KEY,0))+P30*INDEX(WM_AC,MATCH($M30,WM_KEY,0))+Q30*INDEX(WM_L,MATCH($M30,WM_KEY,0))+R30*INDEX(WM_E,MATCH($M30,WM_KEY,0))+S30*INDEX(WM_BI,MATCH($M30,WM_KEY,0)),""))</f>
        <v>3.075</v>
      </c>
      <c r="U30" s="42" t="str">
        <f>IF(T30="","",INDEX({"A1","A2","A3","B1","B2","B3","C1","C2","D1","D2","E1","E2"},MAX(1,MIN(12,ROUND(T30,0)))))</f>
        <v>A3</v>
      </c>
      <c r="V30" s="12" t="inlineStr">
        <is>
          <r>
            <rPr>
              <rFont val="Calibri"/>
              <sz val="10"/>
            </rPr>
            <t xml:space="preserve">New level A3 · Senior Associate. Current level on record: Not in current mapping files. Change: ● Newly mapped.
Score 3.08 on the ladder scale → indicated level A3.
</t>
          </r>
          <r>
            <rPr>
              <rFont val="Calibri"/>
              <b val="1"/>
              <sz val="10"/>
            </rPr>
            <t>Weights:</t>
          </r>
          <r>
            <rPr>
              <rFont val="Calibri"/>
              <sz val="10"/>
            </rPr>
            <t xml:space="preserve"> Complexity 54% · Autonomy 16% · Experience 15% · Accountability 9% · Business impact 6% · Leadership 0%
</t>
          </r>
          <r>
            <rPr>
              <rFont val="Calibri"/>
              <b val="1"/>
              <sz val="10"/>
            </rPr>
            <t>Why:</t>
          </r>
          <r>
            <rPr>
              <rFont val="Calibri"/>
              <sz val="10"/>
            </rPr>
            <t xml:space="preserve"> entry and practitioner work is judged mainly on the knowledge and problem solving the work needs; leading others is not expected yet, so Leadership counts 0%.
</t>
          </r>
          <r>
            <rPr>
              <rFont val="Calibri"/>
              <b val="1"/>
              <sz val="10"/>
            </rPr>
            <t>Type of work in the department:</t>
          </r>
          <r>
            <rPr>
              <rFont val="Calibri"/>
              <sz val="10"/>
            </rPr>
            <t xml:space="preserve"> corporate functions rely on professional qualifications such as CA, CS or law, so Experience &amp; Qualification +5 and Complexity −5.
</t>
          </r>
          <r>
            <rPr>
              <rFont val="Calibri"/>
              <b val="1"/>
              <sz val="10"/>
            </rPr>
            <t>Live:</t>
          </r>
          <r>
            <rPr>
              <rFont val="Calibri"/>
              <sz val="10"/>
            </rPr>
            <t xml:space="preserve"> change the department's row on the Weightage Matrix and these weights, the points and the score update.
</t>
          </r>
          <r>
            <rPr>
              <rFont val="Calibri"/>
              <b val="1"/>
              <sz val="10"/>
            </rPr>
            <t>What decided the final level:</t>
          </r>
          <r>
            <rPr>
              <rFont val="Calibri"/>
              <sz val="10"/>
            </rPr>
            <t xml:space="preserve"> the score itself — no rule changed it.</t>
          </r>
        </is>
      </c>
      <c r="W30" s="12" t="inlineStr">
        <is>
          <r>
            <rPr>
              <rFont val="Calibri"/>
              <b val="1"/>
              <sz val="10"/>
            </rPr>
            <t>Complexity &amp; Expertise:</t>
          </r>
          <r>
            <rPr>
              <rFont val="Calibri"/>
              <sz val="10"/>
            </rPr>
            <t xml:space="preserve"> 3 of 12 — Start: 3.0 · senior practitioner title; Evidence reads like A3: End-to-end hiring including interviewing, salary negotiation, niche roles, talent market mapping → matches the start
</t>
          </r>
          <r>
            <rPr>
              <rFont val="Calibri"/>
              <b val="1"/>
              <sz val="10"/>
            </rPr>
            <t>Autonomy &amp; Decision:</t>
          </r>
          <r>
            <rPr>
              <rFont val="Calibri"/>
              <sz val="10"/>
            </rPr>
            <t xml:space="preserve"> 3 of 12 — Start: 3.0 · senior practitioner title; Evidence reads like A3: Decides sourcing and pipeline management; negotiates salaries → matches the start
</t>
          </r>
          <r>
            <rPr>
              <rFont val="Calibri"/>
              <b val="1"/>
              <sz val="10"/>
            </rPr>
            <t>Accountability &amp; Impact:</t>
          </r>
          <r>
            <rPr>
              <rFont val="Calibri"/>
              <sz val="10"/>
            </rPr>
            <t xml:space="preserve"> 3 of 12 — Start: 3.0 · senior practitioner title; Evidence reads like A3: own survey / KRA answers · summarised by the rater; not quoted → matches the start
</t>
          </r>
          <r>
            <rPr>
              <rFont val="Calibri"/>
              <b val="1"/>
              <sz val="10"/>
            </rPr>
            <t>Leadership &amp; Strategy:</t>
          </r>
          <r>
            <rPr>
              <rFont val="Calibri"/>
              <sz val="10"/>
            </rPr>
            <t xml:space="preserve"> 1.5 of 12 · between A1 and A2 — not counted: the weight is 0% at this level — Start: 2.0 · individual contributor, so influence only; Evidence reads like A1: Partners with stakeholders; no guidance of others described → moved down 0.5; Team: 0 direct reports · IC
</t>
          </r>
          <r>
            <rPr>
              <rFont val="Calibri"/>
              <b val="1"/>
              <sz val="10"/>
            </rPr>
            <t>Experience &amp; Qualification:</t>
          </r>
          <r>
            <rPr>
              <rFont val="Calibri"/>
              <sz val="10"/>
            </rPr>
            <t xml:space="preserve"> 3.5 of 12 · between A3 and B1 — Experience: 3.6 yrs total · 1.2 before IRIS + 2.4 at IRIS = 3.2 on the experience scale; Qualification: MBA · postgraduate, relevant to the work → +0.5
</t>
          </r>
          <r>
            <rPr>
              <rFont val="Calibri"/>
              <b val="1"/>
              <sz val="10"/>
            </rPr>
            <t>Business Impact:</t>
          </r>
          <r>
            <rPr>
              <rFont val="Calibri"/>
              <sz val="10"/>
            </rPr>
            <t xml:space="preserve"> 3 of 12 — a starting estimate. — Start: 3, the role's accountability scope — what it answers for.; No survey or manager-mapping signal on criticality: kept at the start point.; Managers and heads: overwrite this rating on the Weightage sheet with the business impact you see — the score updates at once.; Ladder: A3 = A process or client deliverable depends on this work</t>
          </r>
        </is>
      </c>
      <c r="X30" s="12" t="inlineStr">
        <is>
          <r>
            <rPr>
              <rFont val="Calibri"/>
              <b val="1"/>
              <sz val="10"/>
            </rPr>
            <t>Market level:</t>
          </r>
          <r>
            <rPr>
              <rFont val="Calibri"/>
              <sz val="10"/>
            </rPr>
            <t xml:space="preserve"> P2 · SFIA 3 Apply
</t>
          </r>
          <r>
            <rPr>
              <rFont val="Calibri"/>
              <b val="1"/>
              <sz val="10"/>
            </rPr>
            <t>Typical title:</t>
          </r>
          <r>
            <rPr>
              <rFont val="Calibri"/>
              <sz val="10"/>
            </rPr>
            <t xml:space="preserve"> HR Executive
</t>
          </r>
          <r>
            <rPr>
              <rFont val="Calibri"/>
              <b val="1"/>
              <sz val="10"/>
            </rPr>
            <t>At peers:</t>
          </r>
          <r>
            <rPr>
              <rFont val="Calibri"/>
              <sz val="10"/>
            </rPr>
            <t xml:space="preserve"> IRIS Vs Competitor Benchmark — HR ladder: Senior HR Executive · SHRM-CP
</t>
          </r>
          <r>
            <rPr>
              <rFont val="Calibri"/>
              <b val="1"/>
              <sz val="10"/>
            </rPr>
            <t>Typical experience:</t>
          </r>
          <r>
            <rPr>
              <rFont val="Calibri"/>
              <sz val="10"/>
            </rPr>
            <t xml:space="preserve"> 2–5 yrs · IRIS guide 2–4
</t>
          </r>
          <r>
            <rPr>
              <rFont val="Calibri"/>
              <b val="1"/>
              <sz val="10"/>
            </rPr>
            <t>Standard:</t>
          </r>
          <r>
            <rPr>
              <rFont val="Calibri"/>
              <sz val="10"/>
            </rPr>
            <t xml:space="preserve"> SHRM BASK; CIPD Profession Map</t>
          </r>
        </is>
      </c>
      <c r="Y30" s="12" t="inlineStr">
        <is>
          <r>
            <rPr>
              <rFont val="Calibri"/>
              <sz val="10"/>
            </rPr>
            <t xml:space="preserve">✓ HRIS: 3.6 yrs, MBA, 0 direct reports
✓ Survey: 19 of 20 questions answered
✗ KRAs: none on file
✓ Manager mapping: rating, 9-box
✗ Job description: not on file
</t>
          </r>
          <r>
            <rPr>
              <rFont val="Calibri"/>
              <b val="1"/>
              <sz val="10"/>
            </rPr>
            <t>Confidence:</t>
          </r>
          <r>
            <rPr>
              <rFont val="Calibri"/>
              <sz val="10"/>
            </rPr>
            <t xml:space="preserve"> High</t>
          </r>
        </is>
      </c>
      <c r="Z30" s="12" t="inlineStr">
        <is>
          <t>—</t>
        </is>
      </c>
      <c r="AA30" s="12" t="inlineStr">
        <is>
          <t>Nothing outstanding</t>
        </is>
      </c>
      <c r="AB30" s="12" t="inlineStr">
        <is>
          <r>
            <rPr>
              <rFont val="Calibri"/>
              <b val="1"/>
              <sz val="10"/>
            </rPr>
            <t>What the role answers for:</t>
          </r>
          <r>
            <rPr>
              <rFont val="Calibri"/>
              <sz val="10"/>
            </rPr>
            <t xml:space="preserve"> A module / process, or work with client or regulatory consequences.
</t>
          </r>
          <r>
            <rPr>
              <rFont val="Calibri"/>
              <b val="1"/>
              <sz val="10"/>
            </rPr>
            <t>Accountability &amp; Impact rating:</t>
          </r>
          <r>
            <rPr>
              <rFont val="Calibri"/>
              <sz val="10"/>
            </rPr>
            <t xml:space="preserve"> 3 of 12 · A3-level impact.
</t>
          </r>
          <r>
            <rPr>
              <rFont val="Calibri"/>
              <b val="1"/>
              <sz val="10"/>
            </rPr>
            <t>If the work is missed · role-holders' themes:</t>
          </r>
          <r>
            <rPr>
              <rFont val="Calibri"/>
              <sz val="10"/>
            </rPr>
            <t xml:space="preserve"> business.
Manager talent mapping — Latest rating: Not rated · manager · 9-Box Grid placement: Not placed · manager.</t>
          </r>
        </is>
      </c>
      <c r="AC30" s="83" t="n"/>
      <c r="AD30" s="83" t="n"/>
      <c r="AE30" s="83" t="n"/>
      <c r="AF30" s="12" t="n">
        <v>3</v>
      </c>
    </row>
    <row r="31" ht="379" customHeight="1">
      <c r="A31" s="12" t="inlineStr">
        <is>
          <t>IRIS2558</t>
        </is>
      </c>
      <c r="B31" s="10" t="inlineStr">
        <is>
          <t>Blossom Dsouza</t>
        </is>
      </c>
      <c r="C31" s="12" t="inlineStr">
        <is>
          <t>HR</t>
        </is>
      </c>
      <c r="D31" s="12" t="inlineStr">
        <is>
          <t>Executive -HR</t>
        </is>
      </c>
      <c r="E31" s="79" t="inlineStr">
        <is>
          <t>HR Executive</t>
        </is>
      </c>
      <c r="F31" s="12" t="inlineStr">
        <is>
          <t>Human Resources</t>
        </is>
      </c>
      <c r="G31" s="12" t="inlineStr">
        <is>
          <t>HR Operations &amp; Payroll</t>
        </is>
      </c>
      <c r="H31" s="12" t="inlineStr">
        <is>
          <t>IC</t>
        </is>
      </c>
      <c r="I31" s="42" t="inlineStr">
        <is>
          <t>Not in current mapping files</t>
        </is>
      </c>
      <c r="J31" s="16" t="inlineStr">
        <is>
          <t>A2</t>
        </is>
      </c>
      <c r="K31" s="17" t="inlineStr">
        <is>
          <t>Associate</t>
        </is>
      </c>
      <c r="L31" s="80" t="inlineStr">
        <is>
          <t>● Newly mapped</t>
        </is>
      </c>
      <c r="M31" s="12" t="inlineStr">
        <is>
          <t>Corporate · HR · Band A · Early career</t>
        </is>
      </c>
      <c r="N31" s="42" t="n">
        <v>2</v>
      </c>
      <c r="O31" s="42" t="n">
        <v>2</v>
      </c>
      <c r="P31" s="42" t="n">
        <v>2</v>
      </c>
      <c r="Q31" s="42" t="n">
        <v>1</v>
      </c>
      <c r="R31" s="42" t="n">
        <v>2</v>
      </c>
      <c r="S31" s="81" t="n">
        <v>2</v>
      </c>
      <c r="T31" s="82">
        <f>IF(OR($M31="",COUNT(N31,O31,P31,Q31,R31,S31)&lt;6),"",IFERROR(N31*INDEX(WM_C,MATCH($M31,WM_KEY,0))+O31*INDEX(WM_AU,MATCH($M31,WM_KEY,0))+P31*INDEX(WM_AC,MATCH($M31,WM_KEY,0))+Q31*INDEX(WM_L,MATCH($M31,WM_KEY,0))+R31*INDEX(WM_E,MATCH($M31,WM_KEY,0))+S31*INDEX(WM_BI,MATCH($M31,WM_KEY,0)),""))</f>
        <v>2</v>
      </c>
      <c r="U31" s="42" t="str">
        <f>IF(T31="","",INDEX({"A1","A2","A3","B1","B2","B3","C1","C2","D1","D2","E1","E2"},MAX(1,MIN(12,ROUND(T31,0)))))</f>
        <v>A2</v>
      </c>
      <c r="V31" s="12" t="inlineStr">
        <is>
          <r>
            <rPr>
              <rFont val="Calibri"/>
              <sz val="10"/>
            </rPr>
            <t xml:space="preserve">New level A2 · Associate. Current level on record: Not in current mapping files. Change: ● Newly mapped.
Score 2.00 on the ladder scale → indicated level A2.
</t>
          </r>
          <r>
            <rPr>
              <rFont val="Calibri"/>
              <b val="1"/>
              <sz val="10"/>
            </rPr>
            <t>Weights:</t>
          </r>
          <r>
            <rPr>
              <rFont val="Calibri"/>
              <sz val="10"/>
            </rPr>
            <t xml:space="preserve"> Complexity 54% · Autonomy 16% · Experience 15% · Accountability 9% · Business impact 6% · Leadership 0%
</t>
          </r>
          <r>
            <rPr>
              <rFont val="Calibri"/>
              <b val="1"/>
              <sz val="10"/>
            </rPr>
            <t>Why:</t>
          </r>
          <r>
            <rPr>
              <rFont val="Calibri"/>
              <sz val="10"/>
            </rPr>
            <t xml:space="preserve"> entry and practitioner work is judged mainly on the knowledge and problem solving the work needs; leading others is not expected yet, so Leadership counts 0%.
</t>
          </r>
          <r>
            <rPr>
              <rFont val="Calibri"/>
              <b val="1"/>
              <sz val="10"/>
            </rPr>
            <t>Type of work in the department:</t>
          </r>
          <r>
            <rPr>
              <rFont val="Calibri"/>
              <sz val="10"/>
            </rPr>
            <t xml:space="preserve"> corporate functions rely on professional qualifications such as CA, CS or law, so Experience &amp; Qualification +5 and Complexity −5.
</t>
          </r>
          <r>
            <rPr>
              <rFont val="Calibri"/>
              <b val="1"/>
              <sz val="10"/>
            </rPr>
            <t>Live:</t>
          </r>
          <r>
            <rPr>
              <rFont val="Calibri"/>
              <sz val="10"/>
            </rPr>
            <t xml:space="preserve"> change the department's row on the Weightage Matrix and these weights, the points and the score update.
</t>
          </r>
          <r>
            <rPr>
              <rFont val="Calibri"/>
              <b val="1"/>
              <sz val="10"/>
            </rPr>
            <t>What decided the final level:</t>
          </r>
          <r>
            <rPr>
              <rFont val="Calibri"/>
              <sz val="10"/>
            </rPr>
            <t xml:space="preserve"> the score itself — no rule changed it.</t>
          </r>
        </is>
      </c>
      <c r="W31" s="12" t="inlineStr">
        <is>
          <r>
            <rPr>
              <rFont val="Calibri"/>
              <b val="1"/>
              <sz val="10"/>
            </rPr>
            <t>Complexity &amp; Expertise:</t>
          </r>
          <r>
            <rPr>
              <rFont val="Calibri"/>
              <sz val="10"/>
            </rPr>
            <t xml:space="preserve"> 2 of 12 — Start: 2.0 · practitioner title; Evidence reads like A2: Onboarding, exits, BGV coordination, HR ops trackers, engagement activities → matches the start
</t>
          </r>
          <r>
            <rPr>
              <rFont val="Calibri"/>
              <b val="1"/>
              <sz val="10"/>
            </rPr>
            <t>Autonomy &amp; Decision:</t>
          </r>
          <r>
            <rPr>
              <rFont val="Calibri"/>
              <sz val="10"/>
            </rPr>
            <t xml:space="preserve"> 2 of 12 — Start: 2.0 · practitioner title; Evidence reads like A2: Decides engagement and onboarding activities; escalates when needed → matches the start
</t>
          </r>
          <r>
            <rPr>
              <rFont val="Calibri"/>
              <b val="1"/>
              <sz val="10"/>
            </rPr>
            <t>Accountability &amp; Impact:</t>
          </r>
          <r>
            <rPr>
              <rFont val="Calibri"/>
              <sz val="10"/>
            </rPr>
            <t xml:space="preserve"> 2 of 12 — Start: 2.0 · practitioner title; Evidence reads like A2: Own onboarding work: accuracy and timeliness → matches the start
</t>
          </r>
          <r>
            <rPr>
              <rFont val="Calibri"/>
              <b val="1"/>
              <sz val="10"/>
            </rPr>
            <t>Leadership &amp; Strategy:</t>
          </r>
          <r>
            <rPr>
              <rFont val="Calibri"/>
              <sz val="10"/>
            </rPr>
            <t xml:space="preserve"> 1 of 12 — not counted: the weight is 0% at this level — Start: 1.0 · individual contributor, so influence only; Evidence reads like A1: No guidance or leadership of others described → matches the start; Team: 0 direct reports · IC
</t>
          </r>
          <r>
            <rPr>
              <rFont val="Calibri"/>
              <b val="1"/>
              <sz val="10"/>
            </rPr>
            <t>Experience &amp; Qualification:</t>
          </r>
          <r>
            <rPr>
              <rFont val="Calibri"/>
              <sz val="10"/>
            </rPr>
            <t xml:space="preserve"> 2 of 12 — Experience: 0.9 yrs total · 0.8 before IRIS + 0.1 at IRIS = 1.9 on the experience scale; Qualification: Bachelors · graduate → no change
</t>
          </r>
          <r>
            <rPr>
              <rFont val="Calibri"/>
              <b val="1"/>
              <sz val="10"/>
            </rPr>
            <t>Business Impact:</t>
          </r>
          <r>
            <rPr>
              <rFont val="Calibri"/>
              <sz val="10"/>
            </rPr>
            <t xml:space="preserve"> 2 of 12 — a starting estimate. — Start: 2, the role's accountability scope — what it answers for.; No survey or manager-mapping signal on criticality: kept at the start point.; Managers and heads: overwrite this rating on the Weightage sheet with the business impact you see — the score updates at once.; Ladder: A2 = Own deliverables feed a team's output and turnaround</t>
          </r>
        </is>
      </c>
      <c r="X31" s="12" t="inlineStr">
        <is>
          <r>
            <rPr>
              <rFont val="Calibri"/>
              <b val="1"/>
              <sz val="10"/>
            </rPr>
            <t>Market level:</t>
          </r>
          <r>
            <rPr>
              <rFont val="Calibri"/>
              <sz val="10"/>
            </rPr>
            <t xml:space="preserve"> P1–P2 · SFIA 2 Assist
</t>
          </r>
          <r>
            <rPr>
              <rFont val="Calibri"/>
              <b val="1"/>
              <sz val="10"/>
            </rPr>
            <t>Typical title:</t>
          </r>
          <r>
            <rPr>
              <rFont val="Calibri"/>
              <sz val="10"/>
            </rPr>
            <t xml:space="preserve"> HR Associate / HR Executive
</t>
          </r>
          <r>
            <rPr>
              <rFont val="Calibri"/>
              <b val="1"/>
              <sz val="10"/>
            </rPr>
            <t>At peers:</t>
          </r>
          <r>
            <rPr>
              <rFont val="Calibri"/>
              <sz val="10"/>
            </rPr>
            <t xml:space="preserve"> IRIS Vs Competitor Benchmark — HR ladder: HR Executive
</t>
          </r>
          <r>
            <rPr>
              <rFont val="Calibri"/>
              <b val="1"/>
              <sz val="10"/>
            </rPr>
            <t>Typical experience:</t>
          </r>
          <r>
            <rPr>
              <rFont val="Calibri"/>
              <sz val="10"/>
            </rPr>
            <t xml:space="preserve"> 0–3 yrs · IRIS guide 0–2
</t>
          </r>
          <r>
            <rPr>
              <rFont val="Calibri"/>
              <b val="1"/>
              <sz val="10"/>
            </rPr>
            <t>Standard:</t>
          </r>
          <r>
            <rPr>
              <rFont val="Calibri"/>
              <sz val="10"/>
            </rPr>
            <t xml:space="preserve"> SHRM BASK; CIPD Profession Map</t>
          </r>
        </is>
      </c>
      <c r="Y31" s="12" t="inlineStr">
        <is>
          <r>
            <rPr>
              <rFont val="Calibri"/>
              <sz val="10"/>
            </rPr>
            <t xml:space="preserve">✓ HRIS: 0.9 yrs, Bachelors, 0 direct reports
✓ Survey: 19 of 20 questions answered
✗ KRAs: none on file
✓ Manager mapping: rating, 9-box
✗ Job description: not on file
</t>
          </r>
          <r>
            <rPr>
              <rFont val="Calibri"/>
              <b val="1"/>
              <sz val="10"/>
            </rPr>
            <t>Confidence:</t>
          </r>
          <r>
            <rPr>
              <rFont val="Calibri"/>
              <sz val="10"/>
            </rPr>
            <t xml:space="preserve"> High</t>
          </r>
        </is>
      </c>
      <c r="Z31" s="12" t="inlineStr">
        <is>
          <t>—</t>
        </is>
      </c>
      <c r="AA31" s="12" t="inlineStr">
        <is>
          <t>Nothing outstanding</t>
        </is>
      </c>
      <c r="AB31" s="12" t="inlineStr">
        <is>
          <r>
            <rPr>
              <rFont val="Calibri"/>
              <b val="1"/>
              <sz val="10"/>
            </rPr>
            <t>What the role answers for:</t>
          </r>
          <r>
            <rPr>
              <rFont val="Calibri"/>
              <sz val="10"/>
            </rPr>
            <t xml:space="preserve"> Own deliverables · accuracy, TAT.
</t>
          </r>
          <r>
            <rPr>
              <rFont val="Calibri"/>
              <b val="1"/>
              <sz val="10"/>
            </rPr>
            <t>Accountability &amp; Impact rating:</t>
          </r>
          <r>
            <rPr>
              <rFont val="Calibri"/>
              <sz val="10"/>
            </rPr>
            <t xml:space="preserve"> 2 of 12 · A2-level impact.
</t>
          </r>
          <r>
            <rPr>
              <rFont val="Calibri"/>
              <b val="1"/>
              <sz val="10"/>
            </rPr>
            <t>If the work is missed · role-holders' themes:</t>
          </r>
          <r>
            <rPr>
              <rFont val="Calibri"/>
              <sz val="10"/>
            </rPr>
            <t xml:space="preserve"> compliance · employee.
Manager talent mapping — Latest rating: Not rated · manager · 9-Box Grid placement: Not placed · manager.</t>
          </r>
        </is>
      </c>
      <c r="AC31" s="83" t="n"/>
      <c r="AD31" s="83" t="n"/>
      <c r="AE31" s="83" t="n"/>
      <c r="AF31" s="12" t="n">
        <v>2</v>
      </c>
    </row>
    <row r="32" ht="379" customHeight="1">
      <c r="A32" s="12" t="inlineStr">
        <is>
          <t>IRIS2103</t>
        </is>
      </c>
      <c r="B32" s="10" t="inlineStr">
        <is>
          <t>Mahesh Tilave</t>
        </is>
      </c>
      <c r="C32" s="12" t="inlineStr">
        <is>
          <t>IT &amp; Infrastructure</t>
        </is>
      </c>
      <c r="D32" s="12" t="inlineStr">
        <is>
          <t>Team Lead – IT Infrastructure</t>
        </is>
      </c>
      <c r="E32" s="79" t="inlineStr">
        <is>
          <t>Senior IT Manager</t>
        </is>
      </c>
      <c r="F32" s="12" t="inlineStr">
        <is>
          <t>IT &amp; Infrastructure</t>
        </is>
      </c>
      <c r="G32" s="12" t="inlineStr">
        <is>
          <t>IT Infrastructure Leadership</t>
        </is>
      </c>
      <c r="H32" s="12" t="inlineStr">
        <is>
          <t>People Manager</t>
        </is>
      </c>
      <c r="I32" s="42" t="inlineStr">
        <is>
          <t>Not in current mapping files</t>
        </is>
      </c>
      <c r="J32" s="20" t="inlineStr">
        <is>
          <t>B2</t>
        </is>
      </c>
      <c r="K32" s="21" t="inlineStr">
        <is>
          <t>Manager</t>
        </is>
      </c>
      <c r="L32" s="80" t="inlineStr">
        <is>
          <t>● Newly mapped</t>
        </is>
      </c>
      <c r="M32" s="12" t="inlineStr">
        <is>
          <t>Corporate · IT &amp; Infrastructure · Band B · People Manager</t>
        </is>
      </c>
      <c r="N32" s="42" t="n">
        <v>4</v>
      </c>
      <c r="O32" s="42" t="n">
        <v>4.5</v>
      </c>
      <c r="P32" s="42" t="n">
        <v>5.5</v>
      </c>
      <c r="Q32" s="42" t="n">
        <v>5.5</v>
      </c>
      <c r="R32" s="42" t="n">
        <v>10</v>
      </c>
      <c r="S32" s="81" t="n">
        <v>5.5</v>
      </c>
      <c r="T32" s="82">
        <f>IF(OR($M32="",COUNT(N32,O32,P32,Q32,R32,S32)&lt;6),"",IFERROR(N32*INDEX(WM_C,MATCH($M32,WM_KEY,0))+O32*INDEX(WM_AU,MATCH($M32,WM_KEY,0))+P32*INDEX(WM_AC,MATCH($M32,WM_KEY,0))+Q32*INDEX(WM_L,MATCH($M32,WM_KEY,0))+R32*INDEX(WM_E,MATCH($M32,WM_KEY,0))+S32*INDEX(WM_BI,MATCH($M32,WM_KEY,0)),""))</f>
        <v>5.14</v>
      </c>
      <c r="U32" s="42" t="str">
        <f>IF(T32="","",INDEX({"A1","A2","A3","B1","B2","B3","C1","C2","D1","D2","E1","E2"},MAX(1,MIN(12,ROUND(T32,0)))))</f>
        <v>B2</v>
      </c>
      <c r="V32" s="12" t="inlineStr">
        <is>
          <r>
            <rPr>
              <rFont val="Calibri"/>
              <sz val="10"/>
            </rPr>
            <t xml:space="preserve">New level B2 · Manager. Current level on record: Not in current mapping files. Change: ● Newly mapped.
Score 5.14 on the ladder scale → indicated level B2.
</t>
          </r>
          <r>
            <rPr>
              <rFont val="Calibri"/>
              <b val="1"/>
              <sz val="10"/>
            </rPr>
            <t>Weights:</t>
          </r>
          <r>
            <rPr>
              <rFont val="Calibri"/>
              <sz val="10"/>
            </rPr>
            <t xml:space="preserve"> Complexity 42% · Autonomy 18% · Leadership 15% · Experience 10% · Business impact 9% · Accountability 6%
</t>
          </r>
          <r>
            <rPr>
              <rFont val="Calibri"/>
              <b val="1"/>
              <sz val="10"/>
            </rPr>
            <t>Why:</t>
          </r>
          <r>
            <rPr>
              <rFont val="Calibri"/>
              <sz val="10"/>
            </rPr>
            <t xml:space="preserve"> a manager's results come through the team, so Leadership rises to 15% and Complexity falls; autonomy, accountability and impact rise.
</t>
          </r>
          <r>
            <rPr>
              <rFont val="Calibri"/>
              <b val="1"/>
              <sz val="10"/>
            </rPr>
            <t>Type of work in the department:</t>
          </r>
          <r>
            <rPr>
              <rFont val="Calibri"/>
              <sz val="10"/>
            </rPr>
            <t xml:space="preserve"> technology work is valued for technical depth, so Complexity +5 and Accountability −5.
</t>
          </r>
          <r>
            <rPr>
              <rFont val="Calibri"/>
              <b val="1"/>
              <sz val="10"/>
            </rPr>
            <t>Live:</t>
          </r>
          <r>
            <rPr>
              <rFont val="Calibri"/>
              <sz val="10"/>
            </rPr>
            <t xml:space="preserve"> change the department's row on the Weightage Matrix and these weights, the points and the score update.
</t>
          </r>
          <r>
            <rPr>
              <rFont val="Calibri"/>
              <b val="1"/>
              <sz val="10"/>
            </rPr>
            <t>What decided the final level:</t>
          </r>
          <r>
            <rPr>
              <rFont val="Calibri"/>
              <sz val="10"/>
            </rPr>
            <t xml:space="preserve"> the score itself — no rule changed it.</t>
          </r>
        </is>
      </c>
      <c r="W32" s="12" t="inlineStr">
        <is>
          <r>
            <rPr>
              <rFont val="Calibri"/>
              <b val="1"/>
              <sz val="10"/>
            </rPr>
            <t>Complexity &amp; Expertise:</t>
          </r>
          <r>
            <rPr>
              <rFont val="Calibri"/>
              <sz val="10"/>
            </rPr>
            <t xml:space="preserve"> 4 of 12 — Start: 4.0 · lead / specialist title; Evidence reads like B1: Covers infrastructure, network, security, cloud, Exchange, ISO audits, vendors and project implementation; little detail → matches the start
</t>
          </r>
          <r>
            <rPr>
              <rFont val="Calibri"/>
              <b val="1"/>
              <sz val="10"/>
            </rPr>
            <t>Autonomy &amp; Decision:</t>
          </r>
          <r>
            <rPr>
              <rFont val="Calibri"/>
              <sz val="10"/>
            </rPr>
            <t xml:space="preserve"> 4.5 of 12 · between B1 and B2 — Start: 5.0 · lead / specialist title; reporting lines show a bigger role: 7 direct reports, 13 people below, 1 of them leads a team; Evidence reads like B1: Says decides independently only 'sometimes'; handles escalations, vendors and projects for the team → moved down 0.5
</t>
          </r>
          <r>
            <rPr>
              <rFont val="Calibri"/>
              <b val="1"/>
              <sz val="10"/>
            </rPr>
            <t>Accountability &amp; Impact:</t>
          </r>
          <r>
            <rPr>
              <rFont val="Calibri"/>
              <sz val="10"/>
            </rPr>
            <t xml:space="preserve"> 5.5 of 12 · between B2 and B3 — Start: 6.0 · lead / specialist title; 7 direct reports, 13 people below, 1 of them leads a team; Evidence reads like B2: Infra uptime target of 99.99%, compliance and ISO audits, projects; team of seven → moved down 0.5
</t>
          </r>
          <r>
            <rPr>
              <rFont val="Calibri"/>
              <b val="1"/>
              <sz val="10"/>
            </rPr>
            <t>Leadership &amp; Strategy:</t>
          </r>
          <r>
            <rPr>
              <rFont val="Calibri"/>
              <sz val="10"/>
            </rPr>
            <t xml:space="preserve"> 5.5 of 12 · between B2 and B3 — Start: 6.0; Evidence reads like B2: Team management and training listed; 7 direct reports → moved down 0.5; Team: 7 direct reports · People Manager
</t>
          </r>
          <r>
            <rPr>
              <rFont val="Calibri"/>
              <b val="1"/>
              <sz val="10"/>
            </rPr>
            <t>Experience &amp; Qualification:</t>
          </r>
          <r>
            <rPr>
              <rFont val="Calibri"/>
              <sz val="10"/>
            </rPr>
            <t xml:space="preserve"> 10 of 12 — Experience: 20.6 yrs total · 17.0 before IRIS + 3.6 at IRIS = 9.9 on the experience scale; Qualification: BA · graduate → no change
</t>
          </r>
          <r>
            <rPr>
              <rFont val="Calibri"/>
              <b val="1"/>
              <sz val="10"/>
            </rPr>
            <t>Business Impact:</t>
          </r>
          <r>
            <rPr>
              <rFont val="Calibri"/>
              <sz val="10"/>
            </rPr>
            <t xml:space="preserve"> 5.5 of 12 — a starting estimate. — Start: 5.5, the role's accountability scope — what it answers for.; No survey or manager-mapping signal on criticality: kept at the start point.; Managers and heads: overwrite this rating on the Weightage sheet with the business impact you see — the score updates at once.; Ladder: B2 = Visible effect on a team's or client portfolio's revenue, quality or compliance · B3 = Shapes the results of a practice or several teams</t>
          </r>
        </is>
      </c>
      <c r="X32" s="12" t="inlineStr">
        <is>
          <r>
            <rPr>
              <rFont val="Calibri"/>
              <b val="1"/>
              <sz val="10"/>
            </rPr>
            <t>Market level:</t>
          </r>
          <r>
            <rPr>
              <rFont val="Calibri"/>
              <sz val="10"/>
            </rPr>
            <t xml:space="preserve"> P4 / M3 · SFIA 4–5
</t>
          </r>
          <r>
            <rPr>
              <rFont val="Calibri"/>
              <b val="1"/>
              <sz val="10"/>
            </rPr>
            <t>Typical title:</t>
          </r>
          <r>
            <rPr>
              <rFont val="Calibri"/>
              <sz val="10"/>
            </rPr>
            <t xml:space="preserve"> Senior Manager
</t>
          </r>
          <r>
            <rPr>
              <rFont val="Calibri"/>
              <b val="1"/>
              <sz val="10"/>
            </rPr>
            <t>At peers:</t>
          </r>
          <r>
            <rPr>
              <rFont val="Calibri"/>
              <sz val="10"/>
            </rPr>
            <t xml:space="preserve"> Atlassian company-wide P-levels – P50 Senior · IRIS Vs Competitor Benchmark — infrastructure ladder: Infrastructure Lead
</t>
          </r>
          <r>
            <rPr>
              <rFont val="Calibri"/>
              <b val="1"/>
              <sz val="10"/>
            </rPr>
            <t>Typical experience:</t>
          </r>
          <r>
            <rPr>
              <rFont val="Calibri"/>
              <sz val="10"/>
            </rPr>
            <t xml:space="preserve"> 6–10 yrs · IRIS guide 6–9
</t>
          </r>
          <r>
            <rPr>
              <rFont val="Calibri"/>
              <b val="1"/>
              <sz val="10"/>
            </rPr>
            <t>Standard:</t>
          </r>
          <r>
            <rPr>
              <rFont val="Calibri"/>
              <sz val="10"/>
            </rPr>
            <t xml:space="preserve"> ITIL 4; ISO/IEC 27001:2022</t>
          </r>
        </is>
      </c>
      <c r="Y32" s="12" t="inlineStr">
        <is>
          <r>
            <rPr>
              <rFont val="Calibri"/>
              <sz val="10"/>
            </rPr>
            <t xml:space="preserve">✓ HRIS: 20.6 yrs, BA, 7 direct reports
✓ Survey: 20 of 20 questions answered
✗ KRAs: none on file
✓ Manager mapping: rating, 9-box
✗ Job description: not on file
</t>
          </r>
          <r>
            <rPr>
              <rFont val="Calibri"/>
              <b val="1"/>
              <sz val="10"/>
            </rPr>
            <t>Confidence:</t>
          </r>
          <r>
            <rPr>
              <rFont val="Calibri"/>
              <sz val="10"/>
            </rPr>
            <t xml:space="preserve"> Medium</t>
          </r>
        </is>
      </c>
      <c r="Z32" s="12" t="inlineStr">
        <is>
          <t>—</t>
        </is>
      </c>
      <c r="AA32" s="84" t="inlineStr">
        <is>
          <t>• Confirm the reporting line — Manager</t>
        </is>
      </c>
      <c r="AB32" s="12" t="inlineStr">
        <is>
          <r>
            <rPr>
              <rFont val="Calibri"/>
              <b val="1"/>
              <sz val="10"/>
            </rPr>
            <t>What the role answers for:</t>
          </r>
          <r>
            <rPr>
              <rFont val="Calibri"/>
              <sz val="10"/>
            </rPr>
            <t xml:space="preserve"> One team or a client portfolio.
</t>
          </r>
          <r>
            <rPr>
              <rFont val="Calibri"/>
              <b val="1"/>
              <sz val="10"/>
            </rPr>
            <t>Accountability &amp; Impact rating:</t>
          </r>
          <r>
            <rPr>
              <rFont val="Calibri"/>
              <sz val="10"/>
            </rPr>
            <t xml:space="preserve"> 5.5 of 12 · B3-level impact.
Leads 7 direct reports.
Manager talent mapping — Latest rating: Not rated · manager · 9-Box Grid placement: Not placed · manager.</t>
          </r>
        </is>
      </c>
      <c r="AC32" s="83" t="n"/>
      <c r="AD32" s="83" t="n"/>
      <c r="AE32" s="83" t="n"/>
      <c r="AF32" s="12" t="n">
        <v>5.5</v>
      </c>
    </row>
    <row r="33" ht="379" customHeight="1">
      <c r="A33" s="12" t="inlineStr">
        <is>
          <t>IRIS0265</t>
        </is>
      </c>
      <c r="B33" s="10" t="inlineStr">
        <is>
          <t>Rajit Kumar Sahu</t>
        </is>
      </c>
      <c r="C33" s="12" t="inlineStr">
        <is>
          <t>IT &amp; Infrastructure</t>
        </is>
      </c>
      <c r="D33" s="12" t="inlineStr">
        <is>
          <t>System Administrator</t>
        </is>
      </c>
      <c r="E33" s="79" t="inlineStr">
        <is>
          <t>Infrastructure Specialist</t>
        </is>
      </c>
      <c r="F33" s="12" t="inlineStr">
        <is>
          <t>IT &amp; Infrastructure</t>
        </is>
      </c>
      <c r="G33" s="12" t="inlineStr">
        <is>
          <t>Infrastructure &amp; Cloud Operations</t>
        </is>
      </c>
      <c r="H33" s="12" t="inlineStr">
        <is>
          <t>IC</t>
        </is>
      </c>
      <c r="I33" s="42" t="inlineStr">
        <is>
          <t>Not in current mapping files</t>
        </is>
      </c>
      <c r="J33" s="20" t="inlineStr">
        <is>
          <t>B1</t>
        </is>
      </c>
      <c r="K33" s="21" t="inlineStr">
        <is>
          <t>Specialist</t>
        </is>
      </c>
      <c r="L33" s="80" t="inlineStr">
        <is>
          <t>● Newly mapped</t>
        </is>
      </c>
      <c r="M33" s="12" t="inlineStr">
        <is>
          <t>Corporate · IT &amp; Infrastructure · Band B · Expert / POD Lead</t>
        </is>
      </c>
      <c r="N33" s="42" t="n">
        <v>3</v>
      </c>
      <c r="O33" s="42" t="n">
        <v>3</v>
      </c>
      <c r="P33" s="42" t="n">
        <v>3</v>
      </c>
      <c r="Q33" s="42" t="n">
        <v>1.5</v>
      </c>
      <c r="R33" s="42" t="n">
        <v>9.5</v>
      </c>
      <c r="S33" s="81" t="n">
        <v>3</v>
      </c>
      <c r="T33" s="82">
        <f>IF(OR($M33="",COUNT(N33,O33,P33,Q33,R33,S33)&lt;6),"",IFERROR(N33*INDEX(WM_C,MATCH($M33,WM_KEY,0))+O33*INDEX(WM_AU,MATCH($M33,WM_KEY,0))+P33*INDEX(WM_AC,MATCH($M33,WM_KEY,0))+Q33*INDEX(WM_L,MATCH($M33,WM_KEY,0))+R33*INDEX(WM_E,MATCH($M33,WM_KEY,0))+S33*INDEX(WM_BI,MATCH($M33,WM_KEY,0)),""))</f>
        <v>3.575</v>
      </c>
      <c r="U33" s="42" t="str">
        <f>IF(T33="","",INDEX({"A1","A2","A3","B1","B2","B3","C1","C2","D1","D2","E1","E2"},MAX(1,MIN(12,ROUND(T33,0)))))</f>
        <v>B1</v>
      </c>
      <c r="V33" s="12" t="inlineStr">
        <is>
          <r>
            <rPr>
              <rFont val="Calibri"/>
              <sz val="10"/>
            </rPr>
            <t xml:space="preserve">New level B1 · Specialist. Current level on record: Not in current mapping files. Change: ● Newly mapped.
Score 3.58 on the ladder scale → indicated level B1.
</t>
          </r>
          <r>
            <rPr>
              <rFont val="Calibri"/>
              <b val="1"/>
              <sz val="10"/>
            </rPr>
            <t>Weights:</t>
          </r>
          <r>
            <rPr>
              <rFont val="Calibri"/>
              <sz val="10"/>
            </rPr>
            <t xml:space="preserve"> Complexity 56% · Autonomy 17% · Experience 10% · Business impact 7% · Accountability 5% · Leadership 5%
</t>
          </r>
          <r>
            <rPr>
              <rFont val="Calibri"/>
              <b val="1"/>
              <sz val="10"/>
            </rPr>
            <t>Why:</t>
          </r>
          <r>
            <rPr>
              <rFont val="Calibri"/>
              <sz val="10"/>
            </rPr>
            <t xml:space="preserve"> specialists are judged mainly on depth of expertise, then on what they decide alone, what they answer for and their impact.
</t>
          </r>
          <r>
            <rPr>
              <rFont val="Calibri"/>
              <b val="1"/>
              <sz val="10"/>
            </rPr>
            <t>Type of work in the department:</t>
          </r>
          <r>
            <rPr>
              <rFont val="Calibri"/>
              <sz val="10"/>
            </rPr>
            <t xml:space="preserve"> technology work is valued for technical depth, so Complexity +5 and Accountability −5.
</t>
          </r>
          <r>
            <rPr>
              <rFont val="Calibri"/>
              <b val="1"/>
              <sz val="10"/>
            </rPr>
            <t>Live:</t>
          </r>
          <r>
            <rPr>
              <rFont val="Calibri"/>
              <sz val="10"/>
            </rPr>
            <t xml:space="preserve"> change the department's row on the Weightage Matrix and these weights, the points and the score update.
</t>
          </r>
          <r>
            <rPr>
              <rFont val="Calibri"/>
              <b val="1"/>
              <sz val="10"/>
            </rPr>
            <t>What decided the final level:</t>
          </r>
          <r>
            <rPr>
              <rFont val="Calibri"/>
              <sz val="10"/>
            </rPr>
            <t xml:space="preserve"> the score itself — no rule changed it.</t>
          </r>
        </is>
      </c>
      <c r="W33" s="12" t="inlineStr">
        <is>
          <r>
            <rPr>
              <rFont val="Calibri"/>
              <b val="1"/>
              <sz val="10"/>
            </rPr>
            <t>Complexity &amp; Expertise:</t>
          </r>
          <r>
            <rPr>
              <rFont val="Calibri"/>
              <sz val="10"/>
            </rPr>
            <t xml:space="preserve"> 3 of 12 — Start: 3.0 · senior practitioner title; Evidence reads like A3: Administers Linux servers, PostgreSQL and Oracle databases and AWS, including backup, tuning, security → matches the start
</t>
          </r>
          <r>
            <rPr>
              <rFont val="Calibri"/>
              <b val="1"/>
              <sz val="10"/>
            </rPr>
            <t>Autonomy &amp; Decision:</t>
          </r>
          <r>
            <rPr>
              <rFont val="Calibri"/>
              <sz val="10"/>
            </rPr>
            <t xml:space="preserve"> 3 of 12 — Start: 3.0 · senior practitioner title; Evidence reads like A3: Independently handles routine changes, incident resolution, performance tuning, backup recovery and security remediation → matches the start
</t>
          </r>
          <r>
            <rPr>
              <rFont val="Calibri"/>
              <b val="1"/>
              <sz val="10"/>
            </rPr>
            <t>Accountability &amp; Impact:</t>
          </r>
          <r>
            <rPr>
              <rFont val="Calibri"/>
              <sz val="10"/>
            </rPr>
            <t xml:space="preserve"> 3 of 12 — Start: 3.0 · senior practitioner title; Evidence reads like A3: Availability, backup, disaster recovery and security of Linux, database and AWS systems → matches the start
</t>
          </r>
          <r>
            <rPr>
              <rFont val="Calibri"/>
              <b val="1"/>
              <sz val="10"/>
            </rPr>
            <t>Leadership &amp; Strategy:</t>
          </r>
          <r>
            <rPr>
              <rFont val="Calibri"/>
              <sz val="10"/>
            </rPr>
            <t xml:space="preserve"> 1.5 of 12 · between A1 and A2 — Start: 2.0 · individual contributor, so influence only; Evidence reads like A1: No guiding or leading of others described → moved down 0.5; Team: 0 direct reports · IC
</t>
          </r>
          <r>
            <rPr>
              <rFont val="Calibri"/>
              <b val="1"/>
              <sz val="10"/>
            </rPr>
            <t>Experience &amp; Qualification:</t>
          </r>
          <r>
            <rPr>
              <rFont val="Calibri"/>
              <sz val="10"/>
            </rPr>
            <t xml:space="preserve"> 9.5 of 12 · between D1 and D2 — Experience: 19.0 yrs total · 1.4 before IRIS + 17.6 at IRIS = 9.4 on the experience scale; Qualification: BA · graduate → no change
</t>
          </r>
          <r>
            <rPr>
              <rFont val="Calibri"/>
              <b val="1"/>
              <sz val="10"/>
            </rPr>
            <t>Business Impact:</t>
          </r>
          <r>
            <rPr>
              <rFont val="Calibri"/>
              <sz val="10"/>
            </rPr>
            <t xml:space="preserve"> 3 of 12 — a starting estimate. — Start: 3, the role's accountability scope — what it answers for.; No survey or manager-mapping signal on criticality: kept at the start point.; Managers and heads: overwrite this rating on the Weightage sheet with the business impact you see — the score updates at once.; Ladder: A3 = A process or client deliverable depends on this work</t>
          </r>
        </is>
      </c>
      <c r="X33" s="12" t="inlineStr">
        <is>
          <r>
            <rPr>
              <rFont val="Calibri"/>
              <b val="1"/>
              <sz val="10"/>
            </rPr>
            <t>Market level:</t>
          </r>
          <r>
            <rPr>
              <rFont val="Calibri"/>
              <sz val="10"/>
            </rPr>
            <t xml:space="preserve"> P3 / M2 · SFIA 4 Enable
</t>
          </r>
          <r>
            <rPr>
              <rFont val="Calibri"/>
              <b val="1"/>
              <sz val="10"/>
            </rPr>
            <t>Typical title:</t>
          </r>
          <r>
            <rPr>
              <rFont val="Calibri"/>
              <sz val="10"/>
            </rPr>
            <t xml:space="preserve"> Senior System Administrator
</t>
          </r>
          <r>
            <rPr>
              <rFont val="Calibri"/>
              <b val="1"/>
              <sz val="10"/>
            </rPr>
            <t>At peers:</t>
          </r>
          <r>
            <rPr>
              <rFont val="Calibri"/>
              <sz val="10"/>
            </rPr>
            <t xml:space="preserve"> Atlassian company-wide P-levels – P40 · IRIS Vs Competitor Benchmark — infrastructure ladder: Senior SysAdmin
</t>
          </r>
          <r>
            <rPr>
              <rFont val="Calibri"/>
              <b val="1"/>
              <sz val="10"/>
            </rPr>
            <t>Typical experience:</t>
          </r>
          <r>
            <rPr>
              <rFont val="Calibri"/>
              <sz val="10"/>
            </rPr>
            <t xml:space="preserve"> 4–8 yrs · IRIS guide 4–7
</t>
          </r>
          <r>
            <rPr>
              <rFont val="Calibri"/>
              <b val="1"/>
              <sz val="10"/>
            </rPr>
            <t>Standard:</t>
          </r>
          <r>
            <rPr>
              <rFont val="Calibri"/>
              <sz val="10"/>
            </rPr>
            <t xml:space="preserve"> ITIL 4; ISO/IEC 27001:2022</t>
          </r>
        </is>
      </c>
      <c r="Y33" s="12" t="inlineStr">
        <is>
          <r>
            <rPr>
              <rFont val="Calibri"/>
              <sz val="10"/>
            </rPr>
            <t xml:space="preserve">✓ HRIS: 19.0 yrs, BA, 0 direct reports
✓ Survey: 20 of 20 questions answered
✗ KRAs: none on file
✓ Manager mapping: rating, 9-box
✗ Job description: not on file
</t>
          </r>
          <r>
            <rPr>
              <rFont val="Calibri"/>
              <b val="1"/>
              <sz val="10"/>
            </rPr>
            <t>Confidence:</t>
          </r>
          <r>
            <rPr>
              <rFont val="Calibri"/>
              <sz val="10"/>
            </rPr>
            <t xml:space="preserve"> High</t>
          </r>
        </is>
      </c>
      <c r="Z33" s="12" t="inlineStr">
        <is>
          <t>—</t>
        </is>
      </c>
      <c r="AA33" s="12" t="inlineStr">
        <is>
          <t>Nothing outstanding</t>
        </is>
      </c>
      <c r="AB33" s="12" t="inlineStr">
        <is>
          <r>
            <rPr>
              <rFont val="Calibri"/>
              <b val="1"/>
              <sz val="10"/>
            </rPr>
            <t>What the role answers for:</t>
          </r>
          <r>
            <rPr>
              <rFont val="Calibri"/>
              <sz val="10"/>
            </rPr>
            <t xml:space="preserve"> A domain or a small team.
</t>
          </r>
          <r>
            <rPr>
              <rFont val="Calibri"/>
              <b val="1"/>
              <sz val="10"/>
            </rPr>
            <t>Accountability &amp; Impact rating:</t>
          </r>
          <r>
            <rPr>
              <rFont val="Calibri"/>
              <sz val="10"/>
            </rPr>
            <t xml:space="preserve"> 3 of 12 · A3-level impact.
</t>
          </r>
          <r>
            <rPr>
              <rFont val="Calibri"/>
              <b val="1"/>
              <sz val="10"/>
            </rPr>
            <t>If the work is missed · role-holders' themes:</t>
          </r>
          <r>
            <rPr>
              <rFont val="Calibri"/>
              <sz val="10"/>
            </rPr>
            <t xml:space="preserve"> business · data · loss · downtime.
Manager talent mapping — Latest rating: Not rated · manager · 9-Box Grid placement: Not placed · manager.</t>
          </r>
        </is>
      </c>
      <c r="AC33" s="83" t="n"/>
      <c r="AD33" s="83" t="n"/>
      <c r="AE33" s="83" t="n"/>
      <c r="AF33" s="12" t="n">
        <v>3</v>
      </c>
    </row>
    <row r="34" ht="379" customHeight="1">
      <c r="A34" s="12" t="inlineStr">
        <is>
          <t>IRIS0909</t>
        </is>
      </c>
      <c r="B34" s="10" t="inlineStr">
        <is>
          <t>Ramesh Kone</t>
        </is>
      </c>
      <c r="C34" s="12" t="inlineStr">
        <is>
          <t>IT &amp; Infrastructure</t>
        </is>
      </c>
      <c r="D34" s="12" t="inlineStr">
        <is>
          <t>System Administrator</t>
        </is>
      </c>
      <c r="E34" s="79" t="inlineStr">
        <is>
          <t>Infrastructure Specialist – POD Lead</t>
        </is>
      </c>
      <c r="F34" s="12" t="inlineStr">
        <is>
          <t>IT &amp; Infrastructure</t>
        </is>
      </c>
      <c r="G34" s="12" t="inlineStr">
        <is>
          <t>Infrastructure &amp; Cloud Operations</t>
        </is>
      </c>
      <c r="H34" s="12" t="inlineStr">
        <is>
          <t>POD Lead</t>
        </is>
      </c>
      <c r="I34" s="42" t="inlineStr">
        <is>
          <t>Not in current mapping files</t>
        </is>
      </c>
      <c r="J34" s="20" t="inlineStr">
        <is>
          <t>B1</t>
        </is>
      </c>
      <c r="K34" s="21" t="inlineStr">
        <is>
          <t>Specialist · POD Lead</t>
        </is>
      </c>
      <c r="L34" s="80" t="inlineStr">
        <is>
          <t>● Newly mapped</t>
        </is>
      </c>
      <c r="M34" s="12" t="inlineStr">
        <is>
          <t>Corporate · IT &amp; Infrastructure · Band B · Expert / POD Lead</t>
        </is>
      </c>
      <c r="N34" s="42" t="n">
        <v>3</v>
      </c>
      <c r="O34" s="42" t="n">
        <v>3</v>
      </c>
      <c r="P34" s="42" t="n">
        <v>3</v>
      </c>
      <c r="Q34" s="42" t="n">
        <v>3</v>
      </c>
      <c r="R34" s="42" t="n">
        <v>9.5</v>
      </c>
      <c r="S34" s="81" t="n">
        <v>3</v>
      </c>
      <c r="T34" s="82">
        <f>IF(OR($M34="",COUNT(N34,O34,P34,Q34,R34,S34)&lt;6),"",IFERROR(N34*INDEX(WM_C,MATCH($M34,WM_KEY,0))+O34*INDEX(WM_AU,MATCH($M34,WM_KEY,0))+P34*INDEX(WM_AC,MATCH($M34,WM_KEY,0))+Q34*INDEX(WM_L,MATCH($M34,WM_KEY,0))+R34*INDEX(WM_E,MATCH($M34,WM_KEY,0))+S34*INDEX(WM_BI,MATCH($M34,WM_KEY,0)),""))</f>
        <v>3.65</v>
      </c>
      <c r="U34" s="42" t="str">
        <f>IF(T34="","",INDEX({"A1","A2","A3","B1","B2","B3","C1","C2","D1","D2","E1","E2"},MAX(1,MIN(12,ROUND(T34,0)))))</f>
        <v>B1</v>
      </c>
      <c r="V34" s="12" t="inlineStr">
        <is>
          <r>
            <rPr>
              <rFont val="Calibri"/>
              <sz val="10"/>
            </rPr>
            <t xml:space="preserve">New level B1 · Specialist · POD Lead. Current level on record: Not in current mapping files. Change: ● Newly mapped.
Score 3.65 on the ladder scale → indicated level B1.
</t>
          </r>
          <r>
            <rPr>
              <rFont val="Calibri"/>
              <b val="1"/>
              <sz val="10"/>
            </rPr>
            <t>Weights:</t>
          </r>
          <r>
            <rPr>
              <rFont val="Calibri"/>
              <sz val="10"/>
            </rPr>
            <t xml:space="preserve"> Complexity 56% · Autonomy 17% · Experience 10% · Business impact 7% · Accountability 5% · Leadership 5%
</t>
          </r>
          <r>
            <rPr>
              <rFont val="Calibri"/>
              <b val="1"/>
              <sz val="10"/>
            </rPr>
            <t>Why:</t>
          </r>
          <r>
            <rPr>
              <rFont val="Calibri"/>
              <sz val="10"/>
            </rPr>
            <t xml:space="preserve"> specialists are judged mainly on depth of expertise, then on what they decide alone, what they answer for and their impact.
</t>
          </r>
          <r>
            <rPr>
              <rFont val="Calibri"/>
              <b val="1"/>
              <sz val="10"/>
            </rPr>
            <t>Type of work in the department:</t>
          </r>
          <r>
            <rPr>
              <rFont val="Calibri"/>
              <sz val="10"/>
            </rPr>
            <t xml:space="preserve"> technology work is valued for technical depth, so Complexity +5 and Accountability −5.
</t>
          </r>
          <r>
            <rPr>
              <rFont val="Calibri"/>
              <b val="1"/>
              <sz val="10"/>
            </rPr>
            <t>Live:</t>
          </r>
          <r>
            <rPr>
              <rFont val="Calibri"/>
              <sz val="10"/>
            </rPr>
            <t xml:space="preserve"> change the department's row on the Weightage Matrix and these weights, the points and the score update.
</t>
          </r>
          <r>
            <rPr>
              <rFont val="Calibri"/>
              <b val="1"/>
              <sz val="10"/>
            </rPr>
            <t>What decided the final level:</t>
          </r>
          <r>
            <rPr>
              <rFont val="Calibri"/>
              <sz val="10"/>
            </rPr>
            <t xml:space="preserve"> the score itself — no rule changed it.</t>
          </r>
        </is>
      </c>
      <c r="W34" s="12" t="inlineStr">
        <is>
          <r>
            <rPr>
              <rFont val="Calibri"/>
              <b val="1"/>
              <sz val="10"/>
            </rPr>
            <t>Complexity &amp; Expertise:</t>
          </r>
          <r>
            <rPr>
              <rFont val="Calibri"/>
              <sz val="10"/>
            </rPr>
            <t xml:space="preserve"> 3 of 12 — Start: 3.0 · senior practitioner title; Evidence reads like A3: Runs Sophos console, Windows patching, Exchange licences, asset inventory, procurement, vendor reports, IT budgeting → matches the start
</t>
          </r>
          <r>
            <rPr>
              <rFont val="Calibri"/>
              <b val="1"/>
              <sz val="10"/>
            </rPr>
            <t>Autonomy &amp; Decision:</t>
          </r>
          <r>
            <rPr>
              <rFont val="Calibri"/>
              <sz val="10"/>
            </rPr>
            <t xml:space="preserve"> 3 of 12 — Start: 3.0 · senior practitioner title; Evidence reads like A3: Quarantines detections, tunes exclusions, reassigns licences, sets report format and timing within policy → matches the start
</t>
          </r>
          <r>
            <rPr>
              <rFont val="Calibri"/>
              <b val="1"/>
              <sz val="10"/>
            </rPr>
            <t>Accountability &amp; Impact:</t>
          </r>
          <r>
            <rPr>
              <rFont val="Calibri"/>
              <sz val="10"/>
            </rPr>
            <t xml:space="preserve"> 3 of 12 — Start: 3.5 · senior practitioner title; 1 direct report; Evidence reads like A3: Sophos alert handling, exit ID deactivation, licence renewals and asset register accuracy; audited → moved down 0.5
</t>
          </r>
          <r>
            <rPr>
              <rFont val="Calibri"/>
              <b val="1"/>
              <sz val="10"/>
            </rPr>
            <t>Leadership &amp; Strategy:</t>
          </r>
          <r>
            <rPr>
              <rFont val="Calibri"/>
              <sz val="10"/>
            </rPr>
            <t xml:space="preserve"> 3 of 12 — Start: 3.5; Evidence reads like A2: One direct report in HR data; no guiding or leading described → moved down 0.5; Team: 1 direct report · POD Lead
</t>
          </r>
          <r>
            <rPr>
              <rFont val="Calibri"/>
              <b val="1"/>
              <sz val="10"/>
            </rPr>
            <t>Experience &amp; Qualification:</t>
          </r>
          <r>
            <rPr>
              <rFont val="Calibri"/>
              <sz val="10"/>
            </rPr>
            <t xml:space="preserve"> 9.5 of 12 · between D1 and D2 — Experience: 19.1 yrs total · 4.1 before IRIS + 15.0 at IRIS = 9.5 on the experience scale; Qualification: B.Com · graduate → no change
</t>
          </r>
          <r>
            <rPr>
              <rFont val="Calibri"/>
              <b val="1"/>
              <sz val="10"/>
            </rPr>
            <t>Business Impact:</t>
          </r>
          <r>
            <rPr>
              <rFont val="Calibri"/>
              <sz val="10"/>
            </rPr>
            <t xml:space="preserve"> 3 of 12 — a starting estimate. — Start: 3, the role's accountability scope — what it answers for.; No survey or manager-mapping signal on criticality: kept at the start point.; Managers and heads: overwrite this rating on the Weightage sheet with the business impact you see — the score updates at once.; Ladder: A3 = A process or client deliverable depends on this work</t>
          </r>
        </is>
      </c>
      <c r="X34" s="12" t="inlineStr">
        <is>
          <r>
            <rPr>
              <rFont val="Calibri"/>
              <b val="1"/>
              <sz val="10"/>
            </rPr>
            <t>Market level:</t>
          </r>
          <r>
            <rPr>
              <rFont val="Calibri"/>
              <sz val="10"/>
            </rPr>
            <t xml:space="preserve"> P3 / M2 · SFIA 4 Enable
</t>
          </r>
          <r>
            <rPr>
              <rFont val="Calibri"/>
              <b val="1"/>
              <sz val="10"/>
            </rPr>
            <t>Typical title:</t>
          </r>
          <r>
            <rPr>
              <rFont val="Calibri"/>
              <sz val="10"/>
            </rPr>
            <t xml:space="preserve"> Senior System Administrator
</t>
          </r>
          <r>
            <rPr>
              <rFont val="Calibri"/>
              <b val="1"/>
              <sz val="10"/>
            </rPr>
            <t>At peers:</t>
          </r>
          <r>
            <rPr>
              <rFont val="Calibri"/>
              <sz val="10"/>
            </rPr>
            <t xml:space="preserve"> Atlassian company-wide P-levels – P40 · IRIS Vs Competitor Benchmark — infrastructure ladder: Senior SysAdmin
</t>
          </r>
          <r>
            <rPr>
              <rFont val="Calibri"/>
              <b val="1"/>
              <sz val="10"/>
            </rPr>
            <t>Typical experience:</t>
          </r>
          <r>
            <rPr>
              <rFont val="Calibri"/>
              <sz val="10"/>
            </rPr>
            <t xml:space="preserve"> 4–8 yrs · IRIS guide 4–7
</t>
          </r>
          <r>
            <rPr>
              <rFont val="Calibri"/>
              <b val="1"/>
              <sz val="10"/>
            </rPr>
            <t>Standard:</t>
          </r>
          <r>
            <rPr>
              <rFont val="Calibri"/>
              <sz val="10"/>
            </rPr>
            <t xml:space="preserve"> ITIL 4; ISO/IEC 27001:2022</t>
          </r>
        </is>
      </c>
      <c r="Y34" s="12" t="inlineStr">
        <is>
          <r>
            <rPr>
              <rFont val="Calibri"/>
              <sz val="10"/>
            </rPr>
            <t xml:space="preserve">✓ HRIS: 19.1 yrs, B.Com, 1 direct report
✓ Survey: 20 of 20 questions answered
✗ KRAs: none on file
✓ Manager mapping: rating, 9-box
✗ Job description: not on file
</t>
          </r>
          <r>
            <rPr>
              <rFont val="Calibri"/>
              <b val="1"/>
              <sz val="10"/>
            </rPr>
            <t>Confidence:</t>
          </r>
          <r>
            <rPr>
              <rFont val="Calibri"/>
              <sz val="10"/>
            </rPr>
            <t xml:space="preserve"> High</t>
          </r>
        </is>
      </c>
      <c r="Z34" s="12" t="inlineStr">
        <is>
          <t>—</t>
        </is>
      </c>
      <c r="AA34" s="12" t="inlineStr">
        <is>
          <t>Nothing outstanding</t>
        </is>
      </c>
      <c r="AB34" s="12" t="inlineStr">
        <is>
          <r>
            <rPr>
              <rFont val="Calibri"/>
              <b val="1"/>
              <sz val="10"/>
            </rPr>
            <t>What the role answers for:</t>
          </r>
          <r>
            <rPr>
              <rFont val="Calibri"/>
              <sz val="10"/>
            </rPr>
            <t xml:space="preserve"> A domain or a small team.
</t>
          </r>
          <r>
            <rPr>
              <rFont val="Calibri"/>
              <b val="1"/>
              <sz val="10"/>
            </rPr>
            <t>Accountability &amp; Impact rating:</t>
          </r>
          <r>
            <rPr>
              <rFont val="Calibri"/>
              <sz val="10"/>
            </rPr>
            <t xml:space="preserve"> 3 of 12 · A3-level impact.
Leads 1 direct report.
</t>
          </r>
          <r>
            <rPr>
              <rFont val="Calibri"/>
              <b val="1"/>
              <sz val="10"/>
            </rPr>
            <t>If the work is missed · role-holders' themes:</t>
          </r>
          <r>
            <rPr>
              <rFont val="Calibri"/>
              <sz val="10"/>
            </rPr>
            <t xml:space="preserve"> business · data · loss · downtime.
Manager talent mapping — Latest rating: Not rated · manager · 9-Box Grid placement: Not placed · manager.</t>
          </r>
        </is>
      </c>
      <c r="AC34" s="83" t="n"/>
      <c r="AD34" s="83" t="n"/>
      <c r="AE34" s="83" t="n"/>
      <c r="AF34" s="12" t="n">
        <v>3</v>
      </c>
    </row>
    <row r="35" ht="379" customHeight="1">
      <c r="A35" s="12" t="inlineStr">
        <is>
          <t>IRIS0038</t>
        </is>
      </c>
      <c r="B35" s="10" t="inlineStr">
        <is>
          <t>Vikas Mithbawkar</t>
        </is>
      </c>
      <c r="C35" s="12" t="inlineStr">
        <is>
          <t>IT &amp; Infrastructure</t>
        </is>
      </c>
      <c r="D35" s="12" t="inlineStr">
        <is>
          <t>Senior System Administrator</t>
        </is>
      </c>
      <c r="E35" s="79" t="inlineStr">
        <is>
          <t>IT Infrastructure Manager</t>
        </is>
      </c>
      <c r="F35" s="12" t="inlineStr">
        <is>
          <t>IT &amp; Infrastructure</t>
        </is>
      </c>
      <c r="G35" s="12" t="inlineStr">
        <is>
          <t>Infrastructure &amp; Cloud Operations</t>
        </is>
      </c>
      <c r="H35" s="12" t="inlineStr">
        <is>
          <t>People Manager</t>
        </is>
      </c>
      <c r="I35" s="42" t="inlineStr">
        <is>
          <t>Not in current mapping files</t>
        </is>
      </c>
      <c r="J35" s="20" t="inlineStr">
        <is>
          <t>B1</t>
        </is>
      </c>
      <c r="K35" s="21" t="inlineStr">
        <is>
          <t>Team Lead</t>
        </is>
      </c>
      <c r="L35" s="80" t="inlineStr">
        <is>
          <t>● Newly mapped</t>
        </is>
      </c>
      <c r="M35" s="12" t="inlineStr">
        <is>
          <t>Corporate · IT &amp; Infrastructure · Band B · People Manager</t>
        </is>
      </c>
      <c r="N35" s="42" t="n">
        <v>3.5</v>
      </c>
      <c r="O35" s="42" t="n">
        <v>3.5</v>
      </c>
      <c r="P35" s="42" t="n">
        <v>4</v>
      </c>
      <c r="Q35" s="42" t="n">
        <v>4</v>
      </c>
      <c r="R35" s="42" t="n">
        <v>10.5</v>
      </c>
      <c r="S35" s="81" t="n">
        <v>4</v>
      </c>
      <c r="T35" s="82">
        <f>IF(OR($M35="",COUNT(N35,O35,P35,Q35,R35,S35)&lt;6),"",IFERROR(N35*INDEX(WM_C,MATCH($M35,WM_KEY,0))+O35*INDEX(WM_AU,MATCH($M35,WM_KEY,0))+P35*INDEX(WM_AC,MATCH($M35,WM_KEY,0))+Q35*INDEX(WM_L,MATCH($M35,WM_KEY,0))+R35*INDEX(WM_E,MATCH($M35,WM_KEY,0))+S35*INDEX(WM_BI,MATCH($M35,WM_KEY,0)),""))</f>
        <v>4.35</v>
      </c>
      <c r="U35" s="42" t="str">
        <f>IF(T35="","",INDEX({"A1","A2","A3","B1","B2","B3","C1","C2","D1","D2","E1","E2"},MAX(1,MIN(12,ROUND(T35,0)))))</f>
        <v>B1</v>
      </c>
      <c r="V35" s="12" t="inlineStr">
        <is>
          <r>
            <rPr>
              <rFont val="Calibri"/>
              <sz val="10"/>
            </rPr>
            <t xml:space="preserve">New level B1 · Team Lead. Current level on record: Not in current mapping files. Change: ● Newly mapped.
Score 4.35 on the ladder scale → indicated level B1.
</t>
          </r>
          <r>
            <rPr>
              <rFont val="Calibri"/>
              <b val="1"/>
              <sz val="10"/>
            </rPr>
            <t>Weights:</t>
          </r>
          <r>
            <rPr>
              <rFont val="Calibri"/>
              <sz val="10"/>
            </rPr>
            <t xml:space="preserve"> Complexity 42% · Autonomy 18% · Leadership 15% · Experience 10% · Business impact 9% · Accountability 6%
</t>
          </r>
          <r>
            <rPr>
              <rFont val="Calibri"/>
              <b val="1"/>
              <sz val="10"/>
            </rPr>
            <t>Why:</t>
          </r>
          <r>
            <rPr>
              <rFont val="Calibri"/>
              <sz val="10"/>
            </rPr>
            <t xml:space="preserve"> a manager's results come through the team, so Leadership rises to 15% and Complexity falls; autonomy, accountability and impact rise.
</t>
          </r>
          <r>
            <rPr>
              <rFont val="Calibri"/>
              <b val="1"/>
              <sz val="10"/>
            </rPr>
            <t>Type of work in the department:</t>
          </r>
          <r>
            <rPr>
              <rFont val="Calibri"/>
              <sz val="10"/>
            </rPr>
            <t xml:space="preserve"> technology work is valued for technical depth, so Complexity +5 and Accountability −5.
</t>
          </r>
          <r>
            <rPr>
              <rFont val="Calibri"/>
              <b val="1"/>
              <sz val="10"/>
            </rPr>
            <t>Live:</t>
          </r>
          <r>
            <rPr>
              <rFont val="Calibri"/>
              <sz val="10"/>
            </rPr>
            <t xml:space="preserve"> change the department's row on the Weightage Matrix and these weights, the points and the score update.
</t>
          </r>
          <r>
            <rPr>
              <rFont val="Calibri"/>
              <b val="1"/>
              <sz val="10"/>
            </rPr>
            <t>What decided the final level:</t>
          </r>
          <r>
            <rPr>
              <rFont val="Calibri"/>
              <sz val="10"/>
            </rPr>
            <t xml:space="preserve"> the score itself — no rule changed it.</t>
          </r>
        </is>
      </c>
      <c r="W35" s="12" t="inlineStr">
        <is>
          <r>
            <rPr>
              <rFont val="Calibri"/>
              <b val="1"/>
              <sz val="10"/>
            </rPr>
            <t>Complexity &amp; Expertise:</t>
          </r>
          <r>
            <rPr>
              <rFont val="Calibri"/>
              <sz val="10"/>
            </rPr>
            <t xml:space="preserve"> 3.5 of 12 · between A3 and B1 — Start: 3.0 · senior practitioner title; Evidence reads like B1: Runs RBI client-site website infrastructure: 24x7 support, incident resolution, SLA compliance → moved up 0.5
</t>
          </r>
          <r>
            <rPr>
              <rFont val="Calibri"/>
              <b val="1"/>
              <sz val="10"/>
            </rPr>
            <t>Autonomy &amp; Decision:</t>
          </r>
          <r>
            <rPr>
              <rFont val="Calibri"/>
              <sz val="10"/>
            </rPr>
            <t xml:space="preserve"> 3.5 of 12 · between A3 and B1 — Start: 3.0 · senior practitioner title; Evidence reads like B1: Decides team incident management for the 24x7 support team → moved up 0.5
</t>
          </r>
          <r>
            <rPr>
              <rFont val="Calibri"/>
              <b val="1"/>
              <sz val="10"/>
            </rPr>
            <t>Accountability &amp; Impact:</t>
          </r>
          <r>
            <rPr>
              <rFont val="Calibri"/>
              <sz val="10"/>
            </rPr>
            <t xml:space="preserve"> 4 of 12 — Start: 4.0 · senior practitioner title; 5 direct reports; Evidence reads like B1: RBI website availability, SLA delivery and performance of a five-person team → matches the start
</t>
          </r>
          <r>
            <rPr>
              <rFont val="Calibri"/>
              <b val="1"/>
              <sz val="10"/>
            </rPr>
            <t>Leadership &amp; Strategy:</t>
          </r>
          <r>
            <rPr>
              <rFont val="Calibri"/>
              <sz val="10"/>
            </rPr>
            <t xml:space="preserve"> 4 of 12 — Start: 4.0; Evidence reads like B1: Leads the client-side website infrastructure team; 5 direct reports → matches the start; Team: 5 direct reports · People Manager
</t>
          </r>
          <r>
            <rPr>
              <rFont val="Calibri"/>
              <b val="1"/>
              <sz val="10"/>
            </rPr>
            <t>Experience &amp; Qualification:</t>
          </r>
          <r>
            <rPr>
              <rFont val="Calibri"/>
              <sz val="10"/>
            </rPr>
            <t xml:space="preserve"> 10.5 of 12 · between D2 and E1 — Experience: 22.3 yrs total · 2.0 before IRIS + 20.3 at IRIS = 10.4 on the experience scale; Qualification: B.SC · graduate, relevant to the work → no change
</t>
          </r>
          <r>
            <rPr>
              <rFont val="Calibri"/>
              <b val="1"/>
              <sz val="10"/>
            </rPr>
            <t>Business Impact:</t>
          </r>
          <r>
            <rPr>
              <rFont val="Calibri"/>
              <sz val="10"/>
            </rPr>
            <t xml:space="preserve"> 4 of 12 — a starting estimate. — Start: 4, the role's accountability scope — what it answers for.; No survey or manager-mapping signal on criticality: kept at the start point.; Managers and heads: overwrite this rating on the Weightage sheet with the business impact you see — the score updates at once.; Ladder: B1 = Moves a module's, product area's or client account's results</t>
          </r>
        </is>
      </c>
      <c r="X35" s="12" t="inlineStr">
        <is>
          <r>
            <rPr>
              <rFont val="Calibri"/>
              <b val="1"/>
              <sz val="10"/>
            </rPr>
            <t>Market level:</t>
          </r>
          <r>
            <rPr>
              <rFont val="Calibri"/>
              <sz val="10"/>
            </rPr>
            <t xml:space="preserve"> P3 / M2 · SFIA 4 Enable
</t>
          </r>
          <r>
            <rPr>
              <rFont val="Calibri"/>
              <b val="1"/>
              <sz val="10"/>
            </rPr>
            <t>Typical title:</t>
          </r>
          <r>
            <rPr>
              <rFont val="Calibri"/>
              <sz val="10"/>
            </rPr>
            <t xml:space="preserve"> Manager
</t>
          </r>
          <r>
            <rPr>
              <rFont val="Calibri"/>
              <b val="1"/>
              <sz val="10"/>
            </rPr>
            <t>At peers:</t>
          </r>
          <r>
            <rPr>
              <rFont val="Calibri"/>
              <sz val="10"/>
            </rPr>
            <t xml:space="preserve"> Atlassian company-wide P-levels – P40 · IRIS Vs Competitor Benchmark — infrastructure ladder: Senior SysAdmin
</t>
          </r>
          <r>
            <rPr>
              <rFont val="Calibri"/>
              <b val="1"/>
              <sz val="10"/>
            </rPr>
            <t>Typical experience:</t>
          </r>
          <r>
            <rPr>
              <rFont val="Calibri"/>
              <sz val="10"/>
            </rPr>
            <t xml:space="preserve"> 4–8 yrs · IRIS guide 4–7
</t>
          </r>
          <r>
            <rPr>
              <rFont val="Calibri"/>
              <b val="1"/>
              <sz val="10"/>
            </rPr>
            <t>Standard:</t>
          </r>
          <r>
            <rPr>
              <rFont val="Calibri"/>
              <sz val="10"/>
            </rPr>
            <t xml:space="preserve"> ITIL 4; ISO/IEC 27001:2022</t>
          </r>
        </is>
      </c>
      <c r="Y35" s="12" t="inlineStr">
        <is>
          <r>
            <rPr>
              <rFont val="Calibri"/>
              <sz val="10"/>
            </rPr>
            <t xml:space="preserve">✓ HRIS: 22.3 yrs, B.SC, 5 direct reports
✓ Survey: 20 of 20 questions answered
✗ KRAs: none on file
✓ Manager mapping: rating, 9-box
✗ Job description: not on file
</t>
          </r>
          <r>
            <rPr>
              <rFont val="Calibri"/>
              <b val="1"/>
              <sz val="10"/>
            </rPr>
            <t>Confidence:</t>
          </r>
          <r>
            <rPr>
              <rFont val="Calibri"/>
              <sz val="10"/>
            </rPr>
            <t xml:space="preserve"> Medium</t>
          </r>
        </is>
      </c>
      <c r="Z35" s="86" t="inlineStr">
        <is>
          <r>
            <rPr>
              <rFont val="Calibri"/>
              <color rgb="009C5700"/>
              <sz val="10"/>
            </rPr>
            <t xml:space="preserve">• </t>
          </r>
          <r>
            <rPr>
              <rFont val="Calibri"/>
              <b val="1"/>
              <color rgb="009C5700"/>
              <sz val="10"/>
            </rPr>
            <t>Title check:</t>
          </r>
          <r>
            <rPr>
              <rFont val="Calibri"/>
              <color rgb="009C5700"/>
              <sz val="10"/>
            </rPr>
            <t xml:space="preserve"> Check title against ladder</t>
          </r>
        </is>
      </c>
      <c r="AA35" s="12" t="inlineStr">
        <is>
          <t>Nothing outstanding</t>
        </is>
      </c>
      <c r="AB35" s="12" t="inlineStr">
        <is>
          <r>
            <rPr>
              <rFont val="Calibri"/>
              <b val="1"/>
              <sz val="10"/>
            </rPr>
            <t>What the role answers for:</t>
          </r>
          <r>
            <rPr>
              <rFont val="Calibri"/>
              <sz val="10"/>
            </rPr>
            <t xml:space="preserve"> A domain or a small team.
</t>
          </r>
          <r>
            <rPr>
              <rFont val="Calibri"/>
              <b val="1"/>
              <sz val="10"/>
            </rPr>
            <t>Accountability &amp; Impact rating:</t>
          </r>
          <r>
            <rPr>
              <rFont val="Calibri"/>
              <sz val="10"/>
            </rPr>
            <t xml:space="preserve"> 4 of 12 · B1-level impact.
Leads 5 direct reports.
</t>
          </r>
          <r>
            <rPr>
              <rFont val="Calibri"/>
              <b val="1"/>
              <sz val="10"/>
            </rPr>
            <t>If the work is missed · role-holders' themes:</t>
          </r>
          <r>
            <rPr>
              <rFont val="Calibri"/>
              <sz val="10"/>
            </rPr>
            <t xml:space="preserve"> business · data · loss · downtime.
Manager talent mapping — Latest rating: Not rated · manager · 9-Box Grid placement: Not placed · manager.</t>
          </r>
        </is>
      </c>
      <c r="AC35" s="83" t="n"/>
      <c r="AD35" s="83" t="n"/>
      <c r="AE35" s="83" t="n"/>
      <c r="AF35" s="12" t="n">
        <v>4</v>
      </c>
    </row>
    <row r="36" ht="379" customHeight="1">
      <c r="A36" s="12" t="inlineStr">
        <is>
          <t>IRIS2099</t>
        </is>
      </c>
      <c r="B36" s="10" t="inlineStr">
        <is>
          <t>Parthiban Thangaraj</t>
        </is>
      </c>
      <c r="C36" s="12" t="inlineStr">
        <is>
          <t>IT &amp; Infrastructure</t>
        </is>
      </c>
      <c r="D36" s="12" t="inlineStr">
        <is>
          <t>Senior Software Engineer</t>
        </is>
      </c>
      <c r="E36" s="79" t="inlineStr">
        <is>
          <t>Senior DevOps Engineer</t>
        </is>
      </c>
      <c r="F36" s="12" t="inlineStr">
        <is>
          <t>Engineering &amp; Development</t>
        </is>
      </c>
      <c r="G36" s="12" t="inlineStr">
        <is>
          <t>DevOps &amp; Release Engineering</t>
        </is>
      </c>
      <c r="H36" s="12" t="inlineStr">
        <is>
          <t>IC</t>
        </is>
      </c>
      <c r="I36" s="42" t="inlineStr">
        <is>
          <t>Not in current mapping files</t>
        </is>
      </c>
      <c r="J36" s="16" t="inlineStr">
        <is>
          <t>A3</t>
        </is>
      </c>
      <c r="K36" s="17" t="inlineStr">
        <is>
          <t>Senior Associate</t>
        </is>
      </c>
      <c r="L36" s="80" t="inlineStr">
        <is>
          <t>● Newly mapped</t>
        </is>
      </c>
      <c r="M36" s="12" t="inlineStr">
        <is>
          <t>Corporate · IT &amp; Infrastructure · Band A · Early career</t>
        </is>
      </c>
      <c r="N36" s="42" t="n">
        <v>2.5</v>
      </c>
      <c r="O36" s="42" t="n">
        <v>2.5</v>
      </c>
      <c r="P36" s="42" t="n">
        <v>2.5</v>
      </c>
      <c r="Q36" s="42" t="n">
        <v>1.5</v>
      </c>
      <c r="R36" s="42" t="n">
        <v>6</v>
      </c>
      <c r="S36" s="81" t="n">
        <v>2.5</v>
      </c>
      <c r="T36" s="82">
        <f>IF(OR($M36="",COUNT(N36,O36,P36,Q36,R36,S36)&lt;6),"",IFERROR(N36*INDEX(WM_C,MATCH($M36,WM_KEY,0))+O36*INDEX(WM_AU,MATCH($M36,WM_KEY,0))+P36*INDEX(WM_AC,MATCH($M36,WM_KEY,0))+Q36*INDEX(WM_L,MATCH($M36,WM_KEY,0))+R36*INDEX(WM_E,MATCH($M36,WM_KEY,0))+S36*INDEX(WM_BI,MATCH($M36,WM_KEY,0)),""))</f>
        <v>2.85</v>
      </c>
      <c r="U36" s="42" t="str">
        <f>IF(T36="","",INDEX({"A1","A2","A3","B1","B2","B3","C1","C2","D1","D2","E1","E2"},MAX(1,MIN(12,ROUND(T36,0)))))</f>
        <v>A3</v>
      </c>
      <c r="V36" s="12" t="inlineStr">
        <is>
          <r>
            <rPr>
              <rFont val="Calibri"/>
              <sz val="10"/>
            </rPr>
            <t xml:space="preserve">New level A3 · Senior Associate. Current level on record: Not in current mapping files. Change: ● Newly mapped.
Score 2.85 on the ladder scale → indicated level A3.
</t>
          </r>
          <r>
            <rPr>
              <rFont val="Calibri"/>
              <b val="1"/>
              <sz val="10"/>
            </rPr>
            <t>Weights:</t>
          </r>
          <r>
            <rPr>
              <rFont val="Calibri"/>
              <sz val="10"/>
            </rPr>
            <t xml:space="preserve"> Complexity 64% · Autonomy 16% · Experience 10% · Business impact 6% · Accountability 4% · Leadership 0%
</t>
          </r>
          <r>
            <rPr>
              <rFont val="Calibri"/>
              <b val="1"/>
              <sz val="10"/>
            </rPr>
            <t>Why:</t>
          </r>
          <r>
            <rPr>
              <rFont val="Calibri"/>
              <sz val="10"/>
            </rPr>
            <t xml:space="preserve"> entry and practitioner work is judged mainly on the knowledge and problem solving the work needs; leading others is not expected yet, so Leadership counts 0%.
</t>
          </r>
          <r>
            <rPr>
              <rFont val="Calibri"/>
              <b val="1"/>
              <sz val="10"/>
            </rPr>
            <t>Type of work in the department:</t>
          </r>
          <r>
            <rPr>
              <rFont val="Calibri"/>
              <sz val="10"/>
            </rPr>
            <t xml:space="preserve"> technology work is valued for technical depth, so Complexity +5 and Accountability −5.
</t>
          </r>
          <r>
            <rPr>
              <rFont val="Calibri"/>
              <b val="1"/>
              <sz val="10"/>
            </rPr>
            <t>Live:</t>
          </r>
          <r>
            <rPr>
              <rFont val="Calibri"/>
              <sz val="10"/>
            </rPr>
            <t xml:space="preserve"> change the department's row on the Weightage Matrix and these weights, the points and the score update.
</t>
          </r>
          <r>
            <rPr>
              <rFont val="Calibri"/>
              <b val="1"/>
              <sz val="10"/>
            </rPr>
            <t>What decided the final level:</t>
          </r>
          <r>
            <rPr>
              <rFont val="Calibri"/>
              <sz val="10"/>
            </rPr>
            <t xml:space="preserve"> the score itself — no rule changed it.</t>
          </r>
        </is>
      </c>
      <c r="W36" s="12" t="inlineStr">
        <is>
          <r>
            <rPr>
              <rFont val="Calibri"/>
              <b val="1"/>
              <sz val="10"/>
            </rPr>
            <t>Complexity &amp; Expertise:</t>
          </r>
          <r>
            <rPr>
              <rFont val="Calibri"/>
              <sz val="10"/>
            </rPr>
            <t xml:space="preserve"> 2.5 of 12 · between A2 and A3 — Start: 3.0 · senior practitioner title; Evidence reads like A2: Creates AWS resources, manages access, migrates source code to Git; DevOps support tasks → moved down 0.5
</t>
          </r>
          <r>
            <rPr>
              <rFont val="Calibri"/>
              <b val="1"/>
              <sz val="10"/>
            </rPr>
            <t>Autonomy &amp; Decision:</t>
          </r>
          <r>
            <rPr>
              <rFont val="Calibri"/>
              <sz val="10"/>
            </rPr>
            <t xml:space="preserve"> 2.5 of 12 · between A2 and A3 — Start: 3.0 · senior practitioner title; Evidence reads like A2: Lists AWS resources, code migration and DevOps tasks; no calls beyond own routine work → moved down 0.5
</t>
          </r>
          <r>
            <rPr>
              <rFont val="Calibri"/>
              <b val="1"/>
              <sz val="10"/>
            </rPr>
            <t>Accountability &amp; Impact:</t>
          </r>
          <r>
            <rPr>
              <rFont val="Calibri"/>
              <sz val="10"/>
            </rPr>
            <t xml:space="preserve"> 2.5 of 12 · between A2 and A3 — Start: 3.0 · senior practitioner title; Evidence reads like A2: Answers for AWS resource creation, access and code migration; errors block developers' access → moved down 0.5
</t>
          </r>
          <r>
            <rPr>
              <rFont val="Calibri"/>
              <b val="1"/>
              <sz val="10"/>
            </rPr>
            <t>Leadership &amp; Strategy:</t>
          </r>
          <r>
            <rPr>
              <rFont val="Calibri"/>
              <sz val="10"/>
            </rPr>
            <t xml:space="preserve"> 1.5 of 12 · between A1 and A2 — not counted: the weight is 0% at this level — Start: 2.0 · individual contributor, so influence only; Evidence reads like A1: No guiding or leading of others described → moved down 0.5; Team: 0 direct reports · IC
</t>
          </r>
          <r>
            <rPr>
              <rFont val="Calibri"/>
              <b val="1"/>
              <sz val="10"/>
            </rPr>
            <t>Experience &amp; Qualification:</t>
          </r>
          <r>
            <rPr>
              <rFont val="Calibri"/>
              <sz val="10"/>
            </rPr>
            <t xml:space="preserve"> 6 of 12 — Experience: 9.8 yrs total · 6.2 before IRIS + 3.6 at IRIS = 5.9 on the experience scale; Qualification: B.Tech · graduate, relevant to the work → no change
</t>
          </r>
          <r>
            <rPr>
              <rFont val="Calibri"/>
              <b val="1"/>
              <sz val="10"/>
            </rPr>
            <t>Business Impact:</t>
          </r>
          <r>
            <rPr>
              <rFont val="Calibri"/>
              <sz val="10"/>
            </rPr>
            <t xml:space="preserve"> 2.5 of 12 — a starting estimate. — Start: 2.5, the role's accountability scope — what it answers for.; No survey or manager-mapping signal on criticality: kept at the start point.; Managers and heads: overwrite this rating on the Weightage sheet with the business impact you see — the score updates at once.; Ladder: A2 = Own deliverables feed a team's output and turnaround · A3 = A process or client deliverable depends on this work</t>
          </r>
        </is>
      </c>
      <c r="X36" s="12" t="inlineStr">
        <is>
          <r>
            <rPr>
              <rFont val="Calibri"/>
              <b val="1"/>
              <sz val="10"/>
            </rPr>
            <t>Market level:</t>
          </r>
          <r>
            <rPr>
              <rFont val="Calibri"/>
              <sz val="10"/>
            </rPr>
            <t xml:space="preserve"> P2 · SFIA 3 Apply
</t>
          </r>
          <r>
            <rPr>
              <rFont val="Calibri"/>
              <b val="1"/>
              <sz val="10"/>
            </rPr>
            <t>Typical title:</t>
          </r>
          <r>
            <rPr>
              <rFont val="Calibri"/>
              <sz val="10"/>
            </rPr>
            <t xml:space="preserve"> Software Engineer
</t>
          </r>
          <r>
            <rPr>
              <rFont val="Calibri"/>
              <b val="1"/>
              <sz val="10"/>
            </rPr>
            <t>At peers:</t>
          </r>
          <r>
            <rPr>
              <rFont val="Calibri"/>
              <sz val="10"/>
            </rPr>
            <t xml:space="preserve"> Workiva – SE · Broadridge India – SE · Nasdaq / AxiomSL – SE
</t>
          </r>
          <r>
            <rPr>
              <rFont val="Calibri"/>
              <b val="1"/>
              <sz val="10"/>
            </rPr>
            <t>Typical experience:</t>
          </r>
          <r>
            <rPr>
              <rFont val="Calibri"/>
              <sz val="10"/>
            </rPr>
            <t xml:space="preserve"> 2–5 yrs · IRIS guide 2–4
</t>
          </r>
          <r>
            <rPr>
              <rFont val="Calibri"/>
              <b val="1"/>
              <sz val="10"/>
            </rPr>
            <t>Standard:</t>
          </r>
          <r>
            <rPr>
              <rFont val="Calibri"/>
              <sz val="10"/>
            </rPr>
            <t xml:space="preserve"> SFIA 9; OWASP secure coding</t>
          </r>
        </is>
      </c>
      <c r="Y36" s="12" t="inlineStr">
        <is>
          <r>
            <rPr>
              <rFont val="Calibri"/>
              <sz val="10"/>
            </rPr>
            <t xml:space="preserve">✓ HRIS: 9.8 yrs, B.Tech, 0 direct reports
✓ Survey: 20 of 20 questions answered
✗ KRAs: none on file
✓ Manager mapping: rating, 9-box
✗ Job description: not on file
</t>
          </r>
          <r>
            <rPr>
              <rFont val="Calibri"/>
              <b val="1"/>
              <sz val="10"/>
            </rPr>
            <t>Confidence:</t>
          </r>
          <r>
            <rPr>
              <rFont val="Calibri"/>
              <sz val="10"/>
            </rPr>
            <t xml:space="preserve"> Medium</t>
          </r>
        </is>
      </c>
      <c r="Z36" s="12" t="inlineStr">
        <is>
          <t>—</t>
        </is>
      </c>
      <c r="AA36" s="12" t="inlineStr">
        <is>
          <t>Nothing outstanding</t>
        </is>
      </c>
      <c r="AB36" s="12" t="inlineStr">
        <is>
          <r>
            <rPr>
              <rFont val="Calibri"/>
              <b val="1"/>
              <sz val="10"/>
            </rPr>
            <t>What the role answers for:</t>
          </r>
          <r>
            <rPr>
              <rFont val="Calibri"/>
              <sz val="10"/>
            </rPr>
            <t xml:space="preserve"> A module / process, or work with client or regulatory consequences.
</t>
          </r>
          <r>
            <rPr>
              <rFont val="Calibri"/>
              <b val="1"/>
              <sz val="10"/>
            </rPr>
            <t>Accountability &amp; Impact rating:</t>
          </r>
          <r>
            <rPr>
              <rFont val="Calibri"/>
              <sz val="10"/>
            </rPr>
            <t xml:space="preserve"> 2.5 of 12 · A2-level impact.
</t>
          </r>
          <r>
            <rPr>
              <rFont val="Calibri"/>
              <b val="1"/>
              <sz val="10"/>
            </rPr>
            <t>If the work is missed · role-holders' themes:</t>
          </r>
          <r>
            <rPr>
              <rFont val="Calibri"/>
              <sz val="10"/>
            </rPr>
            <t xml:space="preserve"> level.
Manager talent mapping — Latest rating: Not rated · manager · 9-Box Grid placement: Not placed · manager.</t>
          </r>
        </is>
      </c>
      <c r="AC36" s="83" t="n"/>
      <c r="AD36" s="83" t="n"/>
      <c r="AE36" s="83" t="n"/>
      <c r="AF36" s="12" t="n">
        <v>2.5</v>
      </c>
    </row>
    <row r="37" ht="379" customHeight="1">
      <c r="A37" s="12" t="inlineStr">
        <is>
          <t>IRIS2468</t>
        </is>
      </c>
      <c r="B37" s="10" t="inlineStr">
        <is>
          <t>Amit Gangaram Kamble</t>
        </is>
      </c>
      <c r="C37" s="12" t="inlineStr">
        <is>
          <t>IT &amp; Infrastructure</t>
        </is>
      </c>
      <c r="D37" s="12" t="inlineStr">
        <is>
          <t>Windows Server Administrator L1</t>
        </is>
      </c>
      <c r="E37" s="79" t="inlineStr">
        <is>
          <t>Senior System Administrator</t>
        </is>
      </c>
      <c r="F37" s="12" t="inlineStr">
        <is>
          <t>IT &amp; Infrastructure</t>
        </is>
      </c>
      <c r="G37" s="12" t="inlineStr">
        <is>
          <t>Infrastructure &amp; Cloud Operations</t>
        </is>
      </c>
      <c r="H37" s="12" t="inlineStr">
        <is>
          <t>IC</t>
        </is>
      </c>
      <c r="I37" s="42" t="inlineStr">
        <is>
          <t>Not in current mapping files</t>
        </is>
      </c>
      <c r="J37" s="16" t="inlineStr">
        <is>
          <t>A3</t>
        </is>
      </c>
      <c r="K37" s="17" t="inlineStr">
        <is>
          <t>Senior Associate</t>
        </is>
      </c>
      <c r="L37" s="80" t="inlineStr">
        <is>
          <t>● Newly mapped</t>
        </is>
      </c>
      <c r="M37" s="12" t="inlineStr">
        <is>
          <t>Corporate · IT &amp; Infrastructure · Band A · Early career</t>
        </is>
      </c>
      <c r="N37" s="42" t="n">
        <v>2</v>
      </c>
      <c r="O37" s="42" t="n">
        <v>2</v>
      </c>
      <c r="P37" s="42" t="n">
        <v>2</v>
      </c>
      <c r="Q37" s="42" t="n">
        <v>1</v>
      </c>
      <c r="R37" s="42" t="n">
        <v>3</v>
      </c>
      <c r="S37" s="81" t="n">
        <v>2</v>
      </c>
      <c r="T37" s="82">
        <f>IF(OR($M37="",COUNT(N37,O37,P37,Q37,R37,S37)&lt;6),"",IFERROR(N37*INDEX(WM_C,MATCH($M37,WM_KEY,0))+O37*INDEX(WM_AU,MATCH($M37,WM_KEY,0))+P37*INDEX(WM_AC,MATCH($M37,WM_KEY,0))+Q37*INDEX(WM_L,MATCH($M37,WM_KEY,0))+R37*INDEX(WM_E,MATCH($M37,WM_KEY,0))+S37*INDEX(WM_BI,MATCH($M37,WM_KEY,0)),""))</f>
        <v>2.1</v>
      </c>
      <c r="U37" s="42" t="str">
        <f>IF(T37="","",INDEX({"A1","A2","A3","B1","B2","B3","C1","C2","D1","D2","E1","E2"},MAX(1,MIN(12,ROUND(T37,0)))))</f>
        <v>A2</v>
      </c>
      <c r="V37" s="12" t="inlineStr">
        <is>
          <r>
            <rPr>
              <rFont val="Calibri"/>
              <sz val="10"/>
            </rPr>
            <t xml:space="preserve">New level A3 · Senior Associate. Current level on record: Not in current mapping files. Change: ● Newly mapped.
Score 2.10 on the ladder scale → indicated level A2.
</t>
          </r>
          <r>
            <rPr>
              <rFont val="Calibri"/>
              <b val="1"/>
              <sz val="10"/>
            </rPr>
            <t>Weights:</t>
          </r>
          <r>
            <rPr>
              <rFont val="Calibri"/>
              <sz val="10"/>
            </rPr>
            <t xml:space="preserve"> Complexity 64% · Autonomy 16% · Experience 10% · Business impact 6% · Accountability 4% · Leadership 0%
</t>
          </r>
          <r>
            <rPr>
              <rFont val="Calibri"/>
              <b val="1"/>
              <sz val="10"/>
            </rPr>
            <t>Why:</t>
          </r>
          <r>
            <rPr>
              <rFont val="Calibri"/>
              <sz val="10"/>
            </rPr>
            <t xml:space="preserve"> entry and practitioner work is judged mainly on the knowledge and problem solving the work needs; leading others is not expected yet, so Leadership counts 0%.
</t>
          </r>
          <r>
            <rPr>
              <rFont val="Calibri"/>
              <b val="1"/>
              <sz val="10"/>
            </rPr>
            <t>Type of work in the department:</t>
          </r>
          <r>
            <rPr>
              <rFont val="Calibri"/>
              <sz val="10"/>
            </rPr>
            <t xml:space="preserve"> technology work is valued for technical depth, so Complexity +5 and Accountability −5.
</t>
          </r>
          <r>
            <rPr>
              <rFont val="Calibri"/>
              <b val="1"/>
              <sz val="10"/>
            </rPr>
            <t>Live:</t>
          </r>
          <r>
            <rPr>
              <rFont val="Calibri"/>
              <sz val="10"/>
            </rPr>
            <t xml:space="preserve"> change the department's row on the Weightage Matrix and these weights, the points and the score update.
</t>
          </r>
          <r>
            <rPr>
              <rFont val="Calibri"/>
              <b val="1"/>
              <sz val="10"/>
            </rPr>
            <t>What decided the final level:</t>
          </r>
          <r>
            <rPr>
              <rFont val="Calibri"/>
              <sz val="10"/>
            </rPr>
            <t xml:space="preserve"> 
• </t>
          </r>
          <r>
            <rPr>
              <rFont val="Calibri"/>
              <b val="1"/>
              <sz val="10"/>
            </rPr>
            <t>Raised to A3:</t>
          </r>
          <r>
            <rPr>
              <rFont val="Calibri"/>
              <sz val="10"/>
            </rPr>
            <t xml:space="preserve"> 3.6 years' experience is 2 years or more.
</t>
          </r>
          <r>
            <rPr>
              <rFont val="Calibri"/>
              <b val="1"/>
              <sz val="10"/>
            </rPr>
            <t>Final level:</t>
          </r>
          <r>
            <rPr>
              <rFont val="Calibri"/>
              <sz val="10"/>
            </rPr>
            <t xml:space="preserve"> A3.</t>
          </r>
        </is>
      </c>
      <c r="W37" s="12" t="inlineStr">
        <is>
          <r>
            <rPr>
              <rFont val="Calibri"/>
              <b val="1"/>
              <sz val="10"/>
            </rPr>
            <t>Complexity &amp; Expertise:</t>
          </r>
          <r>
            <rPr>
              <rFont val="Calibri"/>
              <sz val="10"/>
            </rPr>
            <t xml:space="preserve"> 2 of 12 — Start: 2.0 · practitioner title; Evidence: no survey answers or KRAs on file → rating stays at the start
</t>
          </r>
          <r>
            <rPr>
              <rFont val="Calibri"/>
              <b val="1"/>
              <sz val="10"/>
            </rPr>
            <t>Autonomy &amp; Decision:</t>
          </r>
          <r>
            <rPr>
              <rFont val="Calibri"/>
              <sz val="10"/>
            </rPr>
            <t xml:space="preserve"> 2 of 12 — Start: 2.0 · practitioner title; Evidence: no survey answers or KRAs on file → rating stays at the start
</t>
          </r>
          <r>
            <rPr>
              <rFont val="Calibri"/>
              <b val="1"/>
              <sz val="10"/>
            </rPr>
            <t>Accountability &amp; Impact:</t>
          </r>
          <r>
            <rPr>
              <rFont val="Calibri"/>
              <sz val="10"/>
            </rPr>
            <t xml:space="preserve"> 2 of 12 — Start: 2.0 · practitioner title; Evidence: no survey answers or KRAs on file → rating stays at the start
</t>
          </r>
          <r>
            <rPr>
              <rFont val="Calibri"/>
              <b val="1"/>
              <sz val="10"/>
            </rPr>
            <t>Leadership &amp; Strategy:</t>
          </r>
          <r>
            <rPr>
              <rFont val="Calibri"/>
              <sz val="10"/>
            </rPr>
            <t xml:space="preserve"> 1 of 12 — not counted: the weight is 0% at this level — Start: 1.0 · individual contributor, so influence only; Evidence: no survey answers or KRAs on file → rating stays at the start; Team: 0 direct reports · IC
</t>
          </r>
          <r>
            <rPr>
              <rFont val="Calibri"/>
              <b val="1"/>
              <sz val="10"/>
            </rPr>
            <t>Experience &amp; Qualification:</t>
          </r>
          <r>
            <rPr>
              <rFont val="Calibri"/>
              <sz val="10"/>
            </rPr>
            <t xml:space="preserve"> 3 of 12 — Experience: 3.6 yrs total · 3.0 before IRIS + 0.6 at IRIS = 3.2 on the experience scale; Qualification: B.Sc · graduate, relevant to the work → no change
</t>
          </r>
          <r>
            <rPr>
              <rFont val="Calibri"/>
              <b val="1"/>
              <sz val="10"/>
            </rPr>
            <t>Business Impact:</t>
          </r>
          <r>
            <rPr>
              <rFont val="Calibri"/>
              <sz val="10"/>
            </rPr>
            <t xml:space="preserve"> 2 of 12 — a starting estimate. — Start: 2, the role's accountability scope — what it answers for.; No survey or manager-mapping signal on criticality: kept at the start point.; Managers and heads: overwrite this rating on the Weightage sheet with the business impact you see — the score updates at once.; Ladder: A2 = Own deliverables feed a team's output and turnaround</t>
          </r>
        </is>
      </c>
      <c r="X37" s="12" t="inlineStr">
        <is>
          <r>
            <rPr>
              <rFont val="Calibri"/>
              <b val="1"/>
              <sz val="10"/>
            </rPr>
            <t>Market level:</t>
          </r>
          <r>
            <rPr>
              <rFont val="Calibri"/>
              <sz val="10"/>
            </rPr>
            <t xml:space="preserve"> P2 · SFIA 3 Apply
</t>
          </r>
          <r>
            <rPr>
              <rFont val="Calibri"/>
              <b val="1"/>
              <sz val="10"/>
            </rPr>
            <t>Typical title:</t>
          </r>
          <r>
            <rPr>
              <rFont val="Calibri"/>
              <sz val="10"/>
            </rPr>
            <t xml:space="preserve"> System Administrator
</t>
          </r>
          <r>
            <rPr>
              <rFont val="Calibri"/>
              <b val="1"/>
              <sz val="10"/>
            </rPr>
            <t>At peers:</t>
          </r>
          <r>
            <rPr>
              <rFont val="Calibri"/>
              <sz val="10"/>
            </rPr>
            <t xml:space="preserve"> Atlassian company-wide P-levels – P40 · IRIS Vs Competitor Benchmark — infrastructure ladder: System Administrator
</t>
          </r>
          <r>
            <rPr>
              <rFont val="Calibri"/>
              <b val="1"/>
              <sz val="10"/>
            </rPr>
            <t>Typical experience:</t>
          </r>
          <r>
            <rPr>
              <rFont val="Calibri"/>
              <sz val="10"/>
            </rPr>
            <t xml:space="preserve"> 2–5 yrs · IRIS guide 2–4
</t>
          </r>
          <r>
            <rPr>
              <rFont val="Calibri"/>
              <b val="1"/>
              <sz val="10"/>
            </rPr>
            <t>Standard:</t>
          </r>
          <r>
            <rPr>
              <rFont val="Calibri"/>
              <sz val="10"/>
            </rPr>
            <t xml:space="preserve"> ITIL 4; ISO/IEC 27001:2022</t>
          </r>
        </is>
      </c>
      <c r="Y37" s="12" t="inlineStr">
        <is>
          <r>
            <rPr>
              <rFont val="Calibri"/>
              <sz val="10"/>
            </rPr>
            <t xml:space="preserve">✓ HRIS: 3.6 yrs, B.Sc, 0 direct reports
✗ Survey: no response
✗ KRAs: none on file
✓ Manager mapping: rating, 9-box
✗ Job description: not on file
</t>
          </r>
          <r>
            <rPr>
              <rFont val="Calibri"/>
              <b val="1"/>
              <sz val="10"/>
            </rPr>
            <t>Confidence:</t>
          </r>
          <r>
            <rPr>
              <rFont val="Calibri"/>
              <sz val="10"/>
            </rPr>
            <t xml:space="preserve"> Low</t>
          </r>
        </is>
      </c>
      <c r="Z37" s="12" t="inlineStr">
        <is>
          <t>—</t>
        </is>
      </c>
      <c r="AA37" s="84" t="inlineStr">
        <is>
          <t>• Survey response or KRAs describing the work · nothing on file — Employee + manager</t>
        </is>
      </c>
      <c r="AB37" s="12" t="inlineStr">
        <is>
          <r>
            <rPr>
              <rFont val="Calibri"/>
              <b val="1"/>
              <sz val="10"/>
            </rPr>
            <t>What the role answers for:</t>
          </r>
          <r>
            <rPr>
              <rFont val="Calibri"/>
              <sz val="10"/>
            </rPr>
            <t xml:space="preserve"> A module / process, or work with client or regulatory consequences.
</t>
          </r>
          <r>
            <rPr>
              <rFont val="Calibri"/>
              <b val="1"/>
              <sz val="10"/>
            </rPr>
            <t>Accountability &amp; Impact rating:</t>
          </r>
          <r>
            <rPr>
              <rFont val="Calibri"/>
              <sz val="10"/>
            </rPr>
            <t xml:space="preserve"> 2 of 12 · A2-level impact.
</t>
          </r>
          <r>
            <rPr>
              <rFont val="Calibri"/>
              <b val="1"/>
              <sz val="10"/>
            </rPr>
            <t>If the work is missed · role-holders' themes:</t>
          </r>
          <r>
            <rPr>
              <rFont val="Calibri"/>
              <sz val="10"/>
            </rPr>
            <t xml:space="preserve"> business · server · data loss.
Manager talent mapping — Latest rating: Not rated · manager · 9-Box Grid placement: Not placed · manager.</t>
          </r>
        </is>
      </c>
      <c r="AC37" s="83" t="n"/>
      <c r="AD37" s="83" t="n"/>
      <c r="AE37" s="83" t="n"/>
      <c r="AF37" s="12" t="n">
        <v>2</v>
      </c>
    </row>
    <row r="38" ht="379" customHeight="1">
      <c r="A38" s="12" t="inlineStr">
        <is>
          <t>IRIS2315</t>
        </is>
      </c>
      <c r="B38" s="10" t="inlineStr">
        <is>
          <t>Gouri Kohale</t>
        </is>
      </c>
      <c r="C38" s="12" t="inlineStr">
        <is>
          <t>IT &amp; Infrastructure</t>
        </is>
      </c>
      <c r="D38" s="12" t="inlineStr">
        <is>
          <t>System Administrator</t>
        </is>
      </c>
      <c r="E38" s="79" t="inlineStr">
        <is>
          <t>Senior System Administrator</t>
        </is>
      </c>
      <c r="F38" s="12" t="inlineStr">
        <is>
          <t>IT &amp; Infrastructure</t>
        </is>
      </c>
      <c r="G38" s="12" t="inlineStr">
        <is>
          <t>Infrastructure &amp; Cloud Operations</t>
        </is>
      </c>
      <c r="H38" s="12" t="inlineStr">
        <is>
          <t>IC</t>
        </is>
      </c>
      <c r="I38" s="42" t="inlineStr">
        <is>
          <t>Not in current mapping files</t>
        </is>
      </c>
      <c r="J38" s="16" t="inlineStr">
        <is>
          <t>A3</t>
        </is>
      </c>
      <c r="K38" s="17" t="inlineStr">
        <is>
          <t>Senior Associate</t>
        </is>
      </c>
      <c r="L38" s="80" t="inlineStr">
        <is>
          <t>● Newly mapped</t>
        </is>
      </c>
      <c r="M38" s="12" t="inlineStr">
        <is>
          <t>Corporate · IT &amp; Infrastructure · Band A · Early career</t>
        </is>
      </c>
      <c r="N38" s="42" t="n">
        <v>2.5</v>
      </c>
      <c r="O38" s="42" t="n">
        <v>2.5</v>
      </c>
      <c r="P38" s="42" t="n">
        <v>2.5</v>
      </c>
      <c r="Q38" s="42" t="n">
        <v>1.5</v>
      </c>
      <c r="R38" s="42" t="n">
        <v>4</v>
      </c>
      <c r="S38" s="81" t="n">
        <v>2.5</v>
      </c>
      <c r="T38" s="82">
        <f>IF(OR($M38="",COUNT(N38,O38,P38,Q38,R38,S38)&lt;6),"",IFERROR(N38*INDEX(WM_C,MATCH($M38,WM_KEY,0))+O38*INDEX(WM_AU,MATCH($M38,WM_KEY,0))+P38*INDEX(WM_AC,MATCH($M38,WM_KEY,0))+Q38*INDEX(WM_L,MATCH($M38,WM_KEY,0))+R38*INDEX(WM_E,MATCH($M38,WM_KEY,0))+S38*INDEX(WM_BI,MATCH($M38,WM_KEY,0)),""))</f>
        <v>2.65</v>
      </c>
      <c r="U38" s="42" t="str">
        <f>IF(T38="","",INDEX({"A1","A2","A3","B1","B2","B3","C1","C2","D1","D2","E1","E2"},MAX(1,MIN(12,ROUND(T38,0)))))</f>
        <v>A3</v>
      </c>
      <c r="V38" s="12" t="inlineStr">
        <is>
          <r>
            <rPr>
              <rFont val="Calibri"/>
              <sz val="10"/>
            </rPr>
            <t xml:space="preserve">New level A3 · Senior Associate. Current level on record: Not in current mapping files. Change: ● Newly mapped.
Score 2.65 on the ladder scale → indicated level A3.
</t>
          </r>
          <r>
            <rPr>
              <rFont val="Calibri"/>
              <b val="1"/>
              <sz val="10"/>
            </rPr>
            <t>Weights:</t>
          </r>
          <r>
            <rPr>
              <rFont val="Calibri"/>
              <sz val="10"/>
            </rPr>
            <t xml:space="preserve"> Complexity 64% · Autonomy 16% · Experience 10% · Business impact 6% · Accountability 4% · Leadership 0%
</t>
          </r>
          <r>
            <rPr>
              <rFont val="Calibri"/>
              <b val="1"/>
              <sz val="10"/>
            </rPr>
            <t>Why:</t>
          </r>
          <r>
            <rPr>
              <rFont val="Calibri"/>
              <sz val="10"/>
            </rPr>
            <t xml:space="preserve"> entry and practitioner work is judged mainly on the knowledge and problem solving the work needs; leading others is not expected yet, so Leadership counts 0%.
</t>
          </r>
          <r>
            <rPr>
              <rFont val="Calibri"/>
              <b val="1"/>
              <sz val="10"/>
            </rPr>
            <t>Type of work in the department:</t>
          </r>
          <r>
            <rPr>
              <rFont val="Calibri"/>
              <sz val="10"/>
            </rPr>
            <t xml:space="preserve"> technology work is valued for technical depth, so Complexity +5 and Accountability −5.
</t>
          </r>
          <r>
            <rPr>
              <rFont val="Calibri"/>
              <b val="1"/>
              <sz val="10"/>
            </rPr>
            <t>Live:</t>
          </r>
          <r>
            <rPr>
              <rFont val="Calibri"/>
              <sz val="10"/>
            </rPr>
            <t xml:space="preserve"> change the department's row on the Weightage Matrix and these weights, the points and the score update.
</t>
          </r>
          <r>
            <rPr>
              <rFont val="Calibri"/>
              <b val="1"/>
              <sz val="10"/>
            </rPr>
            <t>What decided the final level:</t>
          </r>
          <r>
            <rPr>
              <rFont val="Calibri"/>
              <sz val="10"/>
            </rPr>
            <t xml:space="preserve"> the score itself — no rule changed it.</t>
          </r>
        </is>
      </c>
      <c r="W38" s="12" t="inlineStr">
        <is>
          <r>
            <rPr>
              <rFont val="Calibri"/>
              <b val="1"/>
              <sz val="10"/>
            </rPr>
            <t>Complexity &amp; Expertise:</t>
          </r>
          <r>
            <rPr>
              <rFont val="Calibri"/>
              <sz val="10"/>
            </rPr>
            <t xml:space="preserve"> 2.5 of 12 · between A2 and A3 — Start: 3.0 · senior practitioner title; Evidence reads like A2: Monitors DR site servers, checks availability, troubleshoots and resolves server incidents → moved down 0.5
</t>
          </r>
          <r>
            <rPr>
              <rFont val="Calibri"/>
              <b val="1"/>
              <sz val="10"/>
            </rPr>
            <t>Autonomy &amp; Decision:</t>
          </r>
          <r>
            <rPr>
              <rFont val="Calibri"/>
              <sz val="10"/>
            </rPr>
            <t xml:space="preserve"> 2.5 of 12 · between A2 and A3 — Start: 3.0 · senior practitioner title; Evidence reads like A2: Only independent item named is monitoring DR servers → moved down 0.5
</t>
          </r>
          <r>
            <rPr>
              <rFont val="Calibri"/>
              <b val="1"/>
              <sz val="10"/>
            </rPr>
            <t>Accountability &amp; Impact:</t>
          </r>
          <r>
            <rPr>
              <rFont val="Calibri"/>
              <sz val="10"/>
            </rPr>
            <t xml:space="preserve"> 2.5 of 12 · between A2 and A3 — Start: 3.0 · senior practitioner title; Evidence reads like A2: Own monitoring and timely resolution of DR server issues; DR readiness → moved down 0.5
</t>
          </r>
          <r>
            <rPr>
              <rFont val="Calibri"/>
              <b val="1"/>
              <sz val="10"/>
            </rPr>
            <t>Leadership &amp; Strategy:</t>
          </r>
          <r>
            <rPr>
              <rFont val="Calibri"/>
              <sz val="10"/>
            </rPr>
            <t xml:space="preserve"> 1.5 of 12 · between A1 and A2 — not counted: the weight is 0% at this level — Start: 2.0 · individual contributor, so influence only; Evidence reads like A1: No guiding or leading of others described → moved down 0.5; Team: 0 direct reports · IC
</t>
          </r>
          <r>
            <rPr>
              <rFont val="Calibri"/>
              <b val="1"/>
              <sz val="10"/>
            </rPr>
            <t>Experience &amp; Qualification:</t>
          </r>
          <r>
            <rPr>
              <rFont val="Calibri"/>
              <sz val="10"/>
            </rPr>
            <t xml:space="preserve"> 4 of 12 — Experience: 5.5 yrs total · 3.5 before IRIS + 2.0 at IRIS = 4.0 on the experience scale; Qualification: B.E · graduate, relevant to the work → no change
</t>
          </r>
          <r>
            <rPr>
              <rFont val="Calibri"/>
              <b val="1"/>
              <sz val="10"/>
            </rPr>
            <t>Business Impact:</t>
          </r>
          <r>
            <rPr>
              <rFont val="Calibri"/>
              <sz val="10"/>
            </rPr>
            <t xml:space="preserve"> 2.5 of 12 — a starting estimate. — Start: 2.5, the role's accountability scope — what it answers for.; No survey or manager-mapping signal on criticality: kept at the start point.; Managers and heads: overwrite this rating on the Weightage sheet with the business impact you see — the score updates at once.; Ladder: A2 = Own deliverables feed a team's output and turnaround · A3 = A process or client deliverable depends on this work</t>
          </r>
        </is>
      </c>
      <c r="X38" s="12" t="inlineStr">
        <is>
          <r>
            <rPr>
              <rFont val="Calibri"/>
              <b val="1"/>
              <sz val="10"/>
            </rPr>
            <t>Market level:</t>
          </r>
          <r>
            <rPr>
              <rFont val="Calibri"/>
              <sz val="10"/>
            </rPr>
            <t xml:space="preserve"> P2 · SFIA 3 Apply
</t>
          </r>
          <r>
            <rPr>
              <rFont val="Calibri"/>
              <b val="1"/>
              <sz val="10"/>
            </rPr>
            <t>Typical title:</t>
          </r>
          <r>
            <rPr>
              <rFont val="Calibri"/>
              <sz val="10"/>
            </rPr>
            <t xml:space="preserve"> System Administrator
</t>
          </r>
          <r>
            <rPr>
              <rFont val="Calibri"/>
              <b val="1"/>
              <sz val="10"/>
            </rPr>
            <t>At peers:</t>
          </r>
          <r>
            <rPr>
              <rFont val="Calibri"/>
              <sz val="10"/>
            </rPr>
            <t xml:space="preserve"> Atlassian company-wide P-levels – P40 · IRIS Vs Competitor Benchmark — infrastructure ladder: System Administrator
</t>
          </r>
          <r>
            <rPr>
              <rFont val="Calibri"/>
              <b val="1"/>
              <sz val="10"/>
            </rPr>
            <t>Typical experience:</t>
          </r>
          <r>
            <rPr>
              <rFont val="Calibri"/>
              <sz val="10"/>
            </rPr>
            <t xml:space="preserve"> 2–5 yrs · IRIS guide 2–4
</t>
          </r>
          <r>
            <rPr>
              <rFont val="Calibri"/>
              <b val="1"/>
              <sz val="10"/>
            </rPr>
            <t>Standard:</t>
          </r>
          <r>
            <rPr>
              <rFont val="Calibri"/>
              <sz val="10"/>
            </rPr>
            <t xml:space="preserve"> ITIL 4; ISO/IEC 27001:2022</t>
          </r>
        </is>
      </c>
      <c r="Y38" s="12" t="inlineStr">
        <is>
          <r>
            <rPr>
              <rFont val="Calibri"/>
              <sz val="10"/>
            </rPr>
            <t xml:space="preserve">✓ HRIS: 5.5 yrs, B.E, 0 direct reports
✓ Survey: 20 of 20 questions answered
✗ KRAs: none on file
✓ Manager mapping: rating, 9-box
✗ Job description: not on file
</t>
          </r>
          <r>
            <rPr>
              <rFont val="Calibri"/>
              <b val="1"/>
              <sz val="10"/>
            </rPr>
            <t>Confidence:</t>
          </r>
          <r>
            <rPr>
              <rFont val="Calibri"/>
              <sz val="10"/>
            </rPr>
            <t xml:space="preserve"> High</t>
          </r>
        </is>
      </c>
      <c r="Z38" s="12" t="inlineStr">
        <is>
          <t>—</t>
        </is>
      </c>
      <c r="AA38" s="12" t="inlineStr">
        <is>
          <t>Nothing outstanding</t>
        </is>
      </c>
      <c r="AB38" s="12" t="inlineStr">
        <is>
          <r>
            <rPr>
              <rFont val="Calibri"/>
              <b val="1"/>
              <sz val="10"/>
            </rPr>
            <t>What the role answers for:</t>
          </r>
          <r>
            <rPr>
              <rFont val="Calibri"/>
              <sz val="10"/>
            </rPr>
            <t xml:space="preserve"> A module / process, or work with client or regulatory consequences.
</t>
          </r>
          <r>
            <rPr>
              <rFont val="Calibri"/>
              <b val="1"/>
              <sz val="10"/>
            </rPr>
            <t>Accountability &amp; Impact rating:</t>
          </r>
          <r>
            <rPr>
              <rFont val="Calibri"/>
              <sz val="10"/>
            </rPr>
            <t xml:space="preserve"> 2.5 of 12 · A2-level impact.
</t>
          </r>
          <r>
            <rPr>
              <rFont val="Calibri"/>
              <b val="1"/>
              <sz val="10"/>
            </rPr>
            <t>If the work is missed · role-holders' themes:</t>
          </r>
          <r>
            <rPr>
              <rFont val="Calibri"/>
              <sz val="10"/>
            </rPr>
            <t xml:space="preserve"> business · server · data loss.
Manager talent mapping — Latest rating: Not rated · manager · 9-Box Grid placement: Not placed · manager.</t>
          </r>
        </is>
      </c>
      <c r="AC38" s="83" t="n"/>
      <c r="AD38" s="83" t="n"/>
      <c r="AE38" s="83" t="n"/>
      <c r="AF38" s="12" t="n">
        <v>2.5</v>
      </c>
    </row>
    <row r="39" ht="379" customHeight="1">
      <c r="A39" s="12" t="inlineStr">
        <is>
          <t>IRIS2206</t>
        </is>
      </c>
      <c r="B39" s="10" t="inlineStr">
        <is>
          <t>Hemant Chordekar</t>
        </is>
      </c>
      <c r="C39" s="12" t="inlineStr">
        <is>
          <t>IT &amp; Infrastructure</t>
        </is>
      </c>
      <c r="D39" s="12" t="inlineStr">
        <is>
          <t>System Administrator</t>
        </is>
      </c>
      <c r="E39" s="79" t="inlineStr">
        <is>
          <t>Infrastructure Specialist</t>
        </is>
      </c>
      <c r="F39" s="12" t="inlineStr">
        <is>
          <t>IT &amp; Infrastructure</t>
        </is>
      </c>
      <c r="G39" s="12" t="inlineStr">
        <is>
          <t>Infrastructure &amp; Cloud Operations</t>
        </is>
      </c>
      <c r="H39" s="12" t="inlineStr">
        <is>
          <t>IC</t>
        </is>
      </c>
      <c r="I39" s="42" t="inlineStr">
        <is>
          <t>Not in current mapping files</t>
        </is>
      </c>
      <c r="J39" s="16" t="inlineStr">
        <is>
          <t>A3</t>
        </is>
      </c>
      <c r="K39" s="17" t="inlineStr">
        <is>
          <t>Senior Associate</t>
        </is>
      </c>
      <c r="L39" s="80" t="inlineStr">
        <is>
          <t>● Newly mapped</t>
        </is>
      </c>
      <c r="M39" s="12" t="inlineStr">
        <is>
          <t>Corporate · IT &amp; Infrastructure · Band A · Early career</t>
        </is>
      </c>
      <c r="N39" s="42" t="n">
        <v>3</v>
      </c>
      <c r="O39" s="42" t="n">
        <v>2.5</v>
      </c>
      <c r="P39" s="42" t="n">
        <v>3</v>
      </c>
      <c r="Q39" s="42" t="n">
        <v>1.5</v>
      </c>
      <c r="R39" s="42" t="n">
        <v>9.5</v>
      </c>
      <c r="S39" s="81" t="n">
        <v>3</v>
      </c>
      <c r="T39" s="82">
        <f>IF(OR($M39="",COUNT(N39,O39,P39,Q39,R39,S39)&lt;6),"",IFERROR(N39*INDEX(WM_C,MATCH($M39,WM_KEY,0))+O39*INDEX(WM_AU,MATCH($M39,WM_KEY,0))+P39*INDEX(WM_AC,MATCH($M39,WM_KEY,0))+Q39*INDEX(WM_L,MATCH($M39,WM_KEY,0))+R39*INDEX(WM_E,MATCH($M39,WM_KEY,0))+S39*INDEX(WM_BI,MATCH($M39,WM_KEY,0)),""))</f>
        <v>3.57</v>
      </c>
      <c r="U39" s="42" t="str">
        <f>IF(T39="","",INDEX({"A1","A2","A3","B1","B2","B3","C1","C2","D1","D2","E1","E2"},MAX(1,MIN(12,ROUND(T39,0)))))</f>
        <v>B1</v>
      </c>
      <c r="V39" s="12" t="inlineStr">
        <is>
          <r>
            <rPr>
              <rFont val="Calibri"/>
              <sz val="10"/>
            </rPr>
            <t xml:space="preserve">New level A3 · Senior Associate. Current level on record: Not in current mapping files. Change: ● Newly mapped.
Score 3.57 on the ladder scale → indicated level B1.
</t>
          </r>
          <r>
            <rPr>
              <rFont val="Calibri"/>
              <b val="1"/>
              <sz val="10"/>
            </rPr>
            <t>Weights:</t>
          </r>
          <r>
            <rPr>
              <rFont val="Calibri"/>
              <sz val="10"/>
            </rPr>
            <t xml:space="preserve"> Complexity 64% · Autonomy 16% · Experience 10% · Business impact 6% · Accountability 4% · Leadership 0%
</t>
          </r>
          <r>
            <rPr>
              <rFont val="Calibri"/>
              <b val="1"/>
              <sz val="10"/>
            </rPr>
            <t>Why:</t>
          </r>
          <r>
            <rPr>
              <rFont val="Calibri"/>
              <sz val="10"/>
            </rPr>
            <t xml:space="preserve"> entry and practitioner work is judged mainly on the knowledge and problem solving the work needs; leading others is not expected yet, so Leadership counts 0%.
</t>
          </r>
          <r>
            <rPr>
              <rFont val="Calibri"/>
              <b val="1"/>
              <sz val="10"/>
            </rPr>
            <t>Type of work in the department:</t>
          </r>
          <r>
            <rPr>
              <rFont val="Calibri"/>
              <sz val="10"/>
            </rPr>
            <t xml:space="preserve"> technology work is valued for technical depth, so Complexity +5 and Accountability −5.
</t>
          </r>
          <r>
            <rPr>
              <rFont val="Calibri"/>
              <b val="1"/>
              <sz val="10"/>
            </rPr>
            <t>Live:</t>
          </r>
          <r>
            <rPr>
              <rFont val="Calibri"/>
              <sz val="10"/>
            </rPr>
            <t xml:space="preserve"> change the department's row on the Weightage Matrix and these weights, the points and the score update.
</t>
          </r>
          <r>
            <rPr>
              <rFont val="Calibri"/>
              <b val="1"/>
              <sz val="10"/>
            </rPr>
            <t>What decided the final level:</t>
          </r>
          <r>
            <rPr>
              <rFont val="Calibri"/>
              <sz val="10"/>
            </rPr>
            <t xml:space="preserve"> 
• </t>
          </r>
          <r>
            <rPr>
              <rFont val="Calibri"/>
              <b val="1"/>
              <sz val="10"/>
            </rPr>
            <t>Stays at A3, the top of Band A:</t>
          </r>
          <r>
            <rPr>
              <rFont val="Calibri"/>
              <sz val="10"/>
            </rPr>
            <t xml:space="preserve"> to enter Band B the score must reach 3.5 on Band B's own weights, and it is 3.49.
</t>
          </r>
          <r>
            <rPr>
              <rFont val="Calibri"/>
              <b val="1"/>
              <sz val="10"/>
            </rPr>
            <t>Final level:</t>
          </r>
          <r>
            <rPr>
              <rFont val="Calibri"/>
              <sz val="10"/>
            </rPr>
            <t xml:space="preserve"> A3.</t>
          </r>
        </is>
      </c>
      <c r="W39" s="12" t="inlineStr">
        <is>
          <r>
            <rPr>
              <rFont val="Calibri"/>
              <b val="1"/>
              <sz val="10"/>
            </rPr>
            <t>Complexity &amp; Expertise:</t>
          </r>
          <r>
            <rPr>
              <rFont val="Calibri"/>
              <sz val="10"/>
            </rPr>
            <t xml:space="preserve"> 3 of 12 — Start: 3.0 · senior practitioner title; Evidence: rated like 5 colleagues in the same role and department · no usable answers of their own → no change
</t>
          </r>
          <r>
            <rPr>
              <rFont val="Calibri"/>
              <b val="1"/>
              <sz val="10"/>
            </rPr>
            <t>Autonomy &amp; Decision:</t>
          </r>
          <r>
            <rPr>
              <rFont val="Calibri"/>
              <sz val="10"/>
            </rPr>
            <t xml:space="preserve"> 2.5 of 12 · between A2 and A3 — Start: 3.0 · senior practitioner title; Evidence: rated like 5 colleagues in the same role and department · no usable answers of their own → moved −0.5
</t>
          </r>
          <r>
            <rPr>
              <rFont val="Calibri"/>
              <b val="1"/>
              <sz val="10"/>
            </rPr>
            <t>Accountability &amp; Impact:</t>
          </r>
          <r>
            <rPr>
              <rFont val="Calibri"/>
              <sz val="10"/>
            </rPr>
            <t xml:space="preserve"> 3 of 12 — Start: 3.0 · senior practitioner title; Evidence: rated like 5 colleagues in the same role and department · no usable answers of their own → no change
</t>
          </r>
          <r>
            <rPr>
              <rFont val="Calibri"/>
              <b val="1"/>
              <sz val="10"/>
            </rPr>
            <t>Leadership &amp; Strategy:</t>
          </r>
          <r>
            <rPr>
              <rFont val="Calibri"/>
              <sz val="10"/>
            </rPr>
            <t xml:space="preserve"> 1.5 of 12 · between A1 and A2 — not counted: the weight is 0% at this level — Start: 2.0 · individual contributor, so influence only; Evidence: rated like 5 colleagues in the same role and department · no usable answers of their own → moved −0.5; Team: 0 direct reports · IC
</t>
          </r>
          <r>
            <rPr>
              <rFont val="Calibri"/>
              <b val="1"/>
              <sz val="10"/>
            </rPr>
            <t>Experience &amp; Qualification:</t>
          </r>
          <r>
            <rPr>
              <rFont val="Calibri"/>
              <sz val="10"/>
            </rPr>
            <t xml:space="preserve"> 9.5 of 12 · between D1 and D2 — Experience: 20.7 yrs total · 17.8 before IRIS + 2.9 at IRIS = 9.9 on the experience scale; Qualification: Undergraduate · below graduate → −0.5
</t>
          </r>
          <r>
            <rPr>
              <rFont val="Calibri"/>
              <b val="1"/>
              <sz val="10"/>
            </rPr>
            <t>Business Impact:</t>
          </r>
          <r>
            <rPr>
              <rFont val="Calibri"/>
              <sz val="10"/>
            </rPr>
            <t xml:space="preserve"> 3 of 12 — a starting estimate. — Start: 3, the role's accountability scope — what it answers for.; No survey or manager-mapping signal on criticality: kept at the start point.; Managers and heads: overwrite this rating on the Weightage sheet with the business impact you see — the score updates at once.; Ladder: A3 = A process or client deliverable depends on this work</t>
          </r>
        </is>
      </c>
      <c r="X39" s="12" t="inlineStr">
        <is>
          <r>
            <rPr>
              <rFont val="Calibri"/>
              <b val="1"/>
              <sz val="10"/>
            </rPr>
            <t>Market level:</t>
          </r>
          <r>
            <rPr>
              <rFont val="Calibri"/>
              <sz val="10"/>
            </rPr>
            <t xml:space="preserve"> P2 · SFIA 3 Apply
</t>
          </r>
          <r>
            <rPr>
              <rFont val="Calibri"/>
              <b val="1"/>
              <sz val="10"/>
            </rPr>
            <t>Typical title:</t>
          </r>
          <r>
            <rPr>
              <rFont val="Calibri"/>
              <sz val="10"/>
            </rPr>
            <t xml:space="preserve"> Senior System Administrator
</t>
          </r>
          <r>
            <rPr>
              <rFont val="Calibri"/>
              <b val="1"/>
              <sz val="10"/>
            </rPr>
            <t>At peers:</t>
          </r>
          <r>
            <rPr>
              <rFont val="Calibri"/>
              <sz val="10"/>
            </rPr>
            <t xml:space="preserve"> Atlassian company-wide P-levels – P40 · IRIS Vs Competitor Benchmark — infrastructure ladder: System Administrator
</t>
          </r>
          <r>
            <rPr>
              <rFont val="Calibri"/>
              <b val="1"/>
              <sz val="10"/>
            </rPr>
            <t>Typical experience:</t>
          </r>
          <r>
            <rPr>
              <rFont val="Calibri"/>
              <sz val="10"/>
            </rPr>
            <t xml:space="preserve"> 2–5 yrs · IRIS guide 2–4
</t>
          </r>
          <r>
            <rPr>
              <rFont val="Calibri"/>
              <b val="1"/>
              <sz val="10"/>
            </rPr>
            <t>Standard:</t>
          </r>
          <r>
            <rPr>
              <rFont val="Calibri"/>
              <sz val="10"/>
            </rPr>
            <t xml:space="preserve"> ITIL 4; ISO/IEC 27001:2022</t>
          </r>
        </is>
      </c>
      <c r="Y39" s="12" t="inlineStr">
        <is>
          <r>
            <rPr>
              <rFont val="Calibri"/>
              <sz val="10"/>
            </rPr>
            <t xml:space="preserve">✓ HRIS: 20.7 yrs, Undergraduate, 0 direct reports
✗ Survey: no response
✗ KRAs: none on file
✓ Manager mapping: rating, 9-box
✗ Job description: not on file
</t>
          </r>
          <r>
            <rPr>
              <rFont val="Calibri"/>
              <b val="1"/>
              <sz val="10"/>
            </rPr>
            <t>Confidence:</t>
          </r>
          <r>
            <rPr>
              <rFont val="Calibri"/>
              <sz val="10"/>
            </rPr>
            <t xml:space="preserve"> Low</t>
          </r>
        </is>
      </c>
      <c r="Z39" s="86" t="inlineStr">
        <is>
          <r>
            <rPr>
              <rFont val="Calibri"/>
              <color rgb="009C5700"/>
              <sz val="10"/>
            </rPr>
            <t xml:space="preserve">• </t>
          </r>
          <r>
            <rPr>
              <rFont val="Calibri"/>
              <b val="1"/>
              <color rgb="009C5700"/>
              <sz val="10"/>
            </rPr>
            <t>Near a gate:</t>
          </r>
          <r>
            <rPr>
              <rFont val="Calibri"/>
              <color rgb="009C5700"/>
              <sz val="10"/>
            </rPr>
            <t xml:space="preserve"> top of band: 3.49 on Band B's weights, 0.01 short of the 3.5 needed to enter Band B
• </t>
          </r>
          <r>
            <rPr>
              <rFont val="Calibri"/>
              <b val="1"/>
              <color rgb="009C5700"/>
              <sz val="10"/>
            </rPr>
            <t>Title check:</t>
          </r>
          <r>
            <rPr>
              <rFont val="Calibri"/>
              <color rgb="009C5700"/>
              <sz val="10"/>
            </rPr>
            <t xml:space="preserve"> Check title against ladder</t>
          </r>
        </is>
      </c>
      <c r="AA39" s="84" t="inlineStr">
        <is>
          <t>• Survey response or KRAs describing the work · nothing on file — Employee + manager</t>
        </is>
      </c>
      <c r="AB39" s="12" t="inlineStr">
        <is>
          <r>
            <rPr>
              <rFont val="Calibri"/>
              <b val="1"/>
              <sz val="10"/>
            </rPr>
            <t>What the role answers for:</t>
          </r>
          <r>
            <rPr>
              <rFont val="Calibri"/>
              <sz val="10"/>
            </rPr>
            <t xml:space="preserve"> A module / process, or work with client or regulatory consequences.
</t>
          </r>
          <r>
            <rPr>
              <rFont val="Calibri"/>
              <b val="1"/>
              <sz val="10"/>
            </rPr>
            <t>Accountability &amp; Impact rating:</t>
          </r>
          <r>
            <rPr>
              <rFont val="Calibri"/>
              <sz val="10"/>
            </rPr>
            <t xml:space="preserve"> 3 of 12 · A3-level impact.
</t>
          </r>
          <r>
            <rPr>
              <rFont val="Calibri"/>
              <b val="1"/>
              <sz val="10"/>
            </rPr>
            <t>If the work is missed · role-holders' themes:</t>
          </r>
          <r>
            <rPr>
              <rFont val="Calibri"/>
              <sz val="10"/>
            </rPr>
            <t xml:space="preserve"> business · server · data loss.
Manager talent mapping — Latest rating: Not rated · manager · 9-Box Grid placement: Not placed · manager.</t>
          </r>
        </is>
      </c>
      <c r="AC39" s="83" t="n"/>
      <c r="AD39" s="83" t="n"/>
      <c r="AE39" s="83" t="n"/>
      <c r="AF39" s="12" t="n">
        <v>3</v>
      </c>
    </row>
    <row r="40" ht="379" customHeight="1">
      <c r="A40" s="12" t="inlineStr">
        <is>
          <t>IRISC298</t>
        </is>
      </c>
      <c r="B40" s="10" t="inlineStr">
        <is>
          <t>Ketan Balbhadra Yadav</t>
        </is>
      </c>
      <c r="C40" s="12" t="inlineStr">
        <is>
          <t>IT &amp; Infrastructure</t>
        </is>
      </c>
      <c r="D40" s="12" t="inlineStr">
        <is>
          <t>Consultant</t>
        </is>
      </c>
      <c r="E40" s="79" t="inlineStr">
        <is>
          <t>Senior System Administrator</t>
        </is>
      </c>
      <c r="F40" s="12" t="inlineStr">
        <is>
          <t>IT &amp; Infrastructure</t>
        </is>
      </c>
      <c r="G40" s="12" t="inlineStr">
        <is>
          <t>Infrastructure &amp; Cloud Operations</t>
        </is>
      </c>
      <c r="H40" s="12" t="inlineStr">
        <is>
          <t>IC</t>
        </is>
      </c>
      <c r="I40" s="42" t="inlineStr">
        <is>
          <t>Not in current mapping files</t>
        </is>
      </c>
      <c r="J40" s="16" t="inlineStr">
        <is>
          <t>A3</t>
        </is>
      </c>
      <c r="K40" s="17" t="inlineStr">
        <is>
          <t>Senior Associate</t>
        </is>
      </c>
      <c r="L40" s="80" t="inlineStr">
        <is>
          <t>● Newly mapped</t>
        </is>
      </c>
      <c r="M40" s="12" t="inlineStr">
        <is>
          <t>Corporate · IT &amp; Infrastructure · Band A · Early career</t>
        </is>
      </c>
      <c r="N40" s="42" t="n">
        <v>2</v>
      </c>
      <c r="O40" s="42" t="n">
        <v>2</v>
      </c>
      <c r="P40" s="42" t="n">
        <v>2</v>
      </c>
      <c r="Q40" s="42" t="n">
        <v>1</v>
      </c>
      <c r="R40" s="42" t="n">
        <v>3</v>
      </c>
      <c r="S40" s="81" t="n">
        <v>2</v>
      </c>
      <c r="T40" s="82">
        <f>IF(OR($M40="",COUNT(N40,O40,P40,Q40,R40,S40)&lt;6),"",IFERROR(N40*INDEX(WM_C,MATCH($M40,WM_KEY,0))+O40*INDEX(WM_AU,MATCH($M40,WM_KEY,0))+P40*INDEX(WM_AC,MATCH($M40,WM_KEY,0))+Q40*INDEX(WM_L,MATCH($M40,WM_KEY,0))+R40*INDEX(WM_E,MATCH($M40,WM_KEY,0))+S40*INDEX(WM_BI,MATCH($M40,WM_KEY,0)),""))</f>
        <v>2.1</v>
      </c>
      <c r="U40" s="42" t="str">
        <f>IF(T40="","",INDEX({"A1","A2","A3","B1","B2","B3","C1","C2","D1","D2","E1","E2"},MAX(1,MIN(12,ROUND(T40,0)))))</f>
        <v>A2</v>
      </c>
      <c r="V40" s="12" t="inlineStr">
        <is>
          <r>
            <rPr>
              <rFont val="Calibri"/>
              <sz val="10"/>
            </rPr>
            <t xml:space="preserve">New level A3 · Senior Associate. Current level on record: Not in current mapping files. Change: ● Newly mapped.
Score 2.10 on the ladder scale → indicated level A2.
</t>
          </r>
          <r>
            <rPr>
              <rFont val="Calibri"/>
              <b val="1"/>
              <sz val="10"/>
            </rPr>
            <t>Weights:</t>
          </r>
          <r>
            <rPr>
              <rFont val="Calibri"/>
              <sz val="10"/>
            </rPr>
            <t xml:space="preserve"> Complexity 64% · Autonomy 16% · Experience 10% · Business impact 6% · Accountability 4% · Leadership 0%
</t>
          </r>
          <r>
            <rPr>
              <rFont val="Calibri"/>
              <b val="1"/>
              <sz val="10"/>
            </rPr>
            <t>Why:</t>
          </r>
          <r>
            <rPr>
              <rFont val="Calibri"/>
              <sz val="10"/>
            </rPr>
            <t xml:space="preserve"> entry and practitioner work is judged mainly on the knowledge and problem solving the work needs; leading others is not expected yet, so Leadership counts 0%.
</t>
          </r>
          <r>
            <rPr>
              <rFont val="Calibri"/>
              <b val="1"/>
              <sz val="10"/>
            </rPr>
            <t>Type of work in the department:</t>
          </r>
          <r>
            <rPr>
              <rFont val="Calibri"/>
              <sz val="10"/>
            </rPr>
            <t xml:space="preserve"> technology work is valued for technical depth, so Complexity +5 and Accountability −5.
</t>
          </r>
          <r>
            <rPr>
              <rFont val="Calibri"/>
              <b val="1"/>
              <sz val="10"/>
            </rPr>
            <t>Live:</t>
          </r>
          <r>
            <rPr>
              <rFont val="Calibri"/>
              <sz val="10"/>
            </rPr>
            <t xml:space="preserve"> change the department's row on the Weightage Matrix and these weights, the points and the score update.
</t>
          </r>
          <r>
            <rPr>
              <rFont val="Calibri"/>
              <b val="1"/>
              <sz val="10"/>
            </rPr>
            <t>What decided the final level:</t>
          </r>
          <r>
            <rPr>
              <rFont val="Calibri"/>
              <sz val="10"/>
            </rPr>
            <t xml:space="preserve"> 
• </t>
          </r>
          <r>
            <rPr>
              <rFont val="Calibri"/>
              <b val="1"/>
              <sz val="10"/>
            </rPr>
            <t>Raised to A3:</t>
          </r>
          <r>
            <rPr>
              <rFont val="Calibri"/>
              <sz val="10"/>
            </rPr>
            <t xml:space="preserve"> 3.4 years' experience is 2 years or more.
</t>
          </r>
          <r>
            <rPr>
              <rFont val="Calibri"/>
              <b val="1"/>
              <sz val="10"/>
            </rPr>
            <t>Final level:</t>
          </r>
          <r>
            <rPr>
              <rFont val="Calibri"/>
              <sz val="10"/>
            </rPr>
            <t xml:space="preserve"> A3.</t>
          </r>
        </is>
      </c>
      <c r="W40" s="12" t="inlineStr">
        <is>
          <r>
            <rPr>
              <rFont val="Calibri"/>
              <b val="1"/>
              <sz val="10"/>
            </rPr>
            <t>Complexity &amp; Expertise:</t>
          </r>
          <r>
            <rPr>
              <rFont val="Calibri"/>
              <sz val="10"/>
            </rPr>
            <t xml:space="preserve"> 2 of 12 — Start: 2.0 · practitioner title; Evidence: no survey answers or KRAs on file → rating stays at the start
</t>
          </r>
          <r>
            <rPr>
              <rFont val="Calibri"/>
              <b val="1"/>
              <sz val="10"/>
            </rPr>
            <t>Autonomy &amp; Decision:</t>
          </r>
          <r>
            <rPr>
              <rFont val="Calibri"/>
              <sz val="10"/>
            </rPr>
            <t xml:space="preserve"> 2 of 12 — Start: 2.0 · practitioner title; Evidence: no survey answers or KRAs on file → rating stays at the start
</t>
          </r>
          <r>
            <rPr>
              <rFont val="Calibri"/>
              <b val="1"/>
              <sz val="10"/>
            </rPr>
            <t>Accountability &amp; Impact:</t>
          </r>
          <r>
            <rPr>
              <rFont val="Calibri"/>
              <sz val="10"/>
            </rPr>
            <t xml:space="preserve"> 2 of 12 — Start: 2.0 · practitioner title; Evidence: no survey answers or KRAs on file → rating stays at the start
</t>
          </r>
          <r>
            <rPr>
              <rFont val="Calibri"/>
              <b val="1"/>
              <sz val="10"/>
            </rPr>
            <t>Leadership &amp; Strategy:</t>
          </r>
          <r>
            <rPr>
              <rFont val="Calibri"/>
              <sz val="10"/>
            </rPr>
            <t xml:space="preserve"> 1 of 12 — not counted: the weight is 0% at this level — Start: 1.0 · individual contributor, so influence only; Evidence: no survey answers or KRAs on file → rating stays at the start; Team: 0 direct reports · IC
</t>
          </r>
          <r>
            <rPr>
              <rFont val="Calibri"/>
              <b val="1"/>
              <sz val="10"/>
            </rPr>
            <t>Experience &amp; Qualification:</t>
          </r>
          <r>
            <rPr>
              <rFont val="Calibri"/>
              <sz val="10"/>
            </rPr>
            <t xml:space="preserve"> 3 of 12 — Experience: 3.4 yrs total · 1.5 before IRIS + 1.9 at IRIS = 3.2 on the experience scale; Qualification: B.SC · graduate, relevant to the work → no change
</t>
          </r>
          <r>
            <rPr>
              <rFont val="Calibri"/>
              <b val="1"/>
              <sz val="10"/>
            </rPr>
            <t>Business Impact:</t>
          </r>
          <r>
            <rPr>
              <rFont val="Calibri"/>
              <sz val="10"/>
            </rPr>
            <t xml:space="preserve"> 2 of 12 — a starting estimate. — Start: 2, the role's accountability scope — what it answers for.; No survey or manager-mapping signal on criticality: kept at the start point.; Managers and heads: overwrite this rating on the Weightage sheet with the business impact you see — the score updates at once.; Ladder: A2 = Own deliverables feed a team's output and turnaround</t>
          </r>
        </is>
      </c>
      <c r="X40" s="12" t="inlineStr">
        <is>
          <r>
            <rPr>
              <rFont val="Calibri"/>
              <b val="1"/>
              <sz val="10"/>
            </rPr>
            <t>Market level:</t>
          </r>
          <r>
            <rPr>
              <rFont val="Calibri"/>
              <sz val="10"/>
            </rPr>
            <t xml:space="preserve"> P2 · SFIA 3 Apply
</t>
          </r>
          <r>
            <rPr>
              <rFont val="Calibri"/>
              <b val="1"/>
              <sz val="10"/>
            </rPr>
            <t>Typical title:</t>
          </r>
          <r>
            <rPr>
              <rFont val="Calibri"/>
              <sz val="10"/>
            </rPr>
            <t xml:space="preserve"> System Administrator
</t>
          </r>
          <r>
            <rPr>
              <rFont val="Calibri"/>
              <b val="1"/>
              <sz val="10"/>
            </rPr>
            <t>At peers:</t>
          </r>
          <r>
            <rPr>
              <rFont val="Calibri"/>
              <sz val="10"/>
            </rPr>
            <t xml:space="preserve"> Atlassian company-wide P-levels – P40 · IRIS Vs Competitor Benchmark — infrastructure ladder: System Administrator
</t>
          </r>
          <r>
            <rPr>
              <rFont val="Calibri"/>
              <b val="1"/>
              <sz val="10"/>
            </rPr>
            <t>Typical experience:</t>
          </r>
          <r>
            <rPr>
              <rFont val="Calibri"/>
              <sz val="10"/>
            </rPr>
            <t xml:space="preserve"> 2–5 yrs · IRIS guide 2–4
</t>
          </r>
          <r>
            <rPr>
              <rFont val="Calibri"/>
              <b val="1"/>
              <sz val="10"/>
            </rPr>
            <t>Standard:</t>
          </r>
          <r>
            <rPr>
              <rFont val="Calibri"/>
              <sz val="10"/>
            </rPr>
            <t xml:space="preserve"> ITIL 4; ISO/IEC 27001:2022</t>
          </r>
        </is>
      </c>
      <c r="Y40" s="12" t="inlineStr">
        <is>
          <r>
            <rPr>
              <rFont val="Calibri"/>
              <sz val="10"/>
            </rPr>
            <t xml:space="preserve">✓ HRIS: 3.4 yrs, B.SC, 0 direct reports
✓ Survey: 20 of 20 questions answered
✗ KRAs: none on file
✓ Manager mapping: rating, 9-box
✗ Job description: not on file
</t>
          </r>
          <r>
            <rPr>
              <rFont val="Calibri"/>
              <b val="1"/>
              <sz val="10"/>
            </rPr>
            <t>Confidence:</t>
          </r>
          <r>
            <rPr>
              <rFont val="Calibri"/>
              <sz val="10"/>
            </rPr>
            <t xml:space="preserve"> Low</t>
          </r>
        </is>
      </c>
      <c r="Z40" s="12" t="inlineStr">
        <is>
          <t>—</t>
        </is>
      </c>
      <c r="AA40" s="12" t="inlineStr">
        <is>
          <t>Nothing outstanding</t>
        </is>
      </c>
      <c r="AB40" s="12" t="inlineStr">
        <is>
          <r>
            <rPr>
              <rFont val="Calibri"/>
              <b val="1"/>
              <sz val="10"/>
            </rPr>
            <t>What the role answers for:</t>
          </r>
          <r>
            <rPr>
              <rFont val="Calibri"/>
              <sz val="10"/>
            </rPr>
            <t xml:space="preserve"> A module / process, or work with client or regulatory consequences.
</t>
          </r>
          <r>
            <rPr>
              <rFont val="Calibri"/>
              <b val="1"/>
              <sz val="10"/>
            </rPr>
            <t>Accountability &amp; Impact rating:</t>
          </r>
          <r>
            <rPr>
              <rFont val="Calibri"/>
              <sz val="10"/>
            </rPr>
            <t xml:space="preserve"> 2 of 12 · A2-level impact.
</t>
          </r>
          <r>
            <rPr>
              <rFont val="Calibri"/>
              <b val="1"/>
              <sz val="10"/>
            </rPr>
            <t>If the work is missed · role-holders' themes:</t>
          </r>
          <r>
            <rPr>
              <rFont val="Calibri"/>
              <sz val="10"/>
            </rPr>
            <t xml:space="preserve"> business · server · data loss.
Manager talent mapping — Latest rating: Not rated · manager · 9-Box Grid placement: Not placed · manager.</t>
          </r>
        </is>
      </c>
      <c r="AC40" s="83" t="n"/>
      <c r="AD40" s="83" t="n"/>
      <c r="AE40" s="83" t="n"/>
      <c r="AF40" s="12" t="n">
        <v>2</v>
      </c>
    </row>
    <row r="41" ht="379" customHeight="1">
      <c r="A41" s="12" t="inlineStr">
        <is>
          <t>IRIS1998</t>
        </is>
      </c>
      <c r="B41" s="10" t="inlineStr">
        <is>
          <t>Nimit Sadafal</t>
        </is>
      </c>
      <c r="C41" s="12" t="inlineStr">
        <is>
          <t>IT &amp; Infrastructure</t>
        </is>
      </c>
      <c r="D41" s="12" t="inlineStr">
        <is>
          <t>System Administrator</t>
        </is>
      </c>
      <c r="E41" s="79" t="inlineStr">
        <is>
          <t>Senior System Administrator</t>
        </is>
      </c>
      <c r="F41" s="12" t="inlineStr">
        <is>
          <t>IT &amp; Infrastructure</t>
        </is>
      </c>
      <c r="G41" s="12" t="inlineStr">
        <is>
          <t>Infrastructure &amp; Cloud Operations</t>
        </is>
      </c>
      <c r="H41" s="12" t="inlineStr">
        <is>
          <t>IC</t>
        </is>
      </c>
      <c r="I41" s="42" t="inlineStr">
        <is>
          <t>Not in current mapping files</t>
        </is>
      </c>
      <c r="J41" s="16" t="inlineStr">
        <is>
          <t>A3</t>
        </is>
      </c>
      <c r="K41" s="17" t="inlineStr">
        <is>
          <t>Senior Associate</t>
        </is>
      </c>
      <c r="L41" s="80" t="inlineStr">
        <is>
          <t>● Newly mapped</t>
        </is>
      </c>
      <c r="M41" s="12" t="inlineStr">
        <is>
          <t>Corporate · IT &amp; Infrastructure · Band A · Early career</t>
        </is>
      </c>
      <c r="N41" s="42" t="n">
        <v>2.5</v>
      </c>
      <c r="O41" s="42" t="n">
        <v>2.5</v>
      </c>
      <c r="P41" s="42" t="n">
        <v>3</v>
      </c>
      <c r="Q41" s="42" t="n">
        <v>1.5</v>
      </c>
      <c r="R41" s="42" t="n">
        <v>7.5</v>
      </c>
      <c r="S41" s="81" t="n">
        <v>3</v>
      </c>
      <c r="T41" s="82">
        <f>IF(OR($M41="",COUNT(N41,O41,P41,Q41,R41,S41)&lt;6),"",IFERROR(N41*INDEX(WM_C,MATCH($M41,WM_KEY,0))+O41*INDEX(WM_AU,MATCH($M41,WM_KEY,0))+P41*INDEX(WM_AC,MATCH($M41,WM_KEY,0))+Q41*INDEX(WM_L,MATCH($M41,WM_KEY,0))+R41*INDEX(WM_E,MATCH($M41,WM_KEY,0))+S41*INDEX(WM_BI,MATCH($M41,WM_KEY,0)),""))</f>
        <v>3.05</v>
      </c>
      <c r="U41" s="42" t="str">
        <f>IF(T41="","",INDEX({"A1","A2","A3","B1","B2","B3","C1","C2","D1","D2","E1","E2"},MAX(1,MIN(12,ROUND(T41,0)))))</f>
        <v>A3</v>
      </c>
      <c r="V41" s="12" t="inlineStr">
        <is>
          <r>
            <rPr>
              <rFont val="Calibri"/>
              <sz val="10"/>
            </rPr>
            <t xml:space="preserve">New level A3 · Senior Associate. Current level on record: Not in current mapping files. Change: ● Newly mapped.
Score 3.05 on the ladder scale → indicated level A3.
</t>
          </r>
          <r>
            <rPr>
              <rFont val="Calibri"/>
              <b val="1"/>
              <sz val="10"/>
            </rPr>
            <t>Weights:</t>
          </r>
          <r>
            <rPr>
              <rFont val="Calibri"/>
              <sz val="10"/>
            </rPr>
            <t xml:space="preserve"> Complexity 64% · Autonomy 16% · Experience 10% · Business impact 6% · Accountability 4% · Leadership 0%
</t>
          </r>
          <r>
            <rPr>
              <rFont val="Calibri"/>
              <b val="1"/>
              <sz val="10"/>
            </rPr>
            <t>Why:</t>
          </r>
          <r>
            <rPr>
              <rFont val="Calibri"/>
              <sz val="10"/>
            </rPr>
            <t xml:space="preserve"> entry and practitioner work is judged mainly on the knowledge and problem solving the work needs; leading others is not expected yet, so Leadership counts 0%.
</t>
          </r>
          <r>
            <rPr>
              <rFont val="Calibri"/>
              <b val="1"/>
              <sz val="10"/>
            </rPr>
            <t>Type of work in the department:</t>
          </r>
          <r>
            <rPr>
              <rFont val="Calibri"/>
              <sz val="10"/>
            </rPr>
            <t xml:space="preserve"> technology work is valued for technical depth, so Complexity +5 and Accountability −5.
</t>
          </r>
          <r>
            <rPr>
              <rFont val="Calibri"/>
              <b val="1"/>
              <sz val="10"/>
            </rPr>
            <t>Live:</t>
          </r>
          <r>
            <rPr>
              <rFont val="Calibri"/>
              <sz val="10"/>
            </rPr>
            <t xml:space="preserve"> change the department's row on the Weightage Matrix and these weights, the points and the score update.
</t>
          </r>
          <r>
            <rPr>
              <rFont val="Calibri"/>
              <b val="1"/>
              <sz val="10"/>
            </rPr>
            <t>What decided the final level:</t>
          </r>
          <r>
            <rPr>
              <rFont val="Calibri"/>
              <sz val="10"/>
            </rPr>
            <t xml:space="preserve"> the score itself — no rule changed it.</t>
          </r>
        </is>
      </c>
      <c r="W41" s="12" t="inlineStr">
        <is>
          <r>
            <rPr>
              <rFont val="Calibri"/>
              <b val="1"/>
              <sz val="10"/>
            </rPr>
            <t>Complexity &amp; Expertise:</t>
          </r>
          <r>
            <rPr>
              <rFont val="Calibri"/>
              <sz val="10"/>
            </rPr>
            <t xml:space="preserve"> 2.5 of 12 · between A2 and A3 — Start: 3.0 · senior practitioner title; Evidence reads like A2: Maintains DNS records, raises CRFs for port/URL access and SMAX tickets, monitors server utilisation → moved down 0.5
</t>
          </r>
          <r>
            <rPr>
              <rFont val="Calibri"/>
              <b val="1"/>
              <sz val="10"/>
            </rPr>
            <t>Autonomy &amp; Decision:</t>
          </r>
          <r>
            <rPr>
              <rFont val="Calibri"/>
              <sz val="10"/>
            </rPr>
            <t xml:space="preserve"> 2.5 of 12 · between A2 and A3 — Start: 3.0 · senior practitioner title; Evidence reads like A2: Raises DNS change requests and tickets, answers DIT queries; changes go through CRF process → moved down 0.5
</t>
          </r>
          <r>
            <rPr>
              <rFont val="Calibri"/>
              <b val="1"/>
              <sz val="10"/>
            </rPr>
            <t>Accountability &amp; Impact:</t>
          </r>
          <r>
            <rPr>
              <rFont val="Calibri"/>
              <sz val="10"/>
            </rPr>
            <t xml:space="preserve"> 3 of 12 — Start: 3.0 · senior practitioner title; Evidence reads like A3: RBI website accessibility issues; prepares RCA and answers the client · DIT for incidents → matches the start
</t>
          </r>
          <r>
            <rPr>
              <rFont val="Calibri"/>
              <b val="1"/>
              <sz val="10"/>
            </rPr>
            <t>Leadership &amp; Strategy:</t>
          </r>
          <r>
            <rPr>
              <rFont val="Calibri"/>
              <sz val="10"/>
            </rPr>
            <t xml:space="preserve"> 1.5 of 12 · between A1 and A2 — not counted: the weight is 0% at this level — Start: 2.0 · individual contributor, so influence only; Evidence reads like A1: No guiding or leading of others described → moved down 0.5; Team: 0 direct reports · IC
</t>
          </r>
          <r>
            <rPr>
              <rFont val="Calibri"/>
              <b val="1"/>
              <sz val="10"/>
            </rPr>
            <t>Experience &amp; Qualification:</t>
          </r>
          <r>
            <rPr>
              <rFont val="Calibri"/>
              <sz val="10"/>
            </rPr>
            <t xml:space="preserve"> 7.5 of 12 · between C1 and C2 — Experience: 13.6 yrs total · 9.0 before IRIS + 4.6 at IRIS = 7.6 on the experience scale; Qualification: B.E · graduate, relevant to the work → no change
</t>
          </r>
          <r>
            <rPr>
              <rFont val="Calibri"/>
              <b val="1"/>
              <sz val="10"/>
            </rPr>
            <t>Business Impact:</t>
          </r>
          <r>
            <rPr>
              <rFont val="Calibri"/>
              <sz val="10"/>
            </rPr>
            <t xml:space="preserve"> 3 of 12 — a starting estimate. — Start: 3, the role's accountability scope — what it answers for.; No survey or manager-mapping signal on criticality: kept at the start point.; Managers and heads: overwrite this rating on the Weightage sheet with the business impact you see — the score updates at once.; Ladder: A3 = A process or client deliverable depends on this work</t>
          </r>
        </is>
      </c>
      <c r="X41" s="12" t="inlineStr">
        <is>
          <r>
            <rPr>
              <rFont val="Calibri"/>
              <b val="1"/>
              <sz val="10"/>
            </rPr>
            <t>Market level:</t>
          </r>
          <r>
            <rPr>
              <rFont val="Calibri"/>
              <sz val="10"/>
            </rPr>
            <t xml:space="preserve"> P2 · SFIA 3 Apply
</t>
          </r>
          <r>
            <rPr>
              <rFont val="Calibri"/>
              <b val="1"/>
              <sz val="10"/>
            </rPr>
            <t>Typical title:</t>
          </r>
          <r>
            <rPr>
              <rFont val="Calibri"/>
              <sz val="10"/>
            </rPr>
            <t xml:space="preserve"> System Administrator
</t>
          </r>
          <r>
            <rPr>
              <rFont val="Calibri"/>
              <b val="1"/>
              <sz val="10"/>
            </rPr>
            <t>At peers:</t>
          </r>
          <r>
            <rPr>
              <rFont val="Calibri"/>
              <sz val="10"/>
            </rPr>
            <t xml:space="preserve"> Atlassian company-wide P-levels – P40 · IRIS Vs Competitor Benchmark — infrastructure ladder: System Administrator
</t>
          </r>
          <r>
            <rPr>
              <rFont val="Calibri"/>
              <b val="1"/>
              <sz val="10"/>
            </rPr>
            <t>Typical experience:</t>
          </r>
          <r>
            <rPr>
              <rFont val="Calibri"/>
              <sz val="10"/>
            </rPr>
            <t xml:space="preserve"> 2–5 yrs · IRIS guide 2–4
</t>
          </r>
          <r>
            <rPr>
              <rFont val="Calibri"/>
              <b val="1"/>
              <sz val="10"/>
            </rPr>
            <t>Standard:</t>
          </r>
          <r>
            <rPr>
              <rFont val="Calibri"/>
              <sz val="10"/>
            </rPr>
            <t xml:space="preserve"> ITIL 4; ISO/IEC 27001:2022</t>
          </r>
        </is>
      </c>
      <c r="Y41" s="12" t="inlineStr">
        <is>
          <r>
            <rPr>
              <rFont val="Calibri"/>
              <sz val="10"/>
            </rPr>
            <t xml:space="preserve">✓ HRIS: 13.6 yrs, B.E, 0 direct reports
✓ Survey: 20 of 20 questions answered
✗ KRAs: none on file
✓ Manager mapping: rating, 9-box
✗ Job description: not on file
</t>
          </r>
          <r>
            <rPr>
              <rFont val="Calibri"/>
              <b val="1"/>
              <sz val="10"/>
            </rPr>
            <t>Confidence:</t>
          </r>
          <r>
            <rPr>
              <rFont val="Calibri"/>
              <sz val="10"/>
            </rPr>
            <t xml:space="preserve"> Medium</t>
          </r>
        </is>
      </c>
      <c r="Z41" s="12" t="inlineStr">
        <is>
          <t>—</t>
        </is>
      </c>
      <c r="AA41" s="12" t="inlineStr">
        <is>
          <t>Nothing outstanding</t>
        </is>
      </c>
      <c r="AB41" s="12" t="inlineStr">
        <is>
          <r>
            <rPr>
              <rFont val="Calibri"/>
              <b val="1"/>
              <sz val="10"/>
            </rPr>
            <t>What the role answers for:</t>
          </r>
          <r>
            <rPr>
              <rFont val="Calibri"/>
              <sz val="10"/>
            </rPr>
            <t xml:space="preserve"> A module / process, or work with client or regulatory consequences.
</t>
          </r>
          <r>
            <rPr>
              <rFont val="Calibri"/>
              <b val="1"/>
              <sz val="10"/>
            </rPr>
            <t>Accountability &amp; Impact rating:</t>
          </r>
          <r>
            <rPr>
              <rFont val="Calibri"/>
              <sz val="10"/>
            </rPr>
            <t xml:space="preserve"> 3 of 12 · A3-level impact.
</t>
          </r>
          <r>
            <rPr>
              <rFont val="Calibri"/>
              <b val="1"/>
              <sz val="10"/>
            </rPr>
            <t>If the work is missed · role-holders' themes:</t>
          </r>
          <r>
            <rPr>
              <rFont val="Calibri"/>
              <sz val="10"/>
            </rPr>
            <t xml:space="preserve"> business · server · data loss.
Manager talent mapping — Latest rating: Not rated · manager · 9-Box Grid placement: Not placed · manager.</t>
          </r>
        </is>
      </c>
      <c r="AC41" s="83" t="n"/>
      <c r="AD41" s="83" t="n"/>
      <c r="AE41" s="83" t="n"/>
      <c r="AF41" s="12" t="n">
        <v>3</v>
      </c>
    </row>
    <row r="42" ht="379" customHeight="1">
      <c r="A42" s="12" t="inlineStr">
        <is>
          <t>IRIS2003</t>
        </is>
      </c>
      <c r="B42" s="10" t="inlineStr">
        <is>
          <t>Rajyalakshmi Koyagura</t>
        </is>
      </c>
      <c r="C42" s="12" t="inlineStr">
        <is>
          <t>IT &amp; Infrastructure</t>
        </is>
      </c>
      <c r="D42" s="12" t="inlineStr">
        <is>
          <t>System Administrator</t>
        </is>
      </c>
      <c r="E42" s="79" t="inlineStr">
        <is>
          <t>Senior System Administrator</t>
        </is>
      </c>
      <c r="F42" s="12" t="inlineStr">
        <is>
          <t>IT &amp; Infrastructure</t>
        </is>
      </c>
      <c r="G42" s="12" t="inlineStr">
        <is>
          <t>Infrastructure &amp; Cloud Operations</t>
        </is>
      </c>
      <c r="H42" s="12" t="inlineStr">
        <is>
          <t>IC</t>
        </is>
      </c>
      <c r="I42" s="42" t="inlineStr">
        <is>
          <t>Not in current mapping files</t>
        </is>
      </c>
      <c r="J42" s="16" t="inlineStr">
        <is>
          <t>A3</t>
        </is>
      </c>
      <c r="K42" s="17" t="inlineStr">
        <is>
          <t>Senior Associate</t>
        </is>
      </c>
      <c r="L42" s="80" t="inlineStr">
        <is>
          <t>● Newly mapped</t>
        </is>
      </c>
      <c r="M42" s="12" t="inlineStr">
        <is>
          <t>Corporate · IT &amp; Infrastructure · Band A · Early career</t>
        </is>
      </c>
      <c r="N42" s="42" t="n">
        <v>3</v>
      </c>
      <c r="O42" s="42" t="n">
        <v>2.5</v>
      </c>
      <c r="P42" s="42" t="n">
        <v>3</v>
      </c>
      <c r="Q42" s="42" t="n">
        <v>1.5</v>
      </c>
      <c r="R42" s="42" t="n">
        <v>5</v>
      </c>
      <c r="S42" s="81" t="n">
        <v>3</v>
      </c>
      <c r="T42" s="82">
        <f>IF(OR($M42="",COUNT(N42,O42,P42,Q42,R42,S42)&lt;6),"",IFERROR(N42*INDEX(WM_C,MATCH($M42,WM_KEY,0))+O42*INDEX(WM_AU,MATCH($M42,WM_KEY,0))+P42*INDEX(WM_AC,MATCH($M42,WM_KEY,0))+Q42*INDEX(WM_L,MATCH($M42,WM_KEY,0))+R42*INDEX(WM_E,MATCH($M42,WM_KEY,0))+S42*INDEX(WM_BI,MATCH($M42,WM_KEY,0)),""))</f>
        <v>3.12</v>
      </c>
      <c r="U42" s="42" t="str">
        <f>IF(T42="","",INDEX({"A1","A2","A3","B1","B2","B3","C1","C2","D1","D2","E1","E2"},MAX(1,MIN(12,ROUND(T42,0)))))</f>
        <v>A3</v>
      </c>
      <c r="V42" s="12" t="inlineStr">
        <is>
          <r>
            <rPr>
              <rFont val="Calibri"/>
              <sz val="10"/>
            </rPr>
            <t xml:space="preserve">New level A3 · Senior Associate. Current level on record: Not in current mapping files. Change: ● Newly mapped.
Score 3.12 on the ladder scale → indicated level A3.
</t>
          </r>
          <r>
            <rPr>
              <rFont val="Calibri"/>
              <b val="1"/>
              <sz val="10"/>
            </rPr>
            <t>Weights:</t>
          </r>
          <r>
            <rPr>
              <rFont val="Calibri"/>
              <sz val="10"/>
            </rPr>
            <t xml:space="preserve"> Complexity 64% · Autonomy 16% · Experience 10% · Business impact 6% · Accountability 4% · Leadership 0%
</t>
          </r>
          <r>
            <rPr>
              <rFont val="Calibri"/>
              <b val="1"/>
              <sz val="10"/>
            </rPr>
            <t>Why:</t>
          </r>
          <r>
            <rPr>
              <rFont val="Calibri"/>
              <sz val="10"/>
            </rPr>
            <t xml:space="preserve"> entry and practitioner work is judged mainly on the knowledge and problem solving the work needs; leading others is not expected yet, so Leadership counts 0%.
</t>
          </r>
          <r>
            <rPr>
              <rFont val="Calibri"/>
              <b val="1"/>
              <sz val="10"/>
            </rPr>
            <t>Type of work in the department:</t>
          </r>
          <r>
            <rPr>
              <rFont val="Calibri"/>
              <sz val="10"/>
            </rPr>
            <t xml:space="preserve"> technology work is valued for technical depth, so Complexity +5 and Accountability −5.
</t>
          </r>
          <r>
            <rPr>
              <rFont val="Calibri"/>
              <b val="1"/>
              <sz val="10"/>
            </rPr>
            <t>Live:</t>
          </r>
          <r>
            <rPr>
              <rFont val="Calibri"/>
              <sz val="10"/>
            </rPr>
            <t xml:space="preserve"> change the department's row on the Weightage Matrix and these weights, the points and the score update.
</t>
          </r>
          <r>
            <rPr>
              <rFont val="Calibri"/>
              <b val="1"/>
              <sz val="10"/>
            </rPr>
            <t>What decided the final level:</t>
          </r>
          <r>
            <rPr>
              <rFont val="Calibri"/>
              <sz val="10"/>
            </rPr>
            <t xml:space="preserve"> the score itself — no rule changed it.</t>
          </r>
        </is>
      </c>
      <c r="W42" s="12" t="inlineStr">
        <is>
          <r>
            <rPr>
              <rFont val="Calibri"/>
              <b val="1"/>
              <sz val="10"/>
            </rPr>
            <t>Complexity &amp; Expertise:</t>
          </r>
          <r>
            <rPr>
              <rFont val="Calibri"/>
              <sz val="10"/>
            </rPr>
            <t xml:space="preserve"> 3 of 12 — Start: 3.0 · senior practitioner title; Evidence reads like A3: Provisions and monitors AWS resources, administers Linux and Faveo, hardens OS, runs backups → matches the start
</t>
          </r>
          <r>
            <rPr>
              <rFont val="Calibri"/>
              <b val="1"/>
              <sz val="10"/>
            </rPr>
            <t>Autonomy &amp; Decision:</t>
          </r>
          <r>
            <rPr>
              <rFont val="Calibri"/>
              <sz val="10"/>
            </rPr>
            <t xml:space="preserve"> 2.5 of 12 · between A2 and A3 — Start: 3.0 · senior practitioner title; Evidence reads like A2: Monitors infrastructure, executes backup/restore, optimises AWS resources; routine operational calls → moved down 0.5
</t>
          </r>
          <r>
            <rPr>
              <rFont val="Calibri"/>
              <b val="1"/>
              <sz val="10"/>
            </rPr>
            <t>Accountability &amp; Impact:</t>
          </r>
          <r>
            <rPr>
              <rFont val="Calibri"/>
              <sz val="10"/>
            </rPr>
            <t xml:space="preserve"> 3 of 12 — Start: 3.0 · senior practitioner title; Evidence reads like A3: Infrastructure availability, backup and recovery, capacity; misconfiguration affects application availability → matches the start
</t>
          </r>
          <r>
            <rPr>
              <rFont val="Calibri"/>
              <b val="1"/>
              <sz val="10"/>
            </rPr>
            <t>Leadership &amp; Strategy:</t>
          </r>
          <r>
            <rPr>
              <rFont val="Calibri"/>
              <sz val="10"/>
            </rPr>
            <t xml:space="preserve"> 1.5 of 12 · between A1 and A2 — not counted: the weight is 0% at this level — Start: 2.0 · individual contributor, so influence only; Evidence reads like A1: No guiding or leading of others described → moved down 0.5; Team: 0 direct reports · IC
</t>
          </r>
          <r>
            <rPr>
              <rFont val="Calibri"/>
              <b val="1"/>
              <sz val="10"/>
            </rPr>
            <t>Experience &amp; Qualification:</t>
          </r>
          <r>
            <rPr>
              <rFont val="Calibri"/>
              <sz val="10"/>
            </rPr>
            <t xml:space="preserve"> 5 of 12 — Experience: 8.0 yrs total · 3.5 before IRIS + 4.5 at IRIS = 5.2 on the experience scale; Qualification: B.Tech · graduate, relevant to the work → no change
</t>
          </r>
          <r>
            <rPr>
              <rFont val="Calibri"/>
              <b val="1"/>
              <sz val="10"/>
            </rPr>
            <t>Business Impact:</t>
          </r>
          <r>
            <rPr>
              <rFont val="Calibri"/>
              <sz val="10"/>
            </rPr>
            <t xml:space="preserve"> 3 of 12 — a starting estimate. — Start: 3, the role's accountability scope — what it answers for.; No survey or manager-mapping signal on criticality: kept at the start point.; Managers and heads: overwrite this rating on the Weightage sheet with the business impact you see — the score updates at once.; Ladder: A3 = A process or client deliverable depends on this work</t>
          </r>
        </is>
      </c>
      <c r="X42" s="12" t="inlineStr">
        <is>
          <r>
            <rPr>
              <rFont val="Calibri"/>
              <b val="1"/>
              <sz val="10"/>
            </rPr>
            <t>Market level:</t>
          </r>
          <r>
            <rPr>
              <rFont val="Calibri"/>
              <sz val="10"/>
            </rPr>
            <t xml:space="preserve"> P2 · SFIA 3 Apply
</t>
          </r>
          <r>
            <rPr>
              <rFont val="Calibri"/>
              <b val="1"/>
              <sz val="10"/>
            </rPr>
            <t>Typical title:</t>
          </r>
          <r>
            <rPr>
              <rFont val="Calibri"/>
              <sz val="10"/>
            </rPr>
            <t xml:space="preserve"> System Administrator
</t>
          </r>
          <r>
            <rPr>
              <rFont val="Calibri"/>
              <b val="1"/>
              <sz val="10"/>
            </rPr>
            <t>At peers:</t>
          </r>
          <r>
            <rPr>
              <rFont val="Calibri"/>
              <sz val="10"/>
            </rPr>
            <t xml:space="preserve"> Atlassian company-wide P-levels – P40 · IRIS Vs Competitor Benchmark — infrastructure ladder: System Administrator
</t>
          </r>
          <r>
            <rPr>
              <rFont val="Calibri"/>
              <b val="1"/>
              <sz val="10"/>
            </rPr>
            <t>Typical experience:</t>
          </r>
          <r>
            <rPr>
              <rFont val="Calibri"/>
              <sz val="10"/>
            </rPr>
            <t xml:space="preserve"> 2–5 yrs · IRIS guide 2–4
</t>
          </r>
          <r>
            <rPr>
              <rFont val="Calibri"/>
              <b val="1"/>
              <sz val="10"/>
            </rPr>
            <t>Standard:</t>
          </r>
          <r>
            <rPr>
              <rFont val="Calibri"/>
              <sz val="10"/>
            </rPr>
            <t xml:space="preserve"> ITIL 4; ISO/IEC 27001:2022</t>
          </r>
        </is>
      </c>
      <c r="Y42" s="12" t="inlineStr">
        <is>
          <r>
            <rPr>
              <rFont val="Calibri"/>
              <sz val="10"/>
            </rPr>
            <t xml:space="preserve">✓ HRIS: 8.0 yrs, B.Tech, 0 direct reports
✓ Survey: 19 of 20 questions answered
✗ KRAs: none on file
✓ Manager mapping: rating, 9-box
✗ Job description: not on file
</t>
          </r>
          <r>
            <rPr>
              <rFont val="Calibri"/>
              <b val="1"/>
              <sz val="10"/>
            </rPr>
            <t>Confidence:</t>
          </r>
          <r>
            <rPr>
              <rFont val="Calibri"/>
              <sz val="10"/>
            </rPr>
            <t xml:space="preserve"> Medium</t>
          </r>
        </is>
      </c>
      <c r="Z42" s="12" t="inlineStr">
        <is>
          <t>—</t>
        </is>
      </c>
      <c r="AA42" s="12" t="inlineStr">
        <is>
          <t>Nothing outstanding</t>
        </is>
      </c>
      <c r="AB42" s="12" t="inlineStr">
        <is>
          <r>
            <rPr>
              <rFont val="Calibri"/>
              <b val="1"/>
              <sz val="10"/>
            </rPr>
            <t>What the role answers for:</t>
          </r>
          <r>
            <rPr>
              <rFont val="Calibri"/>
              <sz val="10"/>
            </rPr>
            <t xml:space="preserve"> A module / process, or work with client or regulatory consequences.
</t>
          </r>
          <r>
            <rPr>
              <rFont val="Calibri"/>
              <b val="1"/>
              <sz val="10"/>
            </rPr>
            <t>Accountability &amp; Impact rating:</t>
          </r>
          <r>
            <rPr>
              <rFont val="Calibri"/>
              <sz val="10"/>
            </rPr>
            <t xml:space="preserve"> 3 of 12 · A3-level impact.
</t>
          </r>
          <r>
            <rPr>
              <rFont val="Calibri"/>
              <b val="1"/>
              <sz val="10"/>
            </rPr>
            <t>If the work is missed · role-holders' themes:</t>
          </r>
          <r>
            <rPr>
              <rFont val="Calibri"/>
              <sz val="10"/>
            </rPr>
            <t xml:space="preserve"> business · server · data loss.
Manager talent mapping — Latest rating: Not rated · manager · 9-Box Grid placement: Not placed · manager.</t>
          </r>
        </is>
      </c>
      <c r="AC42" s="83" t="n"/>
      <c r="AD42" s="83" t="n"/>
      <c r="AE42" s="83" t="n"/>
      <c r="AF42" s="12" t="n">
        <v>3</v>
      </c>
    </row>
    <row r="43" ht="379" customHeight="1">
      <c r="A43" s="12" t="inlineStr">
        <is>
          <t>IRIS2098</t>
        </is>
      </c>
      <c r="B43" s="10" t="inlineStr">
        <is>
          <t>Sagar Jamadar</t>
        </is>
      </c>
      <c r="C43" s="12" t="inlineStr">
        <is>
          <t>IT &amp; Infrastructure</t>
        </is>
      </c>
      <c r="D43" s="12" t="inlineStr">
        <is>
          <t>Desktop Support Engineer</t>
        </is>
      </c>
      <c r="E43" s="79" t="inlineStr">
        <is>
          <t>Senior Desktop Support Engineer</t>
        </is>
      </c>
      <c r="F43" s="12" t="inlineStr">
        <is>
          <t>IT &amp; Infrastructure</t>
        </is>
      </c>
      <c r="G43" s="12" t="inlineStr">
        <is>
          <t>End-User Support</t>
        </is>
      </c>
      <c r="H43" s="12" t="inlineStr">
        <is>
          <t>IC</t>
        </is>
      </c>
      <c r="I43" s="42" t="inlineStr">
        <is>
          <t>Not in current mapping files</t>
        </is>
      </c>
      <c r="J43" s="16" t="inlineStr">
        <is>
          <t>A3</t>
        </is>
      </c>
      <c r="K43" s="17" t="inlineStr">
        <is>
          <t>Senior Associate</t>
        </is>
      </c>
      <c r="L43" s="80" t="inlineStr">
        <is>
          <t>● Newly mapped</t>
        </is>
      </c>
      <c r="M43" s="12" t="inlineStr">
        <is>
          <t>Corporate · IT &amp; Infrastructure · Band A · Early career</t>
        </is>
      </c>
      <c r="N43" s="42" t="n">
        <v>2</v>
      </c>
      <c r="O43" s="42" t="n">
        <v>2</v>
      </c>
      <c r="P43" s="42" t="n">
        <v>2</v>
      </c>
      <c r="Q43" s="42" t="n">
        <v>1</v>
      </c>
      <c r="R43" s="42" t="n">
        <v>5</v>
      </c>
      <c r="S43" s="81" t="n">
        <v>2</v>
      </c>
      <c r="T43" s="82">
        <f>IF(OR($M43="",COUNT(N43,O43,P43,Q43,R43,S43)&lt;6),"",IFERROR(N43*INDEX(WM_C,MATCH($M43,WM_KEY,0))+O43*INDEX(WM_AU,MATCH($M43,WM_KEY,0))+P43*INDEX(WM_AC,MATCH($M43,WM_KEY,0))+Q43*INDEX(WM_L,MATCH($M43,WM_KEY,0))+R43*INDEX(WM_E,MATCH($M43,WM_KEY,0))+S43*INDEX(WM_BI,MATCH($M43,WM_KEY,0)),""))</f>
        <v>2.3</v>
      </c>
      <c r="U43" s="42" t="str">
        <f>IF(T43="","",INDEX({"A1","A2","A3","B1","B2","B3","C1","C2","D1","D2","E1","E2"},MAX(1,MIN(12,ROUND(T43,0)))))</f>
        <v>A2</v>
      </c>
      <c r="V43" s="12" t="inlineStr">
        <is>
          <r>
            <rPr>
              <rFont val="Calibri"/>
              <sz val="10"/>
            </rPr>
            <t xml:space="preserve">New level A3 · Senior Associate. Current level on record: Not in current mapping files. Change: ● Newly mapped.
Score 2.30 on the ladder scale → indicated level A2.
</t>
          </r>
          <r>
            <rPr>
              <rFont val="Calibri"/>
              <b val="1"/>
              <sz val="10"/>
            </rPr>
            <t>Weights:</t>
          </r>
          <r>
            <rPr>
              <rFont val="Calibri"/>
              <sz val="10"/>
            </rPr>
            <t xml:space="preserve"> Complexity 64% · Autonomy 16% · Experience 10% · Business impact 6% · Accountability 4% · Leadership 0%
</t>
          </r>
          <r>
            <rPr>
              <rFont val="Calibri"/>
              <b val="1"/>
              <sz val="10"/>
            </rPr>
            <t>Why:</t>
          </r>
          <r>
            <rPr>
              <rFont val="Calibri"/>
              <sz val="10"/>
            </rPr>
            <t xml:space="preserve"> entry and practitioner work is judged mainly on the knowledge and problem solving the work needs; leading others is not expected yet, so Leadership counts 0%.
</t>
          </r>
          <r>
            <rPr>
              <rFont val="Calibri"/>
              <b val="1"/>
              <sz val="10"/>
            </rPr>
            <t>Type of work in the department:</t>
          </r>
          <r>
            <rPr>
              <rFont val="Calibri"/>
              <sz val="10"/>
            </rPr>
            <t xml:space="preserve"> technology work is valued for technical depth, so Complexity +5 and Accountability −5.
</t>
          </r>
          <r>
            <rPr>
              <rFont val="Calibri"/>
              <b val="1"/>
              <sz val="10"/>
            </rPr>
            <t>Live:</t>
          </r>
          <r>
            <rPr>
              <rFont val="Calibri"/>
              <sz val="10"/>
            </rPr>
            <t xml:space="preserve"> change the department's row on the Weightage Matrix and these weights, the points and the score update.
</t>
          </r>
          <r>
            <rPr>
              <rFont val="Calibri"/>
              <b val="1"/>
              <sz val="10"/>
            </rPr>
            <t>What decided the final level:</t>
          </r>
          <r>
            <rPr>
              <rFont val="Calibri"/>
              <sz val="10"/>
            </rPr>
            <t xml:space="preserve"> 
• </t>
          </r>
          <r>
            <rPr>
              <rFont val="Calibri"/>
              <b val="1"/>
              <sz val="10"/>
            </rPr>
            <t>Raised to A3:</t>
          </r>
          <r>
            <rPr>
              <rFont val="Calibri"/>
              <sz val="10"/>
            </rPr>
            <t xml:space="preserve"> 8.6 years' experience is 2 years or more.
</t>
          </r>
          <r>
            <rPr>
              <rFont val="Calibri"/>
              <b val="1"/>
              <sz val="10"/>
            </rPr>
            <t>Final level:</t>
          </r>
          <r>
            <rPr>
              <rFont val="Calibri"/>
              <sz val="10"/>
            </rPr>
            <t xml:space="preserve"> A3.</t>
          </r>
        </is>
      </c>
      <c r="W43" s="12" t="inlineStr">
        <is>
          <r>
            <rPr>
              <rFont val="Calibri"/>
              <b val="1"/>
              <sz val="10"/>
            </rPr>
            <t>Complexity &amp; Expertise:</t>
          </r>
          <r>
            <rPr>
              <rFont val="Calibri"/>
              <sz val="10"/>
            </rPr>
            <t xml:space="preserve"> 2 of 12 — Start: 2.0 · practitioner title; Evidence reads like A2: Troubleshoots routine Windows, Outlook, network and hardware issues; resolves user tickets; manages user accounts → matches the start
</t>
          </r>
          <r>
            <rPr>
              <rFont val="Calibri"/>
              <b val="1"/>
              <sz val="10"/>
            </rPr>
            <t>Autonomy &amp; Decision:</t>
          </r>
          <r>
            <rPr>
              <rFont val="Calibri"/>
              <sz val="10"/>
            </rPr>
            <t xml:space="preserve"> 2 of 12 — Start: 2.0 · practitioner title; Evidence reads like A2: Independently resolves routine IT issues; follows defined processes and escalates the rest → matches the start
</t>
          </r>
          <r>
            <rPr>
              <rFont val="Calibri"/>
              <b val="1"/>
              <sz val="10"/>
            </rPr>
            <t>Accountability &amp; Impact:</t>
          </r>
          <r>
            <rPr>
              <rFont val="Calibri"/>
              <sz val="10"/>
            </rPr>
            <t xml:space="preserve"> 2 of 12 — Start: 2.0 · practitioner title; Evidence reads like A2: Own tickets: resolution within SLA, accurate ticket documentation, timely escalation → matches the start
</t>
          </r>
          <r>
            <rPr>
              <rFont val="Calibri"/>
              <b val="1"/>
              <sz val="10"/>
            </rPr>
            <t>Leadership &amp; Strategy:</t>
          </r>
          <r>
            <rPr>
              <rFont val="Calibri"/>
              <sz val="10"/>
            </rPr>
            <t xml:space="preserve"> 1 of 12 — not counted: the weight is 0% at this level — Start: 1.0 · individual contributor, so influence only; Evidence reads like A1: No guiding or leading of others described → matches the start; Team: 0 direct reports · IC
</t>
          </r>
          <r>
            <rPr>
              <rFont val="Calibri"/>
              <b val="1"/>
              <sz val="10"/>
            </rPr>
            <t>Experience &amp; Qualification:</t>
          </r>
          <r>
            <rPr>
              <rFont val="Calibri"/>
              <sz val="10"/>
            </rPr>
            <t xml:space="preserve"> 5 of 12 — Experience: 8.6 yrs total · 5.0 before IRIS + 3.6 at IRIS = 5.4 on the experience scale; Qualification: Undergraduate · below graduate → −0.5
</t>
          </r>
          <r>
            <rPr>
              <rFont val="Calibri"/>
              <b val="1"/>
              <sz val="10"/>
            </rPr>
            <t>Business Impact:</t>
          </r>
          <r>
            <rPr>
              <rFont val="Calibri"/>
              <sz val="10"/>
            </rPr>
            <t xml:space="preserve"> 2 of 12 — a starting estimate. — Start: 2, the role's accountability scope — what it answers for.; No survey or manager-mapping signal on criticality: kept at the start point.; Managers and heads: overwrite this rating on the Weightage sheet with the business impact you see — the score updates at once.; Ladder: A2 = Own deliverables feed a team's output and turnaround</t>
          </r>
        </is>
      </c>
      <c r="X43" s="12" t="inlineStr">
        <is>
          <r>
            <rPr>
              <rFont val="Calibri"/>
              <b val="1"/>
              <sz val="10"/>
            </rPr>
            <t>Market level:</t>
          </r>
          <r>
            <rPr>
              <rFont val="Calibri"/>
              <sz val="10"/>
            </rPr>
            <t xml:space="preserve"> P2 · SFIA 3 Apply
</t>
          </r>
          <r>
            <rPr>
              <rFont val="Calibri"/>
              <b val="1"/>
              <sz val="10"/>
            </rPr>
            <t>Typical title:</t>
          </r>
          <r>
            <rPr>
              <rFont val="Calibri"/>
              <sz val="10"/>
            </rPr>
            <t xml:space="preserve"> System Administrator
</t>
          </r>
          <r>
            <rPr>
              <rFont val="Calibri"/>
              <b val="1"/>
              <sz val="10"/>
            </rPr>
            <t>At peers:</t>
          </r>
          <r>
            <rPr>
              <rFont val="Calibri"/>
              <sz val="10"/>
            </rPr>
            <t xml:space="preserve"> Atlassian company-wide P-levels – P40 · IRIS Vs Competitor Benchmark — infrastructure ladder: System Administrator
</t>
          </r>
          <r>
            <rPr>
              <rFont val="Calibri"/>
              <b val="1"/>
              <sz val="10"/>
            </rPr>
            <t>Typical experience:</t>
          </r>
          <r>
            <rPr>
              <rFont val="Calibri"/>
              <sz val="10"/>
            </rPr>
            <t xml:space="preserve"> 2–5 yrs · IRIS guide 2–4
</t>
          </r>
          <r>
            <rPr>
              <rFont val="Calibri"/>
              <b val="1"/>
              <sz val="10"/>
            </rPr>
            <t>Standard:</t>
          </r>
          <r>
            <rPr>
              <rFont val="Calibri"/>
              <sz val="10"/>
            </rPr>
            <t xml:space="preserve"> ITIL 4; ISO/IEC 27001:2022</t>
          </r>
        </is>
      </c>
      <c r="Y43" s="12" t="inlineStr">
        <is>
          <r>
            <rPr>
              <rFont val="Calibri"/>
              <sz val="10"/>
            </rPr>
            <t xml:space="preserve">✓ HRIS: 8.6 yrs, Undergraduate, 0 direct reports
✓ Survey: 20 of 20 questions answered
✗ KRAs: none on file
✓ Manager mapping: rating, 9-box
✗ Job description: not on file
</t>
          </r>
          <r>
            <rPr>
              <rFont val="Calibri"/>
              <b val="1"/>
              <sz val="10"/>
            </rPr>
            <t>Confidence:</t>
          </r>
          <r>
            <rPr>
              <rFont val="Calibri"/>
              <sz val="10"/>
            </rPr>
            <t xml:space="preserve"> High</t>
          </r>
        </is>
      </c>
      <c r="Z43" s="12" t="inlineStr">
        <is>
          <t>—</t>
        </is>
      </c>
      <c r="AA43" s="12" t="inlineStr">
        <is>
          <t>Nothing outstanding</t>
        </is>
      </c>
      <c r="AB43" s="12" t="inlineStr">
        <is>
          <r>
            <rPr>
              <rFont val="Calibri"/>
              <b val="1"/>
              <sz val="10"/>
            </rPr>
            <t>What the role answers for:</t>
          </r>
          <r>
            <rPr>
              <rFont val="Calibri"/>
              <sz val="10"/>
            </rPr>
            <t xml:space="preserve"> A module / process, or work with client or regulatory consequences.
</t>
          </r>
          <r>
            <rPr>
              <rFont val="Calibri"/>
              <b val="1"/>
              <sz val="10"/>
            </rPr>
            <t>Accountability &amp; Impact rating:</t>
          </r>
          <r>
            <rPr>
              <rFont val="Calibri"/>
              <sz val="10"/>
            </rPr>
            <t xml:space="preserve"> 2 of 12 · A2-level impact.
Manager talent mapping — Latest rating: Not rated · manager · 9-Box Grid placement: Not placed · manager.</t>
          </r>
        </is>
      </c>
      <c r="AC43" s="83" t="n"/>
      <c r="AD43" s="83" t="n"/>
      <c r="AE43" s="83" t="n"/>
      <c r="AF43" s="12" t="n">
        <v>2</v>
      </c>
    </row>
    <row r="44" ht="379" customHeight="1">
      <c r="A44" s="12" t="inlineStr">
        <is>
          <t>IRIS1958</t>
        </is>
      </c>
      <c r="B44" s="10" t="inlineStr">
        <is>
          <t>Sandip Mane</t>
        </is>
      </c>
      <c r="C44" s="12" t="inlineStr">
        <is>
          <t>IT &amp; Infrastructure</t>
        </is>
      </c>
      <c r="D44" s="12" t="inlineStr">
        <is>
          <t>System Administrator</t>
        </is>
      </c>
      <c r="E44" s="79" t="inlineStr">
        <is>
          <t>Senior System Administrator</t>
        </is>
      </c>
      <c r="F44" s="12" t="inlineStr">
        <is>
          <t>IT &amp; Infrastructure</t>
        </is>
      </c>
      <c r="G44" s="12" t="inlineStr">
        <is>
          <t>Infrastructure &amp; Cloud Operations</t>
        </is>
      </c>
      <c r="H44" s="12" t="inlineStr">
        <is>
          <t>IC</t>
        </is>
      </c>
      <c r="I44" s="42" t="inlineStr">
        <is>
          <t>Not in current mapping files</t>
        </is>
      </c>
      <c r="J44" s="16" t="inlineStr">
        <is>
          <t>A3</t>
        </is>
      </c>
      <c r="K44" s="17" t="inlineStr">
        <is>
          <t>Senior Associate</t>
        </is>
      </c>
      <c r="L44" s="80" t="inlineStr">
        <is>
          <t>● Newly mapped</t>
        </is>
      </c>
      <c r="M44" s="12" t="inlineStr">
        <is>
          <t>Corporate · IT &amp; Infrastructure · Band A · Early career</t>
        </is>
      </c>
      <c r="N44" s="42" t="n">
        <v>3</v>
      </c>
      <c r="O44" s="42" t="n">
        <v>2.5</v>
      </c>
      <c r="P44" s="42" t="n">
        <v>3</v>
      </c>
      <c r="Q44" s="42" t="n">
        <v>1.5</v>
      </c>
      <c r="R44" s="42" t="n">
        <v>6.5</v>
      </c>
      <c r="S44" s="81" t="n">
        <v>3</v>
      </c>
      <c r="T44" s="82">
        <f>IF(OR($M44="",COUNT(N44,O44,P44,Q44,R44,S44)&lt;6),"",IFERROR(N44*INDEX(WM_C,MATCH($M44,WM_KEY,0))+O44*INDEX(WM_AU,MATCH($M44,WM_KEY,0))+P44*INDEX(WM_AC,MATCH($M44,WM_KEY,0))+Q44*INDEX(WM_L,MATCH($M44,WM_KEY,0))+R44*INDEX(WM_E,MATCH($M44,WM_KEY,0))+S44*INDEX(WM_BI,MATCH($M44,WM_KEY,0)),""))</f>
        <v>3.27</v>
      </c>
      <c r="U44" s="42" t="str">
        <f>IF(T44="","",INDEX({"A1","A2","A3","B1","B2","B3","C1","C2","D1","D2","E1","E2"},MAX(1,MIN(12,ROUND(T44,0)))))</f>
        <v>A3</v>
      </c>
      <c r="V44" s="12" t="inlineStr">
        <is>
          <r>
            <rPr>
              <rFont val="Calibri"/>
              <sz val="10"/>
            </rPr>
            <t xml:space="preserve">New level A3 · Senior Associate. Current level on record: Not in current mapping files. Change: ● Newly mapped.
Score 3.27 on the ladder scale → indicated level A3.
</t>
          </r>
          <r>
            <rPr>
              <rFont val="Calibri"/>
              <b val="1"/>
              <sz val="10"/>
            </rPr>
            <t>Weights:</t>
          </r>
          <r>
            <rPr>
              <rFont val="Calibri"/>
              <sz val="10"/>
            </rPr>
            <t xml:space="preserve"> Complexity 64% · Autonomy 16% · Experience 10% · Business impact 6% · Accountability 4% · Leadership 0%
</t>
          </r>
          <r>
            <rPr>
              <rFont val="Calibri"/>
              <b val="1"/>
              <sz val="10"/>
            </rPr>
            <t>Why:</t>
          </r>
          <r>
            <rPr>
              <rFont val="Calibri"/>
              <sz val="10"/>
            </rPr>
            <t xml:space="preserve"> entry and practitioner work is judged mainly on the knowledge and problem solving the work needs; leading others is not expected yet, so Leadership counts 0%.
</t>
          </r>
          <r>
            <rPr>
              <rFont val="Calibri"/>
              <b val="1"/>
              <sz val="10"/>
            </rPr>
            <t>Type of work in the department:</t>
          </r>
          <r>
            <rPr>
              <rFont val="Calibri"/>
              <sz val="10"/>
            </rPr>
            <t xml:space="preserve"> technology work is valued for technical depth, so Complexity +5 and Accountability −5.
</t>
          </r>
          <r>
            <rPr>
              <rFont val="Calibri"/>
              <b val="1"/>
              <sz val="10"/>
            </rPr>
            <t>Live:</t>
          </r>
          <r>
            <rPr>
              <rFont val="Calibri"/>
              <sz val="10"/>
            </rPr>
            <t xml:space="preserve"> change the department's row on the Weightage Matrix and these weights, the points and the score update.
</t>
          </r>
          <r>
            <rPr>
              <rFont val="Calibri"/>
              <b val="1"/>
              <sz val="10"/>
            </rPr>
            <t>What decided the final level:</t>
          </r>
          <r>
            <rPr>
              <rFont val="Calibri"/>
              <sz val="10"/>
            </rPr>
            <t xml:space="preserve"> the score itself — no rule changed it.</t>
          </r>
        </is>
      </c>
      <c r="W44" s="12" t="inlineStr">
        <is>
          <r>
            <rPr>
              <rFont val="Calibri"/>
              <b val="1"/>
              <sz val="10"/>
            </rPr>
            <t>Complexity &amp; Expertise:</t>
          </r>
          <r>
            <rPr>
              <rFont val="Calibri"/>
              <sz val="10"/>
            </rPr>
            <t xml:space="preserve"> 3 of 12 — Start: 3.0 · senior practitioner title; Evidence reads like A3: Administers Active Directory, DNS, DHCP, GPO, TFS and Azure; patching and server security → matches the start
</t>
          </r>
          <r>
            <rPr>
              <rFont val="Calibri"/>
              <b val="1"/>
              <sz val="10"/>
            </rPr>
            <t>Autonomy &amp; Decision:</t>
          </r>
          <r>
            <rPr>
              <rFont val="Calibri"/>
              <sz val="10"/>
            </rPr>
            <t xml:space="preserve"> 2.5 of 12 · between A2 and A3 — Start: 3.0 · senior practitioner title; Evidence reads like A2: States only 'troubleshoot and resolve'; no wider calls described → moved down 0.5
</t>
          </r>
          <r>
            <rPr>
              <rFont val="Calibri"/>
              <b val="1"/>
              <sz val="10"/>
            </rPr>
            <t>Accountability &amp; Impact:</t>
          </r>
          <r>
            <rPr>
              <rFont val="Calibri"/>
              <sz val="10"/>
            </rPr>
            <t xml:space="preserve"> 3 of 12 — Start: 3.0 · senior practitioner title; Evidence reads like A3: own survey / KRA answers · summarised by the rater; not quoted → matches the start
</t>
          </r>
          <r>
            <rPr>
              <rFont val="Calibri"/>
              <b val="1"/>
              <sz val="10"/>
            </rPr>
            <t>Leadership &amp; Strategy:</t>
          </r>
          <r>
            <rPr>
              <rFont val="Calibri"/>
              <sz val="10"/>
            </rPr>
            <t xml:space="preserve"> 1.5 of 12 · between A1 and A2 — not counted: the weight is 0% at this level — Start: 2.0 · individual contributor, so influence only; Evidence reads like A1: No guiding or leading of others described → moved down 0.5; Team: 0 direct reports · IC
</t>
          </r>
          <r>
            <rPr>
              <rFont val="Calibri"/>
              <b val="1"/>
              <sz val="10"/>
            </rPr>
            <t>Experience &amp; Qualification:</t>
          </r>
          <r>
            <rPr>
              <rFont val="Calibri"/>
              <sz val="10"/>
            </rPr>
            <t xml:space="preserve"> 6.5 of 12 · between B3 and C1 — Experience: 10.6 yrs total · 5.6 before IRIS + 5.0 at IRIS = 6.3 on the experience scale; Qualification: B.SC · graduate, relevant to the work → no change
</t>
          </r>
          <r>
            <rPr>
              <rFont val="Calibri"/>
              <b val="1"/>
              <sz val="10"/>
            </rPr>
            <t>Business Impact:</t>
          </r>
          <r>
            <rPr>
              <rFont val="Calibri"/>
              <sz val="10"/>
            </rPr>
            <t xml:space="preserve"> 3 of 12 — a starting estimate. — Start: 3, the role's accountability scope — what it answers for.; No survey or manager-mapping signal on criticality: kept at the start point.; Managers and heads: overwrite this rating on the Weightage sheet with the business impact you see — the score updates at once.; Ladder: A3 = A process or client deliverable depends on this work</t>
          </r>
        </is>
      </c>
      <c r="X44" s="12" t="inlineStr">
        <is>
          <r>
            <rPr>
              <rFont val="Calibri"/>
              <b val="1"/>
              <sz val="10"/>
            </rPr>
            <t>Market level:</t>
          </r>
          <r>
            <rPr>
              <rFont val="Calibri"/>
              <sz val="10"/>
            </rPr>
            <t xml:space="preserve"> P2 · SFIA 3 Apply
</t>
          </r>
          <r>
            <rPr>
              <rFont val="Calibri"/>
              <b val="1"/>
              <sz val="10"/>
            </rPr>
            <t>Typical title:</t>
          </r>
          <r>
            <rPr>
              <rFont val="Calibri"/>
              <sz val="10"/>
            </rPr>
            <t xml:space="preserve"> System Administrator
</t>
          </r>
          <r>
            <rPr>
              <rFont val="Calibri"/>
              <b val="1"/>
              <sz val="10"/>
            </rPr>
            <t>At peers:</t>
          </r>
          <r>
            <rPr>
              <rFont val="Calibri"/>
              <sz val="10"/>
            </rPr>
            <t xml:space="preserve"> Atlassian company-wide P-levels – P40 · IRIS Vs Competitor Benchmark — infrastructure ladder: System Administrator
</t>
          </r>
          <r>
            <rPr>
              <rFont val="Calibri"/>
              <b val="1"/>
              <sz val="10"/>
            </rPr>
            <t>Typical experience:</t>
          </r>
          <r>
            <rPr>
              <rFont val="Calibri"/>
              <sz val="10"/>
            </rPr>
            <t xml:space="preserve"> 2–5 yrs · IRIS guide 2–4
</t>
          </r>
          <r>
            <rPr>
              <rFont val="Calibri"/>
              <b val="1"/>
              <sz val="10"/>
            </rPr>
            <t>Standard:</t>
          </r>
          <r>
            <rPr>
              <rFont val="Calibri"/>
              <sz val="10"/>
            </rPr>
            <t xml:space="preserve"> ITIL 4; ISO/IEC 27001:2022</t>
          </r>
        </is>
      </c>
      <c r="Y44" s="12" t="inlineStr">
        <is>
          <r>
            <rPr>
              <rFont val="Calibri"/>
              <sz val="10"/>
            </rPr>
            <t xml:space="preserve">✓ HRIS: 10.6 yrs, B.SC, 0 direct reports
✓ Survey: 20 of 20 questions answered
✗ KRAs: none on file
✓ Manager mapping: rating, 9-box
✗ Job description: not on file
</t>
          </r>
          <r>
            <rPr>
              <rFont val="Calibri"/>
              <b val="1"/>
              <sz val="10"/>
            </rPr>
            <t>Confidence:</t>
          </r>
          <r>
            <rPr>
              <rFont val="Calibri"/>
              <sz val="10"/>
            </rPr>
            <t xml:space="preserve"> Medium</t>
          </r>
        </is>
      </c>
      <c r="Z44" s="12" t="inlineStr">
        <is>
          <t>—</t>
        </is>
      </c>
      <c r="AA44" s="12" t="inlineStr">
        <is>
          <t>Nothing outstanding</t>
        </is>
      </c>
      <c r="AB44" s="12" t="inlineStr">
        <is>
          <r>
            <rPr>
              <rFont val="Calibri"/>
              <b val="1"/>
              <sz val="10"/>
            </rPr>
            <t>What the role answers for:</t>
          </r>
          <r>
            <rPr>
              <rFont val="Calibri"/>
              <sz val="10"/>
            </rPr>
            <t xml:space="preserve"> A module / process, or work with client or regulatory consequences.
</t>
          </r>
          <r>
            <rPr>
              <rFont val="Calibri"/>
              <b val="1"/>
              <sz val="10"/>
            </rPr>
            <t>Accountability &amp; Impact rating:</t>
          </r>
          <r>
            <rPr>
              <rFont val="Calibri"/>
              <sz val="10"/>
            </rPr>
            <t xml:space="preserve"> 3 of 12 · A3-level impact.
</t>
          </r>
          <r>
            <rPr>
              <rFont val="Calibri"/>
              <b val="1"/>
              <sz val="10"/>
            </rPr>
            <t>If the work is missed · role-holders' themes:</t>
          </r>
          <r>
            <rPr>
              <rFont val="Calibri"/>
              <sz val="10"/>
            </rPr>
            <t xml:space="preserve"> business · server · data loss.
Manager talent mapping — Latest rating: Not rated · manager · 9-Box Grid placement: Not placed · manager.</t>
          </r>
        </is>
      </c>
      <c r="AC44" s="83" t="n"/>
      <c r="AD44" s="83" t="n"/>
      <c r="AE44" s="83" t="n"/>
      <c r="AF44" s="12" t="n">
        <v>3</v>
      </c>
    </row>
    <row r="45" ht="379" customHeight="1">
      <c r="A45" s="12" t="inlineStr">
        <is>
          <t>IRIS1581</t>
        </is>
      </c>
      <c r="B45" s="10" t="inlineStr">
        <is>
          <t>Vishal Vare</t>
        </is>
      </c>
      <c r="C45" s="12" t="inlineStr">
        <is>
          <t>IT &amp; Infrastructure</t>
        </is>
      </c>
      <c r="D45" s="12" t="inlineStr">
        <is>
          <t>Senior System Administrator</t>
        </is>
      </c>
      <c r="E45" s="12" t="inlineStr">
        <is>
          <t>Senior System Administrator</t>
        </is>
      </c>
      <c r="F45" s="12" t="inlineStr">
        <is>
          <t>IT &amp; Infrastructure</t>
        </is>
      </c>
      <c r="G45" s="12" t="inlineStr">
        <is>
          <t>Infrastructure &amp; Cloud Operations</t>
        </is>
      </c>
      <c r="H45" s="12" t="inlineStr">
        <is>
          <t>IC</t>
        </is>
      </c>
      <c r="I45" s="42" t="inlineStr">
        <is>
          <t>Not in current mapping files</t>
        </is>
      </c>
      <c r="J45" s="16" t="inlineStr">
        <is>
          <t>A3</t>
        </is>
      </c>
      <c r="K45" s="17" t="inlineStr">
        <is>
          <t>Senior Associate</t>
        </is>
      </c>
      <c r="L45" s="80" t="inlineStr">
        <is>
          <t>● Newly mapped</t>
        </is>
      </c>
      <c r="M45" s="12" t="inlineStr">
        <is>
          <t>Corporate · IT &amp; Infrastructure · Band A · Early career</t>
        </is>
      </c>
      <c r="N45" s="42" t="n">
        <v>3</v>
      </c>
      <c r="O45" s="42" t="n">
        <v>2.5</v>
      </c>
      <c r="P45" s="42" t="n">
        <v>3</v>
      </c>
      <c r="Q45" s="42" t="n">
        <v>1.5</v>
      </c>
      <c r="R45" s="42" t="n">
        <v>6</v>
      </c>
      <c r="S45" s="81" t="n">
        <v>3</v>
      </c>
      <c r="T45" s="82">
        <f>IF(OR($M45="",COUNT(N45,O45,P45,Q45,R45,S45)&lt;6),"",IFERROR(N45*INDEX(WM_C,MATCH($M45,WM_KEY,0))+O45*INDEX(WM_AU,MATCH($M45,WM_KEY,0))+P45*INDEX(WM_AC,MATCH($M45,WM_KEY,0))+Q45*INDEX(WM_L,MATCH($M45,WM_KEY,0))+R45*INDEX(WM_E,MATCH($M45,WM_KEY,0))+S45*INDEX(WM_BI,MATCH($M45,WM_KEY,0)),""))</f>
        <v>3.22</v>
      </c>
      <c r="U45" s="42" t="str">
        <f>IF(T45="","",INDEX({"A1","A2","A3","B1","B2","B3","C1","C2","D1","D2","E1","E2"},MAX(1,MIN(12,ROUND(T45,0)))))</f>
        <v>A3</v>
      </c>
      <c r="V45" s="12" t="inlineStr">
        <is>
          <r>
            <rPr>
              <rFont val="Calibri"/>
              <sz val="10"/>
            </rPr>
            <t xml:space="preserve">New level A3 · Senior Associate. Current level on record: Not in current mapping files. Change: ● Newly mapped.
Score 3.22 on the ladder scale → indicated level A3.
</t>
          </r>
          <r>
            <rPr>
              <rFont val="Calibri"/>
              <b val="1"/>
              <sz val="10"/>
            </rPr>
            <t>Weights:</t>
          </r>
          <r>
            <rPr>
              <rFont val="Calibri"/>
              <sz val="10"/>
            </rPr>
            <t xml:space="preserve"> Complexity 64% · Autonomy 16% · Experience 10% · Business impact 6% · Accountability 4% · Leadership 0%
</t>
          </r>
          <r>
            <rPr>
              <rFont val="Calibri"/>
              <b val="1"/>
              <sz val="10"/>
            </rPr>
            <t>Why:</t>
          </r>
          <r>
            <rPr>
              <rFont val="Calibri"/>
              <sz val="10"/>
            </rPr>
            <t xml:space="preserve"> entry and practitioner work is judged mainly on the knowledge and problem solving the work needs; leading others is not expected yet, so Leadership counts 0%.
</t>
          </r>
          <r>
            <rPr>
              <rFont val="Calibri"/>
              <b val="1"/>
              <sz val="10"/>
            </rPr>
            <t>Type of work in the department:</t>
          </r>
          <r>
            <rPr>
              <rFont val="Calibri"/>
              <sz val="10"/>
            </rPr>
            <t xml:space="preserve"> technology work is valued for technical depth, so Complexity +5 and Accountability −5.
</t>
          </r>
          <r>
            <rPr>
              <rFont val="Calibri"/>
              <b val="1"/>
              <sz val="10"/>
            </rPr>
            <t>Live:</t>
          </r>
          <r>
            <rPr>
              <rFont val="Calibri"/>
              <sz val="10"/>
            </rPr>
            <t xml:space="preserve"> change the department's row on the Weightage Matrix and these weights, the points and the score update.
</t>
          </r>
          <r>
            <rPr>
              <rFont val="Calibri"/>
              <b val="1"/>
              <sz val="10"/>
            </rPr>
            <t>What decided the final level:</t>
          </r>
          <r>
            <rPr>
              <rFont val="Calibri"/>
              <sz val="10"/>
            </rPr>
            <t xml:space="preserve"> the score itself — no rule changed it.</t>
          </r>
        </is>
      </c>
      <c r="W45" s="12" t="inlineStr">
        <is>
          <r>
            <rPr>
              <rFont val="Calibri"/>
              <b val="1"/>
              <sz val="10"/>
            </rPr>
            <t>Complexity &amp; Expertise:</t>
          </r>
          <r>
            <rPr>
              <rFont val="Calibri"/>
              <sz val="10"/>
            </rPr>
            <t xml:space="preserve"> 3 of 12 — Start: 3.0 · senior practitioner title; Evidence reads like A3: Administers AWS infrastructure, GSuite, SendGrid, Linux servers and Cloudflare DNS for the organisation → matches the start
</t>
          </r>
          <r>
            <rPr>
              <rFont val="Calibri"/>
              <b val="1"/>
              <sz val="10"/>
            </rPr>
            <t>Autonomy &amp; Decision:</t>
          </r>
          <r>
            <rPr>
              <rFont val="Calibri"/>
              <sz val="10"/>
            </rPr>
            <t xml:space="preserve"> 2.5 of 12 · between A2 and A3 — Start: 3.0 · senior practitioner title; Evidence reads like A2: States only 'Operations'; no specific independent decisions given → moved down 0.5
</t>
          </r>
          <r>
            <rPr>
              <rFont val="Calibri"/>
              <b val="1"/>
              <sz val="10"/>
            </rPr>
            <t>Accountability &amp; Impact:</t>
          </r>
          <r>
            <rPr>
              <rFont val="Calibri"/>
              <sz val="10"/>
            </rPr>
            <t xml:space="preserve"> 3 of 12 — Start: 3.0 · senior practitioner title; Evidence reads like A3: own survey / KRA answers · summarised by the rater; not quoted → matches the start
</t>
          </r>
          <r>
            <rPr>
              <rFont val="Calibri"/>
              <b val="1"/>
              <sz val="10"/>
            </rPr>
            <t>Leadership &amp; Strategy:</t>
          </r>
          <r>
            <rPr>
              <rFont val="Calibri"/>
              <sz val="10"/>
            </rPr>
            <t xml:space="preserve"> 1.5 of 12 · between A1 and A2 — not counted: the weight is 0% at this level — Start: 2.0 · individual contributor, so influence only; Evidence reads like A1: No guiding or leading of others described → moved down 0.5; Team: 0 direct reports · IC
</t>
          </r>
          <r>
            <rPr>
              <rFont val="Calibri"/>
              <b val="1"/>
              <sz val="10"/>
            </rPr>
            <t>Experience &amp; Qualification:</t>
          </r>
          <r>
            <rPr>
              <rFont val="Calibri"/>
              <sz val="10"/>
            </rPr>
            <t xml:space="preserve"> 6 of 12 — Experience: 10.3 yrs total · 10.3 at IRIS; none recorded before IRIS = 6.2 on the experience scale; Note: the record looks incomplete, so this is a minimum · HR to confirm; Qualification: B.SC · graduate, relevant to the work → no change
</t>
          </r>
          <r>
            <rPr>
              <rFont val="Calibri"/>
              <b val="1"/>
              <sz val="10"/>
            </rPr>
            <t>Business Impact:</t>
          </r>
          <r>
            <rPr>
              <rFont val="Calibri"/>
              <sz val="10"/>
            </rPr>
            <t xml:space="preserve"> 3 of 12 — a starting estimate. — Start: 3, the role's accountability scope — what it answers for.; No survey or manager-mapping signal on criticality: kept at the start point.; Managers and heads: overwrite this rating on the Weightage sheet with the business impact you see — the score updates at once.; Ladder: A3 = A process or client deliverable depends on this work</t>
          </r>
        </is>
      </c>
      <c r="X45" s="12" t="inlineStr">
        <is>
          <r>
            <rPr>
              <rFont val="Calibri"/>
              <b val="1"/>
              <sz val="10"/>
            </rPr>
            <t>Market level:</t>
          </r>
          <r>
            <rPr>
              <rFont val="Calibri"/>
              <sz val="10"/>
            </rPr>
            <t xml:space="preserve"> P2 · SFIA 3 Apply
</t>
          </r>
          <r>
            <rPr>
              <rFont val="Calibri"/>
              <b val="1"/>
              <sz val="10"/>
            </rPr>
            <t>Typical title:</t>
          </r>
          <r>
            <rPr>
              <rFont val="Calibri"/>
              <sz val="10"/>
            </rPr>
            <t xml:space="preserve"> System Administrator
</t>
          </r>
          <r>
            <rPr>
              <rFont val="Calibri"/>
              <b val="1"/>
              <sz val="10"/>
            </rPr>
            <t>At peers:</t>
          </r>
          <r>
            <rPr>
              <rFont val="Calibri"/>
              <sz val="10"/>
            </rPr>
            <t xml:space="preserve"> Atlassian company-wide P-levels – P40 · IRIS Vs Competitor Benchmark — infrastructure ladder: System Administrator
</t>
          </r>
          <r>
            <rPr>
              <rFont val="Calibri"/>
              <b val="1"/>
              <sz val="10"/>
            </rPr>
            <t>Typical experience:</t>
          </r>
          <r>
            <rPr>
              <rFont val="Calibri"/>
              <sz val="10"/>
            </rPr>
            <t xml:space="preserve"> 2–5 yrs · IRIS guide 2–4
</t>
          </r>
          <r>
            <rPr>
              <rFont val="Calibri"/>
              <b val="1"/>
              <sz val="10"/>
            </rPr>
            <t>Standard:</t>
          </r>
          <r>
            <rPr>
              <rFont val="Calibri"/>
              <sz val="10"/>
            </rPr>
            <t xml:space="preserve"> ITIL 4; ISO/IEC 27001:2022</t>
          </r>
        </is>
      </c>
      <c r="Y45" s="12" t="inlineStr">
        <is>
          <r>
            <rPr>
              <rFont val="Calibri"/>
              <sz val="10"/>
            </rPr>
            <t xml:space="preserve">✓ HRIS: 10.3 yrs, B.SC, 0 direct reports
✓ Survey: 20 of 20 questions answered
✗ KRAs: none on file
✓ Manager mapping: rating, 9-box
✗ Job description: not on file
</t>
          </r>
          <r>
            <rPr>
              <rFont val="Calibri"/>
              <b val="1"/>
              <sz val="10"/>
            </rPr>
            <t>Confidence:</t>
          </r>
          <r>
            <rPr>
              <rFont val="Calibri"/>
              <sz val="10"/>
            </rPr>
            <t xml:space="preserve"> Low</t>
          </r>
        </is>
      </c>
      <c r="Z45" s="12" t="inlineStr">
        <is>
          <t>—</t>
        </is>
      </c>
      <c r="AA45" s="84" t="inlineStr">
        <is>
          <t>• Correct the experience record — HR</t>
        </is>
      </c>
      <c r="AB45" s="12" t="inlineStr">
        <is>
          <r>
            <rPr>
              <rFont val="Calibri"/>
              <b val="1"/>
              <sz val="10"/>
            </rPr>
            <t>What the role answers for:</t>
          </r>
          <r>
            <rPr>
              <rFont val="Calibri"/>
              <sz val="10"/>
            </rPr>
            <t xml:space="preserve"> A module / process, or work with client or regulatory consequences.
</t>
          </r>
          <r>
            <rPr>
              <rFont val="Calibri"/>
              <b val="1"/>
              <sz val="10"/>
            </rPr>
            <t>Accountability &amp; Impact rating:</t>
          </r>
          <r>
            <rPr>
              <rFont val="Calibri"/>
              <sz val="10"/>
            </rPr>
            <t xml:space="preserve"> 3 of 12 · A3-level impact.
</t>
          </r>
          <r>
            <rPr>
              <rFont val="Calibri"/>
              <b val="1"/>
              <sz val="10"/>
            </rPr>
            <t>If the work is missed · role-holders' themes:</t>
          </r>
          <r>
            <rPr>
              <rFont val="Calibri"/>
              <sz val="10"/>
            </rPr>
            <t xml:space="preserve"> business · server · data loss.
Manager talent mapping — Latest rating: Not rated · manager · 9-Box Grid placement: Not placed · manager.</t>
          </r>
        </is>
      </c>
      <c r="AC45" s="83" t="n"/>
      <c r="AD45" s="83" t="n"/>
      <c r="AE45" s="83" t="n"/>
      <c r="AF45" s="12" t="n">
        <v>3</v>
      </c>
    </row>
    <row r="46" ht="379" customHeight="1">
      <c r="A46" s="12" t="inlineStr">
        <is>
          <t>IRIS0001</t>
        </is>
      </c>
      <c r="B46" s="10" t="inlineStr">
        <is>
          <t>Balachandran K</t>
        </is>
      </c>
      <c r="C46" s="12" t="inlineStr">
        <is>
          <t>Management</t>
        </is>
      </c>
      <c r="D46" s="12" t="inlineStr">
        <is>
          <t>CEO</t>
        </is>
      </c>
      <c r="E46" s="79" t="inlineStr">
        <is>
          <t>Chief Executive Officer</t>
        </is>
      </c>
      <c r="F46" s="12" t="inlineStr">
        <is>
          <t>Executive Leadership</t>
        </is>
      </c>
      <c r="G46" s="12" t="inlineStr">
        <is>
          <t>Enterprise Leadership</t>
        </is>
      </c>
      <c r="H46" s="12" t="inlineStr">
        <is>
          <t>People Manager</t>
        </is>
      </c>
      <c r="I46" s="42" t="inlineStr">
        <is>
          <t>Not in current mapping files</t>
        </is>
      </c>
      <c r="J46" s="32" t="inlineStr">
        <is>
          <t>E2</t>
        </is>
      </c>
      <c r="K46" s="33" t="inlineStr">
        <is>
          <t>Chief Executive Officer</t>
        </is>
      </c>
      <c r="L46" s="80" t="inlineStr">
        <is>
          <t>● Newly mapped</t>
        </is>
      </c>
      <c r="M46" s="12" t="inlineStr">
        <is>
          <t>Corporate · Management · Bands D–E · Leadership</t>
        </is>
      </c>
      <c r="N46" s="42" t="n">
        <v>12</v>
      </c>
      <c r="O46" s="42" t="n">
        <v>12</v>
      </c>
      <c r="P46" s="42" t="n">
        <v>12</v>
      </c>
      <c r="Q46" s="42" t="n">
        <v>12</v>
      </c>
      <c r="R46" s="42" t="n">
        <v>12</v>
      </c>
      <c r="S46" s="81" t="n">
        <v>12</v>
      </c>
      <c r="T46" s="82">
        <f>IF(OR($M46="",COUNT(N46,O46,P46,Q46,R46,S46)&lt;6),"",IFERROR(N46*INDEX(WM_C,MATCH($M46,WM_KEY,0))+O46*INDEX(WM_AU,MATCH($M46,WM_KEY,0))+P46*INDEX(WM_AC,MATCH($M46,WM_KEY,0))+Q46*INDEX(WM_L,MATCH($M46,WM_KEY,0))+R46*INDEX(WM_E,MATCH($M46,WM_KEY,0))+S46*INDEX(WM_BI,MATCH($M46,WM_KEY,0)),""))</f>
        <v>12</v>
      </c>
      <c r="U46" s="42" t="str">
        <f>IF(T46="","",INDEX({"A1","A2","A3","B1","B2","B3","C1","C2","D1","D2","E1","E2"},MAX(1,MIN(12,ROUND(T46,0)))))</f>
        <v>E2</v>
      </c>
      <c r="V46" s="12" t="inlineStr">
        <is>
          <r>
            <rPr>
              <rFont val="Calibri"/>
              <sz val="10"/>
            </rPr>
            <t xml:space="preserve">New level E2 · Chief Executive Officer. Current level on record: Not in current mapping files. Change: ● Newly mapped.
Score 12.00 on the ladder scale → indicated level E2.
</t>
          </r>
          <r>
            <rPr>
              <rFont val="Calibri"/>
              <b val="1"/>
              <sz val="10"/>
            </rPr>
            <t>Weights:</t>
          </r>
          <r>
            <rPr>
              <rFont val="Calibri"/>
              <sz val="10"/>
            </rPr>
            <t xml:space="preserve"> Complexity 37% · Leadership 20% · Autonomy 19% · Accountability 11% · Business impact 8% · Experience 5%
</t>
          </r>
          <r>
            <rPr>
              <rFont val="Calibri"/>
              <b val="1"/>
              <sz val="10"/>
            </rPr>
            <t>Why:</t>
          </r>
          <r>
            <rPr>
              <rFont val="Calibri"/>
              <sz val="10"/>
            </rPr>
            <t xml:space="preserve"> leaders are judged on the hardest problems, on leading — 20% — and on the decisions, scope and business impact of the job.
</t>
          </r>
          <r>
            <rPr>
              <rFont val="Calibri"/>
              <b val="1"/>
              <sz val="10"/>
            </rPr>
            <t>Type of work in the department:</t>
          </r>
          <r>
            <rPr>
              <rFont val="Calibri"/>
              <sz val="10"/>
            </rPr>
            <t xml:space="preserve"> no adjustment at this level.
</t>
          </r>
          <r>
            <rPr>
              <rFont val="Calibri"/>
              <b val="1"/>
              <sz val="10"/>
            </rPr>
            <t>Live:</t>
          </r>
          <r>
            <rPr>
              <rFont val="Calibri"/>
              <sz val="10"/>
            </rPr>
            <t xml:space="preserve"> change the department's row on the Weightage Matrix and these weights, the points and the score update.
</t>
          </r>
          <r>
            <rPr>
              <rFont val="Calibri"/>
              <b val="1"/>
              <sz val="10"/>
            </rPr>
            <t>What decided the final level:</t>
          </r>
          <r>
            <rPr>
              <rFont val="Calibri"/>
              <sz val="10"/>
            </rPr>
            <t xml:space="preserve"> the score itself — no rule changed it.</t>
          </r>
        </is>
      </c>
      <c r="W46" s="12" t="inlineStr">
        <is>
          <r>
            <rPr>
              <rFont val="Calibri"/>
              <b val="1"/>
              <sz val="10"/>
            </rPr>
            <t>Complexity &amp; Expertise:</t>
          </r>
          <r>
            <rPr>
              <rFont val="Calibri"/>
              <sz val="10"/>
            </rPr>
            <t xml:space="preserve"> 12 of 12 — Start: 12.0 · CEO title; Evidence: no survey answers or KRAs on file → rating stays at the start
</t>
          </r>
          <r>
            <rPr>
              <rFont val="Calibri"/>
              <b val="1"/>
              <sz val="10"/>
            </rPr>
            <t>Autonomy &amp; Decision:</t>
          </r>
          <r>
            <rPr>
              <rFont val="Calibri"/>
              <sz val="10"/>
            </rPr>
            <t xml:space="preserve"> 12 of 12 — Start: 12.0 · CEO title; Evidence: no survey answers or KRAs on file → rating stays at the start
</t>
          </r>
          <r>
            <rPr>
              <rFont val="Calibri"/>
              <b val="1"/>
              <sz val="10"/>
            </rPr>
            <t>Accountability &amp; Impact:</t>
          </r>
          <r>
            <rPr>
              <rFont val="Calibri"/>
              <sz val="10"/>
            </rPr>
            <t xml:space="preserve"> 12 of 12 — Start: 12.0 · CEO title; 7 direct reports, 471 people in the organisation; Evidence: no survey answers or KRAs on file → rating stays at the start
</t>
          </r>
          <r>
            <rPr>
              <rFont val="Calibri"/>
              <b val="1"/>
              <sz val="10"/>
            </rPr>
            <t>Leadership &amp; Strategy:</t>
          </r>
          <r>
            <rPr>
              <rFont val="Calibri"/>
              <sz val="10"/>
            </rPr>
            <t xml:space="preserve"> 12 of 12 — Start: 12.0; Evidence: no survey answers or KRAs on file → rating stays at the start; Team: 7 direct reports · People Manager
</t>
          </r>
          <r>
            <rPr>
              <rFont val="Calibri"/>
              <b val="1"/>
              <sz val="10"/>
            </rPr>
            <t>Experience &amp; Qualification:</t>
          </r>
          <r>
            <rPr>
              <rFont val="Calibri"/>
              <sz val="10"/>
            </rPr>
            <t xml:space="preserve"> 12 of 12 — Experience: 32.1 yrs total · 10.0 before IRIS + 22.1 at IRIS = 12.0 on the experience scale; Qualification: MBA · postgraduate, relevant to the work → +0.5
</t>
          </r>
          <r>
            <rPr>
              <rFont val="Calibri"/>
              <b val="1"/>
              <sz val="10"/>
            </rPr>
            <t>Business Impact:</t>
          </r>
          <r>
            <rPr>
              <rFont val="Calibri"/>
              <sz val="10"/>
            </rPr>
            <t xml:space="preserve"> 12 of 12 — a starting estimate. — Start: 12, the role's accountability scope — what it answers for.; No survey or manager-mapping signal on criticality: kept at the start point.; Managers and heads: overwrite this rating on the Weightage sheet with the business impact you see — the score updates at once.; Ladder: E2 = Answers for the whole company's results and long-term value</t>
          </r>
        </is>
      </c>
      <c r="X46" s="12" t="inlineStr">
        <is>
          <r>
            <rPr>
              <rFont val="Calibri"/>
              <b val="1"/>
              <sz val="10"/>
            </rPr>
            <t>Market level:</t>
          </r>
          <r>
            <rPr>
              <rFont val="Calibri"/>
              <sz val="10"/>
            </rPr>
            <t xml:space="preserve"> E6 · SFIA 7
</t>
          </r>
          <r>
            <rPr>
              <rFont val="Calibri"/>
              <b val="1"/>
              <sz val="10"/>
            </rPr>
            <t>Typical title:</t>
          </r>
          <r>
            <rPr>
              <rFont val="Calibri"/>
              <sz val="10"/>
            </rPr>
            <t xml:space="preserve"> Chief Executive Officer
</t>
          </r>
          <r>
            <rPr>
              <rFont val="Calibri"/>
              <b val="1"/>
              <sz val="10"/>
            </rPr>
            <t>At peers:</t>
          </r>
          <r>
            <rPr>
              <rFont val="Calibri"/>
              <sz val="10"/>
            </rPr>
            <t xml:space="preserve"> IRIS Vs Market Benchmark — Aon Radford / Mercer executive codes: E6 CEO · IRIS Vs Competitor Benchmark — regtech / SaaS executive titles: CEO
</t>
          </r>
          <r>
            <rPr>
              <rFont val="Calibri"/>
              <b val="1"/>
              <sz val="10"/>
            </rPr>
            <t>Standard:</t>
          </r>
          <r>
            <rPr>
              <rFont val="Calibri"/>
              <sz val="10"/>
            </rPr>
            <t xml:space="preserve"> Aon Radford executive levels E1–E6; Mercer ET1–ET3</t>
          </r>
        </is>
      </c>
      <c r="Y46" s="12" t="inlineStr">
        <is>
          <r>
            <rPr>
              <rFont val="Calibri"/>
              <sz val="10"/>
            </rPr>
            <t xml:space="preserve">✓ HRIS: 32.1 yrs, MBA, 7 direct reports
✗ Survey: no response
✗ KRAs: none on file
✓ Manager mapping: rating, 9-box
✗ Job description: not on file
</t>
          </r>
          <r>
            <rPr>
              <rFont val="Calibri"/>
              <b val="1"/>
              <sz val="10"/>
            </rPr>
            <t>Confidence:</t>
          </r>
          <r>
            <rPr>
              <rFont val="Calibri"/>
              <sz val="10"/>
            </rPr>
            <t xml:space="preserve"> Low</t>
          </r>
        </is>
      </c>
      <c r="Z46" s="12" t="inlineStr">
        <is>
          <t>—</t>
        </is>
      </c>
      <c r="AA46" s="84" t="inlineStr">
        <is>
          <t>• Survey response or KRAs describing the work · nothing on file — Employee + manager</t>
        </is>
      </c>
      <c r="AB46" s="12" t="inlineStr">
        <is>
          <r>
            <rPr>
              <rFont val="Calibri"/>
              <b val="1"/>
              <sz val="10"/>
            </rPr>
            <t>What the role answers for:</t>
          </r>
          <r>
            <rPr>
              <rFont val="Calibri"/>
              <sz val="10"/>
            </rPr>
            <t xml:space="preserve"> Enterprise results, risk, culture and long-term viability.
</t>
          </r>
          <r>
            <rPr>
              <rFont val="Calibri"/>
              <b val="1"/>
              <sz val="10"/>
            </rPr>
            <t>Accountability &amp; Impact rating:</t>
          </r>
          <r>
            <rPr>
              <rFont val="Calibri"/>
              <sz val="10"/>
            </rPr>
            <t xml:space="preserve"> 12 of 12 · E2-level impact.
Leads 7 direct reports.
Manager talent mapping — Latest rating: Not rated · manager · 9-Box Grid placement: Not placed · manager.</t>
          </r>
        </is>
      </c>
      <c r="AC46" s="83" t="n"/>
      <c r="AD46" s="83" t="n"/>
      <c r="AE46" s="83" t="n"/>
      <c r="AF46" s="12" t="n">
        <v>12</v>
      </c>
    </row>
    <row r="47" ht="379" customHeight="1">
      <c r="A47" s="12" t="inlineStr">
        <is>
          <t>IRIS0002</t>
        </is>
      </c>
      <c r="B47" s="10" t="inlineStr">
        <is>
          <t>Deepta Rangarajan</t>
        </is>
      </c>
      <c r="C47" s="12" t="inlineStr">
        <is>
          <t>Management</t>
        </is>
      </c>
      <c r="D47" s="12" t="inlineStr">
        <is>
          <t>COO, Product Sponsor · Carbon</t>
        </is>
      </c>
      <c r="E47" s="79" t="inlineStr">
        <is>
          <t>Chief Operating Officer</t>
        </is>
      </c>
      <c r="F47" s="12" t="inlineStr">
        <is>
          <t>Executive Leadership</t>
        </is>
      </c>
      <c r="G47" s="12" t="inlineStr">
        <is>
          <t>Enterprise Leadership</t>
        </is>
      </c>
      <c r="H47" s="12" t="inlineStr">
        <is>
          <t>People Manager</t>
        </is>
      </c>
      <c r="I47" s="42" t="inlineStr">
        <is>
          <t>Not in current mapping files</t>
        </is>
      </c>
      <c r="J47" s="32" t="inlineStr">
        <is>
          <t>E1</t>
        </is>
      </c>
      <c r="K47" s="33" t="inlineStr">
        <is>
          <t>CXO / President</t>
        </is>
      </c>
      <c r="L47" s="80" t="inlineStr">
        <is>
          <t>● Newly mapped</t>
        </is>
      </c>
      <c r="M47" s="12" t="inlineStr">
        <is>
          <t>Corporate · Management · Bands D–E · Leadership</t>
        </is>
      </c>
      <c r="N47" s="42" t="n">
        <v>11</v>
      </c>
      <c r="O47" s="42" t="n">
        <v>11</v>
      </c>
      <c r="P47" s="42" t="n">
        <v>11</v>
      </c>
      <c r="Q47" s="42" t="n">
        <v>11</v>
      </c>
      <c r="R47" s="42" t="n">
        <v>12</v>
      </c>
      <c r="S47" s="81" t="n">
        <v>11</v>
      </c>
      <c r="T47" s="82">
        <f>IF(OR($M47="",COUNT(N47,O47,P47,Q47,R47,S47)&lt;6),"",IFERROR(N47*INDEX(WM_C,MATCH($M47,WM_KEY,0))+O47*INDEX(WM_AU,MATCH($M47,WM_KEY,0))+P47*INDEX(WM_AC,MATCH($M47,WM_KEY,0))+Q47*INDEX(WM_L,MATCH($M47,WM_KEY,0))+R47*INDEX(WM_E,MATCH($M47,WM_KEY,0))+S47*INDEX(WM_BI,MATCH($M47,WM_KEY,0)),""))</f>
        <v>11.05</v>
      </c>
      <c r="U47" s="42" t="str">
        <f>IF(T47="","",INDEX({"A1","A2","A3","B1","B2","B3","C1","C2","D1","D2","E1","E2"},MAX(1,MIN(12,ROUND(T47,0)))))</f>
        <v>E1</v>
      </c>
      <c r="V47" s="12" t="inlineStr">
        <is>
          <r>
            <rPr>
              <rFont val="Calibri"/>
              <sz val="10"/>
            </rPr>
            <t xml:space="preserve">New level E1 · CXO / President. Current level on record: Not in current mapping files. Change: ● Newly mapped.
Score 11.05 on the ladder scale → indicated level E1.
</t>
          </r>
          <r>
            <rPr>
              <rFont val="Calibri"/>
              <b val="1"/>
              <sz val="10"/>
            </rPr>
            <t>Weights:</t>
          </r>
          <r>
            <rPr>
              <rFont val="Calibri"/>
              <sz val="10"/>
            </rPr>
            <t xml:space="preserve"> Complexity 37% · Leadership 20% · Autonomy 19% · Accountability 11% · Business impact 8% · Experience 5%
</t>
          </r>
          <r>
            <rPr>
              <rFont val="Calibri"/>
              <b val="1"/>
              <sz val="10"/>
            </rPr>
            <t>Why:</t>
          </r>
          <r>
            <rPr>
              <rFont val="Calibri"/>
              <sz val="10"/>
            </rPr>
            <t xml:space="preserve"> leaders are judged on the hardest problems, on leading — 20% — and on the decisions, scope and business impact of the job.
</t>
          </r>
          <r>
            <rPr>
              <rFont val="Calibri"/>
              <b val="1"/>
              <sz val="10"/>
            </rPr>
            <t>Type of work in the department:</t>
          </r>
          <r>
            <rPr>
              <rFont val="Calibri"/>
              <sz val="10"/>
            </rPr>
            <t xml:space="preserve"> no adjustment at this level.
</t>
          </r>
          <r>
            <rPr>
              <rFont val="Calibri"/>
              <b val="1"/>
              <sz val="10"/>
            </rPr>
            <t>Live:</t>
          </r>
          <r>
            <rPr>
              <rFont val="Calibri"/>
              <sz val="10"/>
            </rPr>
            <t xml:space="preserve"> change the department's row on the Weightage Matrix and these weights, the points and the score update.
</t>
          </r>
          <r>
            <rPr>
              <rFont val="Calibri"/>
              <b val="1"/>
              <sz val="10"/>
            </rPr>
            <t>What decided the final level:</t>
          </r>
          <r>
            <rPr>
              <rFont val="Calibri"/>
              <sz val="10"/>
            </rPr>
            <t xml:space="preserve"> the score itself — no rule changed it.</t>
          </r>
        </is>
      </c>
      <c r="W47" s="12" t="inlineStr">
        <is>
          <r>
            <rPr>
              <rFont val="Calibri"/>
              <b val="1"/>
              <sz val="10"/>
            </rPr>
            <t>Complexity &amp; Expertise:</t>
          </r>
          <r>
            <rPr>
              <rFont val="Calibri"/>
              <sz val="10"/>
            </rPr>
            <t xml:space="preserve"> 11 of 12 — Start: 11.0 · CXO title; Evidence: no survey answers or KRAs on file → rating stays at the start
</t>
          </r>
          <r>
            <rPr>
              <rFont val="Calibri"/>
              <b val="1"/>
              <sz val="10"/>
            </rPr>
            <t>Autonomy &amp; Decision:</t>
          </r>
          <r>
            <rPr>
              <rFont val="Calibri"/>
              <sz val="10"/>
            </rPr>
            <t xml:space="preserve"> 11 of 12 — Start: 11.0 · CXO title; Evidence: no survey answers or KRAs on file → rating stays at the start
</t>
          </r>
          <r>
            <rPr>
              <rFont val="Calibri"/>
              <b val="1"/>
              <sz val="10"/>
            </rPr>
            <t>Accountability &amp; Impact:</t>
          </r>
          <r>
            <rPr>
              <rFont val="Calibri"/>
              <sz val="10"/>
            </rPr>
            <t xml:space="preserve"> 11 of 12 — Start: 11.0 · CXO title; 1 direct report, 8 people in the organisation; Evidence: no survey answers or KRAs on file → rating stays at the start
</t>
          </r>
          <r>
            <rPr>
              <rFont val="Calibri"/>
              <b val="1"/>
              <sz val="10"/>
            </rPr>
            <t>Leadership &amp; Strategy:</t>
          </r>
          <r>
            <rPr>
              <rFont val="Calibri"/>
              <sz val="10"/>
            </rPr>
            <t xml:space="preserve"> 11 of 12 — Start: 11.0; Evidence: no survey answers or KRAs on file → rating stays at the start; Team: 1 direct report · People Manager
</t>
          </r>
          <r>
            <rPr>
              <rFont val="Calibri"/>
              <b val="1"/>
              <sz val="10"/>
            </rPr>
            <t>Experience &amp; Qualification:</t>
          </r>
          <r>
            <rPr>
              <rFont val="Calibri"/>
              <sz val="10"/>
            </rPr>
            <t xml:space="preserve"> 12 of 12 — Experience: 32.1 yrs total · 10.0 before IRIS + 22.1 at IRIS = 12.0 on the experience scale; Qualification: MBA · postgraduate, relevant to the work → +0.5
</t>
          </r>
          <r>
            <rPr>
              <rFont val="Calibri"/>
              <b val="1"/>
              <sz val="10"/>
            </rPr>
            <t>Business Impact:</t>
          </r>
          <r>
            <rPr>
              <rFont val="Calibri"/>
              <sz val="10"/>
            </rPr>
            <t xml:space="preserve"> 11 of 12 — a starting estimate. — Start: 11, the role's accountability scope — what it answers for.; No survey or manager-mapping signal on criticality: kept at the start point.; Managers and heads: overwrite this rating on the Weightage sheet with the business impact you see — the score updates at once.; Ladder: E1 = Shapes company-wide results through a function</t>
          </r>
        </is>
      </c>
      <c r="X47" s="12" t="inlineStr">
        <is>
          <r>
            <rPr>
              <rFont val="Calibri"/>
              <b val="1"/>
              <sz val="10"/>
            </rPr>
            <t>Market level:</t>
          </r>
          <r>
            <rPr>
              <rFont val="Calibri"/>
              <sz val="10"/>
            </rPr>
            <t xml:space="preserve"> E5 · SFIA 7
</t>
          </r>
          <r>
            <rPr>
              <rFont val="Calibri"/>
              <b val="1"/>
              <sz val="10"/>
            </rPr>
            <t>Typical title:</t>
          </r>
          <r>
            <rPr>
              <rFont val="Calibri"/>
              <sz val="10"/>
            </rPr>
            <t xml:space="preserve"> CXO · functional chief
</t>
          </r>
          <r>
            <rPr>
              <rFont val="Calibri"/>
              <b val="1"/>
              <sz val="10"/>
            </rPr>
            <t>At peers:</t>
          </r>
          <r>
            <rPr>
              <rFont val="Calibri"/>
              <sz val="10"/>
            </rPr>
            <t xml:space="preserve"> IRIS Vs Market Benchmark — Aon Radford / Mercer executive codes: E5 C-level · functional · IRIS Vs Competitor Benchmark — regtech / SaaS executive titles: CTO · CFO · CRO · CCO · COO
</t>
          </r>
          <r>
            <rPr>
              <rFont val="Calibri"/>
              <b val="1"/>
              <sz val="10"/>
            </rPr>
            <t>Standard:</t>
          </r>
          <r>
            <rPr>
              <rFont val="Calibri"/>
              <sz val="10"/>
            </rPr>
            <t xml:space="preserve"> Aon Radford executive levels E1–E6; Mercer ET1–ET3</t>
          </r>
        </is>
      </c>
      <c r="Y47" s="12" t="inlineStr">
        <is>
          <r>
            <rPr>
              <rFont val="Calibri"/>
              <sz val="10"/>
            </rPr>
            <t xml:space="preserve">✓ HRIS: 32.1 yrs, MBA, 1 direct report
✗ Survey: no response
✗ KRAs: none on file
✓ Manager mapping: rating, 9-box
✗ Job description: not on file
</t>
          </r>
          <r>
            <rPr>
              <rFont val="Calibri"/>
              <b val="1"/>
              <sz val="10"/>
            </rPr>
            <t>Confidence:</t>
          </r>
          <r>
            <rPr>
              <rFont val="Calibri"/>
              <sz val="10"/>
            </rPr>
            <t xml:space="preserve"> Low</t>
          </r>
        </is>
      </c>
      <c r="Z47" s="12" t="inlineStr">
        <is>
          <t>—</t>
        </is>
      </c>
      <c r="AA47" s="84" t="inlineStr">
        <is>
          <t>• Survey response or KRAs describing the work · nothing on file — Employee + manager</t>
        </is>
      </c>
      <c r="AB47" s="12" t="inlineStr">
        <is>
          <r>
            <rPr>
              <rFont val="Calibri"/>
              <b val="1"/>
              <sz val="10"/>
            </rPr>
            <t>What the role answers for:</t>
          </r>
          <r>
            <rPr>
              <rFont val="Calibri"/>
              <sz val="10"/>
            </rPr>
            <t xml:space="preserve"> Enterprise-wide functional results.
</t>
          </r>
          <r>
            <rPr>
              <rFont val="Calibri"/>
              <b val="1"/>
              <sz val="10"/>
            </rPr>
            <t>Accountability &amp; Impact rating:</t>
          </r>
          <r>
            <rPr>
              <rFont val="Calibri"/>
              <sz val="10"/>
            </rPr>
            <t xml:space="preserve"> 11 of 12 · E1-level impact.
Leads 1 direct report.
Manager talent mapping — Latest rating: Not rated · manager · 9-Box Grid placement: Not placed · manager.</t>
          </r>
        </is>
      </c>
      <c r="AC47" s="83" t="n"/>
      <c r="AD47" s="83" t="n"/>
      <c r="AE47" s="83" t="n"/>
      <c r="AF47" s="12" t="n">
        <v>11</v>
      </c>
    </row>
    <row r="48" ht="379" customHeight="1">
      <c r="A48" s="12" t="inlineStr">
        <is>
          <t>IRIS2200</t>
        </is>
      </c>
      <c r="B48" s="10" t="inlineStr">
        <is>
          <t>Barsha Gloria Gomes</t>
        </is>
      </c>
      <c r="C48" s="12" t="inlineStr">
        <is>
          <t>Marketing</t>
        </is>
      </c>
      <c r="D48" s="12" t="inlineStr">
        <is>
          <t>Manager-Content</t>
        </is>
      </c>
      <c r="E48" s="79" t="inlineStr">
        <is>
          <t>Senior Content Marketing Specialist</t>
        </is>
      </c>
      <c r="F48" s="12" t="inlineStr">
        <is>
          <t>Marketing &amp; Communications</t>
        </is>
      </c>
      <c r="G48" s="12" t="inlineStr">
        <is>
          <t>Content Marketing</t>
        </is>
      </c>
      <c r="H48" s="12" t="inlineStr">
        <is>
          <t>IC</t>
        </is>
      </c>
      <c r="I48" s="42" t="inlineStr">
        <is>
          <t>L5 – Manager</t>
        </is>
      </c>
      <c r="J48" s="20" t="inlineStr">
        <is>
          <t>B2</t>
        </is>
      </c>
      <c r="K48" s="21" t="inlineStr">
        <is>
          <t>Senior Specialist</t>
        </is>
      </c>
      <c r="L48" s="85" t="inlineStr">
        <is>
          <t>• Same level</t>
        </is>
      </c>
      <c r="M48" s="12" t="inlineStr">
        <is>
          <t>Corporate · Marketing · Band B · Expert / POD Lead</t>
        </is>
      </c>
      <c r="N48" s="42" t="n">
        <v>4.5</v>
      </c>
      <c r="O48" s="42" t="n">
        <v>4</v>
      </c>
      <c r="P48" s="42" t="n">
        <v>4.5</v>
      </c>
      <c r="Q48" s="42" t="n">
        <v>3</v>
      </c>
      <c r="R48" s="42" t="n">
        <v>6.5</v>
      </c>
      <c r="S48" s="81" t="n">
        <v>5</v>
      </c>
      <c r="T48" s="82">
        <f>IF(OR($M48="",COUNT(N48,O48,P48,Q48,R48,S48)&lt;6),"",IFERROR(N48*INDEX(WM_C,MATCH($M48,WM_KEY,0))+O48*INDEX(WM_AU,MATCH($M48,WM_KEY,0))+P48*INDEX(WM_AC,MATCH($M48,WM_KEY,0))+Q48*INDEX(WM_L,MATCH($M48,WM_KEY,0))+R48*INDEX(WM_E,MATCH($M48,WM_KEY,0))+S48*INDEX(WM_BI,MATCH($M48,WM_KEY,0)),""))</f>
        <v>4.575</v>
      </c>
      <c r="U48" s="42" t="str">
        <f>IF(T48="","",INDEX({"A1","A2","A3","B1","B2","B3","C1","C2","D1","D2","E1","E2"},MAX(1,MIN(12,ROUND(T48,0)))))</f>
        <v>B2</v>
      </c>
      <c r="V48" s="12" t="inlineStr">
        <is>
          <r>
            <rPr>
              <rFont val="Calibri"/>
              <sz val="10"/>
            </rPr>
            <t xml:space="preserve">New level B2 · Senior Specialist. Current level on record: L5 – Manager. Change: • Same level.
Score 4.58 on the ladder scale → indicated level B2.
</t>
          </r>
          <r>
            <rPr>
              <rFont val="Calibri"/>
              <b val="1"/>
              <sz val="10"/>
            </rPr>
            <t>Weights:</t>
          </r>
          <r>
            <rPr>
              <rFont val="Calibri"/>
              <sz val="10"/>
            </rPr>
            <t xml:space="preserve"> Complexity 46% · Autonomy 22% · Business impact 12% · Experience 10% · Accountability 5% · Leadership 5%
</t>
          </r>
          <r>
            <rPr>
              <rFont val="Calibri"/>
              <b val="1"/>
              <sz val="10"/>
            </rPr>
            <t>Why:</t>
          </r>
          <r>
            <rPr>
              <rFont val="Calibri"/>
              <sz val="10"/>
            </rPr>
            <t xml:space="preserve"> specialists are judged mainly on depth of expertise, then on what they decide alone, what they answer for and their impact.
</t>
          </r>
          <r>
            <rPr>
              <rFont val="Calibri"/>
              <b val="1"/>
              <sz val="10"/>
            </rPr>
            <t>Type of work in the department:</t>
          </r>
          <r>
            <rPr>
              <rFont val="Calibri"/>
              <sz val="10"/>
            </rPr>
            <t xml:space="preserve"> sales and marketing are judged on pipeline and revenue, so Business Impact +5, Autonomy +5, Complexity −5 and Accountability −5.
</t>
          </r>
          <r>
            <rPr>
              <rFont val="Calibri"/>
              <b val="1"/>
              <sz val="10"/>
            </rPr>
            <t>Live:</t>
          </r>
          <r>
            <rPr>
              <rFont val="Calibri"/>
              <sz val="10"/>
            </rPr>
            <t xml:space="preserve"> change the department's row on the Weightage Matrix and these weights, the points and the score update.
</t>
          </r>
          <r>
            <rPr>
              <rFont val="Calibri"/>
              <b val="1"/>
              <sz val="10"/>
            </rPr>
            <t>What decided the final level:</t>
          </r>
          <r>
            <rPr>
              <rFont val="Calibri"/>
              <sz val="10"/>
            </rPr>
            <t xml:space="preserve"> the score itself — no rule changed it.</t>
          </r>
        </is>
      </c>
      <c r="W48" s="12" t="inlineStr">
        <is>
          <r>
            <rPr>
              <rFont val="Calibri"/>
              <b val="1"/>
              <sz val="10"/>
            </rPr>
            <t>Complexity &amp; Expertise:</t>
          </r>
          <r>
            <rPr>
              <rFont val="Calibri"/>
              <sz val="10"/>
            </rPr>
            <t xml:space="preserve"> 4.5 of 12 · between B1 and B2 — Start: 5.0 · manager / senior specialist title; Evidence reads like B1: Plans and writes all content on regulatory subject matter: web, blogs, briefs, case studies, positioning → moved down 0.5; KRA: “1. Deliver committed marketing/content calendar with &gt;=90% on-time publishing 2. Meet campaign KPIs · leads/MQLs/engagement at &gt;=90% of…”
</t>
          </r>
          <r>
            <rPr>
              <rFont val="Calibri"/>
              <b val="1"/>
              <sz val="10"/>
            </rPr>
            <t>Autonomy &amp; Decision:</t>
          </r>
          <r>
            <rPr>
              <rFont val="Calibri"/>
              <sz val="10"/>
            </rPr>
            <t xml:space="preserve"> 4 of 12 — Start: 5.0 · manager / senior specialist title; Evidence reads like A3: Decides content planning, editorial priorities and messaging; content still goes through SME/stakeholder sign-off → moved down 1
</t>
          </r>
          <r>
            <rPr>
              <rFont val="Calibri"/>
              <b val="1"/>
              <sz val="10"/>
            </rPr>
            <t>Accountability &amp; Impact:</t>
          </r>
          <r>
            <rPr>
              <rFont val="Calibri"/>
              <sz val="10"/>
            </rPr>
            <t xml:space="preserve"> 4.5 of 12 · between B1 and B2 — Start: 5.0 · manager / senior specialist title; Evidence reads like B1: All corporate content deliverables and brand messaging across channels → moved down 0.5; KRA: “1. Deliver committed marketing/content calendar with &gt;=90% on-time publishing 2. Meet campaign KPIs · leads/MQLs/engagement at &gt;=90% of…”
</t>
          </r>
          <r>
            <rPr>
              <rFont val="Calibri"/>
              <b val="1"/>
              <sz val="10"/>
            </rPr>
            <t>Leadership &amp; Strategy:</t>
          </r>
          <r>
            <rPr>
              <rFont val="Calibri"/>
              <sz val="10"/>
            </rPr>
            <t xml:space="preserve"> 3 of 12 — Start: 4.0 · individual contributor, so influence only; Evidence reads like A1: No people guidance described; 0 direct reports → moved down 1; Team: 0 direct reports · IC
</t>
          </r>
          <r>
            <rPr>
              <rFont val="Calibri"/>
              <b val="1"/>
              <sz val="10"/>
            </rPr>
            <t>Experience &amp; Qualification:</t>
          </r>
          <r>
            <rPr>
              <rFont val="Calibri"/>
              <sz val="10"/>
            </rPr>
            <t xml:space="preserve"> 6.5 of 12 · between B3 and C1 — Experience: 9.9 yrs total · 7.0 before IRIS + 2.9 at IRIS = 6.0 on the experience scale; Qualification: MA · postgraduate, relevant to the work → +0.5
</t>
          </r>
          <r>
            <rPr>
              <rFont val="Calibri"/>
              <b val="1"/>
              <sz val="10"/>
            </rPr>
            <t>Business Impact:</t>
          </r>
          <r>
            <rPr>
              <rFont val="Calibri"/>
              <sz val="10"/>
            </rPr>
            <t xml:space="preserve"> 5 of 12 — a starting estimate. — Start: 4.5, the role's accountability scope — what it answers for.; Moved +0.5: the survey / manager mapping marks it business-critical.; Managers and heads: overwrite this rating on the Weightage sheet with the business impact you see — the score updates at once.; Ladder: B2 = Visible effect on a team's or client portfolio's revenue, quality or compliance</t>
          </r>
        </is>
      </c>
      <c r="X48" s="12" t="inlineStr">
        <is>
          <r>
            <rPr>
              <rFont val="Calibri"/>
              <b val="1"/>
              <sz val="10"/>
            </rPr>
            <t>Market level:</t>
          </r>
          <r>
            <rPr>
              <rFont val="Calibri"/>
              <sz val="10"/>
            </rPr>
            <t xml:space="preserve"> P4 / M3 · SFIA 4–5
</t>
          </r>
          <r>
            <rPr>
              <rFont val="Calibri"/>
              <b val="1"/>
              <sz val="10"/>
            </rPr>
            <t>Typical title:</t>
          </r>
          <r>
            <rPr>
              <rFont val="Calibri"/>
              <sz val="10"/>
            </rPr>
            <t xml:space="preserve"> Senior Marketing Specialist
</t>
          </r>
          <r>
            <rPr>
              <rFont val="Calibri"/>
              <b val="1"/>
              <sz val="10"/>
            </rPr>
            <t>At peers:</t>
          </r>
          <r>
            <rPr>
              <rFont val="Calibri"/>
              <sz val="10"/>
            </rPr>
            <t xml:space="preserve"> IRIS Vs Market Benchmark — CIM proficiency scale: 3–4 · IRIS Vs Competitor Benchmark — SaaS marketing ladder: Marketing Manager
</t>
          </r>
          <r>
            <rPr>
              <rFont val="Calibri"/>
              <b val="1"/>
              <sz val="10"/>
            </rPr>
            <t>Typical experience:</t>
          </r>
          <r>
            <rPr>
              <rFont val="Calibri"/>
              <sz val="10"/>
            </rPr>
            <t xml:space="preserve"> 6–10 yrs · IRIS guide 6–9
</t>
          </r>
          <r>
            <rPr>
              <rFont val="Calibri"/>
              <b val="1"/>
              <sz val="10"/>
            </rPr>
            <t>Standard:</t>
          </r>
          <r>
            <rPr>
              <rFont val="Calibri"/>
              <sz val="10"/>
            </rPr>
            <t xml:space="preserve"> CIM Global Professional Marketing Framework — proficiency Aware → Active learner → Able → Accomplished → Authoritative</t>
          </r>
        </is>
      </c>
      <c r="Y48" s="12" t="inlineStr">
        <is>
          <r>
            <rPr>
              <rFont val="Calibri"/>
              <sz val="10"/>
            </rPr>
            <t xml:space="preserve">✓ HRIS: 9.9 yrs, MA, 0 direct reports
✓ Survey: 18 of 20 questions answered
✓ KRAs: self, manager-set, quarterly
✓ Manager mapping: rating, potential, 9-box
✗ Job description: not on file
</t>
          </r>
          <r>
            <rPr>
              <rFont val="Calibri"/>
              <b val="1"/>
              <sz val="10"/>
            </rPr>
            <t>Confidence:</t>
          </r>
          <r>
            <rPr>
              <rFont val="Calibri"/>
              <sz val="10"/>
            </rPr>
            <t xml:space="preserve"> Medium</t>
          </r>
        </is>
      </c>
      <c r="Z48" s="12" t="inlineStr">
        <is>
          <t>—</t>
        </is>
      </c>
      <c r="AA48" s="12" t="inlineStr">
        <is>
          <t>Nothing outstanding</t>
        </is>
      </c>
      <c r="AB48" s="12" t="inlineStr">
        <is>
          <r>
            <rPr>
              <rFont val="Calibri"/>
              <b val="1"/>
              <sz val="10"/>
            </rPr>
            <t>What the role answers for:</t>
          </r>
          <r>
            <rPr>
              <rFont val="Calibri"/>
              <sz val="10"/>
            </rPr>
            <t xml:space="preserve"> One team or a client portfolio.
</t>
          </r>
          <r>
            <rPr>
              <rFont val="Calibri"/>
              <b val="1"/>
              <sz val="10"/>
            </rPr>
            <t>Accountability &amp; Impact rating:</t>
          </r>
          <r>
            <rPr>
              <rFont val="Calibri"/>
              <sz val="10"/>
            </rPr>
            <t xml:space="preserve"> 4.5 of 12 · B1-level impact.
From the survey and manager mapping — critical role: yes; successor named: no.
</t>
          </r>
          <r>
            <rPr>
              <rFont val="Calibri"/>
              <b val="1"/>
              <sz val="10"/>
            </rPr>
            <t>If the work is missed · role-holders' themes:</t>
          </r>
          <r>
            <rPr>
              <rFont val="Calibri"/>
              <sz val="10"/>
            </rPr>
            <t xml:space="preserve"> ranking.
Manager talent mapping — Latest rating: 3 · Potential: Medium · 9-Box Grid placement: Core Contributor.</t>
          </r>
        </is>
      </c>
      <c r="AC48" s="83" t="n"/>
      <c r="AD48" s="83" t="n"/>
      <c r="AE48" s="83" t="n"/>
      <c r="AF48" s="12" t="n">
        <v>5</v>
      </c>
    </row>
    <row r="49" ht="379" customHeight="1">
      <c r="A49" s="12" t="inlineStr">
        <is>
          <t>IRIS2307</t>
        </is>
      </c>
      <c r="B49" s="10" t="inlineStr">
        <is>
          <t>Abhishek Sharma</t>
        </is>
      </c>
      <c r="C49" s="12" t="inlineStr">
        <is>
          <t>Marketing</t>
        </is>
      </c>
      <c r="D49" s="12" t="inlineStr">
        <is>
          <t>Senior Designer</t>
        </is>
      </c>
      <c r="E49" s="12" t="inlineStr">
        <is>
          <t>Senior Designer</t>
        </is>
      </c>
      <c r="F49" s="12" t="inlineStr">
        <is>
          <t>Design &amp; Creative</t>
        </is>
      </c>
      <c r="G49" s="12" t="inlineStr">
        <is>
          <t>Brand, Graphic &amp; Video Design</t>
        </is>
      </c>
      <c r="H49" s="12" t="inlineStr">
        <is>
          <t>IC</t>
        </is>
      </c>
      <c r="I49" s="42" t="inlineStr">
        <is>
          <t>L4 – Senior</t>
        </is>
      </c>
      <c r="J49" s="16" t="inlineStr">
        <is>
          <t>A3</t>
        </is>
      </c>
      <c r="K49" s="17" t="inlineStr">
        <is>
          <t>Senior Associate</t>
        </is>
      </c>
      <c r="L49" s="85" t="inlineStr">
        <is>
          <t>• Same level</t>
        </is>
      </c>
      <c r="M49" s="12" t="inlineStr">
        <is>
          <t>Corporate · Marketing · Band A · Early career</t>
        </is>
      </c>
      <c r="N49" s="42" t="n">
        <v>3</v>
      </c>
      <c r="O49" s="42" t="n">
        <v>3</v>
      </c>
      <c r="P49" s="42" t="n">
        <v>3</v>
      </c>
      <c r="Q49" s="42" t="n">
        <v>1.5</v>
      </c>
      <c r="R49" s="42" t="n">
        <v>4</v>
      </c>
      <c r="S49" s="81" t="n">
        <v>3.5</v>
      </c>
      <c r="T49" s="82">
        <f>IF(OR($M49="",COUNT(N49,O49,P49,Q49,R49,S49)&lt;6),"",IFERROR(N49*INDEX(WM_C,MATCH($M49,WM_KEY,0))+O49*INDEX(WM_AU,MATCH($M49,WM_KEY,0))+P49*INDEX(WM_AC,MATCH($M49,WM_KEY,0))+Q49*INDEX(WM_L,MATCH($M49,WM_KEY,0))+R49*INDEX(WM_E,MATCH($M49,WM_KEY,0))+S49*INDEX(WM_BI,MATCH($M49,WM_KEY,0)),""))</f>
        <v>3.155</v>
      </c>
      <c r="U49" s="42" t="str">
        <f>IF(T49="","",INDEX({"A1","A2","A3","B1","B2","B3","C1","C2","D1","D2","E1","E2"},MAX(1,MIN(12,ROUND(T49,0)))))</f>
        <v>A3</v>
      </c>
      <c r="V49" s="12" t="inlineStr">
        <is>
          <r>
            <rPr>
              <rFont val="Calibri"/>
              <sz val="10"/>
            </rPr>
            <t xml:space="preserve">New level A3 · Senior Associate. Current level on record: L4 – Senior. Change: • Same level.
Score 3.16 on the ladder scale → indicated level A3.
</t>
          </r>
          <r>
            <rPr>
              <rFont val="Calibri"/>
              <b val="1"/>
              <sz val="10"/>
            </rPr>
            <t>Weights:</t>
          </r>
          <r>
            <rPr>
              <rFont val="Calibri"/>
              <sz val="10"/>
            </rPr>
            <t xml:space="preserve"> Complexity 54% · Autonomy 21% · Business impact 11% · Experience 10% · Accountability 4% · Leadership 0%
</t>
          </r>
          <r>
            <rPr>
              <rFont val="Calibri"/>
              <b val="1"/>
              <sz val="10"/>
            </rPr>
            <t>Why:</t>
          </r>
          <r>
            <rPr>
              <rFont val="Calibri"/>
              <sz val="10"/>
            </rPr>
            <t xml:space="preserve"> entry and practitioner work is judged mainly on the knowledge and problem solving the work needs; leading others is not expected yet, so Leadership counts 0%.
</t>
          </r>
          <r>
            <rPr>
              <rFont val="Calibri"/>
              <b val="1"/>
              <sz val="10"/>
            </rPr>
            <t>Type of work in the department:</t>
          </r>
          <r>
            <rPr>
              <rFont val="Calibri"/>
              <sz val="10"/>
            </rPr>
            <t xml:space="preserve"> sales and marketing are judged on pipeline and revenue, so Business Impact +5, Autonomy +5, Complexity −5 and Accountability −5.
</t>
          </r>
          <r>
            <rPr>
              <rFont val="Calibri"/>
              <b val="1"/>
              <sz val="10"/>
            </rPr>
            <t>Live:</t>
          </r>
          <r>
            <rPr>
              <rFont val="Calibri"/>
              <sz val="10"/>
            </rPr>
            <t xml:space="preserve"> change the department's row on the Weightage Matrix and these weights, the points and the score update.
</t>
          </r>
          <r>
            <rPr>
              <rFont val="Calibri"/>
              <b val="1"/>
              <sz val="10"/>
            </rPr>
            <t>What decided the final level:</t>
          </r>
          <r>
            <rPr>
              <rFont val="Calibri"/>
              <sz val="10"/>
            </rPr>
            <t xml:space="preserve"> the score itself — no rule changed it.</t>
          </r>
        </is>
      </c>
      <c r="W49" s="12" t="inlineStr">
        <is>
          <r>
            <rPr>
              <rFont val="Calibri"/>
              <b val="1"/>
              <sz val="10"/>
            </rPr>
            <t>Complexity &amp; Expertise:</t>
          </r>
          <r>
            <rPr>
              <rFont val="Calibri"/>
              <sz val="10"/>
            </rPr>
            <t xml:space="preserve"> 3 of 12 — Start: 3.0 · senior practitioner title; Evidence reads like A3: Varied design: RFP presentations, sales kits, website UI/UX, video editing, event and corporate branding → matches the start; KRA: “1. Deliver committed marketing/content calendar with &gt;=90% on-time publishing 2. Meet campaign KPIs · leads/MQLs/engagement at &gt;=90% of…”
</t>
          </r>
          <r>
            <rPr>
              <rFont val="Calibri"/>
              <b val="1"/>
              <sz val="10"/>
            </rPr>
            <t>Autonomy &amp; Decision:</t>
          </r>
          <r>
            <rPr>
              <rFont val="Calibri"/>
              <sz val="10"/>
            </rPr>
            <t xml:space="preserve"> 3 of 12 — Start: 3.0 · senior practitioner title; Evidence reads like A3: Decides design elements and core ideation for assets → matches the start
</t>
          </r>
          <r>
            <rPr>
              <rFont val="Calibri"/>
              <b val="1"/>
              <sz val="10"/>
            </rPr>
            <t>Accountability &amp; Impact:</t>
          </r>
          <r>
            <rPr>
              <rFont val="Calibri"/>
              <sz val="10"/>
            </rPr>
            <t xml:space="preserve"> 3 of 12 — Start: 3.0 · senior practitioner title; Evidence reads like A3: Accountable for all design output and brand consistency; RFP and event deadlines affect opportunities → matches the start; KRA: “1. Deliver committed marketing/content calendar with &gt;=90% on-time publishing 2. Meet campaign KPIs · leads/MQLs/engagement at &gt;=90% of…”
</t>
          </r>
          <r>
            <rPr>
              <rFont val="Calibri"/>
              <b val="1"/>
              <sz val="10"/>
            </rPr>
            <t>Leadership &amp; Strategy:</t>
          </r>
          <r>
            <rPr>
              <rFont val="Calibri"/>
              <sz val="10"/>
            </rPr>
            <t xml:space="preserve"> 1.5 of 12 · between A1 and A2 — not counted: the weight is 0% at this level — Start: 2.0 · individual contributor, so influence only; Evidence reads like A1: No guidance or leadership of others described → moved down 0.5; Team: 0 direct reports · IC
</t>
          </r>
          <r>
            <rPr>
              <rFont val="Calibri"/>
              <b val="1"/>
              <sz val="10"/>
            </rPr>
            <t>Experience &amp; Qualification:</t>
          </r>
          <r>
            <rPr>
              <rFont val="Calibri"/>
              <sz val="10"/>
            </rPr>
            <t xml:space="preserve"> 4 of 12 — Experience: 6.0 yrs total · 4.0 before IRIS + 2.0 at IRIS = 4.2 on the experience scale; Qualification: HSC · below graduate → −0.5
</t>
          </r>
          <r>
            <rPr>
              <rFont val="Calibri"/>
              <b val="1"/>
              <sz val="10"/>
            </rPr>
            <t>Business Impact:</t>
          </r>
          <r>
            <rPr>
              <rFont val="Calibri"/>
              <sz val="10"/>
            </rPr>
            <t xml:space="preserve"> 3.5 of 12 — a starting estimate. — Start: 3, the role's accountability scope — what it answers for.; Moved +0.5: the survey / manager mapping marks it business-critical.; Managers and heads: overwrite this rating on the Weightage sheet with the business impact you see — the score updates at once.; Ladder: A3 = A process or client deliverable depends on this work · B1 = Moves a module's, product area's or client account's results</t>
          </r>
        </is>
      </c>
      <c r="X49" s="12" t="inlineStr">
        <is>
          <r>
            <rPr>
              <rFont val="Calibri"/>
              <b val="1"/>
              <sz val="10"/>
            </rPr>
            <t>Market level:</t>
          </r>
          <r>
            <rPr>
              <rFont val="Calibri"/>
              <sz val="10"/>
            </rPr>
            <t xml:space="preserve"> P2 · SFIA 3 Apply
</t>
          </r>
          <r>
            <rPr>
              <rFont val="Calibri"/>
              <b val="1"/>
              <sz val="10"/>
            </rPr>
            <t>Typical title:</t>
          </r>
          <r>
            <rPr>
              <rFont val="Calibri"/>
              <sz val="10"/>
            </rPr>
            <t xml:space="preserve"> Designer
</t>
          </r>
          <r>
            <rPr>
              <rFont val="Calibri"/>
              <b val="1"/>
              <sz val="10"/>
            </rPr>
            <t>At peers:</t>
          </r>
          <r>
            <rPr>
              <rFont val="Calibri"/>
              <sz val="10"/>
            </rPr>
            <t xml:space="preserve"> IRIS Vs Competitor Benchmark — UX / design ladder: Designer
</t>
          </r>
          <r>
            <rPr>
              <rFont val="Calibri"/>
              <b val="1"/>
              <sz val="10"/>
            </rPr>
            <t>Typical experience:</t>
          </r>
          <r>
            <rPr>
              <rFont val="Calibri"/>
              <sz val="10"/>
            </rPr>
            <t xml:space="preserve"> 2–5 yrs · IRIS guide 2–4
</t>
          </r>
          <r>
            <rPr>
              <rFont val="Calibri"/>
              <b val="1"/>
              <sz val="10"/>
            </rPr>
            <t>Standard:</t>
          </r>
          <r>
            <rPr>
              <rFont val="Calibri"/>
              <sz val="10"/>
            </rPr>
            <t xml:space="preserve"> UX career ladder Junior → Designer → Senior → Lead → Principal; WCAG accessibility</t>
          </r>
        </is>
      </c>
      <c r="Y49" s="12" t="inlineStr">
        <is>
          <r>
            <rPr>
              <rFont val="Calibri"/>
              <sz val="10"/>
            </rPr>
            <t xml:space="preserve">✓ HRIS: 6.0 yrs, HSC, 0 direct reports
✓ Survey: 20 of 20 questions answered
✓ KRAs: self, manager-set, quarterly
✓ Manager mapping: rating, potential, 9-box
✗ Job description: not on file
</t>
          </r>
          <r>
            <rPr>
              <rFont val="Calibri"/>
              <b val="1"/>
              <sz val="10"/>
            </rPr>
            <t>Confidence:</t>
          </r>
          <r>
            <rPr>
              <rFont val="Calibri"/>
              <sz val="10"/>
            </rPr>
            <t xml:space="preserve"> High</t>
          </r>
        </is>
      </c>
      <c r="Z49" s="12" t="inlineStr">
        <is>
          <t>—</t>
        </is>
      </c>
      <c r="AA49" s="12" t="inlineStr">
        <is>
          <t>Nothing outstanding</t>
        </is>
      </c>
      <c r="AB49" s="12" t="inlineStr">
        <is>
          <r>
            <rPr>
              <rFont val="Calibri"/>
              <b val="1"/>
              <sz val="10"/>
            </rPr>
            <t>What the role answers for:</t>
          </r>
          <r>
            <rPr>
              <rFont val="Calibri"/>
              <sz val="10"/>
            </rPr>
            <t xml:space="preserve"> A module / process, or work with client or regulatory consequences.
</t>
          </r>
          <r>
            <rPr>
              <rFont val="Calibri"/>
              <b val="1"/>
              <sz val="10"/>
            </rPr>
            <t>Accountability &amp; Impact rating:</t>
          </r>
          <r>
            <rPr>
              <rFont val="Calibri"/>
              <sz val="10"/>
            </rPr>
            <t xml:space="preserve"> 3 of 12 · A3-level impact.
From the survey and manager mapping — critical role: yes; successor named: no.
</t>
          </r>
          <r>
            <rPr>
              <rFont val="Calibri"/>
              <b val="1"/>
              <sz val="10"/>
            </rPr>
            <t>If the work is missed · role-holders' themes:</t>
          </r>
          <r>
            <rPr>
              <rFont val="Calibri"/>
              <sz val="10"/>
            </rPr>
            <t xml:space="preserve"> sales.
Manager talent mapping — Latest rating: 3 · Potential: Medium · 9-Box Grid placement: Reliable Specialist.</t>
          </r>
        </is>
      </c>
      <c r="AC49" s="83" t="n"/>
      <c r="AD49" s="83" t="n"/>
      <c r="AE49" s="83" t="n"/>
      <c r="AF49" s="12" t="n">
        <v>3.5</v>
      </c>
    </row>
    <row r="50" ht="379" customHeight="1">
      <c r="A50" s="12" t="inlineStr">
        <is>
          <t>IRIS2190</t>
        </is>
      </c>
      <c r="B50" s="10" t="inlineStr">
        <is>
          <t>Esther Kanagaselvam D</t>
        </is>
      </c>
      <c r="C50" s="12" t="inlineStr">
        <is>
          <t>Marketing</t>
        </is>
      </c>
      <c r="D50" s="12" t="inlineStr">
        <is>
          <t>Executive Lead Generation and Database</t>
        </is>
      </c>
      <c r="E50" s="79" t="inlineStr">
        <is>
          <t>Senior Marketing Operations Associate</t>
        </is>
      </c>
      <c r="F50" s="12" t="inlineStr">
        <is>
          <t>Marketing &amp; Communications</t>
        </is>
      </c>
      <c r="G50" s="12" t="inlineStr">
        <is>
          <t>Marketing Operations &amp; Automation</t>
        </is>
      </c>
      <c r="H50" s="12" t="inlineStr">
        <is>
          <t>IC</t>
        </is>
      </c>
      <c r="I50" s="42" t="inlineStr">
        <is>
          <t>L5 – Lead · IC</t>
        </is>
      </c>
      <c r="J50" s="16" t="inlineStr">
        <is>
          <t>A3</t>
        </is>
      </c>
      <c r="K50" s="17" t="inlineStr">
        <is>
          <t>Senior Associate</t>
        </is>
      </c>
      <c r="L50" s="87" t="inlineStr">
        <is>
          <t>▼ Down · pay &amp; title protected</t>
        </is>
      </c>
      <c r="M50" s="12" t="inlineStr">
        <is>
          <t>Corporate · Marketing · Band A · Early career</t>
        </is>
      </c>
      <c r="N50" s="42" t="n">
        <v>2.5</v>
      </c>
      <c r="O50" s="42" t="n">
        <v>2.5</v>
      </c>
      <c r="P50" s="42" t="n">
        <v>2.5</v>
      </c>
      <c r="Q50" s="42" t="n">
        <v>1</v>
      </c>
      <c r="R50" s="42" t="n">
        <v>4</v>
      </c>
      <c r="S50" s="81" t="n">
        <v>2.5</v>
      </c>
      <c r="T50" s="82">
        <f>IF(OR($M50="",COUNT(N50,O50,P50,Q50,R50,S50)&lt;6),"",IFERROR(N50*INDEX(WM_C,MATCH($M50,WM_KEY,0))+O50*INDEX(WM_AU,MATCH($M50,WM_KEY,0))+P50*INDEX(WM_AC,MATCH($M50,WM_KEY,0))+Q50*INDEX(WM_L,MATCH($M50,WM_KEY,0))+R50*INDEX(WM_E,MATCH($M50,WM_KEY,0))+S50*INDEX(WM_BI,MATCH($M50,WM_KEY,0)),""))</f>
        <v>2.65</v>
      </c>
      <c r="U50" s="42" t="str">
        <f>IF(T50="","",INDEX({"A1","A2","A3","B1","B2","B3","C1","C2","D1","D2","E1","E2"},MAX(1,MIN(12,ROUND(T50,0)))))</f>
        <v>A3</v>
      </c>
      <c r="V50" s="12" t="inlineStr">
        <is>
          <r>
            <rPr>
              <rFont val="Calibri"/>
              <sz val="10"/>
            </rPr>
            <t xml:space="preserve">New level A3 · Senior Associate. Current level on record: L5 – Lead · IC. Change: ▼ Down · pay &amp; title protected.
Score 2.65 on the ladder scale → indicated level A3.
</t>
          </r>
          <r>
            <rPr>
              <rFont val="Calibri"/>
              <b val="1"/>
              <sz val="10"/>
            </rPr>
            <t>Weights:</t>
          </r>
          <r>
            <rPr>
              <rFont val="Calibri"/>
              <sz val="10"/>
            </rPr>
            <t xml:space="preserve"> Complexity 54% · Autonomy 21% · Business impact 11% · Experience 10% · Accountability 4% · Leadership 0%
</t>
          </r>
          <r>
            <rPr>
              <rFont val="Calibri"/>
              <b val="1"/>
              <sz val="10"/>
            </rPr>
            <t>Why:</t>
          </r>
          <r>
            <rPr>
              <rFont val="Calibri"/>
              <sz val="10"/>
            </rPr>
            <t xml:space="preserve"> entry and practitioner work is judged mainly on the knowledge and problem solving the work needs; leading others is not expected yet, so Leadership counts 0%.
</t>
          </r>
          <r>
            <rPr>
              <rFont val="Calibri"/>
              <b val="1"/>
              <sz val="10"/>
            </rPr>
            <t>Type of work in the department:</t>
          </r>
          <r>
            <rPr>
              <rFont val="Calibri"/>
              <sz val="10"/>
            </rPr>
            <t xml:space="preserve"> sales and marketing are judged on pipeline and revenue, so Business Impact +5, Autonomy +5, Complexity −5 and Accountability −5.
</t>
          </r>
          <r>
            <rPr>
              <rFont val="Calibri"/>
              <b val="1"/>
              <sz val="10"/>
            </rPr>
            <t>Live:</t>
          </r>
          <r>
            <rPr>
              <rFont val="Calibri"/>
              <sz val="10"/>
            </rPr>
            <t xml:space="preserve"> change the department's row on the Weightage Matrix and these weights, the points and the score update.
</t>
          </r>
          <r>
            <rPr>
              <rFont val="Calibri"/>
              <b val="1"/>
              <sz val="10"/>
            </rPr>
            <t>What decided the final level:</t>
          </r>
          <r>
            <rPr>
              <rFont val="Calibri"/>
              <sz val="10"/>
            </rPr>
            <t xml:space="preserve"> the score itself — no rule changed it.
</t>
          </r>
          <r>
            <rPr>
              <rFont val="Calibri"/>
              <b val="1"/>
              <sz val="10"/>
            </rPr>
            <t>The new level is below the current one:</t>
          </r>
          <r>
            <rPr>
              <rFont val="Calibri"/>
              <sz val="10"/>
            </rPr>
            <t xml:space="preserve"> pay and title are protected for one cycle, with a review date.</t>
          </r>
        </is>
      </c>
      <c r="W50" s="12" t="inlineStr">
        <is>
          <r>
            <rPr>
              <rFont val="Calibri"/>
              <b val="1"/>
              <sz val="10"/>
            </rPr>
            <t>Complexity &amp; Expertise:</t>
          </r>
          <r>
            <rPr>
              <rFont val="Calibri"/>
              <sz val="10"/>
            </rPr>
            <t xml:space="preserve"> 2.5 of 12 · between A2 and A3 — Start: 2.0 · practitioner title; Evidence reads like A3: Configures Zoho CRM lead assignment rules, automation and UTM attribution; campaign lists and reports across units → moved up 0.5; KRA: “1. Generate assigned number of qualified leads / SQLs per month · meet 100% of target 2. Maintain outbound activity volume · calls/emails…”
</t>
          </r>
          <r>
            <rPr>
              <rFont val="Calibri"/>
              <b val="1"/>
              <sz val="10"/>
            </rPr>
            <t>Autonomy &amp; Decision:</t>
          </r>
          <r>
            <rPr>
              <rFont val="Calibri"/>
              <sz val="10"/>
            </rPr>
            <t xml:space="preserve"> 2.5 of 12 · between A2 and A3 — Start: 2.0 · practitioner title; Evidence reads like A3: Independently configures lead assignment rules, UTM tracking, marketing lists, data hygiene and reports → moved up 0.5
</t>
          </r>
          <r>
            <rPr>
              <rFont val="Calibri"/>
              <b val="1"/>
              <sz val="10"/>
            </rPr>
            <t>Accountability &amp; Impact:</t>
          </r>
          <r>
            <rPr>
              <rFont val="Calibri"/>
              <sz val="10"/>
            </rPr>
            <t xml:space="preserve"> 2.5 of 12 · between A2 and A3 — Start: 2.0 · practitioner title; Evidence reads like A3: own survey / KRA answers · summarised by the rater; not quoted → moved up 0.5; KRA: “1. Generate assigned number of qualified leads / SQLs per month · meet 100% of target 2. Maintain outbound activity volume · calls/emails…”
</t>
          </r>
          <r>
            <rPr>
              <rFont val="Calibri"/>
              <b val="1"/>
              <sz val="10"/>
            </rPr>
            <t>Leadership &amp; Strategy:</t>
          </r>
          <r>
            <rPr>
              <rFont val="Calibri"/>
              <sz val="10"/>
            </rPr>
            <t xml:space="preserve"> 1 of 12 — not counted: the weight is 0% at this level — Start: 1.0 · individual contributor, so influence only; Evidence reads like A1: No guiding or leading of others described → matches the start; Team: 0 direct reports · IC
</t>
          </r>
          <r>
            <rPr>
              <rFont val="Calibri"/>
              <b val="1"/>
              <sz val="10"/>
            </rPr>
            <t>Experience &amp; Qualification:</t>
          </r>
          <r>
            <rPr>
              <rFont val="Calibri"/>
              <sz val="10"/>
            </rPr>
            <t xml:space="preserve"> 4 of 12 — Experience: 5.5 yrs total · 2.5 before IRIS + 3.0 at IRIS = 4.0 on the experience scale; Qualification: B.E · graduate → no change
</t>
          </r>
          <r>
            <rPr>
              <rFont val="Calibri"/>
              <b val="1"/>
              <sz val="10"/>
            </rPr>
            <t>Business Impact:</t>
          </r>
          <r>
            <rPr>
              <rFont val="Calibri"/>
              <sz val="10"/>
            </rPr>
            <t xml:space="preserve"> 2.5 of 12 — a starting estimate. — Start: 2.5, the role's accountability scope — what it answers for.; No survey or manager-mapping signal on criticality: kept at the start point.; Managers and heads: overwrite this rating on the Weightage sheet with the business impact you see — the score updates at once.; Ladder: A2 = Own deliverables feed a team's output and turnaround · A3 = A process or client deliverable depends on this work</t>
          </r>
        </is>
      </c>
      <c r="X50" s="12" t="inlineStr">
        <is>
          <r>
            <rPr>
              <rFont val="Calibri"/>
              <b val="1"/>
              <sz val="10"/>
            </rPr>
            <t>Market level:</t>
          </r>
          <r>
            <rPr>
              <rFont val="Calibri"/>
              <sz val="10"/>
            </rPr>
            <t xml:space="preserve"> P2 · SFIA 3 Apply
</t>
          </r>
          <r>
            <rPr>
              <rFont val="Calibri"/>
              <b val="1"/>
              <sz val="10"/>
            </rPr>
            <t>Typical title:</t>
          </r>
          <r>
            <rPr>
              <rFont val="Calibri"/>
              <sz val="10"/>
            </rPr>
            <t xml:space="preserve"> Marketing Executive
</t>
          </r>
          <r>
            <rPr>
              <rFont val="Calibri"/>
              <b val="1"/>
              <sz val="10"/>
            </rPr>
            <t>At peers:</t>
          </r>
          <r>
            <rPr>
              <rFont val="Calibri"/>
              <sz val="10"/>
            </rPr>
            <t xml:space="preserve"> IRIS Vs Market Benchmark — CIM proficiency scale: 2–3 · IRIS Vs Competitor Benchmark — SaaS marketing ladder: Marketing Specialist
</t>
          </r>
          <r>
            <rPr>
              <rFont val="Calibri"/>
              <b val="1"/>
              <sz val="10"/>
            </rPr>
            <t>Typical experience:</t>
          </r>
          <r>
            <rPr>
              <rFont val="Calibri"/>
              <sz val="10"/>
            </rPr>
            <t xml:space="preserve"> 2–5 yrs · IRIS guide 2–4
</t>
          </r>
          <r>
            <rPr>
              <rFont val="Calibri"/>
              <b val="1"/>
              <sz val="10"/>
            </rPr>
            <t>Standard:</t>
          </r>
          <r>
            <rPr>
              <rFont val="Calibri"/>
              <sz val="10"/>
            </rPr>
            <t xml:space="preserve"> CIM Global Professional Marketing Framework — proficiency Aware → Active learner → Able → Accomplished → Authoritative</t>
          </r>
        </is>
      </c>
      <c r="Y50" s="12" t="inlineStr">
        <is>
          <r>
            <rPr>
              <rFont val="Calibri"/>
              <sz val="10"/>
            </rPr>
            <t xml:space="preserve">✓ HRIS: 5.5 yrs, B.E, 0 direct reports
✓ Survey: 20 of 20 questions answered
✓ KRAs: self, manager-set, quarterly
✓ Manager mapping: rating, potential, 9-box
✗ Job description: not on file
</t>
          </r>
          <r>
            <rPr>
              <rFont val="Calibri"/>
              <b val="1"/>
              <sz val="10"/>
            </rPr>
            <t>Confidence:</t>
          </r>
          <r>
            <rPr>
              <rFont val="Calibri"/>
              <sz val="10"/>
            </rPr>
            <t xml:space="preserve"> High</t>
          </r>
        </is>
      </c>
      <c r="Z50" s="86" t="inlineStr">
        <is>
          <r>
            <rPr>
              <rFont val="Calibri"/>
              <color rgb="009C5700"/>
              <sz val="10"/>
            </rPr>
            <t xml:space="preserve">• </t>
          </r>
          <r>
            <rPr>
              <rFont val="Calibri"/>
              <b val="1"/>
              <color rgb="009C5700"/>
              <sz val="10"/>
            </rPr>
            <t>Moves down:</t>
          </r>
          <r>
            <rPr>
              <rFont val="Calibri"/>
              <color rgb="009C5700"/>
              <sz val="10"/>
            </rPr>
            <t xml:space="preserve"> protected for one cycle</t>
          </r>
        </is>
      </c>
      <c r="AA50" s="12" t="inlineStr">
        <is>
          <t>Nothing outstanding</t>
        </is>
      </c>
      <c r="AB50" s="12" t="inlineStr">
        <is>
          <r>
            <rPr>
              <rFont val="Calibri"/>
              <b val="1"/>
              <sz val="10"/>
            </rPr>
            <t>What the role answers for:</t>
          </r>
          <r>
            <rPr>
              <rFont val="Calibri"/>
              <sz val="10"/>
            </rPr>
            <t xml:space="preserve"> A module / process, or work with client or regulatory consequences.
</t>
          </r>
          <r>
            <rPr>
              <rFont val="Calibri"/>
              <b val="1"/>
              <sz val="10"/>
            </rPr>
            <t>Accountability &amp; Impact rating:</t>
          </r>
          <r>
            <rPr>
              <rFont val="Calibri"/>
              <sz val="10"/>
            </rPr>
            <t xml:space="preserve"> 2.5 of 12 · A2-level impact.
From the survey and manager mapping — successor named: yes.
</t>
          </r>
          <r>
            <rPr>
              <rFont val="Calibri"/>
              <b val="1"/>
              <sz val="10"/>
            </rPr>
            <t>If the work is missed · role-holders' themes:</t>
          </r>
          <r>
            <rPr>
              <rFont val="Calibri"/>
              <sz val="10"/>
            </rPr>
            <t xml:space="preserve"> wasted · data · lead.
Manager talent mapping — Latest rating: 2 · Potential: Low · 9-Box Grid placement: Performance Risk.</t>
          </r>
        </is>
      </c>
      <c r="AC50" s="83" t="n"/>
      <c r="AD50" s="83" t="n"/>
      <c r="AE50" s="83" t="n"/>
      <c r="AF50" s="12" t="n">
        <v>2.5</v>
      </c>
    </row>
    <row r="51" ht="379" customHeight="1">
      <c r="A51" s="12" t="inlineStr">
        <is>
          <t>IRIS1914</t>
        </is>
      </c>
      <c r="B51" s="10" t="inlineStr">
        <is>
          <t>Santosh Sharma</t>
        </is>
      </c>
      <c r="C51" s="12" t="inlineStr">
        <is>
          <t>Secretarial &amp; Legal</t>
        </is>
      </c>
      <c r="D51" s="12" t="inlineStr">
        <is>
          <t>Company Secretary</t>
        </is>
      </c>
      <c r="E51" s="79" t="inlineStr">
        <is>
          <t>Company Secretary – POD Lead</t>
        </is>
      </c>
      <c r="F51" s="12" t="inlineStr">
        <is>
          <t>Administration, Legal &amp; Secretarial</t>
        </is>
      </c>
      <c r="G51" s="12" t="inlineStr">
        <is>
          <t>Company Secretarial &amp; Legal</t>
        </is>
      </c>
      <c r="H51" s="12" t="inlineStr">
        <is>
          <t>POD Lead</t>
        </is>
      </c>
      <c r="I51" s="42" t="inlineStr">
        <is>
          <t>Not in current mapping files</t>
        </is>
      </c>
      <c r="J51" s="24" t="inlineStr">
        <is>
          <t>C1</t>
        </is>
      </c>
      <c r="K51" s="25" t="inlineStr">
        <is>
          <t>Principal · POD Lead</t>
        </is>
      </c>
      <c r="L51" s="80" t="inlineStr">
        <is>
          <t>● Newly mapped</t>
        </is>
      </c>
      <c r="M51" s="12" t="inlineStr">
        <is>
          <t>Corporate · Secretarial &amp; Legal · Band C · Principal expert</t>
        </is>
      </c>
      <c r="N51" s="42" t="n">
        <v>7</v>
      </c>
      <c r="O51" s="42" t="n">
        <v>7</v>
      </c>
      <c r="P51" s="42" t="n">
        <v>5.5</v>
      </c>
      <c r="Q51" s="42" t="n">
        <v>6</v>
      </c>
      <c r="R51" s="42" t="n">
        <v>9.5</v>
      </c>
      <c r="S51" s="81" t="n">
        <v>5.5</v>
      </c>
      <c r="T51" s="82">
        <f>IF(OR($M51="",COUNT(N51,O51,P51,Q51,R51,S51)&lt;6),"",IFERROR(N51*INDEX(WM_C,MATCH($M51,WM_KEY,0))+O51*INDEX(WM_AU,MATCH($M51,WM_KEY,0))+P51*INDEX(WM_AC,MATCH($M51,WM_KEY,0))+Q51*INDEX(WM_L,MATCH($M51,WM_KEY,0))+R51*INDEX(WM_E,MATCH($M51,WM_KEY,0))+S51*INDEX(WM_BI,MATCH($M51,WM_KEY,0)),""))</f>
        <v>6.93</v>
      </c>
      <c r="U51" s="42" t="str">
        <f>IF(T51="","",INDEX({"A1","A2","A3","B1","B2","B3","C1","C2","D1","D2","E1","E2"},MAX(1,MIN(12,ROUND(T51,0)))))</f>
        <v>C1</v>
      </c>
      <c r="V51" s="12" t="inlineStr">
        <is>
          <r>
            <rPr>
              <rFont val="Calibri"/>
              <sz val="10"/>
            </rPr>
            <t xml:space="preserve">New level C1 · Principal · POD Lead. Current level on record: Not in current mapping files. Change: ● Newly mapped.
Score 6.93 on the ladder scale → indicated level C1.
</t>
          </r>
          <r>
            <rPr>
              <rFont val="Calibri"/>
              <b val="1"/>
              <sz val="10"/>
            </rPr>
            <t>Weights:</t>
          </r>
          <r>
            <rPr>
              <rFont val="Calibri"/>
              <sz val="10"/>
            </rPr>
            <t xml:space="preserve"> Complexity 49% · Autonomy 18% · Accountability 10% · Experience 10% · Business impact 8% · Leadership 5%
</t>
          </r>
          <r>
            <rPr>
              <rFont val="Calibri"/>
              <b val="1"/>
              <sz val="10"/>
            </rPr>
            <t>Why:</t>
          </r>
          <r>
            <rPr>
              <rFont val="Calibri"/>
              <sz val="10"/>
            </rPr>
            <t xml:space="preserve"> a principal is judged mainly on expertise across products; experience counts only 5%.
</t>
          </r>
          <r>
            <rPr>
              <rFont val="Calibri"/>
              <b val="1"/>
              <sz val="10"/>
            </rPr>
            <t>Type of work in the department:</t>
          </r>
          <r>
            <rPr>
              <rFont val="Calibri"/>
              <sz val="10"/>
            </rPr>
            <t xml:space="preserve"> corporate functions rely on professional qualifications such as CA, CS or law, so Experience &amp; Qualification +5 and Complexity −5.
</t>
          </r>
          <r>
            <rPr>
              <rFont val="Calibri"/>
              <b val="1"/>
              <sz val="10"/>
            </rPr>
            <t>Live:</t>
          </r>
          <r>
            <rPr>
              <rFont val="Calibri"/>
              <sz val="10"/>
            </rPr>
            <t xml:space="preserve"> change the department's row on the Weightage Matrix and these weights, the points and the score update.
</t>
          </r>
          <r>
            <rPr>
              <rFont val="Calibri"/>
              <b val="1"/>
              <sz val="10"/>
            </rPr>
            <t>What decided the final level:</t>
          </r>
          <r>
            <rPr>
              <rFont val="Calibri"/>
              <sz val="10"/>
            </rPr>
            <t xml:space="preserve"> the score itself — no rule changed it.</t>
          </r>
        </is>
      </c>
      <c r="W51" s="12" t="inlineStr">
        <is>
          <r>
            <rPr>
              <rFont val="Calibri"/>
              <b val="1"/>
              <sz val="10"/>
            </rPr>
            <t>Complexity &amp; Expertise:</t>
          </r>
          <r>
            <rPr>
              <rFont val="Calibri"/>
              <sz val="10"/>
            </rPr>
            <t xml:space="preserve"> 7 of 12 — Start: 7.0 · principal / architect title; Evidence: no survey answers or KRAs on file → rating stays at the start
</t>
          </r>
          <r>
            <rPr>
              <rFont val="Calibri"/>
              <b val="1"/>
              <sz val="10"/>
            </rPr>
            <t>Autonomy &amp; Decision:</t>
          </r>
          <r>
            <rPr>
              <rFont val="Calibri"/>
              <sz val="10"/>
            </rPr>
            <t xml:space="preserve"> 7 of 12 — Start: 7.0 · principal / architect title; Evidence: no survey answers or KRAs on file → rating stays at the start
</t>
          </r>
          <r>
            <rPr>
              <rFont val="Calibri"/>
              <b val="1"/>
              <sz val="10"/>
            </rPr>
            <t>Accountability &amp; Impact:</t>
          </r>
          <r>
            <rPr>
              <rFont val="Calibri"/>
              <sz val="10"/>
            </rPr>
            <t xml:space="preserve"> 5.5 of 12 · between B2 and B3 — Start: 5.5 · principal / architect title; 2 direct reports; Evidence: no survey answers or KRAs on file → rating stays at the start
</t>
          </r>
          <r>
            <rPr>
              <rFont val="Calibri"/>
              <b val="1"/>
              <sz val="10"/>
            </rPr>
            <t>Leadership &amp; Strategy:</t>
          </r>
          <r>
            <rPr>
              <rFont val="Calibri"/>
              <sz val="10"/>
            </rPr>
            <t xml:space="preserve"> 6 of 12 — Start: 6.0; Evidence: no survey answers or KRAs on file → rating stays at the start; Team: 2 direct reports · POD Lead
</t>
          </r>
          <r>
            <rPr>
              <rFont val="Calibri"/>
              <b val="1"/>
              <sz val="10"/>
            </rPr>
            <t>Experience &amp; Qualification:</t>
          </r>
          <r>
            <rPr>
              <rFont val="Calibri"/>
              <sz val="10"/>
            </rPr>
            <t xml:space="preserve"> 9.5 of 12 · between D1 and D2 — Experience: 15.3 yrs total · 10.0 before IRIS + 5.3 at IRIS = 8.3 on the experience scale; Qualification: LLB · professional, relevant to the work → +1.0
</t>
          </r>
          <r>
            <rPr>
              <rFont val="Calibri"/>
              <b val="1"/>
              <sz val="10"/>
            </rPr>
            <t>Business Impact:</t>
          </r>
          <r>
            <rPr>
              <rFont val="Calibri"/>
              <sz val="10"/>
            </rPr>
            <t xml:space="preserve"> 5.5 of 12 — a starting estimate. — Start: 5.5, the role's accountability scope — what it answers for.; No survey or manager-mapping signal on criticality: kept at the start point.; Managers and heads: overwrite this rating on the Weightage sheet with the business impact you see — the score updates at once.; Ladder: B2 = Visible effect on a team's or client portfolio's revenue, quality or compliance · B3 = Shapes the results of a practice or several teams</t>
          </r>
        </is>
      </c>
      <c r="X51" s="12" t="inlineStr">
        <is>
          <r>
            <rPr>
              <rFont val="Calibri"/>
              <b val="1"/>
              <sz val="10"/>
            </rPr>
            <t>Market level:</t>
          </r>
          <r>
            <rPr>
              <rFont val="Calibri"/>
              <sz val="10"/>
            </rPr>
            <t xml:space="preserve"> P6 / M5 · SFIA 5–6
</t>
          </r>
          <r>
            <rPr>
              <rFont val="Calibri"/>
              <b val="1"/>
              <sz val="10"/>
            </rPr>
            <t>Typical title:</t>
          </r>
          <r>
            <rPr>
              <rFont val="Calibri"/>
              <sz val="10"/>
            </rPr>
            <t xml:space="preserve"> —
</t>
          </r>
          <r>
            <rPr>
              <rFont val="Calibri"/>
              <b val="1"/>
              <sz val="10"/>
            </rPr>
            <t>At peers:</t>
          </r>
          <r>
            <rPr>
              <rFont val="Calibri"/>
              <sz val="10"/>
            </rPr>
            <t xml:space="preserve"> IRIS Vs Competitor Benchmark — corporate services ladder: Company Secretary
</t>
          </r>
          <r>
            <rPr>
              <rFont val="Calibri"/>
              <b val="1"/>
              <sz val="10"/>
            </rPr>
            <t>Typical experience:</t>
          </r>
          <r>
            <rPr>
              <rFont val="Calibri"/>
              <sz val="10"/>
            </rPr>
            <t xml:space="preserve"> 12–17 yrs · IRIS guide 10–14
</t>
          </r>
          <r>
            <rPr>
              <rFont val="Calibri"/>
              <b val="1"/>
              <sz val="10"/>
            </rPr>
            <t>Standard:</t>
          </r>
          <r>
            <rPr>
              <rFont val="Calibri"/>
              <sz val="10"/>
            </rPr>
            <t xml:space="preserve"> ICSI; Companies Act 2013</t>
          </r>
        </is>
      </c>
      <c r="Y51" s="12" t="inlineStr">
        <is>
          <r>
            <rPr>
              <rFont val="Calibri"/>
              <sz val="10"/>
            </rPr>
            <t xml:space="preserve">✓ HRIS: 15.3 yrs, LLB, 2 direct reports
✗ Survey: no response
✗ KRAs: none on file
✓ Manager mapping: rating, 9-box
✗ Job description: not on file
</t>
          </r>
          <r>
            <rPr>
              <rFont val="Calibri"/>
              <b val="1"/>
              <sz val="10"/>
            </rPr>
            <t>Confidence:</t>
          </r>
          <r>
            <rPr>
              <rFont val="Calibri"/>
              <sz val="10"/>
            </rPr>
            <t xml:space="preserve"> Low</t>
          </r>
        </is>
      </c>
      <c r="Z51" s="86" t="inlineStr">
        <is>
          <r>
            <rPr>
              <rFont val="Calibri"/>
              <color rgb="009C5700"/>
              <sz val="10"/>
            </rPr>
            <t xml:space="preserve">• </t>
          </r>
          <r>
            <rPr>
              <rFont val="Calibri"/>
              <b val="1"/>
              <color rgb="009C5700"/>
              <sz val="10"/>
            </rPr>
            <t>Title check:</t>
          </r>
          <r>
            <rPr>
              <rFont val="Calibri"/>
              <color rgb="009C5700"/>
              <sz val="10"/>
            </rPr>
            <t xml:space="preserve"> Market-standard role title</t>
          </r>
        </is>
      </c>
      <c r="AA51" s="84" t="inlineStr">
        <is>
          <t>• Survey response or KRAs describing the work · nothing on file — Employee + manager</t>
        </is>
      </c>
      <c r="AB51" s="12" t="inlineStr">
        <is>
          <r>
            <rPr>
              <rFont val="Calibri"/>
              <b val="1"/>
              <sz val="10"/>
            </rPr>
            <t>What the role answers for:</t>
          </r>
          <r>
            <rPr>
              <rFont val="Calibri"/>
              <sz val="10"/>
            </rPr>
            <t xml:space="preserve"> Sub-function results or domain quality across products.
</t>
          </r>
          <r>
            <rPr>
              <rFont val="Calibri"/>
              <b val="1"/>
              <sz val="10"/>
            </rPr>
            <t>Accountability &amp; Impact rating:</t>
          </r>
          <r>
            <rPr>
              <rFont val="Calibri"/>
              <sz val="10"/>
            </rPr>
            <t xml:space="preserve"> 5.5 of 12 · B3-level impact.
Leads 2 direct reports.
Manager talent mapping — Latest rating: Not rated · manager · 9-Box Grid placement: Not placed · manager.</t>
          </r>
        </is>
      </c>
      <c r="AC51" s="83" t="n"/>
      <c r="AD51" s="83" t="n"/>
      <c r="AE51" s="83" t="n"/>
      <c r="AF51" s="12" t="n">
        <v>5.5</v>
      </c>
    </row>
    <row r="52" ht="379" customHeight="1">
      <c r="A52" s="12" t="inlineStr">
        <is>
          <t>IRIS2290</t>
        </is>
      </c>
      <c r="B52" s="10" t="inlineStr">
        <is>
          <t>Melita Suares</t>
        </is>
      </c>
      <c r="C52" s="12" t="inlineStr">
        <is>
          <t>Secretarial &amp; Legal</t>
        </is>
      </c>
      <c r="D52" s="12" t="inlineStr">
        <is>
          <t>Executive - Secretarial and Legal</t>
        </is>
      </c>
      <c r="E52" s="79" t="inlineStr">
        <is>
          <t>Senior Secretarial Executive</t>
        </is>
      </c>
      <c r="F52" s="12" t="inlineStr">
        <is>
          <t>Administration, Legal &amp; Secretarial</t>
        </is>
      </c>
      <c r="G52" s="12" t="inlineStr">
        <is>
          <t>Company Secretarial &amp; Legal</t>
        </is>
      </c>
      <c r="H52" s="12" t="inlineStr">
        <is>
          <t>IC</t>
        </is>
      </c>
      <c r="I52" s="42" t="inlineStr">
        <is>
          <t>Not in current mapping files</t>
        </is>
      </c>
      <c r="J52" s="16" t="inlineStr">
        <is>
          <t>A3</t>
        </is>
      </c>
      <c r="K52" s="17" t="inlineStr">
        <is>
          <t>Senior Associate</t>
        </is>
      </c>
      <c r="L52" s="80" t="inlineStr">
        <is>
          <t>● Newly mapped</t>
        </is>
      </c>
      <c r="M52" s="12" t="inlineStr">
        <is>
          <t>Corporate · Secretarial &amp; Legal · Band A · Early career</t>
        </is>
      </c>
      <c r="N52" s="42" t="n">
        <v>2.5</v>
      </c>
      <c r="O52" s="42" t="n">
        <v>2.5</v>
      </c>
      <c r="P52" s="42" t="n">
        <v>2.5</v>
      </c>
      <c r="Q52" s="42" t="n">
        <v>1.5</v>
      </c>
      <c r="R52" s="42" t="n">
        <v>5</v>
      </c>
      <c r="S52" s="81" t="n">
        <v>2.5</v>
      </c>
      <c r="T52" s="82">
        <f>IF(OR($M52="",COUNT(N52,O52,P52,Q52,R52,S52)&lt;6),"",IFERROR(N52*INDEX(WM_C,MATCH($M52,WM_KEY,0))+O52*INDEX(WM_AU,MATCH($M52,WM_KEY,0))+P52*INDEX(WM_AC,MATCH($M52,WM_KEY,0))+Q52*INDEX(WM_L,MATCH($M52,WM_KEY,0))+R52*INDEX(WM_E,MATCH($M52,WM_KEY,0))+S52*INDEX(WM_BI,MATCH($M52,WM_KEY,0)),""))</f>
        <v>2.875</v>
      </c>
      <c r="U52" s="42" t="str">
        <f>IF(T52="","",INDEX({"A1","A2","A3","B1","B2","B3","C1","C2","D1","D2","E1","E2"},MAX(1,MIN(12,ROUND(T52,0)))))</f>
        <v>A3</v>
      </c>
      <c r="V52" s="12" t="inlineStr">
        <is>
          <r>
            <rPr>
              <rFont val="Calibri"/>
              <sz val="10"/>
            </rPr>
            <t xml:space="preserve">New level A3 · Senior Associate. Current level on record: Not in current mapping files. Change: ● Newly mapped.
Score 2.88 on the ladder scale → indicated level A3.
</t>
          </r>
          <r>
            <rPr>
              <rFont val="Calibri"/>
              <b val="1"/>
              <sz val="10"/>
            </rPr>
            <t>Weights:</t>
          </r>
          <r>
            <rPr>
              <rFont val="Calibri"/>
              <sz val="10"/>
            </rPr>
            <t xml:space="preserve"> Complexity 54% · Autonomy 16% · Experience 15% · Accountability 9% · Business impact 6% · Leadership 0%
</t>
          </r>
          <r>
            <rPr>
              <rFont val="Calibri"/>
              <b val="1"/>
              <sz val="10"/>
            </rPr>
            <t>Why:</t>
          </r>
          <r>
            <rPr>
              <rFont val="Calibri"/>
              <sz val="10"/>
            </rPr>
            <t xml:space="preserve"> entry and practitioner work is judged mainly on the knowledge and problem solving the work needs; leading others is not expected yet, so Leadership counts 0%.
</t>
          </r>
          <r>
            <rPr>
              <rFont val="Calibri"/>
              <b val="1"/>
              <sz val="10"/>
            </rPr>
            <t>Type of work in the department:</t>
          </r>
          <r>
            <rPr>
              <rFont val="Calibri"/>
              <sz val="10"/>
            </rPr>
            <t xml:space="preserve"> corporate functions rely on professional qualifications such as CA, CS or law, so Experience &amp; Qualification +5 and Complexity −5.
</t>
          </r>
          <r>
            <rPr>
              <rFont val="Calibri"/>
              <b val="1"/>
              <sz val="10"/>
            </rPr>
            <t>Live:</t>
          </r>
          <r>
            <rPr>
              <rFont val="Calibri"/>
              <sz val="10"/>
            </rPr>
            <t xml:space="preserve"> change the department's row on the Weightage Matrix and these weights, the points and the score update.
</t>
          </r>
          <r>
            <rPr>
              <rFont val="Calibri"/>
              <b val="1"/>
              <sz val="10"/>
            </rPr>
            <t>What decided the final level:</t>
          </r>
          <r>
            <rPr>
              <rFont val="Calibri"/>
              <sz val="10"/>
            </rPr>
            <t xml:space="preserve"> the score itself — no rule changed it.</t>
          </r>
        </is>
      </c>
      <c r="W52" s="12" t="inlineStr">
        <is>
          <r>
            <rPr>
              <rFont val="Calibri"/>
              <b val="1"/>
              <sz val="10"/>
            </rPr>
            <t>Complexity &amp; Expertise:</t>
          </r>
          <r>
            <rPr>
              <rFont val="Calibri"/>
              <sz val="10"/>
            </rPr>
            <t xml:space="preserve"> 2.5 of 12 · between A2 and A3 — Start: 2.0 · practitioner title; Evidence reads like A3: ROC and LODR filings, board minutes, agreement drafting and vetting, compliance trackers, PIT training → moved up 0.5
</t>
          </r>
          <r>
            <rPr>
              <rFont val="Calibri"/>
              <b val="1"/>
              <sz val="10"/>
            </rPr>
            <t>Autonomy &amp; Decision:</t>
          </r>
          <r>
            <rPr>
              <rFont val="Calibri"/>
              <sz val="10"/>
            </rPr>
            <t xml:space="preserve"> 2.5 of 12 · between A2 and A3 — Start: 2.0 · practitioner title; Evidence reads like A3: Decides secretarial documentation, ROC filings, trackers and PIT training module; escalates legal issues → moved up 0.5
</t>
          </r>
          <r>
            <rPr>
              <rFont val="Calibri"/>
              <b val="1"/>
              <sz val="10"/>
            </rPr>
            <t>Accountability &amp; Impact:</t>
          </r>
          <r>
            <rPr>
              <rFont val="Calibri"/>
              <sz val="10"/>
            </rPr>
            <t xml:space="preserve"> 2.5 of 12 · between A2 and A3 — Start: 2.0 · practitioner title; Evidence reads like A3: Accuracy and timeliness of statutory filings and board records; penalties if missed → moved up 0.5
</t>
          </r>
          <r>
            <rPr>
              <rFont val="Calibri"/>
              <b val="1"/>
              <sz val="10"/>
            </rPr>
            <t>Leadership &amp; Strategy:</t>
          </r>
          <r>
            <rPr>
              <rFont val="Calibri"/>
              <sz val="10"/>
            </rPr>
            <t xml:space="preserve"> 1.5 of 12 · between A1 and A2 — not counted: the weight is 0% at this level — Start: 1.0 · individual contributor, so influence only; Evidence reads like A2: Prepares and presents PIT training sessions; no juniors guided → moved up 0.5; Team: 0 direct reports · IC
</t>
          </r>
          <r>
            <rPr>
              <rFont val="Calibri"/>
              <b val="1"/>
              <sz val="10"/>
            </rPr>
            <t>Experience &amp; Qualification:</t>
          </r>
          <r>
            <rPr>
              <rFont val="Calibri"/>
              <sz val="10"/>
            </rPr>
            <t xml:space="preserve"> 5 of 12 — Experience: 5.4 yrs total · 3.2 before IRIS + 2.2 at IRIS = 4.0 on the experience scale; Qualification: ICSI Marsheets · professional, relevant to the work → +1.0
</t>
          </r>
          <r>
            <rPr>
              <rFont val="Calibri"/>
              <b val="1"/>
              <sz val="10"/>
            </rPr>
            <t>Business Impact:</t>
          </r>
          <r>
            <rPr>
              <rFont val="Calibri"/>
              <sz val="10"/>
            </rPr>
            <t xml:space="preserve"> 2.5 of 12 — a starting estimate. — Start: 2.5, the role's accountability scope — what it answers for.; No survey or manager-mapping signal on criticality: kept at the start point.; Managers and heads: overwrite this rating on the Weightage sheet with the business impact you see — the score updates at once.; Ladder: A2 = Own deliverables feed a team's output and turnaround · A3 = A process or client deliverable depends on this work</t>
          </r>
        </is>
      </c>
      <c r="X52" s="12" t="inlineStr">
        <is>
          <r>
            <rPr>
              <rFont val="Calibri"/>
              <b val="1"/>
              <sz val="10"/>
            </rPr>
            <t>Market level:</t>
          </r>
          <r>
            <rPr>
              <rFont val="Calibri"/>
              <sz val="10"/>
            </rPr>
            <t xml:space="preserve"> P2 · SFIA 3 Apply
</t>
          </r>
          <r>
            <rPr>
              <rFont val="Calibri"/>
              <b val="1"/>
              <sz val="10"/>
            </rPr>
            <t>Typical title:</t>
          </r>
          <r>
            <rPr>
              <rFont val="Calibri"/>
              <sz val="10"/>
            </rPr>
            <t xml:space="preserve"> Admin / Secretarial Executive
</t>
          </r>
          <r>
            <rPr>
              <rFont val="Calibri"/>
              <b val="1"/>
              <sz val="10"/>
            </rPr>
            <t>At peers:</t>
          </r>
          <r>
            <rPr>
              <rFont val="Calibri"/>
              <sz val="10"/>
            </rPr>
            <t xml:space="preserve"> IRIS Vs Competitor Benchmark — corporate services ladder: Senior Executive
</t>
          </r>
          <r>
            <rPr>
              <rFont val="Calibri"/>
              <b val="1"/>
              <sz val="10"/>
            </rPr>
            <t>Typical experience:</t>
          </r>
          <r>
            <rPr>
              <rFont val="Calibri"/>
              <sz val="10"/>
            </rPr>
            <t xml:space="preserve"> 2–5 yrs · IRIS guide 2–4
</t>
          </r>
          <r>
            <rPr>
              <rFont val="Calibri"/>
              <b val="1"/>
              <sz val="10"/>
            </rPr>
            <t>Standard:</t>
          </r>
          <r>
            <rPr>
              <rFont val="Calibri"/>
              <sz val="10"/>
            </rPr>
            <t xml:space="preserve"> ICSI; Companies Act 2013</t>
          </r>
        </is>
      </c>
      <c r="Y52" s="12" t="inlineStr">
        <is>
          <r>
            <rPr>
              <rFont val="Calibri"/>
              <sz val="10"/>
            </rPr>
            <t xml:space="preserve">✓ HRIS: 5.4 yrs, ICSI Marsheets, 0 direct reports
✓ Survey: 20 of 20 questions answered
✗ KRAs: none on file
✓ Manager mapping: rating, 9-box
✗ Job description: not on file
</t>
          </r>
          <r>
            <rPr>
              <rFont val="Calibri"/>
              <b val="1"/>
              <sz val="10"/>
            </rPr>
            <t>Confidence:</t>
          </r>
          <r>
            <rPr>
              <rFont val="Calibri"/>
              <sz val="10"/>
            </rPr>
            <t xml:space="preserve"> High</t>
          </r>
        </is>
      </c>
      <c r="Z52" s="12" t="inlineStr">
        <is>
          <t>—</t>
        </is>
      </c>
      <c r="AA52" s="12" t="inlineStr">
        <is>
          <t>Nothing outstanding</t>
        </is>
      </c>
      <c r="AB52" s="12" t="inlineStr">
        <is>
          <r>
            <rPr>
              <rFont val="Calibri"/>
              <b val="1"/>
              <sz val="10"/>
            </rPr>
            <t>What the role answers for:</t>
          </r>
          <r>
            <rPr>
              <rFont val="Calibri"/>
              <sz val="10"/>
            </rPr>
            <t xml:space="preserve"> A module / process, or work with client or regulatory consequences.
</t>
          </r>
          <r>
            <rPr>
              <rFont val="Calibri"/>
              <b val="1"/>
              <sz val="10"/>
            </rPr>
            <t>Accountability &amp; Impact rating:</t>
          </r>
          <r>
            <rPr>
              <rFont val="Calibri"/>
              <sz val="10"/>
            </rPr>
            <t xml:space="preserve"> 2.5 of 12 · A2-level impact.
Manager talent mapping — Latest rating: Not rated · manager · 9-Box Grid placement: Not placed · manager.</t>
          </r>
        </is>
      </c>
      <c r="AC52" s="83" t="n"/>
      <c r="AD52" s="83" t="n"/>
      <c r="AE52" s="83" t="n"/>
      <c r="AF52" s="12" t="n">
        <v>2.5</v>
      </c>
    </row>
    <row r="53" ht="80" customHeight="1">
      <c r="A53" s="12" t="inlineStr">
        <is>
          <t>INTN0296</t>
        </is>
      </c>
      <c r="B53" s="10" t="inlineStr">
        <is>
          <t>Sneha Pillai</t>
        </is>
      </c>
      <c r="C53" s="12" t="inlineStr">
        <is>
          <t>Secretarial &amp; Legal</t>
        </is>
      </c>
      <c r="D53" s="12" t="inlineStr">
        <is>
          <t>Intern</t>
        </is>
      </c>
      <c r="E53" s="79" t="inlineStr">
        <is>
          <t>Intern – Company Secretarial &amp; Legal</t>
        </is>
      </c>
      <c r="F53" s="12" t="inlineStr">
        <is>
          <t>Administration, Legal &amp; Secretarial</t>
        </is>
      </c>
      <c r="G53" s="12" t="inlineStr">
        <is>
          <t>Company Secretarial &amp; Legal</t>
        </is>
      </c>
      <c r="H53" s="12" t="inlineStr">
        <is>
          <t>IC</t>
        </is>
      </c>
      <c r="I53" s="42" t="inlineStr">
        <is>
          <t>Not in current mapping files</t>
        </is>
      </c>
      <c r="J53" s="16" t="inlineStr">
        <is>
          <t>A1</t>
        </is>
      </c>
      <c r="K53" s="17" t="inlineStr">
        <is>
          <t>Intern / Trainee</t>
        </is>
      </c>
      <c r="L53" s="80" t="inlineStr">
        <is>
          <t>● Newly mapped</t>
        </is>
      </c>
      <c r="M53" s="12" t="inlineStr">
        <is>
          <t>—</t>
        </is>
      </c>
      <c r="N53" s="42" t="inlineStr">
        <is>
          <t>—</t>
        </is>
      </c>
      <c r="O53" s="42" t="inlineStr">
        <is>
          <t>—</t>
        </is>
      </c>
      <c r="P53" s="42" t="inlineStr">
        <is>
          <t>—</t>
        </is>
      </c>
      <c r="Q53" s="42" t="inlineStr">
        <is>
          <t>—</t>
        </is>
      </c>
      <c r="R53" s="42" t="inlineStr">
        <is>
          <t>—</t>
        </is>
      </c>
      <c r="S53" s="81" t="inlineStr">
        <is>
          <t>—</t>
        </is>
      </c>
      <c r="T53" s="82" t="inlineStr">
        <is>
          <t>—</t>
        </is>
      </c>
      <c r="U53" s="42" t="inlineStr">
        <is>
          <t>Not scored</t>
        </is>
      </c>
      <c r="V53" s="12" t="inlineStr">
        <is>
          <t>New level A1 · Intern / Trainee. Current level on record: Not in current mapping files. Change: ● Newly mapped.
Interns and first-year trainees start at A1.</t>
        </is>
      </c>
      <c r="W53" s="12" t="inlineStr">
        <is>
          <r>
            <rPr>
              <rFont val="Calibri"/>
              <b val="1"/>
              <sz val="10"/>
            </rPr>
            <t>Not scored:</t>
          </r>
          <r>
            <rPr>
              <rFont val="Calibri"/>
              <sz val="10"/>
            </rPr>
            <t xml:space="preserve"> interns and first-year trainees start at A1.</t>
          </r>
        </is>
      </c>
      <c r="X53" s="12" t="inlineStr">
        <is>
          <r>
            <rPr>
              <rFont val="Calibri"/>
              <b val="1"/>
              <sz val="10"/>
            </rPr>
            <t>Market level:</t>
          </r>
          <r>
            <rPr>
              <rFont val="Calibri"/>
              <sz val="10"/>
            </rPr>
            <t xml:space="preserve"> Entry / P1 · intern · SFIA 1 Follow
</t>
          </r>
          <r>
            <rPr>
              <rFont val="Calibri"/>
              <b val="1"/>
              <sz val="10"/>
            </rPr>
            <t>Typical title:</t>
          </r>
          <r>
            <rPr>
              <rFont val="Calibri"/>
              <sz val="10"/>
            </rPr>
            <t xml:space="preserve"> Admin Assistant
</t>
          </r>
          <r>
            <rPr>
              <rFont val="Calibri"/>
              <b val="1"/>
              <sz val="10"/>
            </rPr>
            <t>At peers:</t>
          </r>
          <r>
            <rPr>
              <rFont val="Calibri"/>
              <sz val="10"/>
            </rPr>
            <t xml:space="preserve"> IRIS Vs Competitor Benchmark — corporate services ladder: Trainee
</t>
          </r>
          <r>
            <rPr>
              <rFont val="Calibri"/>
              <b val="1"/>
              <sz val="10"/>
            </rPr>
            <t>Standard:</t>
          </r>
          <r>
            <rPr>
              <rFont val="Calibri"/>
              <sz val="10"/>
            </rPr>
            <t xml:space="preserve"> ICSI; Companies Act 2013</t>
          </r>
        </is>
      </c>
      <c r="Y53" s="12" t="inlineStr">
        <is>
          <r>
            <rPr>
              <rFont val="Calibri"/>
              <sz val="10"/>
            </rPr>
            <t xml:space="preserve">✓ HRIS: 0.6 yrs, B.Com, 0 direct reports
✓ Survey: 20 of 20 questions answered
✗ KRAs: none on file
✓ Manager mapping: rating, 9-box
✗ Job description: not on file
</t>
          </r>
          <r>
            <rPr>
              <rFont val="Calibri"/>
              <b val="1"/>
              <sz val="10"/>
            </rPr>
            <t>Confidence:</t>
          </r>
          <r>
            <rPr>
              <rFont val="Calibri"/>
              <sz val="10"/>
            </rPr>
            <t xml:space="preserve"> Medium</t>
          </r>
        </is>
      </c>
      <c r="Z53" s="12" t="inlineStr">
        <is>
          <t>—</t>
        </is>
      </c>
      <c r="AA53" s="12" t="inlineStr">
        <is>
          <t>Nothing outstanding</t>
        </is>
      </c>
      <c r="AB53" s="12" t="inlineStr">
        <is>
          <r>
            <rPr>
              <rFont val="Calibri"/>
              <b val="1"/>
              <sz val="10"/>
            </rPr>
            <t>What the role answers for:</t>
          </r>
          <r>
            <rPr>
              <rFont val="Calibri"/>
              <sz val="10"/>
            </rPr>
            <t xml:space="preserve"> Learning tasks.
Manager talent mapping — Latest rating: Not rated · manager · 9-Box Grid placement: Not placed · manager.</t>
          </r>
        </is>
      </c>
      <c r="AC53" s="83" t="n"/>
      <c r="AD53" s="83" t="n"/>
      <c r="AE53" s="83" t="n"/>
      <c r="AF53" s="12" t="inlineStr">
        <is>
          <t>—</t>
        </is>
      </c>
    </row>
    <row r="54" ht="379" customHeight="1">
      <c r="A54" s="12" t="inlineStr">
        <is>
          <t>IRIS2060</t>
        </is>
      </c>
      <c r="B54" s="10" t="inlineStr">
        <is>
          <t>P K X Thomas</t>
        </is>
      </c>
      <c r="C54" s="12" t="inlineStr">
        <is>
          <t>Technology</t>
        </is>
      </c>
      <c r="D54" s="12" t="inlineStr">
        <is>
          <t>Chief Technology Officer</t>
        </is>
      </c>
      <c r="E54" s="12" t="inlineStr">
        <is>
          <t>Chief Technology Officer</t>
        </is>
      </c>
      <c r="F54" s="12" t="inlineStr">
        <is>
          <t>Executive Leadership</t>
        </is>
      </c>
      <c r="G54" s="12" t="inlineStr">
        <is>
          <t>Enterprise Leadership</t>
        </is>
      </c>
      <c r="H54" s="12" t="inlineStr">
        <is>
          <t>People Manager</t>
        </is>
      </c>
      <c r="I54" s="42" t="inlineStr">
        <is>
          <t>Not in current mapping files</t>
        </is>
      </c>
      <c r="J54" s="32" t="inlineStr">
        <is>
          <t>E1</t>
        </is>
      </c>
      <c r="K54" s="33" t="inlineStr">
        <is>
          <t>CXO / President</t>
        </is>
      </c>
      <c r="L54" s="80" t="inlineStr">
        <is>
          <t>● Newly mapped</t>
        </is>
      </c>
      <c r="M54" s="12" t="inlineStr">
        <is>
          <t>Corporate · Technology · Bands D–E · Leadership</t>
        </is>
      </c>
      <c r="N54" s="42" t="n">
        <v>11</v>
      </c>
      <c r="O54" s="42" t="n">
        <v>11</v>
      </c>
      <c r="P54" s="42" t="n">
        <v>11</v>
      </c>
      <c r="Q54" s="42" t="n">
        <v>11</v>
      </c>
      <c r="R54" s="42" t="n">
        <v>12</v>
      </c>
      <c r="S54" s="81" t="n">
        <v>11</v>
      </c>
      <c r="T54" s="82">
        <f>IF(OR($M54="",COUNT(N54,O54,P54,Q54,R54,S54)&lt;6),"",IFERROR(N54*INDEX(WM_C,MATCH($M54,WM_KEY,0))+O54*INDEX(WM_AU,MATCH($M54,WM_KEY,0))+P54*INDEX(WM_AC,MATCH($M54,WM_KEY,0))+Q54*INDEX(WM_L,MATCH($M54,WM_KEY,0))+R54*INDEX(WM_E,MATCH($M54,WM_KEY,0))+S54*INDEX(WM_BI,MATCH($M54,WM_KEY,0)),""))</f>
        <v>11.05</v>
      </c>
      <c r="U54" s="42" t="str">
        <f>IF(T54="","",INDEX({"A1","A2","A3","B1","B2","B3","C1","C2","D1","D2","E1","E2"},MAX(1,MIN(12,ROUND(T54,0)))))</f>
        <v>E1</v>
      </c>
      <c r="V54" s="12" t="inlineStr">
        <is>
          <r>
            <rPr>
              <rFont val="Calibri"/>
              <sz val="10"/>
            </rPr>
            <t xml:space="preserve">New level E1 · CXO / President. Current level on record: Not in current mapping files. Change: ● Newly mapped.
Score 11.05 on the ladder scale → indicated level E1.
</t>
          </r>
          <r>
            <rPr>
              <rFont val="Calibri"/>
              <b val="1"/>
              <sz val="10"/>
            </rPr>
            <t>Weights:</t>
          </r>
          <r>
            <rPr>
              <rFont val="Calibri"/>
              <sz val="10"/>
            </rPr>
            <t xml:space="preserve"> Complexity 37% · Leadership 20% · Autonomy 19% · Accountability 11% · Business impact 8% · Experience 5%
</t>
          </r>
          <r>
            <rPr>
              <rFont val="Calibri"/>
              <b val="1"/>
              <sz val="10"/>
            </rPr>
            <t>Why:</t>
          </r>
          <r>
            <rPr>
              <rFont val="Calibri"/>
              <sz val="10"/>
            </rPr>
            <t xml:space="preserve"> leaders are judged on the hardest problems, on leading — 20% — and on the decisions, scope and business impact of the job.
</t>
          </r>
          <r>
            <rPr>
              <rFont val="Calibri"/>
              <b val="1"/>
              <sz val="10"/>
            </rPr>
            <t>Type of work in the department:</t>
          </r>
          <r>
            <rPr>
              <rFont val="Calibri"/>
              <sz val="10"/>
            </rPr>
            <t xml:space="preserve"> no adjustment at this level.
</t>
          </r>
          <r>
            <rPr>
              <rFont val="Calibri"/>
              <b val="1"/>
              <sz val="10"/>
            </rPr>
            <t>Live:</t>
          </r>
          <r>
            <rPr>
              <rFont val="Calibri"/>
              <sz val="10"/>
            </rPr>
            <t xml:space="preserve"> change the department's row on the Weightage Matrix and these weights, the points and the score update.
</t>
          </r>
          <r>
            <rPr>
              <rFont val="Calibri"/>
              <b val="1"/>
              <sz val="10"/>
            </rPr>
            <t>What decided the final level:</t>
          </r>
          <r>
            <rPr>
              <rFont val="Calibri"/>
              <sz val="10"/>
            </rPr>
            <t xml:space="preserve"> the score itself — no rule changed it.</t>
          </r>
        </is>
      </c>
      <c r="W54" s="12" t="inlineStr">
        <is>
          <r>
            <rPr>
              <rFont val="Calibri"/>
              <b val="1"/>
              <sz val="10"/>
            </rPr>
            <t>Complexity &amp; Expertise:</t>
          </r>
          <r>
            <rPr>
              <rFont val="Calibri"/>
              <sz val="10"/>
            </rPr>
            <t xml:space="preserve"> 11 of 12 — Start: 11.0 · CXO title; Evidence: no survey answers or KRAs on file → rating stays at the start
</t>
          </r>
          <r>
            <rPr>
              <rFont val="Calibri"/>
              <b val="1"/>
              <sz val="10"/>
            </rPr>
            <t>Autonomy &amp; Decision:</t>
          </r>
          <r>
            <rPr>
              <rFont val="Calibri"/>
              <sz val="10"/>
            </rPr>
            <t xml:space="preserve"> 11 of 12 — Start: 11.0 · CXO title; Evidence: no survey answers or KRAs on file → rating stays at the start
</t>
          </r>
          <r>
            <rPr>
              <rFont val="Calibri"/>
              <b val="1"/>
              <sz val="10"/>
            </rPr>
            <t>Accountability &amp; Impact:</t>
          </r>
          <r>
            <rPr>
              <rFont val="Calibri"/>
              <sz val="10"/>
            </rPr>
            <t xml:space="preserve"> 11 of 12 — Start: 11.0 · CXO title; 3 direct reports, 85 people in the organisation; Evidence: no survey answers or KRAs on file → rating stays at the start
</t>
          </r>
          <r>
            <rPr>
              <rFont val="Calibri"/>
              <b val="1"/>
              <sz val="10"/>
            </rPr>
            <t>Leadership &amp; Strategy:</t>
          </r>
          <r>
            <rPr>
              <rFont val="Calibri"/>
              <sz val="10"/>
            </rPr>
            <t xml:space="preserve"> 11 of 12 — Start: 11.0; Evidence: no survey answers or KRAs on file → rating stays at the start; Team: 3 direct reports · People Manager
</t>
          </r>
          <r>
            <rPr>
              <rFont val="Calibri"/>
              <b val="1"/>
              <sz val="10"/>
            </rPr>
            <t>Experience &amp; Qualification:</t>
          </r>
          <r>
            <rPr>
              <rFont val="Calibri"/>
              <sz val="10"/>
            </rPr>
            <t xml:space="preserve"> 12 of 12 — Experience: 34.9 yrs total · 30.8 before IRIS + 4.1 at IRIS = 12.0 on the experience scale; Qualification: MCA · postgraduate, relevant to the work → +0.5
</t>
          </r>
          <r>
            <rPr>
              <rFont val="Calibri"/>
              <b val="1"/>
              <sz val="10"/>
            </rPr>
            <t>Business Impact:</t>
          </r>
          <r>
            <rPr>
              <rFont val="Calibri"/>
              <sz val="10"/>
            </rPr>
            <t xml:space="preserve"> 11 of 12 — a starting estimate. — Start: 11, the role's accountability scope — what it answers for.; No survey or manager-mapping signal on criticality: kept at the start point.; Managers and heads: overwrite this rating on the Weightage sheet with the business impact you see — the score updates at once.; Ladder: E1 = Shapes company-wide results through a function</t>
          </r>
        </is>
      </c>
      <c r="X54" s="12" t="inlineStr">
        <is>
          <r>
            <rPr>
              <rFont val="Calibri"/>
              <b val="1"/>
              <sz val="10"/>
            </rPr>
            <t>Market level:</t>
          </r>
          <r>
            <rPr>
              <rFont val="Calibri"/>
              <sz val="10"/>
            </rPr>
            <t xml:space="preserve"> E5 · SFIA 7
</t>
          </r>
          <r>
            <rPr>
              <rFont val="Calibri"/>
              <b val="1"/>
              <sz val="10"/>
            </rPr>
            <t>Typical title:</t>
          </r>
          <r>
            <rPr>
              <rFont val="Calibri"/>
              <sz val="10"/>
            </rPr>
            <t xml:space="preserve"> CXO · functional chief
</t>
          </r>
          <r>
            <rPr>
              <rFont val="Calibri"/>
              <b val="1"/>
              <sz val="10"/>
            </rPr>
            <t>At peers:</t>
          </r>
          <r>
            <rPr>
              <rFont val="Calibri"/>
              <sz val="10"/>
            </rPr>
            <t xml:space="preserve"> IRIS Vs Market Benchmark — Aon Radford / Mercer executive codes: E5 C-level · functional · IRIS Vs Competitor Benchmark — regtech / SaaS executive titles: CTO · CFO · CRO · CCO · COO
</t>
          </r>
          <r>
            <rPr>
              <rFont val="Calibri"/>
              <b val="1"/>
              <sz val="10"/>
            </rPr>
            <t>Standard:</t>
          </r>
          <r>
            <rPr>
              <rFont val="Calibri"/>
              <sz val="10"/>
            </rPr>
            <t xml:space="preserve"> Aon Radford executive levels E1–E6; Mercer ET1–ET3</t>
          </r>
        </is>
      </c>
      <c r="Y54" s="12" t="inlineStr">
        <is>
          <r>
            <rPr>
              <rFont val="Calibri"/>
              <sz val="10"/>
            </rPr>
            <t xml:space="preserve">✓ HRIS: 34.9 yrs, MCA, 3 direct reports
✗ Survey: no response
✗ KRAs: none on file
✓ Manager mapping: rating, 9-box
✗ Job description: not on file
</t>
          </r>
          <r>
            <rPr>
              <rFont val="Calibri"/>
              <b val="1"/>
              <sz val="10"/>
            </rPr>
            <t>Confidence:</t>
          </r>
          <r>
            <rPr>
              <rFont val="Calibri"/>
              <sz val="10"/>
            </rPr>
            <t xml:space="preserve"> Low</t>
          </r>
        </is>
      </c>
      <c r="Z54" s="12" t="inlineStr">
        <is>
          <t>—</t>
        </is>
      </c>
      <c r="AA54" s="84" t="inlineStr">
        <is>
          <t>• Survey response or KRAs describing the work · nothing on file — Employee + manager</t>
        </is>
      </c>
      <c r="AB54" s="12" t="inlineStr">
        <is>
          <r>
            <rPr>
              <rFont val="Calibri"/>
              <b val="1"/>
              <sz val="10"/>
            </rPr>
            <t>What the role answers for:</t>
          </r>
          <r>
            <rPr>
              <rFont val="Calibri"/>
              <sz val="10"/>
            </rPr>
            <t xml:space="preserve"> Enterprise-wide functional results.
</t>
          </r>
          <r>
            <rPr>
              <rFont val="Calibri"/>
              <b val="1"/>
              <sz val="10"/>
            </rPr>
            <t>Accountability &amp; Impact rating:</t>
          </r>
          <r>
            <rPr>
              <rFont val="Calibri"/>
              <sz val="10"/>
            </rPr>
            <t xml:space="preserve"> 11 of 12 · E1-level impact.
Leads 3 direct reports.
Manager talent mapping — Latest rating: Not rated · manager · 9-Box Grid placement: Not placed · manager.</t>
          </r>
        </is>
      </c>
      <c r="AC54" s="83" t="n"/>
      <c r="AD54" s="83" t="n"/>
      <c r="AE54" s="83" t="n"/>
      <c r="AF54" s="12" t="n">
        <v>11</v>
      </c>
    </row>
    <row r="55" ht="379" customHeight="1">
      <c r="A55" s="12" t="inlineStr">
        <is>
          <t>IRISC344</t>
        </is>
      </c>
      <c r="B55" s="10" t="inlineStr">
        <is>
          <t>Vikas Thakur</t>
        </is>
      </c>
      <c r="C55" s="12" t="inlineStr">
        <is>
          <t>Technology</t>
        </is>
      </c>
      <c r="D55" s="12" t="inlineStr">
        <is>
          <t>Agile Coach</t>
        </is>
      </c>
      <c r="E55" s="12" t="inlineStr">
        <is>
          <t>Agile Coach</t>
        </is>
      </c>
      <c r="F55" s="12" t="inlineStr">
        <is>
          <t>Project &amp; Program Management</t>
        </is>
      </c>
      <c r="G55" s="12" t="inlineStr">
        <is>
          <t>PMO &amp; Delivery Excellence</t>
        </is>
      </c>
      <c r="H55" s="12" t="inlineStr">
        <is>
          <t>IC</t>
        </is>
      </c>
      <c r="I55" s="42" t="inlineStr">
        <is>
          <t>Not in current mapping files</t>
        </is>
      </c>
      <c r="J55" s="20" t="inlineStr">
        <is>
          <t>B3</t>
        </is>
      </c>
      <c r="K55" s="21" t="inlineStr">
        <is>
          <t>Lead Specialist</t>
        </is>
      </c>
      <c r="L55" s="80" t="inlineStr">
        <is>
          <t>● Newly mapped</t>
        </is>
      </c>
      <c r="M55" s="12" t="inlineStr">
        <is>
          <t>Corporate · Technology · Band B · Expert / POD Lead</t>
        </is>
      </c>
      <c r="N55" s="42" t="n">
        <v>6</v>
      </c>
      <c r="O55" s="42" t="n">
        <v>6</v>
      </c>
      <c r="P55" s="42" t="n">
        <v>6</v>
      </c>
      <c r="Q55" s="42" t="n">
        <v>5</v>
      </c>
      <c r="R55" s="42" t="n">
        <v>6.5</v>
      </c>
      <c r="S55" s="81" t="n">
        <v>6</v>
      </c>
      <c r="T55" s="82">
        <f>IF(OR($M55="",COUNT(N55,O55,P55,Q55,R55,S55)&lt;6),"",IFERROR(N55*INDEX(WM_C,MATCH($M55,WM_KEY,0))+O55*INDEX(WM_AU,MATCH($M55,WM_KEY,0))+P55*INDEX(WM_AC,MATCH($M55,WM_KEY,0))+Q55*INDEX(WM_L,MATCH($M55,WM_KEY,0))+R55*INDEX(WM_E,MATCH($M55,WM_KEY,0))+S55*INDEX(WM_BI,MATCH($M55,WM_KEY,0)),""))</f>
        <v>6</v>
      </c>
      <c r="U55" s="42" t="str">
        <f>IF(T55="","",INDEX({"A1","A2","A3","B1","B2","B3","C1","C2","D1","D2","E1","E2"},MAX(1,MIN(12,ROUND(T55,0)))))</f>
        <v>B3</v>
      </c>
      <c r="V55" s="12" t="inlineStr">
        <is>
          <r>
            <rPr>
              <rFont val="Calibri"/>
              <sz val="10"/>
            </rPr>
            <t xml:space="preserve">New level B3 · Lead Specialist. Current level on record: Not in current mapping files. Change: ● Newly mapped.
Score 6.00 on the ladder scale → indicated level B3.
</t>
          </r>
          <r>
            <rPr>
              <rFont val="Calibri"/>
              <b val="1"/>
              <sz val="10"/>
            </rPr>
            <t>Weights:</t>
          </r>
          <r>
            <rPr>
              <rFont val="Calibri"/>
              <sz val="10"/>
            </rPr>
            <t xml:space="preserve"> Complexity 56% · Autonomy 17% · Experience 10% · Business impact 7% · Accountability 5% · Leadership 5%
</t>
          </r>
          <r>
            <rPr>
              <rFont val="Calibri"/>
              <b val="1"/>
              <sz val="10"/>
            </rPr>
            <t>Why:</t>
          </r>
          <r>
            <rPr>
              <rFont val="Calibri"/>
              <sz val="10"/>
            </rPr>
            <t xml:space="preserve"> specialists are judged mainly on depth of expertise, then on what they decide alone, what they answer for and their impact.
</t>
          </r>
          <r>
            <rPr>
              <rFont val="Calibri"/>
              <b val="1"/>
              <sz val="10"/>
            </rPr>
            <t>Type of work in the department:</t>
          </r>
          <r>
            <rPr>
              <rFont val="Calibri"/>
              <sz val="10"/>
            </rPr>
            <t xml:space="preserve"> technology work is valued for technical depth, so Complexity +5 and Accountability −5.
</t>
          </r>
          <r>
            <rPr>
              <rFont val="Calibri"/>
              <b val="1"/>
              <sz val="10"/>
            </rPr>
            <t>Live:</t>
          </r>
          <r>
            <rPr>
              <rFont val="Calibri"/>
              <sz val="10"/>
            </rPr>
            <t xml:space="preserve"> change the department's row on the Weightage Matrix and these weights, the points and the score update.
</t>
          </r>
          <r>
            <rPr>
              <rFont val="Calibri"/>
              <b val="1"/>
              <sz val="10"/>
            </rPr>
            <t>What decided the final level:</t>
          </r>
          <r>
            <rPr>
              <rFont val="Calibri"/>
              <sz val="10"/>
            </rPr>
            <t xml:space="preserve"> the score itself — no rule changed it.</t>
          </r>
        </is>
      </c>
      <c r="W55" s="12" t="inlineStr">
        <is>
          <r>
            <rPr>
              <rFont val="Calibri"/>
              <b val="1"/>
              <sz val="10"/>
            </rPr>
            <t>Complexity &amp; Expertise:</t>
          </r>
          <r>
            <rPr>
              <rFont val="Calibri"/>
              <sz val="10"/>
            </rPr>
            <t xml:space="preserve"> 6 of 12 — Start: 6.0 · senior manager / lead specialist title; Evidence: no survey answers or KRAs on file → rating stays at the start
</t>
          </r>
          <r>
            <rPr>
              <rFont val="Calibri"/>
              <b val="1"/>
              <sz val="10"/>
            </rPr>
            <t>Autonomy &amp; Decision:</t>
          </r>
          <r>
            <rPr>
              <rFont val="Calibri"/>
              <sz val="10"/>
            </rPr>
            <t xml:space="preserve"> 6 of 12 — Start: 6.0 · senior manager / lead specialist title; Evidence: no survey answers or KRAs on file → rating stays at the start
</t>
          </r>
          <r>
            <rPr>
              <rFont val="Calibri"/>
              <b val="1"/>
              <sz val="10"/>
            </rPr>
            <t>Accountability &amp; Impact:</t>
          </r>
          <r>
            <rPr>
              <rFont val="Calibri"/>
              <sz val="10"/>
            </rPr>
            <t xml:space="preserve"> 6 of 12 — Start: 6.0 · senior manager / lead specialist title; Evidence: no survey answers or KRAs on file → rating stays at the start
</t>
          </r>
          <r>
            <rPr>
              <rFont val="Calibri"/>
              <b val="1"/>
              <sz val="10"/>
            </rPr>
            <t>Leadership &amp; Strategy:</t>
          </r>
          <r>
            <rPr>
              <rFont val="Calibri"/>
              <sz val="10"/>
            </rPr>
            <t xml:space="preserve"> 5 of 12 — Start: 5.0 · individual contributor, so influence only; Evidence: no survey answers or KRAs on file → rating stays at the start; Team: 0 direct reports · IC
</t>
          </r>
          <r>
            <rPr>
              <rFont val="Calibri"/>
              <b val="1"/>
              <sz val="10"/>
            </rPr>
            <t>Experience &amp; Qualification:</t>
          </r>
          <r>
            <rPr>
              <rFont val="Calibri"/>
              <sz val="10"/>
            </rPr>
            <t xml:space="preserve"> 6.5 of 12 · between B3 and C1 — Experience: 11.4 yrs total · 10.9 before IRIS + 0.5 at IRIS = 6.7 on the experience scale; Qualification: B.Tech · graduate, relevant to the work → no change
</t>
          </r>
          <r>
            <rPr>
              <rFont val="Calibri"/>
              <b val="1"/>
              <sz val="10"/>
            </rPr>
            <t>Business Impact:</t>
          </r>
          <r>
            <rPr>
              <rFont val="Calibri"/>
              <sz val="10"/>
            </rPr>
            <t xml:space="preserve"> 6 of 12 — a starting estimate. — Start: 6, the role's accountability scope — what it answers for.; No survey or manager-mapping signal on criticality: kept at the start point.; Managers and heads: overwrite this rating on the Weightage sheet with the business impact you see — the score updates at once.; Ladder: B3 = Shapes the results of a practice or several teams</t>
          </r>
        </is>
      </c>
      <c r="X55" s="12" t="inlineStr">
        <is>
          <r>
            <rPr>
              <rFont val="Calibri"/>
              <b val="1"/>
              <sz val="10"/>
            </rPr>
            <t>Market level:</t>
          </r>
          <r>
            <rPr>
              <rFont val="Calibri"/>
              <sz val="10"/>
            </rPr>
            <t xml:space="preserve"> P5 / M4 · SFIA 5 Ensure, advise
</t>
          </r>
          <r>
            <rPr>
              <rFont val="Calibri"/>
              <b val="1"/>
              <sz val="10"/>
            </rPr>
            <t>Typical title:</t>
          </r>
          <r>
            <rPr>
              <rFont val="Calibri"/>
              <sz val="10"/>
            </rPr>
            <t xml:space="preserve"> Senior Program Manager
</t>
          </r>
          <r>
            <rPr>
              <rFont val="Calibri"/>
              <b val="1"/>
              <sz val="10"/>
            </rPr>
            <t>At peers:</t>
          </r>
          <r>
            <rPr>
              <rFont val="Calibri"/>
              <sz val="10"/>
            </rPr>
            <t xml:space="preserve"> IRIS Vs Competitor Benchmark — PMI pathway + SaaS delivery ladder: Program Manager · PgMP · Infosys / Accenture – JL6B Project Manager · L7 Manager
</t>
          </r>
          <r>
            <rPr>
              <rFont val="Calibri"/>
              <b val="1"/>
              <sz val="10"/>
            </rPr>
            <t>Typical experience:</t>
          </r>
          <r>
            <rPr>
              <rFont val="Calibri"/>
              <sz val="10"/>
            </rPr>
            <t xml:space="preserve"> 8–13 yrs · IRIS guide 8–12
</t>
          </r>
          <r>
            <rPr>
              <rFont val="Calibri"/>
              <b val="1"/>
              <sz val="10"/>
            </rPr>
            <t>Standard:</t>
          </r>
          <r>
            <rPr>
              <rFont val="Calibri"/>
              <sz val="10"/>
            </rPr>
            <t xml:space="preserve"> PMI PMBOK and Talent Triangle; CAPM → PMP → PgMP</t>
          </r>
        </is>
      </c>
      <c r="Y55" s="12" t="inlineStr">
        <is>
          <r>
            <rPr>
              <rFont val="Calibri"/>
              <sz val="10"/>
            </rPr>
            <t xml:space="preserve">✓ HRIS: 11.4 yrs, B.Tech, 0 direct reports
✗ Survey: no response
✗ KRAs: none on file
✓ Manager mapping: rating, 9-box
✗ Job description: not on file
</t>
          </r>
          <r>
            <rPr>
              <rFont val="Calibri"/>
              <b val="1"/>
              <sz val="10"/>
            </rPr>
            <t>Confidence:</t>
          </r>
          <r>
            <rPr>
              <rFont val="Calibri"/>
              <sz val="10"/>
            </rPr>
            <t xml:space="preserve"> Low</t>
          </r>
        </is>
      </c>
      <c r="Z55" s="86" t="inlineStr">
        <is>
          <r>
            <rPr>
              <rFont val="Calibri"/>
              <color rgb="009C5700"/>
              <sz val="10"/>
            </rPr>
            <t xml:space="preserve">• </t>
          </r>
          <r>
            <rPr>
              <rFont val="Calibri"/>
              <b val="1"/>
              <color rgb="009C5700"/>
              <sz val="10"/>
            </rPr>
            <t>Title check:</t>
          </r>
          <r>
            <rPr>
              <rFont val="Calibri"/>
              <color rgb="009C5700"/>
              <sz val="10"/>
            </rPr>
            <t xml:space="preserve"> Market-standard role title</t>
          </r>
        </is>
      </c>
      <c r="AA55" s="84" t="inlineStr">
        <is>
          <t>• Survey response or KRAs describing the work · nothing on file — Employee + manager</t>
        </is>
      </c>
      <c r="AB55" s="12" t="inlineStr">
        <is>
          <r>
            <rPr>
              <rFont val="Calibri"/>
              <b val="1"/>
              <sz val="10"/>
            </rPr>
            <t>What the role answers for:</t>
          </r>
          <r>
            <rPr>
              <rFont val="Calibri"/>
              <sz val="10"/>
            </rPr>
            <t xml:space="preserve"> Several teams or a practice.
</t>
          </r>
          <r>
            <rPr>
              <rFont val="Calibri"/>
              <b val="1"/>
              <sz val="10"/>
            </rPr>
            <t>Accountability &amp; Impact rating:</t>
          </r>
          <r>
            <rPr>
              <rFont val="Calibri"/>
              <sz val="10"/>
            </rPr>
            <t xml:space="preserve"> 6 of 12 · B3-level impact.
Manager talent mapping — Latest rating: Not rated · manager · 9-Box Grid placement: Not placed · manager.</t>
          </r>
        </is>
      </c>
      <c r="AC55" s="83" t="n"/>
      <c r="AD55" s="83" t="n"/>
      <c r="AE55" s="83" t="n"/>
      <c r="AF55" s="12" t="n">
        <v>6</v>
      </c>
    </row>
  </sheetData>
  <mergeCells count="14">
    <mergeCell ref="AC5:AF5"/>
    <mergeCell ref="J4:K4"/>
    <mergeCell ref="L4:M4"/>
    <mergeCell ref="A5:C5"/>
    <mergeCell ref="D5:L5"/>
    <mergeCell ref="V5:X5"/>
    <mergeCell ref="A1:AF1"/>
    <mergeCell ref="A4:D4"/>
    <mergeCell ref="M5:U5"/>
    <mergeCell ref="A3:AF3"/>
    <mergeCell ref="H4:I4"/>
    <mergeCell ref="N4:P4"/>
    <mergeCell ref="Y5:AB5"/>
    <mergeCell ref="A2:AF2"/>
  </mergeCells>
  <dataValidations count="2">
    <dataValidation sqref="AC7:AC55" showDropDown="0" showInputMessage="0" showErrorMessage="0" allowBlank="1" type="list">
      <formula1>"Agree,Change,Discuss"</formula1>
    </dataValidation>
    <dataValidation sqref="S7:S55" showDropDown="0" showInputMessage="0" showErrorMessage="1" allowBlank="1" errorTitle="Business Impact rating" error="Enter a rating from 1 to 12; half points are allowed." type="decimal" operator="between">
      <formula1>1</formula1>
      <formula2>12</formula2>
    </dataValidation>
  </dataValidations>
  <hyperlinks>
    <hyperlink xmlns:r="http://schemas.openxmlformats.org/officeDocument/2006/relationships" ref="AG1" r:id="rId1"/>
  </hyperlinks>
  <pageMargins left="0.4" right="0.4" top="0.5" bottom="0.5" header="0.5" footer="0.5"/>
  <pageSetup orientation="landscape" paperSize="8" fitToHeight="0" fitToWidth="1"/>
  <headerFooter>
    <oddHeader/>
    <oddFooter>&amp;LIRIS · Job Architecture &amp; Job Design · Final v1.12 · October 2026 · Internal — Confidential&amp;RPage &amp;P of &amp;N</oddFooter>
    <evenHeader/>
    <evenFooter/>
    <firstHeader/>
    <firstFooter/>
  </headerFooter>
  <legacyDrawing xmlns:r="http://schemas.openxmlformats.org/officeDocument/2006/relationships" r:id="anysvml"/>
  <tableParts count="1">
    <tablePart xmlns:r="http://schemas.openxmlformats.org/officeDocument/2006/relationships" r:id="rId2"/>
  </tableParts>
</worksheet>
</file>

<file path=xl/worksheets/sheet4.xml><?xml version="1.0" encoding="utf-8"?>
<worksheet xmlns="http://schemas.openxmlformats.org/spreadsheetml/2006/main">
  <sheetPr>
    <tabColor rgb="00C55A11"/>
    <outlinePr summaryBelow="1" summaryRight="1"/>
    <pageSetUpPr fitToPage="1"/>
  </sheetPr>
  <dimension ref="A1:W44"/>
  <sheetViews>
    <sheetView showGridLines="0" zoomScale="85" workbookViewId="0">
      <pane xSplit="3" ySplit="6" topLeftCell="D7" activePane="bottomRight" state="frozen"/>
      <selection pane="topRight" activeCell="A1" sqref="A1"/>
      <selection pane="bottomLeft" activeCell="A1" sqref="A1"/>
      <selection pane="bottomRight" activeCell="A1" sqref="A1"/>
    </sheetView>
  </sheetViews>
  <sheetFormatPr baseColWidth="8" defaultRowHeight="15"/>
  <cols>
    <col width="9" customWidth="1" min="1" max="1"/>
    <col width="16" customWidth="1" min="2" max="2"/>
    <col width="20" customWidth="1" min="3" max="3"/>
    <col width="6" customWidth="1" min="4" max="4"/>
    <col width="14" customWidth="1" min="5" max="5"/>
    <col width="8" customWidth="1" min="6" max="6"/>
    <col width="24" customWidth="1" min="7" max="7"/>
    <col width="24" customWidth="1" min="8" max="8"/>
    <col width="16" customWidth="1" min="9" max="9"/>
    <col width="42" customWidth="1" min="10" max="10"/>
    <col width="42" customWidth="1" min="11" max="11"/>
    <col width="28" customWidth="1" min="12" max="12"/>
    <col width="32" customWidth="1" min="13" max="13"/>
    <col width="30" customWidth="1" min="14" max="14"/>
    <col width="46" customWidth="1" min="15" max="15"/>
    <col width="24" customWidth="1" min="16" max="16"/>
    <col width="34" customWidth="1" min="17" max="17"/>
    <col width="30" customWidth="1" min="18" max="18"/>
    <col width="40" customWidth="1" min="19" max="19"/>
    <col width="32" customWidth="1" min="20" max="20"/>
    <col width="26" customWidth="1" min="21" max="21"/>
    <col width="22" customWidth="1" min="22" max="22"/>
    <col width="13" customWidth="1" min="23" max="23"/>
  </cols>
  <sheetData>
    <row r="1" ht="34" customHeight="1">
      <c r="A1" s="1" t="inlineStr">
        <is>
          <t>Roles — every role held here, as defined once for all of IRIS</t>
        </is>
      </c>
      <c r="W1" s="103" t="inlineStr">
        <is>
          <t>◂ Start Here</t>
        </is>
      </c>
    </row>
    <row r="2" ht="30" customHeight="1">
      <c r="A2" s="3" t="inlineStr">
        <is>
          <t>Sheet 3 · One row per role · job family × sub-family × level × track. Purpose and responsibilities are written in catalogue language · the sub-family definition and the level standard, followed by the common themes in the role-holders' own answers where 3+ answered · the role, else its sub-family — 'Evidence basis' says which. The level requirements are the framework's, the same for every role at that level.</t>
        </is>
      </c>
    </row>
    <row r="3">
      <c r="A3" s="4" t="inlineStr">
        <is>
          <t>IRIS · Job Architecture &amp; Job Design · Final v1.12 · October 2026 · Internal — Confidential</t>
        </is>
      </c>
    </row>
    <row r="4"/>
    <row r="5" ht="30" customHeight="1">
      <c r="A5" s="68" t="inlineStr">
        <is>
          <t>ROLE</t>
        </is>
      </c>
      <c r="J5" s="69" t="inlineStr">
        <is>
          <t>WHAT THE ROLE IS FOR AND DOES</t>
        </is>
      </c>
      <c r="O5" s="70" t="inlineStr">
        <is>
          <t>WHAT THE LEVEL REQUIRES</t>
        </is>
      </c>
      <c r="R5" s="71" t="inlineStr">
        <is>
          <t>DISCIPLINE DETAIL · Career Architecture V2</t>
        </is>
      </c>
      <c r="T5" s="72" t="inlineStr">
        <is>
          <t>MARKET &amp; CAREER</t>
        </is>
      </c>
      <c r="V5" s="73" t="inlineStr">
        <is>
          <t>EVIDENCE</t>
        </is>
      </c>
    </row>
    <row r="6" ht="44" customHeight="1">
      <c r="A6" s="74" t="inlineStr">
        <is>
          <t>Catalogue ID</t>
        </is>
      </c>
      <c r="B6" s="74" t="inlineStr">
        <is>
          <t>Job family</t>
        </is>
      </c>
      <c r="C6" s="74" t="inlineStr">
        <is>
          <t>Sub-family</t>
        </is>
      </c>
      <c r="D6" s="74" t="inlineStr">
        <is>
          <t>Level</t>
        </is>
      </c>
      <c r="E6" s="74" t="inlineStr">
        <is>
          <t>Level title</t>
        </is>
      </c>
      <c r="F6" s="74" t="inlineStr">
        <is>
          <t>Track</t>
        </is>
      </c>
      <c r="G6" s="74" t="inlineStr">
        <is>
          <t>Designations used</t>
        </is>
      </c>
      <c r="H6" s="74" t="inlineStr">
        <is>
          <t>Held here by</t>
        </is>
      </c>
      <c r="I6" s="74" t="inlineStr">
        <is>
          <t>Department · s</t>
        </is>
      </c>
      <c r="J6" s="8" t="inlineStr">
        <is>
          <t>Purpose</t>
        </is>
      </c>
      <c r="K6" s="8" t="inlineStr">
        <is>
          <t>Key responsibilities</t>
        </is>
      </c>
      <c r="L6" s="8" t="inlineStr">
        <is>
          <t>Decision rights</t>
        </is>
      </c>
      <c r="M6" s="8" t="inlineStr">
        <is>
          <t>Manager-set KRAs · common themes</t>
        </is>
      </c>
      <c r="N6" s="8" t="inlineStr">
        <is>
          <t>Skills &amp; tools · counts</t>
        </is>
      </c>
      <c r="O6" s="75" t="inlineStr">
        <is>
          <t>Expectations at this level</t>
        </is>
      </c>
      <c r="P6" s="75" t="inlineStr">
        <is>
          <t>Experience &amp; education</t>
        </is>
      </c>
      <c r="Q6" s="75" t="inlineStr">
        <is>
          <t>Must-have competencies &amp; proficiency</t>
        </is>
      </c>
      <c r="R6" s="76" t="inlineStr">
        <is>
          <t>Family boundary</t>
        </is>
      </c>
      <c r="S6" s="76" t="inlineStr">
        <is>
          <t>Discipline expectation, readiness and work sample</t>
        </is>
      </c>
      <c r="T6" s="77" t="inlineStr">
        <is>
          <t>Market equivalent</t>
        </is>
      </c>
      <c r="U6" s="77" t="inlineStr">
        <is>
          <t>Next step</t>
        </is>
      </c>
      <c r="V6" s="78" t="inlineStr">
        <is>
          <t>Evidence basis</t>
        </is>
      </c>
    </row>
    <row r="7">
      <c r="A7" s="88" t="inlineStr">
        <is>
          <t>Administration, Legal &amp; Secretarial</t>
        </is>
      </c>
    </row>
    <row r="8" ht="158" customHeight="1">
      <c r="A8" s="89" t="inlineStr">
        <is>
          <t>RC-001</t>
        </is>
      </c>
      <c r="B8" s="12" t="inlineStr">
        <is>
          <t>Administration, Legal &amp; Secretarial</t>
        </is>
      </c>
      <c r="C8" s="12" t="inlineStr">
        <is>
          <t>Administration &amp; Facilities</t>
        </is>
      </c>
      <c r="D8" s="16" t="inlineStr">
        <is>
          <t>A3</t>
        </is>
      </c>
      <c r="E8" s="17" t="inlineStr">
        <is>
          <t>Senior Associate</t>
        </is>
      </c>
      <c r="F8" s="12" t="inlineStr">
        <is>
          <t>IC</t>
        </is>
      </c>
      <c r="G8" s="12" t="inlineStr">
        <is>
          <t>Senior Administration Executive</t>
        </is>
      </c>
      <c r="H8" s="12" t="inlineStr">
        <is>
          <t>Ashish Pawar, Mangesh Kosty, Rajesh Khurambe, Sunil Pawar</t>
        </is>
      </c>
      <c r="I8" s="12" t="inlineStr">
        <is>
          <t>Administration</t>
        </is>
      </c>
      <c r="J8" s="12" t="inlineStr">
        <is>
          <t>Manages travel, facilities, office administration and vendors. At A3: varied work; reviews juniors; go-to for a process.</t>
        </is>
      </c>
      <c r="K8" s="12" t="inlineStr">
        <is>
          <t>Manages travel, facilities, office administration and vendors; Varied and non-standard work; handles exceptions; A module / process, or work with client or regulatory consequences</t>
        </is>
      </c>
      <c r="L8" s="12" t="inlineStr">
        <is>
          <t>Technical / QC / client calls on own work</t>
        </is>
      </c>
      <c r="M8" s="12" t="inlineStr">
        <is>
          <t>—</t>
        </is>
      </c>
      <c r="N8" s="12" t="inlineStr">
        <is>
          <r>
            <rPr>
              <rFont val="Calibri"/>
              <b val="1"/>
              <sz val="10"/>
            </rPr>
            <t>Skills:</t>
          </r>
          <r>
            <rPr>
              <rFont val="Calibri"/>
              <sz val="10"/>
            </rPr>
            <t xml:space="preserve"> Administration</t>
          </r>
        </is>
      </c>
      <c r="O8" s="12" t="inlineStr">
        <is>
          <r>
            <rPr>
              <rFont val="Calibri"/>
              <b val="1"/>
              <sz val="10"/>
            </rPr>
            <t>Owns:</t>
          </r>
          <r>
            <rPr>
              <rFont val="Calibri"/>
              <sz val="10"/>
            </rPr>
            <t xml:space="preserve"> Varied work; reviews juniors; go-to for a process
</t>
          </r>
          <r>
            <rPr>
              <rFont val="Calibri"/>
              <b val="1"/>
              <sz val="10"/>
            </rPr>
            <t>Complexity:</t>
          </r>
          <r>
            <rPr>
              <rFont val="Calibri"/>
              <sz val="10"/>
            </rPr>
            <t xml:space="preserve"> Varied and non-standard work; handles exceptions
</t>
          </r>
          <r>
            <rPr>
              <rFont val="Calibri"/>
              <b val="1"/>
              <sz val="10"/>
            </rPr>
            <t>Decisions:</t>
          </r>
          <r>
            <rPr>
              <rFont val="Calibri"/>
              <sz val="10"/>
            </rPr>
            <t xml:space="preserve"> Technical / QC / client calls on own work
</t>
          </r>
          <r>
            <rPr>
              <rFont val="Calibri"/>
              <b val="1"/>
              <sz val="10"/>
            </rPr>
            <t>Answers for:</t>
          </r>
          <r>
            <rPr>
              <rFont val="Calibri"/>
              <sz val="10"/>
            </rPr>
            <t xml:space="preserve"> A module / process, or work with client or regulatory consequences
</t>
          </r>
          <r>
            <rPr>
              <rFont val="Calibri"/>
              <b val="1"/>
              <sz val="10"/>
            </rPr>
            <t>Leadership:</t>
          </r>
          <r>
            <rPr>
              <rFont val="Calibri"/>
              <sz val="10"/>
            </rPr>
            <t xml:space="preserve"> Not scored in Band A</t>
          </r>
        </is>
      </c>
      <c r="P8" s="12" t="inlineStr">
        <is>
          <t>2–4 yrs
Graduate; relevant certification preferred</t>
        </is>
      </c>
      <c r="Q8" s="12" t="inlineStr">
        <is>
          <t>Core 2 · Future-ready 2 · Functional 3 · Leadership —
★ Regulatory &amp; BFSI Domain · Stakeholder &amp; Client Management</t>
        </is>
      </c>
      <c r="R8" s="12" t="inlineStr">
        <is>
          <r>
            <rPr>
              <rFont val="Calibri"/>
              <b val="1"/>
              <sz val="10"/>
            </rPr>
            <t>Administration &amp; Workplace:</t>
          </r>
          <r>
            <rPr>
              <rFont val="Calibri"/>
              <sz val="10"/>
            </rPr>
            <t xml:space="preserve"> Provide reliable workplace services. Includes: Facilities, office services and workplace planning. Excludes: Strategic procurement; enterprise operating leadership.
</t>
          </r>
          <r>
            <rPr>
              <rFont val="Calibri"/>
              <b val="1"/>
              <sz val="10"/>
            </rPr>
            <t>Legal &amp; Corporate Governance:</t>
          </r>
          <r>
            <rPr>
              <rFont val="Calibri"/>
              <sz val="10"/>
            </rPr>
            <t xml:space="preserve"> Provide legal advice and governance support. Includes: Commercial legal and company-secretarial/governance professions. Excludes: Internal audit assurance; generic administrative filing.</t>
          </r>
        </is>
      </c>
      <c r="S8" s="12" t="inlineStr">
        <is>
          <r>
            <rPr>
              <rFont val="Calibri"/>
              <b val="1"/>
              <sz val="10"/>
            </rPr>
            <t>Comparable stage:</t>
          </r>
          <r>
            <rPr>
              <rFont val="Calibri"/>
              <sz val="10"/>
            </rPr>
            <t xml:space="preserve"> ADM01-2 · Workplace / Facilities Coordinator
Coordinate workplace services, vendors and issue resolution.
</t>
          </r>
          <r>
            <rPr>
              <rFont val="Calibri"/>
              <b val="1"/>
              <sz val="10"/>
            </rPr>
            <t>Ready when:</t>
          </r>
          <r>
            <rPr>
              <rFont val="Calibri"/>
              <sz val="10"/>
            </rPr>
            <t xml:space="preserve"> Demonstrate routine delivery plus judgement in bounded exceptions.
</t>
          </r>
          <r>
            <rPr>
              <rFont val="Calibri"/>
              <b val="1"/>
              <sz val="10"/>
            </rPr>
            <t>Work sample:</t>
          </r>
          <r>
            <rPr>
              <rFont val="Calibri"/>
              <sz val="10"/>
            </rPr>
            <t xml:space="preserve"> A workplace service plan with vendor controls, risk assessment and service measures</t>
          </r>
        </is>
      </c>
      <c r="T8" s="12" t="inlineStr">
        <is>
          <t>Radford / Mercer P2 · SFIA 3 Apply
IRIS Vs Competitor Benchmark — corporate services ladder: Senior Executive</t>
        </is>
      </c>
      <c r="U8" s="12" t="inlineStr">
        <is>
          <t>B1 · Specialist</t>
        </is>
      </c>
      <c r="V8" s="12" t="inlineStr">
        <is>
          <t>Framework only · fewer than 3 answered</t>
        </is>
      </c>
    </row>
    <row r="9" ht="158" customHeight="1">
      <c r="A9" s="89" t="inlineStr">
        <is>
          <t>RC-002</t>
        </is>
      </c>
      <c r="B9" s="12" t="inlineStr">
        <is>
          <t>Administration, Legal &amp; Secretarial</t>
        </is>
      </c>
      <c r="C9" s="12" t="inlineStr">
        <is>
          <t>Administration &amp; Facilities</t>
        </is>
      </c>
      <c r="D9" s="20" t="inlineStr">
        <is>
          <t>B2</t>
        </is>
      </c>
      <c r="E9" s="21" t="inlineStr">
        <is>
          <t>Manager</t>
        </is>
      </c>
      <c r="F9" s="12" t="inlineStr">
        <is>
          <t>Manager</t>
        </is>
      </c>
      <c r="G9" s="12" t="inlineStr">
        <is>
          <t>Manager – Administration</t>
        </is>
      </c>
      <c r="H9" s="12" t="inlineStr">
        <is>
          <t>Sujit Acharya</t>
        </is>
      </c>
      <c r="I9" s="12" t="inlineStr">
        <is>
          <t>Administration</t>
        </is>
      </c>
      <c r="J9" s="12" t="inlineStr">
        <is>
          <t>Manages travel, facilities, office administration and vendors. At B2: deep domain expertise, or one team.</t>
        </is>
      </c>
      <c r="K9" s="12" t="inlineStr">
        <is>
          <t>Manages travel, facilities, office administration and vendors; Hardest problems in the domain; One team or a client portfolio</t>
        </is>
      </c>
      <c r="L9" s="12" t="inlineStr">
        <is>
          <t>Allocates people and sets team priorities</t>
        </is>
      </c>
      <c r="M9" s="12" t="inlineStr">
        <is>
          <t>—</t>
        </is>
      </c>
      <c r="N9" s="12" t="inlineStr">
        <is>
          <r>
            <rPr>
              <rFont val="Calibri"/>
              <b val="1"/>
              <sz val="10"/>
            </rPr>
            <t>Skills:</t>
          </r>
          <r>
            <rPr>
              <rFont val="Calibri"/>
              <sz val="10"/>
            </rPr>
            <t xml:space="preserve"> Administration</t>
          </r>
        </is>
      </c>
      <c r="O9" s="12" t="inlineStr">
        <is>
          <r>
            <rPr>
              <rFont val="Calibri"/>
              <b val="1"/>
              <sz val="10"/>
            </rPr>
            <t>Owns:</t>
          </r>
          <r>
            <rPr>
              <rFont val="Calibri"/>
              <sz val="10"/>
            </rPr>
            <t xml:space="preserve"> Deep domain expertise, or one team
</t>
          </r>
          <r>
            <rPr>
              <rFont val="Calibri"/>
              <b val="1"/>
              <sz val="10"/>
            </rPr>
            <t>Complexity:</t>
          </r>
          <r>
            <rPr>
              <rFont val="Calibri"/>
              <sz val="10"/>
            </rPr>
            <t xml:space="preserve"> Hardest problems in the domain
</t>
          </r>
          <r>
            <rPr>
              <rFont val="Calibri"/>
              <b val="1"/>
              <sz val="10"/>
            </rPr>
            <t>Decisions:</t>
          </r>
          <r>
            <rPr>
              <rFont val="Calibri"/>
              <sz val="10"/>
            </rPr>
            <t xml:space="preserve"> Allocates people and sets team priorities
</t>
          </r>
          <r>
            <rPr>
              <rFont val="Calibri"/>
              <b val="1"/>
              <sz val="10"/>
            </rPr>
            <t>Answers for:</t>
          </r>
          <r>
            <rPr>
              <rFont val="Calibri"/>
              <sz val="10"/>
            </rPr>
            <t xml:space="preserve"> One team or a client portfolio
</t>
          </r>
          <r>
            <rPr>
              <rFont val="Calibri"/>
              <b val="1"/>
              <sz val="10"/>
            </rPr>
            <t>Leadership:</t>
          </r>
          <r>
            <rPr>
              <rFont val="Calibri"/>
              <sz val="10"/>
            </rPr>
            <t xml:space="preserve"> IC: guides others in the domain · People: manages a team of 6+</t>
          </r>
        </is>
      </c>
      <c r="P9" s="12" t="inlineStr">
        <is>
          <t>6–9 yrs
Graduate or postgraduate; professional qualification preferred</t>
        </is>
      </c>
      <c r="Q9" s="12" t="inlineStr">
        <is>
          <t>Core 3 · Future-ready 3 · Functional 4 · Leadership 3
★ Regulatory &amp; BFSI Domain · Stakeholder &amp; Client Management</t>
        </is>
      </c>
      <c r="R9" s="12" t="inlineStr">
        <is>
          <r>
            <rPr>
              <rFont val="Calibri"/>
              <b val="1"/>
              <sz val="10"/>
            </rPr>
            <t>Administration &amp; Workplace:</t>
          </r>
          <r>
            <rPr>
              <rFont val="Calibri"/>
              <sz val="10"/>
            </rPr>
            <t xml:space="preserve"> Provide reliable workplace services. Includes: Facilities, office services and workplace planning. Excludes: Strategic procurement; enterprise operating leadership.
</t>
          </r>
          <r>
            <rPr>
              <rFont val="Calibri"/>
              <b val="1"/>
              <sz val="10"/>
            </rPr>
            <t>Legal &amp; Corporate Governance:</t>
          </r>
          <r>
            <rPr>
              <rFont val="Calibri"/>
              <sz val="10"/>
            </rPr>
            <t xml:space="preserve"> Provide legal advice and governance support. Includes: Commercial legal and company-secretarial/governance professions. Excludes: Internal audit assurance; generic administrative filing.</t>
          </r>
        </is>
      </c>
      <c r="S9" s="12" t="inlineStr">
        <is>
          <r>
            <rPr>
              <rFont val="Calibri"/>
              <b val="1"/>
              <sz val="10"/>
            </rPr>
            <t>Comparable stage:</t>
          </r>
          <r>
            <rPr>
              <rFont val="Calibri"/>
              <sz val="10"/>
            </rPr>
            <t xml:space="preserve"> LD16-1 · Facilities / Workplace Manager
Own staffing decisions, performance support, service quality and delegated team resources
</t>
          </r>
          <r>
            <rPr>
              <rFont val="Calibri"/>
              <b val="1"/>
              <sz val="10"/>
            </rPr>
            <t>Ready when:</t>
          </r>
          <r>
            <rPr>
              <rFont val="Calibri"/>
              <sz val="10"/>
            </rPr>
            <t xml:space="preserve"> Do not manufacture three reporting layers. Choose roles the organisation needs. A specialist may remain on an equally valued expert path.</t>
          </r>
        </is>
      </c>
      <c r="T9" s="12" t="inlineStr">
        <is>
          <t>Radford / Mercer P4 / M3 · SFIA 4–5
IRIS Vs Competitor Benchmark — corporate services ladder: Manager</t>
        </is>
      </c>
      <c r="U9" s="12" t="inlineStr">
        <is>
          <t>B3 · Lead Specialist</t>
        </is>
      </c>
      <c r="V9" s="12" t="inlineStr">
        <is>
          <t>Framework only · fewer than 3 answered</t>
        </is>
      </c>
    </row>
    <row r="10" ht="158" customHeight="1">
      <c r="A10" s="89" t="inlineStr">
        <is>
          <t>RC-003</t>
        </is>
      </c>
      <c r="B10" s="12" t="inlineStr">
        <is>
          <t>Administration, Legal &amp; Secretarial</t>
        </is>
      </c>
      <c r="C10" s="12" t="inlineStr">
        <is>
          <t>Administration &amp; Facilities</t>
        </is>
      </c>
      <c r="D10" s="36" t="inlineStr">
        <is>
          <t>X1</t>
        </is>
      </c>
      <c r="E10" s="37" t="inlineStr">
        <is>
          <t>Associate Consultant</t>
        </is>
      </c>
      <c r="F10" s="12" t="inlineStr">
        <is>
          <t>IC</t>
        </is>
      </c>
      <c r="G10" s="12" t="inlineStr">
        <is>
          <t>Associate Consultant – Administration &amp; Facilities</t>
        </is>
      </c>
      <c r="H10" s="12" t="inlineStr">
        <is>
          <t>Ganesh Prabhakar Amrutsagar</t>
        </is>
      </c>
      <c r="I10" s="12" t="inlineStr">
        <is>
          <t>Administration</t>
        </is>
      </c>
      <c r="J10" s="12" t="inlineStr">
        <is>
          <t>Manages travel, facilities, office administration and vendors. At X1: defined deliverables under a statement of work · ≈ A2–A3.</t>
        </is>
      </c>
      <c r="K10" s="12" t="inlineStr">
        <is>
          <t>Manages travel, facilities, office administration and vendors</t>
        </is>
      </c>
      <c r="L10" s="12" t="inlineStr">
        <is>
          <t>Within the statement of work</t>
        </is>
      </c>
      <c r="M10" s="12" t="inlineStr">
        <is>
          <t>—</t>
        </is>
      </c>
      <c r="N10" s="12" t="inlineStr">
        <is>
          <r>
            <rPr>
              <rFont val="Calibri"/>
              <b val="1"/>
              <sz val="10"/>
            </rPr>
            <t>Skills:</t>
          </r>
          <r>
            <rPr>
              <rFont val="Calibri"/>
              <sz val="10"/>
            </rPr>
            <t xml:space="preserve"> Administration</t>
          </r>
        </is>
      </c>
      <c r="O10" s="12" t="inlineStr">
        <is>
          <r>
            <rPr>
              <rFont val="Calibri"/>
              <b val="1"/>
              <sz val="10"/>
            </rPr>
            <t>Owns:</t>
          </r>
          <r>
            <rPr>
              <rFont val="Calibri"/>
              <sz val="10"/>
            </rPr>
            <t xml:space="preserve"> Defined deliverables under a statement of work · ≈ A2–A3</t>
          </r>
        </is>
      </c>
      <c r="P10" s="12" t="inlineStr">
        <is>
          <t>0–5 yrs
As for equivalent role</t>
        </is>
      </c>
      <c r="Q10" s="12" t="inlineStr">
        <is>
          <t>Per statement of work
★ Regulatory &amp; BFSI Domain · Stakeholder &amp; Client Management</t>
        </is>
      </c>
      <c r="R10" s="12" t="inlineStr">
        <is>
          <r>
            <rPr>
              <rFont val="Calibri"/>
              <b val="1"/>
              <sz val="10"/>
            </rPr>
            <t>Administration &amp; Workplace:</t>
          </r>
          <r>
            <rPr>
              <rFont val="Calibri"/>
              <sz val="10"/>
            </rPr>
            <t xml:space="preserve"> Provide reliable workplace services. Includes: Facilities, office services and workplace planning. Excludes: Strategic procurement; enterprise operating leadership.
</t>
          </r>
          <r>
            <rPr>
              <rFont val="Calibri"/>
              <b val="1"/>
              <sz val="10"/>
            </rPr>
            <t>Legal &amp; Corporate Governance:</t>
          </r>
          <r>
            <rPr>
              <rFont val="Calibri"/>
              <sz val="10"/>
            </rPr>
            <t xml:space="preserve"> Provide legal advice and governance support. Includes: Commercial legal and company-secretarial/governance professions. Excludes: Internal audit assurance; generic administrative filing.</t>
          </r>
        </is>
      </c>
      <c r="S10" s="12" t="inlineStr">
        <is>
          <t>—</t>
        </is>
      </c>
      <c r="T10" s="12" t="inlineStr">
        <is>
          <t>Radford / Mercer Contractor · SFIA —
—</t>
        </is>
      </c>
      <c r="U10" s="12" t="inlineStr">
        <is>
          <t>—</t>
        </is>
      </c>
      <c r="V10" s="12" t="inlineStr">
        <is>
          <t>Framework only · fewer than 3 answered</t>
        </is>
      </c>
    </row>
    <row r="11" ht="158" customHeight="1">
      <c r="A11" s="89" t="inlineStr">
        <is>
          <t>RC-004</t>
        </is>
      </c>
      <c r="B11" s="12" t="inlineStr">
        <is>
          <t>Administration, Legal &amp; Secretarial</t>
        </is>
      </c>
      <c r="C11" s="12" t="inlineStr">
        <is>
          <t>Company Secretarial &amp; Legal</t>
        </is>
      </c>
      <c r="D11" s="16" t="inlineStr">
        <is>
          <t>A1</t>
        </is>
      </c>
      <c r="E11" s="17" t="inlineStr">
        <is>
          <t>Intern / Trainee</t>
        </is>
      </c>
      <c r="F11" s="12" t="inlineStr">
        <is>
          <t>IC</t>
        </is>
      </c>
      <c r="G11" s="12" t="inlineStr">
        <is>
          <t>Intern – Company Secretarial &amp; Legal</t>
        </is>
      </c>
      <c r="H11" s="12" t="inlineStr">
        <is>
          <t>Sneha Pillai</t>
        </is>
      </c>
      <c r="I11" s="12" t="inlineStr">
        <is>
          <t>Secretarial &amp; Legal</t>
        </is>
      </c>
      <c r="J11" s="12" t="inlineStr">
        <is>
          <t>Handles statutory filings, board matters, contracts and legal compliance. At A1: learning the role; all work reviewed.</t>
        </is>
      </c>
      <c r="K11" s="12" t="inlineStr">
        <is>
          <t>Handles statutory filings, board matters, contracts and legal compliance; Learning; follows worked examples; Learning tasks</t>
        </is>
      </c>
      <c r="L11" s="12" t="inlineStr">
        <is>
          <t>Needs approval / close guidance</t>
        </is>
      </c>
      <c r="M11" s="12" t="inlineStr">
        <is>
          <t>—</t>
        </is>
      </c>
      <c r="N11" s="12" t="inlineStr">
        <is>
          <r>
            <rPr>
              <rFont val="Calibri"/>
              <b val="1"/>
              <sz val="10"/>
            </rPr>
            <t>Skills:</t>
          </r>
          <r>
            <rPr>
              <rFont val="Calibri"/>
              <sz val="10"/>
            </rPr>
            <t xml:space="preserve"> Secretarial · Legal</t>
          </r>
        </is>
      </c>
      <c r="O11" s="12" t="inlineStr">
        <is>
          <r>
            <rPr>
              <rFont val="Calibri"/>
              <b val="1"/>
              <sz val="10"/>
            </rPr>
            <t>Owns:</t>
          </r>
          <r>
            <rPr>
              <rFont val="Calibri"/>
              <sz val="10"/>
            </rPr>
            <t xml:space="preserve"> Learning the role; all work reviewed
</t>
          </r>
          <r>
            <rPr>
              <rFont val="Calibri"/>
              <b val="1"/>
              <sz val="10"/>
            </rPr>
            <t>Complexity:</t>
          </r>
          <r>
            <rPr>
              <rFont val="Calibri"/>
              <sz val="10"/>
            </rPr>
            <t xml:space="preserve"> Learning; follows worked examples
</t>
          </r>
          <r>
            <rPr>
              <rFont val="Calibri"/>
              <b val="1"/>
              <sz val="10"/>
            </rPr>
            <t>Decisions:</t>
          </r>
          <r>
            <rPr>
              <rFont val="Calibri"/>
              <sz val="10"/>
            </rPr>
            <t xml:space="preserve"> Needs approval / close guidance
</t>
          </r>
          <r>
            <rPr>
              <rFont val="Calibri"/>
              <b val="1"/>
              <sz val="10"/>
            </rPr>
            <t>Answers for:</t>
          </r>
          <r>
            <rPr>
              <rFont val="Calibri"/>
              <sz val="10"/>
            </rPr>
            <t xml:space="preserve"> Learning tasks
</t>
          </r>
          <r>
            <rPr>
              <rFont val="Calibri"/>
              <b val="1"/>
              <sz val="10"/>
            </rPr>
            <t>Leadership:</t>
          </r>
          <r>
            <rPr>
              <rFont val="Calibri"/>
              <sz val="10"/>
            </rPr>
            <t xml:space="preserve"> Not scored in Band A</t>
          </r>
        </is>
      </c>
      <c r="P11" s="12" t="inlineStr">
        <is>
          <t>0 yrs · fresher / intern
Pursuing or completed graduation / diploma</t>
        </is>
      </c>
      <c r="Q11" s="12" t="inlineStr">
        <is>
          <t>Core 1 · Future-ready 1 · Functional 1 · Leadership —
★ Regulatory &amp; BFSI Domain · Stakeholder &amp; Client Management</t>
        </is>
      </c>
      <c r="R11" s="12" t="inlineStr">
        <is>
          <r>
            <rPr>
              <rFont val="Calibri"/>
              <b val="1"/>
              <sz val="10"/>
            </rPr>
            <t>Administration &amp; Workplace:</t>
          </r>
          <r>
            <rPr>
              <rFont val="Calibri"/>
              <sz val="10"/>
            </rPr>
            <t xml:space="preserve"> Provide reliable workplace services. Includes: Facilities, office services and workplace planning. Excludes: Strategic procurement; enterprise operating leadership.
</t>
          </r>
          <r>
            <rPr>
              <rFont val="Calibri"/>
              <b val="1"/>
              <sz val="10"/>
            </rPr>
            <t>Legal &amp; Corporate Governance:</t>
          </r>
          <r>
            <rPr>
              <rFont val="Calibri"/>
              <sz val="10"/>
            </rPr>
            <t xml:space="preserve"> Provide legal advice and governance support. Includes: Commercial legal and company-secretarial/governance professions. Excludes: Internal audit assurance; generic administrative filing.</t>
          </r>
        </is>
      </c>
      <c r="S11" s="12" t="inlineStr">
        <is>
          <r>
            <rPr>
              <rFont val="Calibri"/>
              <b val="1"/>
              <sz val="10"/>
            </rPr>
            <t>Comparable stage:</t>
          </r>
          <r>
            <rPr>
              <rFont val="Calibri"/>
              <sz val="10"/>
            </rPr>
            <t xml:space="preserve"> LEG01-0 · Secretarial Intern
</t>
          </r>
          <r>
            <rPr>
              <rFont val="Calibri"/>
              <b val="1"/>
              <sz val="10"/>
            </rPr>
            <t>Assist with a supervised work sample:</t>
          </r>
          <r>
            <rPr>
              <rFont val="Calibri"/>
              <sz val="10"/>
            </rPr>
            <t xml:space="preserve"> maintain governance records and coordinate prescribed processes.
</t>
          </r>
          <r>
            <rPr>
              <rFont val="Calibri"/>
              <b val="1"/>
              <sz val="10"/>
            </rPr>
            <t>Ready when:</t>
          </r>
          <r>
            <rPr>
              <rFont val="Calibri"/>
              <sz val="10"/>
            </rPr>
            <t xml:space="preserve"> Reviewed learning assignment; no independent material sign-off.
</t>
          </r>
          <r>
            <rPr>
              <rFont val="Calibri"/>
              <b val="1"/>
              <sz val="10"/>
            </rPr>
            <t>Work sample:</t>
          </r>
          <r>
            <rPr>
              <rFont val="Calibri"/>
              <sz val="10"/>
            </rPr>
            <t xml:space="preserve"> A board-cycle and compliance pack with accurate records and escalation of material issues</t>
          </r>
        </is>
      </c>
      <c r="T11" s="12" t="inlineStr">
        <is>
          <t>Radford / Mercer Entry / P1 · intern · SFIA 1 Follow
IRIS Vs Competitor Benchmark — corporate services ladder: Trainee</t>
        </is>
      </c>
      <c r="U11" s="12" t="inlineStr">
        <is>
          <t>A2 · Associate</t>
        </is>
      </c>
      <c r="V11" s="12" t="inlineStr">
        <is>
          <t>Framework only · fewer than 3 answered</t>
        </is>
      </c>
    </row>
    <row r="12" ht="158" customHeight="1">
      <c r="A12" s="89" t="inlineStr">
        <is>
          <t>RC-005</t>
        </is>
      </c>
      <c r="B12" s="12" t="inlineStr">
        <is>
          <t>Administration, Legal &amp; Secretarial</t>
        </is>
      </c>
      <c r="C12" s="12" t="inlineStr">
        <is>
          <t>Company Secretarial &amp; Legal</t>
        </is>
      </c>
      <c r="D12" s="16" t="inlineStr">
        <is>
          <t>A3</t>
        </is>
      </c>
      <c r="E12" s="17" t="inlineStr">
        <is>
          <t>Senior Associate</t>
        </is>
      </c>
      <c r="F12" s="12" t="inlineStr">
        <is>
          <t>IC</t>
        </is>
      </c>
      <c r="G12" s="12" t="inlineStr">
        <is>
          <t>Senior Secretarial Executive</t>
        </is>
      </c>
      <c r="H12" s="12" t="inlineStr">
        <is>
          <t>Melita Suares</t>
        </is>
      </c>
      <c r="I12" s="12" t="inlineStr">
        <is>
          <t>Secretarial &amp; Legal</t>
        </is>
      </c>
      <c r="J12" s="12" t="inlineStr">
        <is>
          <t>Handles statutory filings, board matters, contracts and legal compliance. At A3: varied work; reviews juniors; go-to for a process.</t>
        </is>
      </c>
      <c r="K12" s="12" t="inlineStr">
        <is>
          <t>Handles statutory filings, board matters, contracts and legal compliance; Varied and non-standard work; handles exceptions; A module / process, or work with client or regulatory consequences</t>
        </is>
      </c>
      <c r="L12" s="12" t="inlineStr">
        <is>
          <t>Technical / QC / client calls on own work</t>
        </is>
      </c>
      <c r="M12" s="12" t="inlineStr">
        <is>
          <t>—</t>
        </is>
      </c>
      <c r="N12" s="12" t="inlineStr">
        <is>
          <r>
            <rPr>
              <rFont val="Calibri"/>
              <b val="1"/>
              <sz val="10"/>
            </rPr>
            <t>Skills:</t>
          </r>
          <r>
            <rPr>
              <rFont val="Calibri"/>
              <sz val="10"/>
            </rPr>
            <t xml:space="preserve"> Secretarial · Legal</t>
          </r>
        </is>
      </c>
      <c r="O12" s="12" t="inlineStr">
        <is>
          <r>
            <rPr>
              <rFont val="Calibri"/>
              <b val="1"/>
              <sz val="10"/>
            </rPr>
            <t>Owns:</t>
          </r>
          <r>
            <rPr>
              <rFont val="Calibri"/>
              <sz val="10"/>
            </rPr>
            <t xml:space="preserve"> Varied work; reviews juniors; go-to for a process
</t>
          </r>
          <r>
            <rPr>
              <rFont val="Calibri"/>
              <b val="1"/>
              <sz val="10"/>
            </rPr>
            <t>Complexity:</t>
          </r>
          <r>
            <rPr>
              <rFont val="Calibri"/>
              <sz val="10"/>
            </rPr>
            <t xml:space="preserve"> Varied and non-standard work; handles exceptions
</t>
          </r>
          <r>
            <rPr>
              <rFont val="Calibri"/>
              <b val="1"/>
              <sz val="10"/>
            </rPr>
            <t>Decisions:</t>
          </r>
          <r>
            <rPr>
              <rFont val="Calibri"/>
              <sz val="10"/>
            </rPr>
            <t xml:space="preserve"> Technical / QC / client calls on own work
</t>
          </r>
          <r>
            <rPr>
              <rFont val="Calibri"/>
              <b val="1"/>
              <sz val="10"/>
            </rPr>
            <t>Answers for:</t>
          </r>
          <r>
            <rPr>
              <rFont val="Calibri"/>
              <sz val="10"/>
            </rPr>
            <t xml:space="preserve"> A module / process, or work with client or regulatory consequences
</t>
          </r>
          <r>
            <rPr>
              <rFont val="Calibri"/>
              <b val="1"/>
              <sz val="10"/>
            </rPr>
            <t>Leadership:</t>
          </r>
          <r>
            <rPr>
              <rFont val="Calibri"/>
              <sz val="10"/>
            </rPr>
            <t xml:space="preserve"> Not scored in Band A</t>
          </r>
        </is>
      </c>
      <c r="P12" s="12" t="inlineStr">
        <is>
          <t>2–4 yrs
Graduate; relevant certification preferred</t>
        </is>
      </c>
      <c r="Q12" s="12" t="inlineStr">
        <is>
          <t>Core 2 · Future-ready 2 · Functional 3 · Leadership —
★ Regulatory &amp; BFSI Domain · Stakeholder &amp; Client Management</t>
        </is>
      </c>
      <c r="R12" s="12" t="inlineStr">
        <is>
          <r>
            <rPr>
              <rFont val="Calibri"/>
              <b val="1"/>
              <sz val="10"/>
            </rPr>
            <t>Administration &amp; Workplace:</t>
          </r>
          <r>
            <rPr>
              <rFont val="Calibri"/>
              <sz val="10"/>
            </rPr>
            <t xml:space="preserve"> Provide reliable workplace services. Includes: Facilities, office services and workplace planning. Excludes: Strategic procurement; enterprise operating leadership.
</t>
          </r>
          <r>
            <rPr>
              <rFont val="Calibri"/>
              <b val="1"/>
              <sz val="10"/>
            </rPr>
            <t>Legal &amp; Corporate Governance:</t>
          </r>
          <r>
            <rPr>
              <rFont val="Calibri"/>
              <sz val="10"/>
            </rPr>
            <t xml:space="preserve"> Provide legal advice and governance support. Includes: Commercial legal and company-secretarial/governance professions. Excludes: Internal audit assurance; generic administrative filing.</t>
          </r>
        </is>
      </c>
      <c r="S12" s="12" t="inlineStr">
        <is>
          <r>
            <rPr>
              <rFont val="Calibri"/>
              <b val="1"/>
              <sz val="10"/>
            </rPr>
            <t>Comparable stage:</t>
          </r>
          <r>
            <rPr>
              <rFont val="Calibri"/>
              <sz val="10"/>
            </rPr>
            <t xml:space="preserve"> LEG01-2 · Governance Executive
Maintain governance records and coordinate prescribed processes.
</t>
          </r>
          <r>
            <rPr>
              <rFont val="Calibri"/>
              <b val="1"/>
              <sz val="10"/>
            </rPr>
            <t>Ready when:</t>
          </r>
          <r>
            <rPr>
              <rFont val="Calibri"/>
              <sz val="10"/>
            </rPr>
            <t xml:space="preserve"> Demonstrate routine delivery plus judgement in bounded exceptions.
</t>
          </r>
          <r>
            <rPr>
              <rFont val="Calibri"/>
              <b val="1"/>
              <sz val="10"/>
            </rPr>
            <t>Work sample:</t>
          </r>
          <r>
            <rPr>
              <rFont val="Calibri"/>
              <sz val="10"/>
            </rPr>
            <t xml:space="preserve"> A board-cycle and compliance pack with accurate records and escalation of material issues</t>
          </r>
        </is>
      </c>
      <c r="T12" s="12" t="inlineStr">
        <is>
          <t>Radford / Mercer P2 · SFIA 3 Apply
IRIS Vs Competitor Benchmark — corporate services ladder: Senior Executive</t>
        </is>
      </c>
      <c r="U12" s="12" t="inlineStr">
        <is>
          <t>B1 · Specialist</t>
        </is>
      </c>
      <c r="V12" s="12" t="inlineStr">
        <is>
          <t>Framework only · fewer than 3 answered</t>
        </is>
      </c>
    </row>
    <row r="13" ht="158" customHeight="1">
      <c r="A13" s="89" t="inlineStr">
        <is>
          <t>RC-006</t>
        </is>
      </c>
      <c r="B13" s="12" t="inlineStr">
        <is>
          <t>Administration, Legal &amp; Secretarial</t>
        </is>
      </c>
      <c r="C13" s="12" t="inlineStr">
        <is>
          <t>Company Secretarial &amp; Legal</t>
        </is>
      </c>
      <c r="D13" s="24" t="inlineStr">
        <is>
          <t>C1</t>
        </is>
      </c>
      <c r="E13" s="25" t="inlineStr">
        <is>
          <t>Principal</t>
        </is>
      </c>
      <c r="F13" s="12" t="inlineStr">
        <is>
          <t>IC</t>
        </is>
      </c>
      <c r="G13" s="12" t="inlineStr">
        <is>
          <t>Company Secretary – POD Lead</t>
        </is>
      </c>
      <c r="H13" s="12" t="inlineStr">
        <is>
          <t>Santosh Sharma</t>
        </is>
      </c>
      <c r="I13" s="12" t="inlineStr">
        <is>
          <t>Secretarial &amp; Legal</t>
        </is>
      </c>
      <c r="J13" s="12" t="inlineStr">
        <is>
          <t>Handles statutory filings, board matters, contracts and legal compliance. At C1: a sub-function, or principal authority across products.</t>
        </is>
      </c>
      <c r="K13" s="12" t="inlineStr">
        <is>
          <t>Handles statutory filings, board matters, contracts and legal compliance; Ambiguous, cross-product problems; Sub-function results or domain quality across products</t>
        </is>
      </c>
      <c r="L13" s="12" t="inlineStr">
        <is>
          <t>Sets direction for a sub-function or domain</t>
        </is>
      </c>
      <c r="M13" s="12" t="inlineStr">
        <is>
          <t>—</t>
        </is>
      </c>
      <c r="N13" s="12" t="inlineStr">
        <is>
          <r>
            <rPr>
              <rFont val="Calibri"/>
              <b val="1"/>
              <sz val="10"/>
            </rPr>
            <t>Skills:</t>
          </r>
          <r>
            <rPr>
              <rFont val="Calibri"/>
              <sz val="10"/>
            </rPr>
            <t xml:space="preserve"> Secretarial · Legal</t>
          </r>
        </is>
      </c>
      <c r="O13" s="12" t="inlineStr">
        <is>
          <r>
            <rPr>
              <rFont val="Calibri"/>
              <b val="1"/>
              <sz val="10"/>
            </rPr>
            <t>Owns:</t>
          </r>
          <r>
            <rPr>
              <rFont val="Calibri"/>
              <sz val="10"/>
            </rPr>
            <t xml:space="preserve"> A sub-function, or principal authority across products
</t>
          </r>
          <r>
            <rPr>
              <rFont val="Calibri"/>
              <b val="1"/>
              <sz val="10"/>
            </rPr>
            <t>Complexity:</t>
          </r>
          <r>
            <rPr>
              <rFont val="Calibri"/>
              <sz val="10"/>
            </rPr>
            <t xml:space="preserve"> Ambiguous, cross-product problems
</t>
          </r>
          <r>
            <rPr>
              <rFont val="Calibri"/>
              <b val="1"/>
              <sz val="10"/>
            </rPr>
            <t>Decisions:</t>
          </r>
          <r>
            <rPr>
              <rFont val="Calibri"/>
              <sz val="10"/>
            </rPr>
            <t xml:space="preserve"> Sets direction for a sub-function or domain
</t>
          </r>
          <r>
            <rPr>
              <rFont val="Calibri"/>
              <b val="1"/>
              <sz val="10"/>
            </rPr>
            <t>Answers for:</t>
          </r>
          <r>
            <rPr>
              <rFont val="Calibri"/>
              <sz val="10"/>
            </rPr>
            <t xml:space="preserve"> Sub-function results or domain quality across products
</t>
          </r>
          <r>
            <rPr>
              <rFont val="Calibri"/>
              <b val="1"/>
              <sz val="10"/>
            </rPr>
            <t>Leadership:</t>
          </r>
          <r>
            <rPr>
              <rFont val="Calibri"/>
              <sz val="10"/>
            </rPr>
            <t xml:space="preserve"> Leads managers or a community of practice</t>
          </r>
        </is>
      </c>
      <c r="P13" s="12" t="inlineStr">
        <is>
          <t>10–14 yrs
Postgraduate / professional qualification preferred</t>
        </is>
      </c>
      <c r="Q13" s="12" t="inlineStr">
        <is>
          <t>Core 4 · Future-ready 4 · Functional 4 · Leadership 4
★ Regulatory &amp; BFSI Domain · Stakeholder &amp; Client Management</t>
        </is>
      </c>
      <c r="R13" s="12" t="inlineStr">
        <is>
          <r>
            <rPr>
              <rFont val="Calibri"/>
              <b val="1"/>
              <sz val="10"/>
            </rPr>
            <t>Administration &amp; Workplace:</t>
          </r>
          <r>
            <rPr>
              <rFont val="Calibri"/>
              <sz val="10"/>
            </rPr>
            <t xml:space="preserve"> Provide reliable workplace services. Includes: Facilities, office services and workplace planning. Excludes: Strategic procurement; enterprise operating leadership.
</t>
          </r>
          <r>
            <rPr>
              <rFont val="Calibri"/>
              <b val="1"/>
              <sz val="10"/>
            </rPr>
            <t>Legal &amp; Corporate Governance:</t>
          </r>
          <r>
            <rPr>
              <rFont val="Calibri"/>
              <sz val="10"/>
            </rPr>
            <t xml:space="preserve"> Provide legal advice and governance support. Includes: Commercial legal and company-secretarial/governance professions. Excludes: Internal audit assurance; generic administrative filing.</t>
          </r>
        </is>
      </c>
      <c r="S13" s="12" t="inlineStr">
        <is>
          <r>
            <rPr>
              <rFont val="Calibri"/>
              <b val="1"/>
              <sz val="10"/>
            </rPr>
            <t>Comparable stage:</t>
          </r>
          <r>
            <rPr>
              <rFont val="Calibri"/>
              <sz val="10"/>
            </rPr>
            <t xml:space="preserve"> LEG01-5 · Company Secretary · appointed role
Own the governance advisory mandate and board interface after required appointment checks, across multiple products, units or a wider professional mandate.
</t>
          </r>
          <r>
            <rPr>
              <rFont val="Calibri"/>
              <b val="1"/>
              <sz val="10"/>
            </rPr>
            <t>Ready when:</t>
          </r>
          <r>
            <rPr>
              <rFont val="Calibri"/>
              <sz val="10"/>
            </rPr>
            <t xml:space="preserve"> Sustained cross-domain mandate and evidence of enterprise-relevant decisions; not simply a new title.
</t>
          </r>
          <r>
            <rPr>
              <rFont val="Calibri"/>
              <b val="1"/>
              <sz val="10"/>
            </rPr>
            <t>Work sample:</t>
          </r>
          <r>
            <rPr>
              <rFont val="Calibri"/>
              <sz val="10"/>
            </rPr>
            <t xml:space="preserve"> A board-cycle and compliance pack with accurate records and escalation of material issues</t>
          </r>
        </is>
      </c>
      <c r="T13" s="12" t="inlineStr">
        <is>
          <t>Radford / Mercer P6 / M5 · SFIA 5–6
IRIS Vs Competitor Benchmark — corporate services ladder: Company Secretary</t>
        </is>
      </c>
      <c r="U13" s="12" t="inlineStr">
        <is>
          <t>C2 · Senior Principal / Architect</t>
        </is>
      </c>
      <c r="V13" s="12" t="inlineStr">
        <is>
          <t>Framework only · fewer than 3 answered</t>
        </is>
      </c>
    </row>
    <row r="14">
      <c r="A14" s="88" t="inlineStr">
        <is>
          <t>Design &amp; Creative</t>
        </is>
      </c>
    </row>
    <row r="15" ht="119" customHeight="1">
      <c r="A15" s="89" t="inlineStr">
        <is>
          <t>RC-052</t>
        </is>
      </c>
      <c r="B15" s="12" t="inlineStr">
        <is>
          <t>Design &amp; Creative</t>
        </is>
      </c>
      <c r="C15" s="12" t="inlineStr">
        <is>
          <t>Brand, Graphic &amp; Video Design</t>
        </is>
      </c>
      <c r="D15" s="16" t="inlineStr">
        <is>
          <t>A3</t>
        </is>
      </c>
      <c r="E15" s="17" t="inlineStr">
        <is>
          <t>Senior Associate</t>
        </is>
      </c>
      <c r="F15" s="12" t="inlineStr">
        <is>
          <t>IC</t>
        </is>
      </c>
      <c r="G15" s="12" t="inlineStr">
        <is>
          <t>Senior Designer</t>
        </is>
      </c>
      <c r="H15" s="12" t="inlineStr">
        <is>
          <t>Abhishek Sharma</t>
        </is>
      </c>
      <c r="I15" s="12" t="inlineStr">
        <is>
          <t>Marketing</t>
        </is>
      </c>
      <c r="J15" s="12" t="inlineStr">
        <is>
          <r>
            <rPr>
              <rFont val="Calibri"/>
              <sz val="10"/>
            </rPr>
            <t xml:space="preserve">Creates brand assets, creatives, decks, motion graphics and video. At A3: varied work; reviews juniors; go-to for a process.
</t>
          </r>
          <r>
            <rPr>
              <rFont val="Calibri"/>
              <b val="1"/>
              <sz val="10"/>
            </rPr>
            <t>Common themes in sub-family holders, all levels' answers:</t>
          </r>
          <r>
            <rPr>
              <rFont val="Calibri"/>
              <sz val="10"/>
            </rPr>
            <t xml:space="preserve"> media · social · collaterals · designing · shobhan · reports</t>
          </r>
        </is>
      </c>
      <c r="K15" s="12" t="inlineStr">
        <is>
          <r>
            <rPr>
              <rFont val="Calibri"/>
              <sz val="10"/>
            </rPr>
            <t xml:space="preserve">Creates brand assets, creatives, decks, motion graphics and video; Varied and non-standard work; handles exceptions; A module / process, or work with client or regulatory consequences
</t>
          </r>
          <r>
            <rPr>
              <rFont val="Calibri"/>
              <b val="1"/>
              <sz val="10"/>
            </rPr>
            <t>Common themes in sub-family holders, all levels' answers:</t>
          </r>
          <r>
            <rPr>
              <rFont val="Calibri"/>
              <sz val="10"/>
            </rPr>
            <t xml:space="preserve"> sales · event · collaterals</t>
          </r>
        </is>
      </c>
      <c r="L15" s="12" t="inlineStr">
        <is>
          <r>
            <rPr>
              <rFont val="Calibri"/>
              <sz val="10"/>
            </rPr>
            <t xml:space="preserve">Technical / QC / client calls on own work
</t>
          </r>
          <r>
            <rPr>
              <rFont val="Calibri"/>
              <b val="1"/>
              <sz val="10"/>
            </rPr>
            <t>Common themes in sub-family holders, all levels' answers:</t>
          </r>
          <r>
            <rPr>
              <rFont val="Calibri"/>
              <sz val="10"/>
            </rPr>
            <t xml:space="preserve"> design</t>
          </r>
        </is>
      </c>
      <c r="M15" s="12" t="inlineStr">
        <is>
          <t>—</t>
        </is>
      </c>
      <c r="N15" s="12" t="inlineStr">
        <is>
          <r>
            <rPr>
              <rFont val="Calibri"/>
              <b val="1"/>
              <sz val="10"/>
            </rPr>
            <t>Skills:</t>
          </r>
          <r>
            <rPr>
              <rFont val="Calibri"/>
              <sz val="10"/>
            </rPr>
            <t xml:space="preserve"> Graphic design
</t>
          </r>
          <r>
            <rPr>
              <rFont val="Calibri"/>
              <b val="1"/>
              <sz val="10"/>
            </rPr>
            <t>Tools:</t>
          </r>
          <r>
            <rPr>
              <rFont val="Calibri"/>
              <sz val="10"/>
            </rPr>
            <t xml:space="preserve"> Canva</t>
          </r>
        </is>
      </c>
      <c r="O15" s="12" t="inlineStr">
        <is>
          <r>
            <rPr>
              <rFont val="Calibri"/>
              <b val="1"/>
              <sz val="10"/>
            </rPr>
            <t>Owns:</t>
          </r>
          <r>
            <rPr>
              <rFont val="Calibri"/>
              <sz val="10"/>
            </rPr>
            <t xml:space="preserve"> Varied work; reviews juniors; go-to for a process
</t>
          </r>
          <r>
            <rPr>
              <rFont val="Calibri"/>
              <b val="1"/>
              <sz val="10"/>
            </rPr>
            <t>Complexity:</t>
          </r>
          <r>
            <rPr>
              <rFont val="Calibri"/>
              <sz val="10"/>
            </rPr>
            <t xml:space="preserve"> Varied and non-standard work; handles exceptions
</t>
          </r>
          <r>
            <rPr>
              <rFont val="Calibri"/>
              <b val="1"/>
              <sz val="10"/>
            </rPr>
            <t>Decisions:</t>
          </r>
          <r>
            <rPr>
              <rFont val="Calibri"/>
              <sz val="10"/>
            </rPr>
            <t xml:space="preserve"> Technical / QC / client calls on own work
</t>
          </r>
          <r>
            <rPr>
              <rFont val="Calibri"/>
              <b val="1"/>
              <sz val="10"/>
            </rPr>
            <t>Answers for:</t>
          </r>
          <r>
            <rPr>
              <rFont val="Calibri"/>
              <sz val="10"/>
            </rPr>
            <t xml:space="preserve"> A module / process, or work with client or regulatory consequences
</t>
          </r>
          <r>
            <rPr>
              <rFont val="Calibri"/>
              <b val="1"/>
              <sz val="10"/>
            </rPr>
            <t>Leadership:</t>
          </r>
          <r>
            <rPr>
              <rFont val="Calibri"/>
              <sz val="10"/>
            </rPr>
            <t xml:space="preserve"> Not scored in Band A</t>
          </r>
        </is>
      </c>
      <c r="P15" s="12" t="inlineStr">
        <is>
          <t>2–4 yrs
Graduate; relevant certification preferred</t>
        </is>
      </c>
      <c r="Q15" s="12" t="inlineStr">
        <is>
          <t>Core 2 · Future-ready 2 · Functional 3 · Leadership —
★ Product, Platform &amp; Domain Knowledge · Communication &amp; Presentation</t>
        </is>
      </c>
      <c r="R15" s="12" t="inlineStr">
        <is>
          <t>Shape usable experiences and visual communication. Includes: Brand creative, product design and user research. Excludes: Marketing campaign ownership; frontend implementation.</t>
        </is>
      </c>
      <c r="S15" s="12" t="inlineStr">
        <is>
          <r>
            <rPr>
              <rFont val="Calibri"/>
              <b val="1"/>
              <sz val="10"/>
            </rPr>
            <t>Comparable stage:</t>
          </r>
          <r>
            <rPr>
              <rFont val="Calibri"/>
              <sz val="10"/>
            </rPr>
            <t xml:space="preserve"> DES01-2 · Graphic / Brand Designer
Produce usable brand assets with correct production specifications.
</t>
          </r>
          <r>
            <rPr>
              <rFont val="Calibri"/>
              <b val="1"/>
              <sz val="10"/>
            </rPr>
            <t>Ready when:</t>
          </r>
          <r>
            <rPr>
              <rFont val="Calibri"/>
              <sz val="10"/>
            </rPr>
            <t xml:space="preserve"> Demonstrate routine delivery plus judgement in bounded exceptions.
</t>
          </r>
          <r>
            <rPr>
              <rFont val="Calibri"/>
              <b val="1"/>
              <sz val="10"/>
            </rPr>
            <t>Work sample:</t>
          </r>
          <r>
            <rPr>
              <rFont val="Calibri"/>
              <sz val="10"/>
            </rPr>
            <t xml:space="preserve"> A brand or creative portfolio with audience fit, design rationale and production quality</t>
          </r>
        </is>
      </c>
      <c r="T15" s="12" t="inlineStr">
        <is>
          <t>Radford / Mercer P2 · SFIA 3 Apply
IRIS Vs Competitor Benchmark — UX / design ladder: Designer</t>
        </is>
      </c>
      <c r="U15" s="12" t="inlineStr">
        <is>
          <t>B1 · Specialist</t>
        </is>
      </c>
      <c r="V15" s="12" t="inlineStr">
        <is>
          <t>Framework + sub-family themes · 3+ answered</t>
        </is>
      </c>
    </row>
    <row r="16">
      <c r="A16" s="88" t="inlineStr">
        <is>
          <t>Engineering &amp; Development</t>
        </is>
      </c>
    </row>
    <row r="17" ht="106" customHeight="1">
      <c r="A17" s="89" t="inlineStr">
        <is>
          <t>RC-076</t>
        </is>
      </c>
      <c r="B17" s="12" t="inlineStr">
        <is>
          <t>Engineering &amp; Development</t>
        </is>
      </c>
      <c r="C17" s="12" t="inlineStr">
        <is>
          <t>DevOps &amp; Release Engineering</t>
        </is>
      </c>
      <c r="D17" s="16" t="inlineStr">
        <is>
          <t>A3</t>
        </is>
      </c>
      <c r="E17" s="17" t="inlineStr">
        <is>
          <t>Senior Associate</t>
        </is>
      </c>
      <c r="F17" s="12" t="inlineStr">
        <is>
          <t>IC</t>
        </is>
      </c>
      <c r="G17" s="12" t="inlineStr">
        <is>
          <t>Senior DevOps Engineer</t>
        </is>
      </c>
      <c r="H17" s="12" t="inlineStr">
        <is>
          <t>Parthiban Thangaraj</t>
        </is>
      </c>
      <c r="I17" s="12" t="inlineStr">
        <is>
          <t>IT &amp; Infrastructure</t>
        </is>
      </c>
      <c r="J17" s="12" t="inlineStr">
        <is>
          <r>
            <rPr>
              <rFont val="Calibri"/>
              <sz val="10"/>
            </rPr>
            <t xml:space="preserve">Builds and runs CI/CD pipelines, environments, deployments and release automation. At A3: varied work; reviews juniors; go-to for a process.
</t>
          </r>
          <r>
            <rPr>
              <rFont val="Calibri"/>
              <b val="1"/>
              <sz val="10"/>
            </rPr>
            <t>Common themes in sub-family holders, all levels' answers:</t>
          </r>
          <r>
            <rPr>
              <rFont val="Calibri"/>
              <sz val="10"/>
            </rPr>
            <t xml:space="preserve"> support · devops activities</t>
          </r>
        </is>
      </c>
      <c r="K17" s="12" t="inlineStr">
        <is>
          <t>Builds and runs CI/CD pipelines, environments, deployments and release automation; Varied and non-standard work; handles exceptions; A module / process, or work with client or regulatory consequences</t>
        </is>
      </c>
      <c r="L17" s="12" t="inlineStr">
        <is>
          <t>Technical / QC / client calls on own work</t>
        </is>
      </c>
      <c r="M17" s="12" t="inlineStr">
        <is>
          <t>—</t>
        </is>
      </c>
      <c r="N17" s="12" t="inlineStr">
        <is>
          <t>—</t>
        </is>
      </c>
      <c r="O17" s="12" t="inlineStr">
        <is>
          <r>
            <rPr>
              <rFont val="Calibri"/>
              <b val="1"/>
              <sz val="10"/>
            </rPr>
            <t>Owns:</t>
          </r>
          <r>
            <rPr>
              <rFont val="Calibri"/>
              <sz val="10"/>
            </rPr>
            <t xml:space="preserve"> Varied work; reviews juniors; go-to for a process
</t>
          </r>
          <r>
            <rPr>
              <rFont val="Calibri"/>
              <b val="1"/>
              <sz val="10"/>
            </rPr>
            <t>Complexity:</t>
          </r>
          <r>
            <rPr>
              <rFont val="Calibri"/>
              <sz val="10"/>
            </rPr>
            <t xml:space="preserve"> Varied and non-standard work; handles exceptions
</t>
          </r>
          <r>
            <rPr>
              <rFont val="Calibri"/>
              <b val="1"/>
              <sz val="10"/>
            </rPr>
            <t>Decisions:</t>
          </r>
          <r>
            <rPr>
              <rFont val="Calibri"/>
              <sz val="10"/>
            </rPr>
            <t xml:space="preserve"> Technical / QC / client calls on own work
</t>
          </r>
          <r>
            <rPr>
              <rFont val="Calibri"/>
              <b val="1"/>
              <sz val="10"/>
            </rPr>
            <t>Answers for:</t>
          </r>
          <r>
            <rPr>
              <rFont val="Calibri"/>
              <sz val="10"/>
            </rPr>
            <t xml:space="preserve"> A module / process, or work with client or regulatory consequences
</t>
          </r>
          <r>
            <rPr>
              <rFont val="Calibri"/>
              <b val="1"/>
              <sz val="10"/>
            </rPr>
            <t>Leadership:</t>
          </r>
          <r>
            <rPr>
              <rFont val="Calibri"/>
              <sz val="10"/>
            </rPr>
            <t xml:space="preserve"> Not scored in Band A</t>
          </r>
        </is>
      </c>
      <c r="P17" s="12" t="inlineStr">
        <is>
          <t>2–4 yrs
Graduate; relevant certification preferred</t>
        </is>
      </c>
      <c r="Q17" s="12" t="inlineStr">
        <is>
          <t>Core 2 · Future-ready 2 · Functional 3 · Leadership —
★ Programming &amp; Tech-Stack Depth · System Design &amp; Architecture</t>
        </is>
      </c>
      <c r="R17" s="12" t="inlineStr">
        <is>
          <t>Build and operate software capabilities. Includes: Application code, data/ML engineering and product reliability. Excludes: Product investment decisions; internal IT service desk.</t>
        </is>
      </c>
      <c r="S17" s="12" t="inlineStr">
        <is>
          <r>
            <rPr>
              <rFont val="Calibri"/>
              <b val="1"/>
              <sz val="10"/>
            </rPr>
            <t>Comparable stage:</t>
          </r>
          <r>
            <rPr>
              <rFont val="Calibri"/>
              <sz val="10"/>
            </rPr>
            <t xml:space="preserve"> ENG07-2 · DevOps Engineer / Release Engineer
Run repeatable releases with tested rollback procedures.
</t>
          </r>
          <r>
            <rPr>
              <rFont val="Calibri"/>
              <b val="1"/>
              <sz val="10"/>
            </rPr>
            <t>Ready when:</t>
          </r>
          <r>
            <rPr>
              <rFont val="Calibri"/>
              <sz val="10"/>
            </rPr>
            <t xml:space="preserve"> Demonstrate routine delivery plus judgement in bounded exceptions.
</t>
          </r>
          <r>
            <rPr>
              <rFont val="Calibri"/>
              <b val="1"/>
              <sz val="10"/>
            </rPr>
            <t>Work sample:</t>
          </r>
          <r>
            <rPr>
              <rFont val="Calibri"/>
              <sz val="10"/>
            </rPr>
            <t xml:space="preserve"> A reproducible release pipeline with security gates, rollback and reliability measures</t>
          </r>
        </is>
      </c>
      <c r="T17" s="12" t="inlineStr">
        <is>
          <r>
            <rPr>
              <rFont val="Calibri"/>
              <sz val="10"/>
            </rPr>
            <t xml:space="preserve">Radford / Mercer P2 · SFIA 3 Apply
</t>
          </r>
          <r>
            <rPr>
              <rFont val="Calibri"/>
              <b val="1"/>
              <sz val="10"/>
            </rPr>
            <t>Workiva:</t>
          </r>
          <r>
            <rPr>
              <rFont val="Calibri"/>
              <sz val="10"/>
            </rPr>
            <t xml:space="preserve"> SE · Broadridge India: SE · Nasdaq / AxiomSL: SE · Salesforce: MTS</t>
          </r>
        </is>
      </c>
      <c r="U17" s="12" t="inlineStr">
        <is>
          <t>B1 · Specialist</t>
        </is>
      </c>
      <c r="V17" s="12" t="inlineStr">
        <is>
          <t>Framework + sub-family themes · 3+ answered</t>
        </is>
      </c>
    </row>
    <row r="18">
      <c r="A18" s="88" t="inlineStr">
        <is>
          <t>Executive Leadership</t>
        </is>
      </c>
    </row>
    <row r="19" ht="80" customHeight="1">
      <c r="A19" s="89" t="inlineStr">
        <is>
          <t>RC-092</t>
        </is>
      </c>
      <c r="B19" s="12" t="inlineStr">
        <is>
          <t>Executive Leadership</t>
        </is>
      </c>
      <c r="C19" s="12" t="inlineStr">
        <is>
          <t>Enterprise Leadership</t>
        </is>
      </c>
      <c r="D19" s="32" t="inlineStr">
        <is>
          <t>E1</t>
        </is>
      </c>
      <c r="E19" s="33" t="inlineStr">
        <is>
          <t>CXO / President</t>
        </is>
      </c>
      <c r="F19" s="12" t="inlineStr">
        <is>
          <t>Manager</t>
        </is>
      </c>
      <c r="G19" s="12" t="inlineStr">
        <is>
          <t>Chief Revenue Officer · Chief Financial Officer · Chief Operating Officer · Chief Technology Officer</t>
        </is>
      </c>
      <c r="H19" s="12" t="inlineStr">
        <is>
          <t>Deepta Rangarajan, P K X Thomas, Vineet Kandoi</t>
        </is>
      </c>
      <c r="I19" s="12" t="inlineStr">
        <is>
          <t>Finance · Management · Technology</t>
        </is>
      </c>
      <c r="J19" s="12" t="inlineStr">
        <is>
          <t>Sets enterprise strategy; leads the executive team. At E1: an enterprise-wide function.</t>
        </is>
      </c>
      <c r="K19" s="12" t="inlineStr">
        <is>
          <t>Sets enterprise strategy; leads the executive team; Enterprise-level functional strategy; Enterprise-wide functional results</t>
        </is>
      </c>
      <c r="L19" s="12" t="inlineStr">
        <is>
          <t>Sets enterprise priorities for the function</t>
        </is>
      </c>
      <c r="M19" s="12" t="inlineStr">
        <is>
          <t>—</t>
        </is>
      </c>
      <c r="N19" s="12" t="inlineStr">
        <is>
          <r>
            <rPr>
              <rFont val="Calibri"/>
              <b val="1"/>
              <sz val="10"/>
            </rPr>
            <t>Skills:</t>
          </r>
          <r>
            <rPr>
              <rFont val="Calibri"/>
              <sz val="10"/>
            </rPr>
            <t xml:space="preserve"> Management · Sales</t>
          </r>
        </is>
      </c>
      <c r="O19" s="12" t="inlineStr">
        <is>
          <r>
            <rPr>
              <rFont val="Calibri"/>
              <b val="1"/>
              <sz val="10"/>
            </rPr>
            <t>Owns:</t>
          </r>
          <r>
            <rPr>
              <rFont val="Calibri"/>
              <sz val="10"/>
            </rPr>
            <t xml:space="preserve"> An enterprise-wide function
</t>
          </r>
          <r>
            <rPr>
              <rFont val="Calibri"/>
              <b val="1"/>
              <sz val="10"/>
            </rPr>
            <t>Complexity:</t>
          </r>
          <r>
            <rPr>
              <rFont val="Calibri"/>
              <sz val="10"/>
            </rPr>
            <t xml:space="preserve"> Enterprise-level functional strategy
</t>
          </r>
          <r>
            <rPr>
              <rFont val="Calibri"/>
              <b val="1"/>
              <sz val="10"/>
            </rPr>
            <t>Decisions:</t>
          </r>
          <r>
            <rPr>
              <rFont val="Calibri"/>
              <sz val="10"/>
            </rPr>
            <t xml:space="preserve"> Sets enterprise priorities for the function
</t>
          </r>
          <r>
            <rPr>
              <rFont val="Calibri"/>
              <b val="1"/>
              <sz val="10"/>
            </rPr>
            <t>Answers for:</t>
          </r>
          <r>
            <rPr>
              <rFont val="Calibri"/>
              <sz val="10"/>
            </rPr>
            <t xml:space="preserve"> Enterprise-wide functional results
</t>
          </r>
          <r>
            <rPr>
              <rFont val="Calibri"/>
              <b val="1"/>
              <sz val="10"/>
            </rPr>
            <t>Leadership:</t>
          </r>
          <r>
            <rPr>
              <rFont val="Calibri"/>
              <sz val="10"/>
            </rPr>
            <t xml:space="preserve"> Shapes enterprise strategy</t>
          </r>
        </is>
      </c>
      <c r="P19" s="12" t="inlineStr">
        <is>
          <t>20+ yrs
Postgraduate / professional qualification; business leadership record</t>
        </is>
      </c>
      <c r="Q19" s="12" t="inlineStr">
        <is>
          <t>Core 5 · Future-ready 5 · Functional 4 · Leadership 5
★ Strategic Thinking &amp; Business Acumen · People Leadership &amp; Mentoring</t>
        </is>
      </c>
      <c r="R19" s="12" t="inlineStr">
        <is>
          <t>Integrate enterprise or business outcomes. Includes: Business-unit, enterprise and exceptional expert mandates. Excludes: A generic promotion destination without a new accountable role.</t>
        </is>
      </c>
      <c r="S19" s="12" t="inlineStr">
        <is>
          <r>
            <rPr>
              <rFont val="Calibri"/>
              <b val="1"/>
              <sz val="10"/>
            </rPr>
            <t>Comparable stage:</t>
          </r>
          <r>
            <rPr>
              <rFont val="Calibri"/>
              <sz val="10"/>
            </rPr>
            <t xml:space="preserve"> EX02 · President / Chief Operating Officer
Own enterprise operating strategy and cross-functional resource trade-offs
</t>
          </r>
          <r>
            <rPr>
              <rFont val="Calibri"/>
              <b val="1"/>
              <sz val="10"/>
            </rPr>
            <t>Ready when:</t>
          </r>
          <r>
            <rPr>
              <rFont val="Calibri"/>
              <sz val="10"/>
            </rPr>
            <t xml:space="preserve"> CEO, president and COO are alternative mandates; no compulsory intermediate title.</t>
          </r>
        </is>
      </c>
      <c r="T19" s="12" t="inlineStr">
        <is>
          <t>Radford / Mercer E5 · SFIA 7
IRIS Vs Market Benchmark — Aon Radford / Mercer executive codes: E5 C-level · functional · IRIS Vs Competitor Benchmark — regtech / SaaS executive titles: CTO · CFO · CRO · CCO · COO</t>
        </is>
      </c>
      <c r="U19" s="12" t="inlineStr">
        <is>
          <t>E2 · —</t>
        </is>
      </c>
      <c r="V19" s="12" t="inlineStr">
        <is>
          <t>Framework only · fewer than 3 answered</t>
        </is>
      </c>
    </row>
    <row r="20" ht="106" customHeight="1">
      <c r="A20" s="89" t="inlineStr">
        <is>
          <t>RC-093</t>
        </is>
      </c>
      <c r="B20" s="12" t="inlineStr">
        <is>
          <t>Executive Leadership</t>
        </is>
      </c>
      <c r="C20" s="12" t="inlineStr">
        <is>
          <t>Enterprise Leadership</t>
        </is>
      </c>
      <c r="D20" s="32" t="inlineStr">
        <is>
          <t>E2</t>
        </is>
      </c>
      <c r="E20" s="33" t="inlineStr">
        <is>
          <t>Chief Executive Officer</t>
        </is>
      </c>
      <c r="F20" s="12" t="inlineStr">
        <is>
          <t>Manager</t>
        </is>
      </c>
      <c r="G20" s="12" t="inlineStr">
        <is>
          <t>Chief Executive Officer</t>
        </is>
      </c>
      <c r="H20" s="12" t="inlineStr">
        <is>
          <t>Balachandran K</t>
        </is>
      </c>
      <c r="I20" s="12" t="inlineStr">
        <is>
          <t>Management</t>
        </is>
      </c>
      <c r="J20" s="12" t="inlineStr">
        <is>
          <t>Sets enterprise strategy; leads the executive team. At E2: the enterprise.</t>
        </is>
      </c>
      <c r="K20" s="12" t="inlineStr">
        <is>
          <t>Sets enterprise strategy; leads the executive team; Enterprise-wide uncertainty, transformation and external forces; Enterprise results, risk, culture and long-term viability</t>
        </is>
      </c>
      <c r="L20" s="12" t="inlineStr">
        <is>
          <t>Accountable to the board</t>
        </is>
      </c>
      <c r="M20" s="12" t="inlineStr">
        <is>
          <t>—</t>
        </is>
      </c>
      <c r="N20" s="12" t="inlineStr">
        <is>
          <r>
            <rPr>
              <rFont val="Calibri"/>
              <b val="1"/>
              <sz val="10"/>
            </rPr>
            <t>Skills:</t>
          </r>
          <r>
            <rPr>
              <rFont val="Calibri"/>
              <sz val="10"/>
            </rPr>
            <t xml:space="preserve"> Management · Sales</t>
          </r>
        </is>
      </c>
      <c r="O20" s="12" t="inlineStr">
        <is>
          <r>
            <rPr>
              <rFont val="Calibri"/>
              <b val="1"/>
              <sz val="10"/>
            </rPr>
            <t>Owns:</t>
          </r>
          <r>
            <rPr>
              <rFont val="Calibri"/>
              <sz val="10"/>
            </rPr>
            <t xml:space="preserve"> The enterprise
</t>
          </r>
          <r>
            <rPr>
              <rFont val="Calibri"/>
              <b val="1"/>
              <sz val="10"/>
            </rPr>
            <t>Complexity:</t>
          </r>
          <r>
            <rPr>
              <rFont val="Calibri"/>
              <sz val="10"/>
            </rPr>
            <t xml:space="preserve"> Enterprise-wide uncertainty, transformation and external forces
</t>
          </r>
          <r>
            <rPr>
              <rFont val="Calibri"/>
              <b val="1"/>
              <sz val="10"/>
            </rPr>
            <t>Decisions:</t>
          </r>
          <r>
            <rPr>
              <rFont val="Calibri"/>
              <sz val="10"/>
            </rPr>
            <t xml:space="preserve"> Accountable to the board
</t>
          </r>
          <r>
            <rPr>
              <rFont val="Calibri"/>
              <b val="1"/>
              <sz val="10"/>
            </rPr>
            <t>Answers for:</t>
          </r>
          <r>
            <rPr>
              <rFont val="Calibri"/>
              <sz val="10"/>
            </rPr>
            <t xml:space="preserve"> Enterprise results, risk, culture and long-term viability
</t>
          </r>
          <r>
            <rPr>
              <rFont val="Calibri"/>
              <b val="1"/>
              <sz val="10"/>
            </rPr>
            <t>Leadership:</t>
          </r>
          <r>
            <rPr>
              <rFont val="Calibri"/>
              <sz val="10"/>
            </rPr>
            <t xml:space="preserve"> Sets enterprise strategy; leads the executive team</t>
          </r>
        </is>
      </c>
      <c r="P20" s="12" t="inlineStr">
        <is>
          <t>20+ yrs
Postgraduate / professional qualification; proven business leadership</t>
        </is>
      </c>
      <c r="Q20" s="12" t="inlineStr">
        <is>
          <t>Core 5 · Future-ready 5 · Functional 4 · Leadership 5
★ Strategic Thinking &amp; Business Acumen · People Leadership &amp; Mentoring</t>
        </is>
      </c>
      <c r="R20" s="12" t="inlineStr">
        <is>
          <t>Integrate enterprise or business outcomes. Includes: Business-unit, enterprise and exceptional expert mandates. Excludes: A generic promotion destination without a new accountable role.</t>
        </is>
      </c>
      <c r="S20" s="12" t="inlineStr">
        <is>
          <r>
            <rPr>
              <rFont val="Calibri"/>
              <b val="1"/>
              <sz val="10"/>
            </rPr>
            <t>Comparable stage:</t>
          </r>
          <r>
            <rPr>
              <rFont val="Calibri"/>
              <sz val="10"/>
            </rPr>
            <t xml:space="preserve"> EX03 · Chief Executive Officer / Managing Director
Own enterprise direction and outcomes under governing-body authority
</t>
          </r>
          <r>
            <rPr>
              <rFont val="Calibri"/>
              <b val="1"/>
              <sz val="10"/>
            </rPr>
            <t>Ready when:</t>
          </r>
          <r>
            <rPr>
              <rFont val="Calibri"/>
              <sz val="10"/>
            </rPr>
            <t xml:space="preserve"> The highest organisational office is not automatically the largest market job. Scale determines job size. Board roles are outside the employee ladder.</t>
          </r>
        </is>
      </c>
      <c r="T20" s="12" t="inlineStr">
        <is>
          <t>Radford / Mercer E6 · SFIA 7
IRIS Vs Market Benchmark — Aon Radford / Mercer executive codes: E6 CEO · IRIS Vs Competitor Benchmark — regtech / SaaS executive titles: CEO</t>
        </is>
      </c>
      <c r="U20" s="12" t="inlineStr">
        <is>
          <t>—</t>
        </is>
      </c>
      <c r="V20" s="12" t="inlineStr">
        <is>
          <t>Framework only · fewer than 3 answered</t>
        </is>
      </c>
    </row>
    <row r="21">
      <c r="A21" s="88" t="inlineStr">
        <is>
          <t>Finance &amp; Accounts</t>
        </is>
      </c>
    </row>
    <row r="22" ht="93" customHeight="1">
      <c r="A22" s="89" t="inlineStr">
        <is>
          <t>RC-095</t>
        </is>
      </c>
      <c r="B22" s="12" t="inlineStr">
        <is>
          <t>Finance &amp; Accounts</t>
        </is>
      </c>
      <c r="C22" s="12" t="inlineStr">
        <is>
          <t>Accounting &amp; Transaction Processing</t>
        </is>
      </c>
      <c r="D22" s="16" t="inlineStr">
        <is>
          <t>A3</t>
        </is>
      </c>
      <c r="E22" s="17" t="inlineStr">
        <is>
          <t>Senior Associate</t>
        </is>
      </c>
      <c r="F22" s="12" t="inlineStr">
        <is>
          <t>IC</t>
        </is>
      </c>
      <c r="G22" s="12" t="inlineStr">
        <is>
          <t>Senior Accounts Executive</t>
        </is>
      </c>
      <c r="H22" s="12" t="inlineStr">
        <is>
          <t>Bhushan Kashid, Riddhi Narkar</t>
        </is>
      </c>
      <c r="I22" s="12" t="inlineStr">
        <is>
          <t>Finance</t>
        </is>
      </c>
      <c r="J22" s="12" t="inlineStr">
        <is>
          <r>
            <rPr>
              <rFont val="Calibri"/>
              <sz val="10"/>
            </rPr>
            <t xml:space="preserve">Processes payments, entries and reconciliations. At A3: varied work; reviews juniors; go-to for a process.
</t>
          </r>
          <r>
            <rPr>
              <rFont val="Calibri"/>
              <b val="1"/>
              <sz val="10"/>
            </rPr>
            <t>Common themes in sub-family holders, all levels' answers:</t>
          </r>
          <r>
            <rPr>
              <rFont val="Calibri"/>
              <sz val="10"/>
            </rPr>
            <t xml:space="preserve"> compliance · reporting · bank</t>
          </r>
        </is>
      </c>
      <c r="K22" s="12" t="inlineStr">
        <is>
          <r>
            <rPr>
              <rFont val="Calibri"/>
              <sz val="10"/>
            </rPr>
            <t xml:space="preserve">Processes payments, entries and reconciliations; Varied and non-standard work; handles exceptions; A module / process, or work with client or regulatory consequences
</t>
          </r>
          <r>
            <rPr>
              <rFont val="Calibri"/>
              <b val="1"/>
              <sz val="10"/>
            </rPr>
            <t>Common themes in sub-family holders, all levels' answers:</t>
          </r>
          <r>
            <rPr>
              <rFont val="Calibri"/>
              <sz val="10"/>
            </rPr>
            <t xml:space="preserve"> bank · employee · compliance · gst · sales · creation</t>
          </r>
        </is>
      </c>
      <c r="L22" s="12" t="inlineStr">
        <is>
          <r>
            <rPr>
              <rFont val="Calibri"/>
              <sz val="10"/>
            </rPr>
            <t xml:space="preserve">Technical / QC / client calls on own work
</t>
          </r>
          <r>
            <rPr>
              <rFont val="Calibri"/>
              <b val="1"/>
              <sz val="10"/>
            </rPr>
            <t>Common themes in sub-family holders, all levels' answers:</t>
          </r>
          <r>
            <rPr>
              <rFont val="Calibri"/>
              <sz val="10"/>
            </rPr>
            <t xml:space="preserve"> compliance</t>
          </r>
        </is>
      </c>
      <c r="M22" s="12" t="inlineStr">
        <is>
          <t>—</t>
        </is>
      </c>
      <c r="N22" s="12" t="inlineStr">
        <is>
          <r>
            <rPr>
              <rFont val="Calibri"/>
              <b val="1"/>
              <sz val="10"/>
            </rPr>
            <t>Skills:</t>
          </r>
          <r>
            <rPr>
              <rFont val="Calibri"/>
              <sz val="10"/>
            </rPr>
            <t xml:space="preserve"> accounting</t>
          </r>
        </is>
      </c>
      <c r="O22" s="12" t="inlineStr">
        <is>
          <r>
            <rPr>
              <rFont val="Calibri"/>
              <b val="1"/>
              <sz val="10"/>
            </rPr>
            <t>Owns:</t>
          </r>
          <r>
            <rPr>
              <rFont val="Calibri"/>
              <sz val="10"/>
            </rPr>
            <t xml:space="preserve"> Varied work; reviews juniors; go-to for a process
</t>
          </r>
          <r>
            <rPr>
              <rFont val="Calibri"/>
              <b val="1"/>
              <sz val="10"/>
            </rPr>
            <t>Complexity:</t>
          </r>
          <r>
            <rPr>
              <rFont val="Calibri"/>
              <sz val="10"/>
            </rPr>
            <t xml:space="preserve"> Varied and non-standard work; handles exceptions
</t>
          </r>
          <r>
            <rPr>
              <rFont val="Calibri"/>
              <b val="1"/>
              <sz val="10"/>
            </rPr>
            <t>Decisions:</t>
          </r>
          <r>
            <rPr>
              <rFont val="Calibri"/>
              <sz val="10"/>
            </rPr>
            <t xml:space="preserve"> Technical / QC / client calls on own work
</t>
          </r>
          <r>
            <rPr>
              <rFont val="Calibri"/>
              <b val="1"/>
              <sz val="10"/>
            </rPr>
            <t>Answers for:</t>
          </r>
          <r>
            <rPr>
              <rFont val="Calibri"/>
              <sz val="10"/>
            </rPr>
            <t xml:space="preserve"> A module / process, or work with client or regulatory consequences
</t>
          </r>
          <r>
            <rPr>
              <rFont val="Calibri"/>
              <b val="1"/>
              <sz val="10"/>
            </rPr>
            <t>Leadership:</t>
          </r>
          <r>
            <rPr>
              <rFont val="Calibri"/>
              <sz val="10"/>
            </rPr>
            <t xml:space="preserve"> Not scored in Band A</t>
          </r>
        </is>
      </c>
      <c r="P22" s="12" t="inlineStr">
        <is>
          <t>2–4 yrs
Graduate; relevant certification preferred</t>
        </is>
      </c>
      <c r="Q22" s="12" t="inlineStr">
        <is>
          <t>Core 2 · Future-ready 2 · Functional 3 · Leadership —
★ Accounting &amp; Reporting Standards · IFRS/US GAAP · Advanced Excel &amp; Productivity Tools</t>
        </is>
      </c>
      <c r="R22" s="12" t="inlineStr">
        <is>
          <t>Steward financial reporting, resources and controls. Includes: Accounting, reporting, FP&amp;A, tax and treasury. Excludes: Independent internal audit; client financial-data production.</t>
        </is>
      </c>
      <c r="S22" s="12" t="inlineStr">
        <is>
          <r>
            <rPr>
              <rFont val="Calibri"/>
              <b val="1"/>
              <sz val="10"/>
            </rPr>
            <t>Comparable stage:</t>
          </r>
          <r>
            <rPr>
              <rFont val="Calibri"/>
              <sz val="10"/>
            </rPr>
            <t xml:space="preserve"> FIN02-2 · Accountant
Process transactions and reconcile ledgers with exception logs.
</t>
          </r>
          <r>
            <rPr>
              <rFont val="Calibri"/>
              <b val="1"/>
              <sz val="10"/>
            </rPr>
            <t>Ready when:</t>
          </r>
          <r>
            <rPr>
              <rFont val="Calibri"/>
              <sz val="10"/>
            </rPr>
            <t xml:space="preserve"> Demonstrate routine delivery plus judgement in bounded exceptions.
</t>
          </r>
          <r>
            <rPr>
              <rFont val="Calibri"/>
              <b val="1"/>
              <sz val="10"/>
            </rPr>
            <t>Work sample:</t>
          </r>
          <r>
            <rPr>
              <rFont val="Calibri"/>
              <sz val="10"/>
            </rPr>
            <t xml:space="preserve"> A reconciled ledger and controlled transaction cycle with resolved exceptions</t>
          </r>
        </is>
      </c>
      <c r="T22" s="12" t="inlineStr">
        <is>
          <r>
            <rPr>
              <rFont val="Calibri"/>
              <sz val="10"/>
            </rPr>
            <t xml:space="preserve">Radford / Mercer P2 · SFIA 3 Apply
</t>
          </r>
          <r>
            <rPr>
              <rFont val="Calibri"/>
              <b val="1"/>
              <sz val="10"/>
            </rPr>
            <t>Atlassian company-wide P-levels:</t>
          </r>
          <r>
            <rPr>
              <rFont val="Calibri"/>
              <sz val="10"/>
            </rPr>
            <t xml:space="preserve"> P40 · IRIS Vs Competitor Benchmark — finance ladder: Senior Accountant</t>
          </r>
        </is>
      </c>
      <c r="U22" s="12" t="inlineStr">
        <is>
          <t>B1 · Specialist</t>
        </is>
      </c>
      <c r="V22" s="12" t="inlineStr">
        <is>
          <t>Framework + sub-family themes · 3+ answered</t>
        </is>
      </c>
    </row>
    <row r="23" ht="106" customHeight="1">
      <c r="A23" s="89" t="inlineStr">
        <is>
          <t>RC-096</t>
        </is>
      </c>
      <c r="B23" s="12" t="inlineStr">
        <is>
          <t>Finance &amp; Accounts</t>
        </is>
      </c>
      <c r="C23" s="12" t="inlineStr">
        <is>
          <t>Accounting &amp; Transaction Processing</t>
        </is>
      </c>
      <c r="D23" s="20" t="inlineStr">
        <is>
          <t>B1</t>
        </is>
      </c>
      <c r="E23" s="21" t="inlineStr">
        <is>
          <t>Specialist</t>
        </is>
      </c>
      <c r="F23" s="12" t="inlineStr">
        <is>
          <t>IC</t>
        </is>
      </c>
      <c r="G23" s="12" t="inlineStr">
        <is>
          <t>Accounts Specialist – POD Lead</t>
        </is>
      </c>
      <c r="H23" s="12" t="inlineStr">
        <is>
          <t>Anita Chavan, Gaurangee Gaurav Tawde</t>
        </is>
      </c>
      <c r="I23" s="12" t="inlineStr">
        <is>
          <t>Finance</t>
        </is>
      </c>
      <c r="J23" s="12" t="inlineStr">
        <is>
          <r>
            <rPr>
              <rFont val="Calibri"/>
              <sz val="10"/>
            </rPr>
            <t xml:space="preserve">Processes payments, entries and reconciliations. At B1: a domain / module, or a small team.
</t>
          </r>
          <r>
            <rPr>
              <rFont val="Calibri"/>
              <b val="1"/>
              <sz val="10"/>
            </rPr>
            <t>Common themes in sub-family holders, all levels' answers:</t>
          </r>
          <r>
            <rPr>
              <rFont val="Calibri"/>
              <sz val="10"/>
            </rPr>
            <t xml:space="preserve"> compliance · reporting · bank</t>
          </r>
        </is>
      </c>
      <c r="K23" s="12" t="inlineStr">
        <is>
          <r>
            <rPr>
              <rFont val="Calibri"/>
              <sz val="10"/>
            </rPr>
            <t xml:space="preserve">Processes payments, entries and reconciliations; Domain specialist work; A domain or a small team
</t>
          </r>
          <r>
            <rPr>
              <rFont val="Calibri"/>
              <b val="1"/>
              <sz val="10"/>
            </rPr>
            <t>Common themes in sub-family holders, all levels' answers:</t>
          </r>
          <r>
            <rPr>
              <rFont val="Calibri"/>
              <sz val="10"/>
            </rPr>
            <t xml:space="preserve"> bank · employee · compliance · gst · sales · creation</t>
          </r>
        </is>
      </c>
      <c r="L23" s="12" t="inlineStr">
        <is>
          <r>
            <rPr>
              <rFont val="Calibri"/>
              <sz val="10"/>
            </rPr>
            <t xml:space="preserve">Technical / QC / client calls for the domain
</t>
          </r>
          <r>
            <rPr>
              <rFont val="Calibri"/>
              <b val="1"/>
              <sz val="10"/>
            </rPr>
            <t>Common themes in sub-family holders, all levels' answers:</t>
          </r>
          <r>
            <rPr>
              <rFont val="Calibri"/>
              <sz val="10"/>
            </rPr>
            <t xml:space="preserve"> compliance</t>
          </r>
        </is>
      </c>
      <c r="M23" s="12" t="inlineStr">
        <is>
          <t>—</t>
        </is>
      </c>
      <c r="N23" s="12" t="inlineStr">
        <is>
          <r>
            <rPr>
              <rFont val="Calibri"/>
              <b val="1"/>
              <sz val="10"/>
            </rPr>
            <t>Skills:</t>
          </r>
          <r>
            <rPr>
              <rFont val="Calibri"/>
              <sz val="10"/>
            </rPr>
            <t xml:space="preserve"> accounting</t>
          </r>
        </is>
      </c>
      <c r="O23" s="12" t="inlineStr">
        <is>
          <r>
            <rPr>
              <rFont val="Calibri"/>
              <b val="1"/>
              <sz val="10"/>
            </rPr>
            <t>Owns:</t>
          </r>
          <r>
            <rPr>
              <rFont val="Calibri"/>
              <sz val="10"/>
            </rPr>
            <t xml:space="preserve"> A domain / module, or a small team
</t>
          </r>
          <r>
            <rPr>
              <rFont val="Calibri"/>
              <b val="1"/>
              <sz val="10"/>
            </rPr>
            <t>Complexity:</t>
          </r>
          <r>
            <rPr>
              <rFont val="Calibri"/>
              <sz val="10"/>
            </rPr>
            <t xml:space="preserve"> Domain specialist work
</t>
          </r>
          <r>
            <rPr>
              <rFont val="Calibri"/>
              <b val="1"/>
              <sz val="10"/>
            </rPr>
            <t>Decisions:</t>
          </r>
          <r>
            <rPr>
              <rFont val="Calibri"/>
              <sz val="10"/>
            </rPr>
            <t xml:space="preserve"> Technical / QC / client calls for the domain
</t>
          </r>
          <r>
            <rPr>
              <rFont val="Calibri"/>
              <b val="1"/>
              <sz val="10"/>
            </rPr>
            <t>Answers for:</t>
          </r>
          <r>
            <rPr>
              <rFont val="Calibri"/>
              <sz val="10"/>
            </rPr>
            <t xml:space="preserve"> A domain or a small team
</t>
          </r>
          <r>
            <rPr>
              <rFont val="Calibri"/>
              <b val="1"/>
              <sz val="10"/>
            </rPr>
            <t>Leadership:</t>
          </r>
          <r>
            <rPr>
              <rFont val="Calibri"/>
              <sz val="10"/>
            </rPr>
            <t xml:space="preserve"> IC: mentors and reviews · People: hands-on team lead of 3–5</t>
          </r>
        </is>
      </c>
      <c r="P23" s="12" t="inlineStr">
        <is>
          <t>4–7 yrs
Graduate + relevant qualification or certification preferred</t>
        </is>
      </c>
      <c r="Q23" s="12" t="inlineStr">
        <is>
          <t>Core 3 · Future-ready 3 · Functional 3 · Leadership 1
★ Accounting &amp; Reporting Standards · IFRS/US GAAP · Advanced Excel &amp; Productivity Tools</t>
        </is>
      </c>
      <c r="R23" s="12" t="inlineStr">
        <is>
          <t>Steward financial reporting, resources and controls. Includes: Accounting, reporting, FP&amp;A, tax and treasury. Excludes: Independent internal audit; client financial-data production.</t>
        </is>
      </c>
      <c r="S23" s="12" t="inlineStr">
        <is>
          <r>
            <rPr>
              <rFont val="Calibri"/>
              <b val="1"/>
              <sz val="10"/>
            </rPr>
            <t>Comparable stage:</t>
          </r>
          <r>
            <rPr>
              <rFont val="Calibri"/>
              <sz val="10"/>
            </rPr>
            <t xml:space="preserve"> FIN02-3 · Senior Accountant
Own difficult reconciliations and period-close accuracy.
</t>
          </r>
          <r>
            <rPr>
              <rFont val="Calibri"/>
              <b val="1"/>
              <sz val="10"/>
            </rPr>
            <t>Ready when:</t>
          </r>
          <r>
            <rPr>
              <rFont val="Calibri"/>
              <sz val="10"/>
            </rPr>
            <t xml:space="preserve"> Evidence of complex work, decisions and outcomes beyond routine delivery.
</t>
          </r>
          <r>
            <rPr>
              <rFont val="Calibri"/>
              <b val="1"/>
              <sz val="10"/>
            </rPr>
            <t>Work sample:</t>
          </r>
          <r>
            <rPr>
              <rFont val="Calibri"/>
              <sz val="10"/>
            </rPr>
            <t xml:space="preserve"> A reconciled ledger and controlled transaction cycle with resolved exceptions</t>
          </r>
        </is>
      </c>
      <c r="T23" s="12" t="inlineStr">
        <is>
          <r>
            <rPr>
              <rFont val="Calibri"/>
              <sz val="10"/>
            </rPr>
            <t xml:space="preserve">Radford / Mercer P3 / M2 · SFIA 4 Enable
</t>
          </r>
          <r>
            <rPr>
              <rFont val="Calibri"/>
              <b val="1"/>
              <sz val="10"/>
            </rPr>
            <t>Toppan Merrill:</t>
          </r>
          <r>
            <rPr>
              <rFont val="Calibri"/>
              <sz val="10"/>
            </rPr>
            <t xml:space="preserve"> Senior Accountant · IRIS Vs Competitor Benchmark — finance ladder: Finance Specialist / Asst. Manager</t>
          </r>
        </is>
      </c>
      <c r="U23" s="12" t="inlineStr">
        <is>
          <t>B2 · Senior Specialist</t>
        </is>
      </c>
      <c r="V23" s="12" t="inlineStr">
        <is>
          <t>Framework + sub-family themes · 3+ answered</t>
        </is>
      </c>
    </row>
    <row r="24" ht="93" customHeight="1">
      <c r="A24" s="89" t="inlineStr">
        <is>
          <t>RC-097</t>
        </is>
      </c>
      <c r="B24" s="12" t="inlineStr">
        <is>
          <t>Finance &amp; Accounts</t>
        </is>
      </c>
      <c r="C24" s="12" t="inlineStr">
        <is>
          <t>Finance Leadership</t>
        </is>
      </c>
      <c r="D24" s="24" t="inlineStr">
        <is>
          <t>C1</t>
        </is>
      </c>
      <c r="E24" s="25" t="inlineStr">
        <is>
          <t>Associate Head</t>
        </is>
      </c>
      <c r="F24" s="12" t="inlineStr">
        <is>
          <t>Manager</t>
        </is>
      </c>
      <c r="G24" s="12" t="inlineStr">
        <is>
          <t>Associate Head – Admin &amp; Internal Audit · Associate Head – Finance &amp; Accounts</t>
        </is>
      </c>
      <c r="H24" s="12" t="inlineStr">
        <is>
          <t>Nishant Gupta, Sudhakar Sawant</t>
        </is>
      </c>
      <c r="I24" s="12" t="inlineStr">
        <is>
          <t>Finance</t>
        </is>
      </c>
      <c r="J24" s="12" t="inlineStr">
        <is>
          <t>Leads the finance &amp; accounts function. At C1: a sub-function, or principal authority across products.</t>
        </is>
      </c>
      <c r="K24" s="12" t="inlineStr">
        <is>
          <t>Leads the finance &amp; accounts function; Ambiguous, cross-product problems; Sub-function results or domain quality across products</t>
        </is>
      </c>
      <c r="L24" s="12" t="inlineStr">
        <is>
          <t>Sets direction for a sub-function or domain</t>
        </is>
      </c>
      <c r="M24" s="12" t="inlineStr">
        <is>
          <t>—</t>
        </is>
      </c>
      <c r="N24" s="12" t="inlineStr">
        <is>
          <r>
            <rPr>
              <rFont val="Calibri"/>
              <b val="1"/>
              <sz val="10"/>
            </rPr>
            <t>Skills:</t>
          </r>
          <r>
            <rPr>
              <rFont val="Calibri"/>
              <sz val="10"/>
            </rPr>
            <t xml:space="preserve"> Accounting</t>
          </r>
        </is>
      </c>
      <c r="O24" s="12" t="inlineStr">
        <is>
          <r>
            <rPr>
              <rFont val="Calibri"/>
              <b val="1"/>
              <sz val="10"/>
            </rPr>
            <t>Owns:</t>
          </r>
          <r>
            <rPr>
              <rFont val="Calibri"/>
              <sz val="10"/>
            </rPr>
            <t xml:space="preserve"> A sub-function, or principal authority across products
</t>
          </r>
          <r>
            <rPr>
              <rFont val="Calibri"/>
              <b val="1"/>
              <sz val="10"/>
            </rPr>
            <t>Complexity:</t>
          </r>
          <r>
            <rPr>
              <rFont val="Calibri"/>
              <sz val="10"/>
            </rPr>
            <t xml:space="preserve"> Ambiguous, cross-product problems
</t>
          </r>
          <r>
            <rPr>
              <rFont val="Calibri"/>
              <b val="1"/>
              <sz val="10"/>
            </rPr>
            <t>Decisions:</t>
          </r>
          <r>
            <rPr>
              <rFont val="Calibri"/>
              <sz val="10"/>
            </rPr>
            <t xml:space="preserve"> Sets direction for a sub-function or domain
</t>
          </r>
          <r>
            <rPr>
              <rFont val="Calibri"/>
              <b val="1"/>
              <sz val="10"/>
            </rPr>
            <t>Answers for:</t>
          </r>
          <r>
            <rPr>
              <rFont val="Calibri"/>
              <sz val="10"/>
            </rPr>
            <t xml:space="preserve"> Sub-function results or domain quality across products
</t>
          </r>
          <r>
            <rPr>
              <rFont val="Calibri"/>
              <b val="1"/>
              <sz val="10"/>
            </rPr>
            <t>Leadership:</t>
          </r>
          <r>
            <rPr>
              <rFont val="Calibri"/>
              <sz val="10"/>
            </rPr>
            <t xml:space="preserve"> Leads managers or a community of practice</t>
          </r>
        </is>
      </c>
      <c r="P24" s="12" t="inlineStr">
        <is>
          <t>10–14 yrs
Postgraduate / professional qualification preferred</t>
        </is>
      </c>
      <c r="Q24" s="12" t="inlineStr">
        <is>
          <t>Core 4 · Future-ready 4 · Functional 4 · Leadership 4
★ Accounting &amp; Reporting Standards · IFRS/US GAAP · Advanced Excel &amp; Productivity Tools</t>
        </is>
      </c>
      <c r="R24" s="12" t="inlineStr">
        <is>
          <t>Steward financial reporting, resources and controls. Includes: Accounting, reporting, FP&amp;A, tax and treasury. Excludes: Independent internal audit; client financial-data production.</t>
        </is>
      </c>
      <c r="S24" s="12" t="inlineStr">
        <is>
          <r>
            <rPr>
              <rFont val="Calibri"/>
              <b val="1"/>
              <sz val="10"/>
            </rPr>
            <t>Comparable stage:</t>
          </r>
          <r>
            <rPr>
              <rFont val="Calibri"/>
              <sz val="10"/>
            </rPr>
            <t xml:space="preserve"> LD15-2 · Financial Controller / Finance Director
Own integrated function strategy, capacity, controls and cross-team trade-offs
</t>
          </r>
          <r>
            <rPr>
              <rFont val="Calibri"/>
              <b val="1"/>
              <sz val="10"/>
            </rPr>
            <t>Ready when:</t>
          </r>
          <r>
            <rPr>
              <rFont val="Calibri"/>
              <sz val="10"/>
            </rPr>
            <t xml:space="preserve"> Do not manufacture three reporting layers. Choose roles the organisation needs. A specialist may remain on an equally valued expert path.</t>
          </r>
        </is>
      </c>
      <c r="T24" s="12" t="inlineStr">
        <is>
          <r>
            <rPr>
              <rFont val="Calibri"/>
              <sz val="10"/>
            </rPr>
            <t xml:space="preserve">Radford / Mercer P6 / M5 · SFIA 5–6
</t>
          </r>
          <r>
            <rPr>
              <rFont val="Calibri"/>
              <b val="1"/>
              <sz val="10"/>
            </rPr>
            <t>Atlassian company-wide P-levels:</t>
          </r>
          <r>
            <rPr>
              <rFont val="Calibri"/>
              <sz val="10"/>
            </rPr>
            <t xml:space="preserve"> P60 Accountant · Principal · IRIS Vs Competitor Benchmark — finance ladder: Associate Director Finance</t>
          </r>
        </is>
      </c>
      <c r="U24" s="12" t="inlineStr">
        <is>
          <t>C2 · Senior Principal / Architect</t>
        </is>
      </c>
      <c r="V24" s="12" t="inlineStr">
        <is>
          <t>Framework only · fewer than 3 answered</t>
        </is>
      </c>
    </row>
    <row r="25" ht="106" customHeight="1">
      <c r="A25" s="89" t="inlineStr">
        <is>
          <t>RC-098</t>
        </is>
      </c>
      <c r="B25" s="12" t="inlineStr">
        <is>
          <t>Finance &amp; Accounts</t>
        </is>
      </c>
      <c r="C25" s="12" t="inlineStr">
        <is>
          <t>Financial Reporting, Compliance &amp; Audit</t>
        </is>
      </c>
      <c r="D25" s="20" t="inlineStr">
        <is>
          <t>B1</t>
        </is>
      </c>
      <c r="E25" s="21" t="inlineStr">
        <is>
          <t>Specialist</t>
        </is>
      </c>
      <c r="F25" s="12" t="inlineStr">
        <is>
          <t>IC</t>
        </is>
      </c>
      <c r="G25" s="12" t="inlineStr">
        <is>
          <t>Finance Specialist · Finance Specialist – POD Lead</t>
        </is>
      </c>
      <c r="H25" s="12" t="inlineStr">
        <is>
          <t>Lalit Choudhary, Radhika Karnani, Shreya Singh</t>
        </is>
      </c>
      <c r="I25" s="12" t="inlineStr">
        <is>
          <t>Finance</t>
        </is>
      </c>
      <c r="J25" s="12" t="inlineStr">
        <is>
          <r>
            <rPr>
              <rFont val="Calibri"/>
              <sz val="10"/>
            </rPr>
            <t xml:space="preserve">Prepares financial statements, subsidiary closings, statutory compliance, budgets and audits. At B1: a domain / module, or a small team.
</t>
          </r>
          <r>
            <rPr>
              <rFont val="Calibri"/>
              <b val="1"/>
              <sz val="10"/>
            </rPr>
            <t>Common themes in role-holders' answers:</t>
          </r>
          <r>
            <rPr>
              <rFont val="Calibri"/>
              <sz val="10"/>
            </rPr>
            <t xml:space="preserve"> business · financial · reason · management</t>
          </r>
        </is>
      </c>
      <c r="K25" s="12" t="inlineStr">
        <is>
          <r>
            <rPr>
              <rFont val="Calibri"/>
              <sz val="10"/>
            </rPr>
            <t xml:space="preserve">Prepares financial statements, subsidiary closings, statutory compliance, budgets and audits; Domain specialist work; A domain or a small team
</t>
          </r>
          <r>
            <rPr>
              <rFont val="Calibri"/>
              <b val="1"/>
              <sz val="10"/>
            </rPr>
            <t>Common themes in role-holders' answers:</t>
          </r>
          <r>
            <rPr>
              <rFont val="Calibri"/>
              <sz val="10"/>
            </rPr>
            <t xml:space="preserve"> order · business · sales · invoice</t>
          </r>
        </is>
      </c>
      <c r="L25" s="12" t="inlineStr">
        <is>
          <t>Technical / QC / client calls for the domain</t>
        </is>
      </c>
      <c r="M25" s="12" t="inlineStr">
        <is>
          <t>—</t>
        </is>
      </c>
      <c r="N25" s="12" t="inlineStr">
        <is>
          <r>
            <rPr>
              <rFont val="Calibri"/>
              <b val="1"/>
              <sz val="10"/>
            </rPr>
            <t>Skills:</t>
          </r>
          <r>
            <rPr>
              <rFont val="Calibri"/>
              <sz val="10"/>
            </rPr>
            <t xml:space="preserve"> accounting · Finance
</t>
          </r>
          <r>
            <rPr>
              <rFont val="Calibri"/>
              <b val="1"/>
              <sz val="10"/>
            </rPr>
            <t>Tools:</t>
          </r>
          <r>
            <rPr>
              <rFont val="Calibri"/>
              <sz val="10"/>
            </rPr>
            <t xml:space="preserve"> ERP</t>
          </r>
        </is>
      </c>
      <c r="O25" s="12" t="inlineStr">
        <is>
          <r>
            <rPr>
              <rFont val="Calibri"/>
              <b val="1"/>
              <sz val="10"/>
            </rPr>
            <t>Owns:</t>
          </r>
          <r>
            <rPr>
              <rFont val="Calibri"/>
              <sz val="10"/>
            </rPr>
            <t xml:space="preserve"> A domain / module, or a small team
</t>
          </r>
          <r>
            <rPr>
              <rFont val="Calibri"/>
              <b val="1"/>
              <sz val="10"/>
            </rPr>
            <t>Complexity:</t>
          </r>
          <r>
            <rPr>
              <rFont val="Calibri"/>
              <sz val="10"/>
            </rPr>
            <t xml:space="preserve"> Domain specialist work
</t>
          </r>
          <r>
            <rPr>
              <rFont val="Calibri"/>
              <b val="1"/>
              <sz val="10"/>
            </rPr>
            <t>Decisions:</t>
          </r>
          <r>
            <rPr>
              <rFont val="Calibri"/>
              <sz val="10"/>
            </rPr>
            <t xml:space="preserve"> Technical / QC / client calls for the domain
</t>
          </r>
          <r>
            <rPr>
              <rFont val="Calibri"/>
              <b val="1"/>
              <sz val="10"/>
            </rPr>
            <t>Answers for:</t>
          </r>
          <r>
            <rPr>
              <rFont val="Calibri"/>
              <sz val="10"/>
            </rPr>
            <t xml:space="preserve"> A domain or a small team
</t>
          </r>
          <r>
            <rPr>
              <rFont val="Calibri"/>
              <b val="1"/>
              <sz val="10"/>
            </rPr>
            <t>Leadership:</t>
          </r>
          <r>
            <rPr>
              <rFont val="Calibri"/>
              <sz val="10"/>
            </rPr>
            <t xml:space="preserve"> IC: mentors and reviews · People: hands-on team lead of 3–5</t>
          </r>
        </is>
      </c>
      <c r="P25" s="12" t="inlineStr">
        <is>
          <t>4–7 yrs
Graduate + relevant qualification or certification preferred</t>
        </is>
      </c>
      <c r="Q25" s="12" t="inlineStr">
        <is>
          <t>Core 3 · Future-ready 3 · Functional 3 · Leadership 1
★ Accounting &amp; Reporting Standards · IFRS/US GAAP · Advanced Excel &amp; Productivity Tools</t>
        </is>
      </c>
      <c r="R25" s="12" t="inlineStr">
        <is>
          <t>Steward financial reporting, resources and controls. Includes: Accounting, reporting, FP&amp;A, tax and treasury. Excludes: Independent internal audit; client financial-data production.</t>
        </is>
      </c>
      <c r="S25" s="12" t="inlineStr">
        <is>
          <r>
            <rPr>
              <rFont val="Calibri"/>
              <b val="1"/>
              <sz val="10"/>
            </rPr>
            <t>Comparable stage:</t>
          </r>
          <r>
            <rPr>
              <rFont val="Calibri"/>
              <sz val="10"/>
            </rPr>
            <t xml:space="preserve"> FIN01-3 · Senior Financial Reporting Analyst
Resolve complex accounting treatments and review reporting controls.
</t>
          </r>
          <r>
            <rPr>
              <rFont val="Calibri"/>
              <b val="1"/>
              <sz val="10"/>
            </rPr>
            <t>Ready when:</t>
          </r>
          <r>
            <rPr>
              <rFont val="Calibri"/>
              <sz val="10"/>
            </rPr>
            <t xml:space="preserve"> Evidence of complex work, decisions and outcomes beyond routine delivery.
</t>
          </r>
          <r>
            <rPr>
              <rFont val="Calibri"/>
              <b val="1"/>
              <sz val="10"/>
            </rPr>
            <t>Work sample:</t>
          </r>
          <r>
            <rPr>
              <rFont val="Calibri"/>
              <sz val="10"/>
            </rPr>
            <t xml:space="preserve"> A reconciled close or financial-reporting process with defensible accounting judgments</t>
          </r>
        </is>
      </c>
      <c r="T25" s="12" t="inlineStr">
        <is>
          <r>
            <rPr>
              <rFont val="Calibri"/>
              <sz val="10"/>
            </rPr>
            <t xml:space="preserve">Radford / Mercer P3 / M2 · SFIA 4 Enable
</t>
          </r>
          <r>
            <rPr>
              <rFont val="Calibri"/>
              <b val="1"/>
              <sz val="10"/>
            </rPr>
            <t>Toppan Merrill:</t>
          </r>
          <r>
            <rPr>
              <rFont val="Calibri"/>
              <sz val="10"/>
            </rPr>
            <t xml:space="preserve"> Senior Accountant · IRIS Vs Competitor Benchmark — finance ladder: Finance Specialist / Asst. Manager</t>
          </r>
        </is>
      </c>
      <c r="U25" s="12" t="inlineStr">
        <is>
          <t>B2 · Senior Specialist</t>
        </is>
      </c>
      <c r="V25" s="12" t="inlineStr">
        <is>
          <t>Framework + role-holders' themes · 3+ answered</t>
        </is>
      </c>
    </row>
    <row r="26" ht="106" customHeight="1">
      <c r="A26" s="89" t="inlineStr">
        <is>
          <t>RC-099</t>
        </is>
      </c>
      <c r="B26" s="12" t="inlineStr">
        <is>
          <t>Finance &amp; Accounts</t>
        </is>
      </c>
      <c r="C26" s="12" t="inlineStr">
        <is>
          <t>Financial Reporting, Compliance &amp; Audit</t>
        </is>
      </c>
      <c r="D26" s="20" t="inlineStr">
        <is>
          <t>B2</t>
        </is>
      </c>
      <c r="E26" s="21" t="inlineStr">
        <is>
          <t>Senior Specialist</t>
        </is>
      </c>
      <c r="F26" s="12" t="inlineStr">
        <is>
          <t>IC</t>
        </is>
      </c>
      <c r="G26" s="12" t="inlineStr">
        <is>
          <t>Senior Finance Specialist – POD Lead</t>
        </is>
      </c>
      <c r="H26" s="12" t="inlineStr">
        <is>
          <t>Winny Nair</t>
        </is>
      </c>
      <c r="I26" s="12" t="inlineStr">
        <is>
          <t>Finance</t>
        </is>
      </c>
      <c r="J26" s="12" t="inlineStr">
        <is>
          <r>
            <rPr>
              <rFont val="Calibri"/>
              <sz val="10"/>
            </rPr>
            <t xml:space="preserve">Prepares financial statements, subsidiary closings, statutory compliance, budgets and audits. At B2: deep domain expertise, or one team.
</t>
          </r>
          <r>
            <rPr>
              <rFont val="Calibri"/>
              <b val="1"/>
              <sz val="10"/>
            </rPr>
            <t>Common themes in sub-family holders, all levels' answers:</t>
          </r>
          <r>
            <rPr>
              <rFont val="Calibri"/>
              <sz val="10"/>
            </rPr>
            <t xml:space="preserve"> financial · company · business · reason · management</t>
          </r>
        </is>
      </c>
      <c r="K26" s="12" t="inlineStr">
        <is>
          <r>
            <rPr>
              <rFont val="Calibri"/>
              <sz val="10"/>
            </rPr>
            <t xml:space="preserve">Prepares financial statements, subsidiary closings, statutory compliance, budgets and audits; Hardest problems in the domain; One team or a client portfolio
</t>
          </r>
          <r>
            <rPr>
              <rFont val="Calibri"/>
              <b val="1"/>
              <sz val="10"/>
            </rPr>
            <t>Common themes in sub-family holders, all levels' answers:</t>
          </r>
          <r>
            <rPr>
              <rFont val="Calibri"/>
              <sz val="10"/>
            </rPr>
            <t xml:space="preserve"> order · approval · business · sales · invoice</t>
          </r>
        </is>
      </c>
      <c r="L26" s="12" t="inlineStr">
        <is>
          <t>Allocates people and sets team priorities</t>
        </is>
      </c>
      <c r="M26" s="12" t="inlineStr">
        <is>
          <t>—</t>
        </is>
      </c>
      <c r="N26" s="12" t="inlineStr">
        <is>
          <r>
            <rPr>
              <rFont val="Calibri"/>
              <b val="1"/>
              <sz val="10"/>
            </rPr>
            <t>Skills:</t>
          </r>
          <r>
            <rPr>
              <rFont val="Calibri"/>
              <sz val="10"/>
            </rPr>
            <t xml:space="preserve"> accounting · finance · MS office · Excel
</t>
          </r>
          <r>
            <rPr>
              <rFont val="Calibri"/>
              <b val="1"/>
              <sz val="10"/>
            </rPr>
            <t>Tools:</t>
          </r>
          <r>
            <rPr>
              <rFont val="Calibri"/>
              <sz val="10"/>
            </rPr>
            <t xml:space="preserve"> Excel · ERP</t>
          </r>
        </is>
      </c>
      <c r="O26" s="12" t="inlineStr">
        <is>
          <r>
            <rPr>
              <rFont val="Calibri"/>
              <b val="1"/>
              <sz val="10"/>
            </rPr>
            <t>Owns:</t>
          </r>
          <r>
            <rPr>
              <rFont val="Calibri"/>
              <sz val="10"/>
            </rPr>
            <t xml:space="preserve"> Deep domain expertise, or one team
</t>
          </r>
          <r>
            <rPr>
              <rFont val="Calibri"/>
              <b val="1"/>
              <sz val="10"/>
            </rPr>
            <t>Complexity:</t>
          </r>
          <r>
            <rPr>
              <rFont val="Calibri"/>
              <sz val="10"/>
            </rPr>
            <t xml:space="preserve"> Hardest problems in the domain
</t>
          </r>
          <r>
            <rPr>
              <rFont val="Calibri"/>
              <b val="1"/>
              <sz val="10"/>
            </rPr>
            <t>Decisions:</t>
          </r>
          <r>
            <rPr>
              <rFont val="Calibri"/>
              <sz val="10"/>
            </rPr>
            <t xml:space="preserve"> Allocates people and sets team priorities
</t>
          </r>
          <r>
            <rPr>
              <rFont val="Calibri"/>
              <b val="1"/>
              <sz val="10"/>
            </rPr>
            <t>Answers for:</t>
          </r>
          <r>
            <rPr>
              <rFont val="Calibri"/>
              <sz val="10"/>
            </rPr>
            <t xml:space="preserve"> One team or a client portfolio
</t>
          </r>
          <r>
            <rPr>
              <rFont val="Calibri"/>
              <b val="1"/>
              <sz val="10"/>
            </rPr>
            <t>Leadership:</t>
          </r>
          <r>
            <rPr>
              <rFont val="Calibri"/>
              <sz val="10"/>
            </rPr>
            <t xml:space="preserve"> IC: guides others in the domain · People: manages a team of 6+</t>
          </r>
        </is>
      </c>
      <c r="P26" s="12" t="inlineStr">
        <is>
          <t>6–9 yrs
Graduate or postgraduate; professional qualification preferred</t>
        </is>
      </c>
      <c r="Q26" s="12" t="inlineStr">
        <is>
          <t>Core 3 · Future-ready 3 · Functional 4 · Leadership 2
★ Accounting &amp; Reporting Standards · IFRS/US GAAP · Advanced Excel &amp; Productivity Tools</t>
        </is>
      </c>
      <c r="R26" s="12" t="inlineStr">
        <is>
          <t>Steward financial reporting, resources and controls. Includes: Accounting, reporting, FP&amp;A, tax and treasury. Excludes: Independent internal audit; client financial-data production.</t>
        </is>
      </c>
      <c r="S26" s="12" t="inlineStr">
        <is>
          <r>
            <rPr>
              <rFont val="Calibri"/>
              <b val="1"/>
              <sz val="10"/>
            </rPr>
            <t>Comparable stage:</t>
          </r>
          <r>
            <rPr>
              <rFont val="Calibri"/>
              <sz val="10"/>
            </rPr>
            <t xml:space="preserve"> FIN01-3 · Senior Financial Reporting Analyst
Resolve complex accounting treatments and review reporting controls.
</t>
          </r>
          <r>
            <rPr>
              <rFont val="Calibri"/>
              <b val="1"/>
              <sz val="10"/>
            </rPr>
            <t>Ready when:</t>
          </r>
          <r>
            <rPr>
              <rFont val="Calibri"/>
              <sz val="10"/>
            </rPr>
            <t xml:space="preserve"> Evidence of complex work, decisions and outcomes beyond routine delivery.
</t>
          </r>
          <r>
            <rPr>
              <rFont val="Calibri"/>
              <b val="1"/>
              <sz val="10"/>
            </rPr>
            <t>Work sample:</t>
          </r>
          <r>
            <rPr>
              <rFont val="Calibri"/>
              <sz val="10"/>
            </rPr>
            <t xml:space="preserve"> A reconciled close or financial-reporting process with defensible accounting judgments</t>
          </r>
        </is>
      </c>
      <c r="T26" s="12" t="inlineStr">
        <is>
          <r>
            <rPr>
              <rFont val="Calibri"/>
              <sz val="10"/>
            </rPr>
            <t xml:space="preserve">Radford / Mercer P4 / M3 · SFIA 4–5
</t>
          </r>
          <r>
            <rPr>
              <rFont val="Calibri"/>
              <b val="1"/>
              <sz val="10"/>
            </rPr>
            <t>Atlassian company-wide P-levels:</t>
          </r>
          <r>
            <rPr>
              <rFont val="Calibri"/>
              <sz val="10"/>
            </rPr>
            <t xml:space="preserve"> P50 Senior · Toppan Merrill: Senior Financial Analyst · IRIS Vs Competitor Benchmark — finance ladder: Finance Manager</t>
          </r>
        </is>
      </c>
      <c r="U26" s="12" t="inlineStr">
        <is>
          <t>B3 · Lead Specialist</t>
        </is>
      </c>
      <c r="V26" s="12" t="inlineStr">
        <is>
          <t>Framework + sub-family themes · 3+ answered</t>
        </is>
      </c>
    </row>
    <row r="27">
      <c r="A27" s="88" t="inlineStr">
        <is>
          <t>Human Resources</t>
        </is>
      </c>
    </row>
    <row r="28" ht="93" customHeight="1">
      <c r="A28" s="89" t="inlineStr">
        <is>
          <t>RC-100</t>
        </is>
      </c>
      <c r="B28" s="12" t="inlineStr">
        <is>
          <t>Human Resources</t>
        </is>
      </c>
      <c r="C28" s="12" t="inlineStr">
        <is>
          <t>HR Leadership</t>
        </is>
      </c>
      <c r="D28" s="28" t="inlineStr">
        <is>
          <t>D2</t>
        </is>
      </c>
      <c r="E28" s="29" t="inlineStr">
        <is>
          <t>Vice President</t>
        </is>
      </c>
      <c r="F28" s="12" t="inlineStr">
        <is>
          <t>Manager</t>
        </is>
      </c>
      <c r="G28" s="12" t="inlineStr">
        <is>
          <t>Vice President – Human Resources</t>
        </is>
      </c>
      <c r="H28" s="12" t="inlineStr">
        <is>
          <t>Shweta Jha</t>
        </is>
      </c>
      <c r="I28" s="12" t="inlineStr">
        <is>
          <t>HR</t>
        </is>
      </c>
      <c r="J28" s="12" t="inlineStr">
        <is>
          <t>Leads the human resources function. At D2: several business lines or an executive-scope enterprise function.</t>
        </is>
      </c>
      <c r="K28" s="12" t="inlineStr">
        <is>
          <t>Leads the human resources function; Portfolio-level strategic, financial and regulatory trade-offs; Multi-business results</t>
        </is>
      </c>
      <c r="L28" s="12" t="inlineStr">
        <is>
          <t>Sets direction across business lines</t>
        </is>
      </c>
      <c r="M28" s="12" t="inlineStr">
        <is>
          <t>—</t>
        </is>
      </c>
      <c r="N28" s="12" t="inlineStr">
        <is>
          <t>—</t>
        </is>
      </c>
      <c r="O28" s="12" t="inlineStr">
        <is>
          <r>
            <rPr>
              <rFont val="Calibri"/>
              <b val="1"/>
              <sz val="10"/>
            </rPr>
            <t>Owns:</t>
          </r>
          <r>
            <rPr>
              <rFont val="Calibri"/>
              <sz val="10"/>
            </rPr>
            <t xml:space="preserve"> Several business lines or an executive-scope enterprise function
</t>
          </r>
          <r>
            <rPr>
              <rFont val="Calibri"/>
              <b val="1"/>
              <sz val="10"/>
            </rPr>
            <t>Complexity:</t>
          </r>
          <r>
            <rPr>
              <rFont val="Calibri"/>
              <sz val="10"/>
            </rPr>
            <t xml:space="preserve"> Portfolio-level strategic, financial and regulatory trade-offs
</t>
          </r>
          <r>
            <rPr>
              <rFont val="Calibri"/>
              <b val="1"/>
              <sz val="10"/>
            </rPr>
            <t>Decisions:</t>
          </r>
          <r>
            <rPr>
              <rFont val="Calibri"/>
              <sz val="10"/>
            </rPr>
            <t xml:space="preserve"> Sets direction across business lines
</t>
          </r>
          <r>
            <rPr>
              <rFont val="Calibri"/>
              <b val="1"/>
              <sz val="10"/>
            </rPr>
            <t>Answers for:</t>
          </r>
          <r>
            <rPr>
              <rFont val="Calibri"/>
              <sz val="10"/>
            </rPr>
            <t xml:space="preserve"> Multi-business results
</t>
          </r>
          <r>
            <rPr>
              <rFont val="Calibri"/>
              <b val="1"/>
              <sz val="10"/>
            </rPr>
            <t>Leadership:</t>
          </r>
          <r>
            <rPr>
              <rFont val="Calibri"/>
              <sz val="10"/>
            </rPr>
            <t xml:space="preserve"> Builds the leadership team across businesses</t>
          </r>
        </is>
      </c>
      <c r="P28" s="12" t="inlineStr">
        <is>
          <t>18–24 yrs
Postgraduate / professional qualification preferred</t>
        </is>
      </c>
      <c r="Q28" s="12" t="inlineStr">
        <is>
          <t>Core 5 · Future-ready 4 · Functional 4 · Leadership 5
★ Stakeholder &amp; Client Management · Communication &amp; Presentation</t>
        </is>
      </c>
      <c r="R28" s="12" t="inlineStr">
        <is>
          <t>Enable workforce and organisational capability. Includes: HR operations, TA, OD, learning, reward, analytics and partnering. Excludes: Line-manager accountability for the operating business.</t>
        </is>
      </c>
      <c r="S28" s="12" t="inlineStr">
        <is>
          <r>
            <rPr>
              <rFont val="Calibri"/>
              <b val="1"/>
              <sz val="10"/>
            </rPr>
            <t>Comparable stage:</t>
          </r>
          <r>
            <rPr>
              <rFont val="Calibri"/>
              <sz val="10"/>
            </rPr>
            <t xml:space="preserve"> LD18-3 · Chief People Officer / CHRO
Own broader enterprise strategy, risk and resources within a formal charter
</t>
          </r>
          <r>
            <rPr>
              <rFont val="Calibri"/>
              <b val="1"/>
              <sz val="10"/>
            </rPr>
            <t>Ready when:</t>
          </r>
          <r>
            <rPr>
              <rFont val="Calibri"/>
              <sz val="10"/>
            </rPr>
            <t xml:space="preserve"> Do not manufacture three reporting layers. Choose roles the organisation needs. A specialist may remain on an equally valued expert path.</t>
          </r>
        </is>
      </c>
      <c r="T28" s="12" t="inlineStr">
        <is>
          <t>Radford / Mercer E3–E4 · SFIA 7 Set strategy
IRIS Vs Competitor Benchmark — HR ladder: VP HR</t>
        </is>
      </c>
      <c r="U28" s="12" t="inlineStr">
        <is>
          <t>E1 · —</t>
        </is>
      </c>
      <c r="V28" s="12" t="inlineStr">
        <is>
          <t>Framework only · fewer than 3 answered</t>
        </is>
      </c>
    </row>
    <row r="29" ht="132" customHeight="1">
      <c r="A29" s="89" t="inlineStr">
        <is>
          <t>RC-101</t>
        </is>
      </c>
      <c r="B29" s="12" t="inlineStr">
        <is>
          <t>Human Resources</t>
        </is>
      </c>
      <c r="C29" s="12" t="inlineStr">
        <is>
          <t>HR Operations &amp; Payroll</t>
        </is>
      </c>
      <c r="D29" s="16" t="inlineStr">
        <is>
          <t>A2</t>
        </is>
      </c>
      <c r="E29" s="17" t="inlineStr">
        <is>
          <t>Associate</t>
        </is>
      </c>
      <c r="F29" s="12" t="inlineStr">
        <is>
          <t>IC</t>
        </is>
      </c>
      <c r="G29" s="12" t="inlineStr">
        <is>
          <t>HR Executive</t>
        </is>
      </c>
      <c r="H29" s="12" t="inlineStr">
        <is>
          <t>Blossom Dsouza</t>
        </is>
      </c>
      <c r="I29" s="12" t="inlineStr">
        <is>
          <t>HR</t>
        </is>
      </c>
      <c r="J29" s="12" t="inlineStr">
        <is>
          <r>
            <rPr>
              <rFont val="Calibri"/>
              <sz val="10"/>
            </rPr>
            <t xml:space="preserve">Runs payroll, HRIS, onboarding, engagement and exits. At A2: standard work delivered independently.
</t>
          </r>
          <r>
            <rPr>
              <rFont val="Calibri"/>
              <b val="1"/>
              <sz val="10"/>
            </rPr>
            <t>Common themes in sub-family holders, all levels' answers:</t>
          </r>
          <r>
            <rPr>
              <rFont val="Calibri"/>
              <sz val="10"/>
            </rPr>
            <t xml:space="preserve"> employees</t>
          </r>
        </is>
      </c>
      <c r="K29" s="12" t="inlineStr">
        <is>
          <r>
            <rPr>
              <rFont val="Calibri"/>
              <sz val="10"/>
            </rPr>
            <t xml:space="preserve">Runs payroll, HRIS, onboarding, engagement and exits; Standard work of the discipline; Own deliverables · accuracy, TAT
</t>
          </r>
          <r>
            <rPr>
              <rFont val="Calibri"/>
              <b val="1"/>
              <sz val="10"/>
            </rPr>
            <t>Common themes in sub-family holders, all levels' answers:</t>
          </r>
          <r>
            <rPr>
              <rFont val="Calibri"/>
              <sz val="10"/>
            </rPr>
            <t xml:space="preserve"> employee · onboarding · support</t>
          </r>
        </is>
      </c>
      <c r="L29" s="12" t="inlineStr">
        <is>
          <r>
            <rPr>
              <rFont val="Calibri"/>
              <sz val="10"/>
            </rPr>
            <t xml:space="preserve">Chooses own approach within standards
</t>
          </r>
          <r>
            <rPr>
              <rFont val="Calibri"/>
              <b val="1"/>
              <sz val="10"/>
            </rPr>
            <t>Common themes in sub-family holders, all levels' answers:</t>
          </r>
          <r>
            <rPr>
              <rFont val="Calibri"/>
              <sz val="10"/>
            </rPr>
            <t xml:space="preserve"> engagement · employee · activities</t>
          </r>
        </is>
      </c>
      <c r="M29" s="12" t="inlineStr">
        <is>
          <t>—</t>
        </is>
      </c>
      <c r="N29" s="12" t="inlineStr">
        <is>
          <r>
            <rPr>
              <rFont val="Calibri"/>
              <b val="1"/>
              <sz val="10"/>
            </rPr>
            <t>Skills:</t>
          </r>
          <r>
            <rPr>
              <rFont val="Calibri"/>
              <sz val="10"/>
            </rPr>
            <t xml:space="preserve"> HR
</t>
          </r>
          <r>
            <rPr>
              <rFont val="Calibri"/>
              <b val="1"/>
              <sz val="10"/>
            </rPr>
            <t>Tools:</t>
          </r>
          <r>
            <rPr>
              <rFont val="Calibri"/>
              <sz val="10"/>
            </rPr>
            <t xml:space="preserve"> MS Excel · Keka · Ongrid</t>
          </r>
        </is>
      </c>
      <c r="O29" s="12" t="inlineStr">
        <is>
          <r>
            <rPr>
              <rFont val="Calibri"/>
              <b val="1"/>
              <sz val="10"/>
            </rPr>
            <t>Owns:</t>
          </r>
          <r>
            <rPr>
              <rFont val="Calibri"/>
              <sz val="10"/>
            </rPr>
            <t xml:space="preserve"> Standard work delivered independently
</t>
          </r>
          <r>
            <rPr>
              <rFont val="Calibri"/>
              <b val="1"/>
              <sz val="10"/>
            </rPr>
            <t>Complexity:</t>
          </r>
          <r>
            <rPr>
              <rFont val="Calibri"/>
              <sz val="10"/>
            </rPr>
            <t xml:space="preserve"> Standard work of the discipline
</t>
          </r>
          <r>
            <rPr>
              <rFont val="Calibri"/>
              <b val="1"/>
              <sz val="10"/>
            </rPr>
            <t>Decisions:</t>
          </r>
          <r>
            <rPr>
              <rFont val="Calibri"/>
              <sz val="10"/>
            </rPr>
            <t xml:space="preserve"> Chooses own approach within standards
</t>
          </r>
          <r>
            <rPr>
              <rFont val="Calibri"/>
              <b val="1"/>
              <sz val="10"/>
            </rPr>
            <t>Answers for:</t>
          </r>
          <r>
            <rPr>
              <rFont val="Calibri"/>
              <sz val="10"/>
            </rPr>
            <t xml:space="preserve"> Own deliverables · accuracy, TAT
</t>
          </r>
          <r>
            <rPr>
              <rFont val="Calibri"/>
              <b val="1"/>
              <sz val="10"/>
            </rPr>
            <t>Leadership:</t>
          </r>
          <r>
            <rPr>
              <rFont val="Calibri"/>
              <sz val="10"/>
            </rPr>
            <t xml:space="preserve"> Not scored in Band A</t>
          </r>
        </is>
      </c>
      <c r="P29" s="12" t="inlineStr">
        <is>
          <t>0–2 yrs
Graduate · or diploma with experience</t>
        </is>
      </c>
      <c r="Q29" s="12" t="inlineStr">
        <is>
          <t>Core 2 · Future-ready 2 · Functional 2 · Leadership —
★ Stakeholder &amp; Client Management · Communication &amp; Presentation</t>
        </is>
      </c>
      <c r="R29" s="12" t="inlineStr">
        <is>
          <t>Enable workforce and organisational capability. Includes: HR operations, TA, OD, learning, reward, analytics and partnering. Excludes: Line-manager accountability for the operating business.</t>
        </is>
      </c>
      <c r="S29" s="12" t="inlineStr">
        <is>
          <r>
            <rPr>
              <rFont val="Calibri"/>
              <b val="1"/>
              <sz val="10"/>
            </rPr>
            <t>Comparable stage:</t>
          </r>
          <r>
            <rPr>
              <rFont val="Calibri"/>
              <sz val="10"/>
            </rPr>
            <t xml:space="preserve"> HR01-1 · HR Operations Associate
</t>
          </r>
          <r>
            <rPr>
              <rFont val="Calibri"/>
              <b val="1"/>
              <sz val="10"/>
            </rPr>
            <t>Complete defined parts under review:</t>
          </r>
          <r>
            <rPr>
              <rFont val="Calibri"/>
              <sz val="10"/>
            </rPr>
            <t xml:space="preserve"> administer accurate employee/payroll records and reconciliations.
</t>
          </r>
          <r>
            <rPr>
              <rFont val="Calibri"/>
              <b val="1"/>
              <sz val="10"/>
            </rPr>
            <t>Ready when:</t>
          </r>
          <r>
            <rPr>
              <rFont val="Calibri"/>
              <sz val="10"/>
            </rPr>
            <t xml:space="preserve"> Repeatable correct delivery, safe escalation and required entry eligibility.
</t>
          </r>
          <r>
            <rPr>
              <rFont val="Calibri"/>
              <b val="1"/>
              <sz val="10"/>
            </rPr>
            <t>Work sample:</t>
          </r>
          <r>
            <rPr>
              <rFont val="Calibri"/>
              <sz val="10"/>
            </rPr>
            <t xml:space="preserve"> A controlled people or payroll cycle with reconciliations and resolved service exceptions</t>
          </r>
        </is>
      </c>
      <c r="T29" s="12" t="inlineStr">
        <is>
          <t>Radford / Mercer P1–P2 · SFIA 2 Assist
IRIS Vs Competitor Benchmark — HR ladder: HR Executive</t>
        </is>
      </c>
      <c r="U29" s="12" t="inlineStr">
        <is>
          <t>A3 · Senior Associate</t>
        </is>
      </c>
      <c r="V29" s="12" t="inlineStr">
        <is>
          <t>Framework + sub-family themes · 3+ answered</t>
        </is>
      </c>
    </row>
    <row r="30" ht="119" customHeight="1">
      <c r="A30" s="89" t="inlineStr">
        <is>
          <t>RC-102</t>
        </is>
      </c>
      <c r="B30" s="12" t="inlineStr">
        <is>
          <t>Human Resources</t>
        </is>
      </c>
      <c r="C30" s="12" t="inlineStr">
        <is>
          <t>HR Operations &amp; Payroll</t>
        </is>
      </c>
      <c r="D30" s="20" t="inlineStr">
        <is>
          <t>B1</t>
        </is>
      </c>
      <c r="E30" s="21" t="inlineStr">
        <is>
          <t>Specialist</t>
        </is>
      </c>
      <c r="F30" s="12" t="inlineStr">
        <is>
          <t>IC</t>
        </is>
      </c>
      <c r="G30" s="12" t="inlineStr">
        <is>
          <t>HR Specialist · HR Specialist – POD Lead</t>
        </is>
      </c>
      <c r="H30" s="12" t="inlineStr">
        <is>
          <t>Chandrakumar Moopanar, Nikitha Nair</t>
        </is>
      </c>
      <c r="I30" s="12" t="inlineStr">
        <is>
          <t>HR</t>
        </is>
      </c>
      <c r="J30" s="12" t="inlineStr">
        <is>
          <r>
            <rPr>
              <rFont val="Calibri"/>
              <sz val="10"/>
            </rPr>
            <t xml:space="preserve">Runs payroll, HRIS, onboarding, engagement and exits. At B1: a domain / module, or a small team.
</t>
          </r>
          <r>
            <rPr>
              <rFont val="Calibri"/>
              <b val="1"/>
              <sz val="10"/>
            </rPr>
            <t>Common themes in sub-family holders, all levels' answers:</t>
          </r>
          <r>
            <rPr>
              <rFont val="Calibri"/>
              <sz val="10"/>
            </rPr>
            <t xml:space="preserve"> employees</t>
          </r>
        </is>
      </c>
      <c r="K30" s="12" t="inlineStr">
        <is>
          <r>
            <rPr>
              <rFont val="Calibri"/>
              <sz val="10"/>
            </rPr>
            <t xml:space="preserve">Runs payroll, HRIS, onboarding, engagement and exits; Domain specialist work; A domain or a small team
</t>
          </r>
          <r>
            <rPr>
              <rFont val="Calibri"/>
              <b val="1"/>
              <sz val="10"/>
            </rPr>
            <t>Common themes in sub-family holders, all levels' answers:</t>
          </r>
          <r>
            <rPr>
              <rFont val="Calibri"/>
              <sz val="10"/>
            </rPr>
            <t xml:space="preserve"> employee · onboarding · support</t>
          </r>
        </is>
      </c>
      <c r="L30" s="12" t="inlineStr">
        <is>
          <r>
            <rPr>
              <rFont val="Calibri"/>
              <sz val="10"/>
            </rPr>
            <t xml:space="preserve">Technical / QC / client calls for the domain
</t>
          </r>
          <r>
            <rPr>
              <rFont val="Calibri"/>
              <b val="1"/>
              <sz val="10"/>
            </rPr>
            <t>Common themes in sub-family holders, all levels' answers:</t>
          </r>
          <r>
            <rPr>
              <rFont val="Calibri"/>
              <sz val="10"/>
            </rPr>
            <t xml:space="preserve"> engagement · employee · activities</t>
          </r>
        </is>
      </c>
      <c r="M30" s="12" t="inlineStr">
        <is>
          <t>—</t>
        </is>
      </c>
      <c r="N30" s="12" t="inlineStr">
        <is>
          <r>
            <rPr>
              <rFont val="Calibri"/>
              <b val="1"/>
              <sz val="10"/>
            </rPr>
            <t>Skills:</t>
          </r>
          <r>
            <rPr>
              <rFont val="Calibri"/>
              <sz val="10"/>
            </rPr>
            <t xml:space="preserve"> HR
</t>
          </r>
          <r>
            <rPr>
              <rFont val="Calibri"/>
              <b val="1"/>
              <sz val="10"/>
            </rPr>
            <t>Tools:</t>
          </r>
          <r>
            <rPr>
              <rFont val="Calibri"/>
              <sz val="10"/>
            </rPr>
            <t xml:space="preserve"> MS Excel · Keka · Ongrid</t>
          </r>
        </is>
      </c>
      <c r="O30" s="12" t="inlineStr">
        <is>
          <r>
            <rPr>
              <rFont val="Calibri"/>
              <b val="1"/>
              <sz val="10"/>
            </rPr>
            <t>Owns:</t>
          </r>
          <r>
            <rPr>
              <rFont val="Calibri"/>
              <sz val="10"/>
            </rPr>
            <t xml:space="preserve"> A domain / module, or a small team
</t>
          </r>
          <r>
            <rPr>
              <rFont val="Calibri"/>
              <b val="1"/>
              <sz val="10"/>
            </rPr>
            <t>Complexity:</t>
          </r>
          <r>
            <rPr>
              <rFont val="Calibri"/>
              <sz val="10"/>
            </rPr>
            <t xml:space="preserve"> Domain specialist work
</t>
          </r>
          <r>
            <rPr>
              <rFont val="Calibri"/>
              <b val="1"/>
              <sz val="10"/>
            </rPr>
            <t>Decisions:</t>
          </r>
          <r>
            <rPr>
              <rFont val="Calibri"/>
              <sz val="10"/>
            </rPr>
            <t xml:space="preserve"> Technical / QC / client calls for the domain
</t>
          </r>
          <r>
            <rPr>
              <rFont val="Calibri"/>
              <b val="1"/>
              <sz val="10"/>
            </rPr>
            <t>Answers for:</t>
          </r>
          <r>
            <rPr>
              <rFont val="Calibri"/>
              <sz val="10"/>
            </rPr>
            <t xml:space="preserve"> A domain or a small team
</t>
          </r>
          <r>
            <rPr>
              <rFont val="Calibri"/>
              <b val="1"/>
              <sz val="10"/>
            </rPr>
            <t>Leadership:</t>
          </r>
          <r>
            <rPr>
              <rFont val="Calibri"/>
              <sz val="10"/>
            </rPr>
            <t xml:space="preserve"> IC: mentors and reviews · People: hands-on team lead of 3–5</t>
          </r>
        </is>
      </c>
      <c r="P30" s="12" t="inlineStr">
        <is>
          <t>4–7 yrs
Graduate + relevant qualification or certification preferred</t>
        </is>
      </c>
      <c r="Q30" s="12" t="inlineStr">
        <is>
          <t>Core 3 · Future-ready 3 · Functional 3 · Leadership 1
★ Stakeholder &amp; Client Management · Communication &amp; Presentation</t>
        </is>
      </c>
      <c r="R30" s="12" t="inlineStr">
        <is>
          <t>Enable workforce and organisational capability. Includes: HR operations, TA, OD, learning, reward, analytics and partnering. Excludes: Line-manager accountability for the operating business.</t>
        </is>
      </c>
      <c r="S30" s="12" t="inlineStr">
        <is>
          <r>
            <rPr>
              <rFont val="Calibri"/>
              <b val="1"/>
              <sz val="10"/>
            </rPr>
            <t>Comparable stage:</t>
          </r>
          <r>
            <rPr>
              <rFont val="Calibri"/>
              <sz val="10"/>
            </rPr>
            <t xml:space="preserve"> HR01-3 · Senior HR Operations Specialist
Resolve complex service exceptions and improve process controls.
</t>
          </r>
          <r>
            <rPr>
              <rFont val="Calibri"/>
              <b val="1"/>
              <sz val="10"/>
            </rPr>
            <t>Ready when:</t>
          </r>
          <r>
            <rPr>
              <rFont val="Calibri"/>
              <sz val="10"/>
            </rPr>
            <t xml:space="preserve"> Evidence of complex work, decisions and outcomes beyond routine delivery.
</t>
          </r>
          <r>
            <rPr>
              <rFont val="Calibri"/>
              <b val="1"/>
              <sz val="10"/>
            </rPr>
            <t>Work sample:</t>
          </r>
          <r>
            <rPr>
              <rFont val="Calibri"/>
              <sz val="10"/>
            </rPr>
            <t xml:space="preserve"> A controlled people or payroll cycle with reconciliations and resolved service exceptions</t>
          </r>
        </is>
      </c>
      <c r="T30" s="12" t="inlineStr">
        <is>
          <t>Radford / Mercer P3 / M2 · SFIA 4 Enable
IRIS Vs Competitor Benchmark — HR ladder: HR Specialist / HRBP</t>
        </is>
      </c>
      <c r="U30" s="12" t="inlineStr">
        <is>
          <t>B2 · Senior Specialist</t>
        </is>
      </c>
      <c r="V30" s="12" t="inlineStr">
        <is>
          <t>Framework + sub-family themes · 3+ answered</t>
        </is>
      </c>
    </row>
    <row r="31" ht="106" customHeight="1">
      <c r="A31" s="89" t="inlineStr">
        <is>
          <t>RC-103</t>
        </is>
      </c>
      <c r="B31" s="12" t="inlineStr">
        <is>
          <t>Human Resources</t>
        </is>
      </c>
      <c r="C31" s="12" t="inlineStr">
        <is>
          <t>HR Transformation &amp; OD</t>
        </is>
      </c>
      <c r="D31" s="20" t="inlineStr">
        <is>
          <t>B3</t>
        </is>
      </c>
      <c r="E31" s="21" t="inlineStr">
        <is>
          <t>Lead Specialist</t>
        </is>
      </c>
      <c r="F31" s="12" t="inlineStr">
        <is>
          <t>IC</t>
        </is>
      </c>
      <c r="G31" s="12" t="inlineStr">
        <is>
          <t>Lead HR Specialist – Transformation &amp; OD</t>
        </is>
      </c>
      <c r="H31" s="12" t="inlineStr">
        <is>
          <t>Mohammed Hanzala Shaikh</t>
        </is>
      </c>
      <c r="I31" s="12" t="inlineStr">
        <is>
          <t>HR</t>
        </is>
      </c>
      <c r="J31" s="12" t="inlineStr">
        <is>
          <t>Designs HR transformation, capability and OD programmes. At B3: a practice, or several teams through team leads.</t>
        </is>
      </c>
      <c r="K31" s="12" t="inlineStr">
        <is>
          <t>Designs HR transformation, capability and OD programmes; Sets standards for a practice; cross-team problems; Several teams or a practice</t>
        </is>
      </c>
      <c r="L31" s="12" t="inlineStr">
        <is>
          <t>Commercial / strategic calls for the unit</t>
        </is>
      </c>
      <c r="M31" s="12" t="inlineStr">
        <is>
          <t>—</t>
        </is>
      </c>
      <c r="N31" s="12" t="inlineStr">
        <is>
          <t>—</t>
        </is>
      </c>
      <c r="O31" s="12" t="inlineStr">
        <is>
          <r>
            <rPr>
              <rFont val="Calibri"/>
              <b val="1"/>
              <sz val="10"/>
            </rPr>
            <t>Owns:</t>
          </r>
          <r>
            <rPr>
              <rFont val="Calibri"/>
              <sz val="10"/>
            </rPr>
            <t xml:space="preserve"> A practice, or several teams through team leads
</t>
          </r>
          <r>
            <rPr>
              <rFont val="Calibri"/>
              <b val="1"/>
              <sz val="10"/>
            </rPr>
            <t>Complexity:</t>
          </r>
          <r>
            <rPr>
              <rFont val="Calibri"/>
              <sz val="10"/>
            </rPr>
            <t xml:space="preserve"> Sets standards for a practice; cross-team problems
</t>
          </r>
          <r>
            <rPr>
              <rFont val="Calibri"/>
              <b val="1"/>
              <sz val="10"/>
            </rPr>
            <t>Decisions:</t>
          </r>
          <r>
            <rPr>
              <rFont val="Calibri"/>
              <sz val="10"/>
            </rPr>
            <t xml:space="preserve"> Commercial / strategic calls for the unit
</t>
          </r>
          <r>
            <rPr>
              <rFont val="Calibri"/>
              <b val="1"/>
              <sz val="10"/>
            </rPr>
            <t>Answers for:</t>
          </r>
          <r>
            <rPr>
              <rFont val="Calibri"/>
              <sz val="10"/>
            </rPr>
            <t xml:space="preserve"> Several teams or a practice
</t>
          </r>
          <r>
            <rPr>
              <rFont val="Calibri"/>
              <b val="1"/>
              <sz val="10"/>
            </rPr>
            <t>Leadership:</t>
          </r>
          <r>
            <rPr>
              <rFont val="Calibri"/>
              <sz val="10"/>
            </rPr>
            <t xml:space="preserve"> IC: leads a practice · People: team leads / managers report in</t>
          </r>
        </is>
      </c>
      <c r="P31" s="12" t="inlineStr">
        <is>
          <t>8–12 yrs
Postgraduate or professional qualification preferred</t>
        </is>
      </c>
      <c r="Q31" s="12" t="inlineStr">
        <is>
          <t>Core 4 · Future-ready 3 · Functional 4 · Leadership 3
★ Stakeholder &amp; Client Management · Communication &amp; Presentation</t>
        </is>
      </c>
      <c r="R31" s="12" t="inlineStr">
        <is>
          <t>Enable workforce and organisational capability. Includes: HR operations, TA, OD, learning, reward, analytics and partnering. Excludes: Line-manager accountability for the operating business.</t>
        </is>
      </c>
      <c r="S31" s="12" t="inlineStr">
        <is>
          <r>
            <rPr>
              <rFont val="Calibri"/>
              <b val="1"/>
              <sz val="10"/>
            </rPr>
            <t>Comparable stage:</t>
          </r>
          <r>
            <rPr>
              <rFont val="Calibri"/>
              <sz val="10"/>
            </rPr>
            <t xml:space="preserve"> HR03-4 · OD Consultant
Advise enterprise leaders on organisation effectiveness and operating models.
</t>
          </r>
          <r>
            <rPr>
              <rFont val="Calibri"/>
              <b val="1"/>
              <sz val="10"/>
            </rPr>
            <t>Ready when:</t>
          </r>
          <r>
            <rPr>
              <rFont val="Calibri"/>
              <sz val="10"/>
            </rPr>
            <t xml:space="preserve"> Adoption beyond own work; recurring authority and measurable wider outcomes.
</t>
          </r>
          <r>
            <rPr>
              <rFont val="Calibri"/>
              <b val="1"/>
              <sz val="10"/>
            </rPr>
            <t>Work sample:</t>
          </r>
          <r>
            <rPr>
              <rFont val="Calibri"/>
              <sz val="10"/>
            </rPr>
            <t xml:space="preserve"> An organisation-change case with role clarity, stakeholder adoption and measured effectiveness</t>
          </r>
        </is>
      </c>
      <c r="T31" s="12" t="inlineStr">
        <is>
          <t>Radford / Mercer P5 / M4 · SFIA 5 Ensure, advise
IRIS Vs Competitor Benchmark — HR ladder: Senior HR Manager · SHRM-SCP</t>
        </is>
      </c>
      <c r="U31" s="12" t="inlineStr">
        <is>
          <t>C1 · Principal · or B+ · Player-Coach transition step if leading people hands-on</t>
        </is>
      </c>
      <c r="V31" s="12" t="inlineStr">
        <is>
          <t>Framework only · fewer than 3 answered</t>
        </is>
      </c>
    </row>
    <row r="32" ht="106" customHeight="1">
      <c r="A32" s="89" t="inlineStr">
        <is>
          <t>RC-104</t>
        </is>
      </c>
      <c r="B32" s="12" t="inlineStr">
        <is>
          <t>Human Resources</t>
        </is>
      </c>
      <c r="C32" s="12" t="inlineStr">
        <is>
          <t>Talent Acquisition</t>
        </is>
      </c>
      <c r="D32" s="16" t="inlineStr">
        <is>
          <t>A3</t>
        </is>
      </c>
      <c r="E32" s="17" t="inlineStr">
        <is>
          <t>Senior Associate</t>
        </is>
      </c>
      <c r="F32" s="12" t="inlineStr">
        <is>
          <t>IC</t>
        </is>
      </c>
      <c r="G32" s="12" t="inlineStr">
        <is>
          <t>Senior Talent Acquisition Executive</t>
        </is>
      </c>
      <c r="H32" s="12" t="inlineStr">
        <is>
          <t>Renuka Badhoria, Shruti Gawas</t>
        </is>
      </c>
      <c r="I32" s="12" t="inlineStr">
        <is>
          <t>HR</t>
        </is>
      </c>
      <c r="J32" s="12" t="inlineStr">
        <is>
          <r>
            <rPr>
              <rFont val="Calibri"/>
              <sz val="10"/>
            </rPr>
            <t xml:space="preserve">Sources, screens and hires talent. At A3: varied work; reviews juniors; go-to for a process.
</t>
          </r>
          <r>
            <rPr>
              <rFont val="Calibri"/>
              <b val="1"/>
              <sz val="10"/>
            </rPr>
            <t>Common themes in sub-family holders, all levels' answers:</t>
          </r>
          <r>
            <rPr>
              <rFont val="Calibri"/>
              <sz val="10"/>
            </rPr>
            <t xml:space="preserve"> hiring · right · stakeholders · talent · end recruitment · requirements</t>
          </r>
        </is>
      </c>
      <c r="K32" s="12" t="inlineStr">
        <is>
          <r>
            <rPr>
              <rFont val="Calibri"/>
              <sz val="10"/>
            </rPr>
            <t xml:space="preserve">Sources, screens and hires talent; Varied and non-standard work; handles exceptions; A module / process, or work with client or regulatory consequences
</t>
          </r>
          <r>
            <rPr>
              <rFont val="Calibri"/>
              <b val="1"/>
              <sz val="10"/>
            </rPr>
            <t>Common themes in sub-family holders, all levels' answers:</t>
          </r>
          <r>
            <rPr>
              <rFont val="Calibri"/>
              <sz val="10"/>
            </rPr>
            <t xml:space="preserve"> end end</t>
          </r>
        </is>
      </c>
      <c r="L32" s="12" t="inlineStr">
        <is>
          <t>Technical / QC / client calls on own work</t>
        </is>
      </c>
      <c r="M32" s="12" t="inlineStr">
        <is>
          <t>—</t>
        </is>
      </c>
      <c r="N32" s="12" t="inlineStr">
        <is>
          <r>
            <rPr>
              <rFont val="Calibri"/>
              <b val="1"/>
              <sz val="10"/>
            </rPr>
            <t>Skills:</t>
          </r>
          <r>
            <rPr>
              <rFont val="Calibri"/>
              <sz val="10"/>
            </rPr>
            <t xml:space="preserve"> HR · Stakeholder Management
</t>
          </r>
          <r>
            <rPr>
              <rFont val="Calibri"/>
              <b val="1"/>
              <sz val="10"/>
            </rPr>
            <t>Tools:</t>
          </r>
          <r>
            <rPr>
              <rFont val="Calibri"/>
              <sz val="10"/>
            </rPr>
            <t xml:space="preserve"> Naukri · Keka Hiro</t>
          </r>
        </is>
      </c>
      <c r="O32" s="12" t="inlineStr">
        <is>
          <r>
            <rPr>
              <rFont val="Calibri"/>
              <b val="1"/>
              <sz val="10"/>
            </rPr>
            <t>Owns:</t>
          </r>
          <r>
            <rPr>
              <rFont val="Calibri"/>
              <sz val="10"/>
            </rPr>
            <t xml:space="preserve"> Varied work; reviews juniors; go-to for a process
</t>
          </r>
          <r>
            <rPr>
              <rFont val="Calibri"/>
              <b val="1"/>
              <sz val="10"/>
            </rPr>
            <t>Complexity:</t>
          </r>
          <r>
            <rPr>
              <rFont val="Calibri"/>
              <sz val="10"/>
            </rPr>
            <t xml:space="preserve"> Varied and non-standard work; handles exceptions
</t>
          </r>
          <r>
            <rPr>
              <rFont val="Calibri"/>
              <b val="1"/>
              <sz val="10"/>
            </rPr>
            <t>Decisions:</t>
          </r>
          <r>
            <rPr>
              <rFont val="Calibri"/>
              <sz val="10"/>
            </rPr>
            <t xml:space="preserve"> Technical / QC / client calls on own work
</t>
          </r>
          <r>
            <rPr>
              <rFont val="Calibri"/>
              <b val="1"/>
              <sz val="10"/>
            </rPr>
            <t>Answers for:</t>
          </r>
          <r>
            <rPr>
              <rFont val="Calibri"/>
              <sz val="10"/>
            </rPr>
            <t xml:space="preserve"> A module / process, or work with client or regulatory consequences
</t>
          </r>
          <r>
            <rPr>
              <rFont val="Calibri"/>
              <b val="1"/>
              <sz val="10"/>
            </rPr>
            <t>Leadership:</t>
          </r>
          <r>
            <rPr>
              <rFont val="Calibri"/>
              <sz val="10"/>
            </rPr>
            <t xml:space="preserve"> Not scored in Band A</t>
          </r>
        </is>
      </c>
      <c r="P32" s="12" t="inlineStr">
        <is>
          <t>2–4 yrs
Graduate; relevant certification preferred</t>
        </is>
      </c>
      <c r="Q32" s="12" t="inlineStr">
        <is>
          <t>Core 2 · Future-ready 2 · Functional 3 · Leadership —
★ Stakeholder &amp; Client Management · Communication &amp; Presentation</t>
        </is>
      </c>
      <c r="R32" s="12" t="inlineStr">
        <is>
          <t>Enable workforce and organisational capability. Includes: HR operations, TA, OD, learning, reward, analytics and partnering. Excludes: Line-manager accountability for the operating business.</t>
        </is>
      </c>
      <c r="S32" s="12" t="inlineStr">
        <is>
          <r>
            <rPr>
              <rFont val="Calibri"/>
              <b val="1"/>
              <sz val="10"/>
            </rPr>
            <t>Comparable stage:</t>
          </r>
          <r>
            <rPr>
              <rFont val="Calibri"/>
              <sz val="10"/>
            </rPr>
            <t xml:space="preserve"> HR02-2 · Talent Acquisition Specialist
Run structured sourcing and selection coordination.
</t>
          </r>
          <r>
            <rPr>
              <rFont val="Calibri"/>
              <b val="1"/>
              <sz val="10"/>
            </rPr>
            <t>Ready when:</t>
          </r>
          <r>
            <rPr>
              <rFont val="Calibri"/>
              <sz val="10"/>
            </rPr>
            <t xml:space="preserve"> Demonstrate routine delivery plus judgement in bounded exceptions.
</t>
          </r>
          <r>
            <rPr>
              <rFont val="Calibri"/>
              <b val="1"/>
              <sz val="10"/>
            </rPr>
            <t>Work sample:</t>
          </r>
          <r>
            <rPr>
              <rFont val="Calibri"/>
              <sz val="10"/>
            </rPr>
            <t xml:space="preserve"> A hiring process with role-based criteria, consistent assessment and quality outcomes</t>
          </r>
        </is>
      </c>
      <c r="T32" s="12" t="inlineStr">
        <is>
          <t>Radford / Mercer P2 · SFIA 3 Apply
IRIS Vs Competitor Benchmark — HR ladder: Senior HR Executive · SHRM-CP</t>
        </is>
      </c>
      <c r="U32" s="12" t="inlineStr">
        <is>
          <t>B1 · Specialist</t>
        </is>
      </c>
      <c r="V32" s="12" t="inlineStr">
        <is>
          <t>Framework + sub-family themes · 3+ answered</t>
        </is>
      </c>
    </row>
    <row r="33" ht="106" customHeight="1">
      <c r="A33" s="89" t="inlineStr">
        <is>
          <t>RC-105</t>
        </is>
      </c>
      <c r="B33" s="12" t="inlineStr">
        <is>
          <t>Human Resources</t>
        </is>
      </c>
      <c r="C33" s="12" t="inlineStr">
        <is>
          <t>Talent Acquisition</t>
        </is>
      </c>
      <c r="D33" s="20" t="inlineStr">
        <is>
          <t>B2</t>
        </is>
      </c>
      <c r="E33" s="21" t="inlineStr">
        <is>
          <t>Senior Specialist</t>
        </is>
      </c>
      <c r="F33" s="12" t="inlineStr">
        <is>
          <t>IC</t>
        </is>
      </c>
      <c r="G33" s="12" t="inlineStr">
        <is>
          <t>Senior Talent Acquisition Specialist</t>
        </is>
      </c>
      <c r="H33" s="12" t="inlineStr">
        <is>
          <t>Simran Kaur Raina</t>
        </is>
      </c>
      <c r="I33" s="12" t="inlineStr">
        <is>
          <t>HR</t>
        </is>
      </c>
      <c r="J33" s="12" t="inlineStr">
        <is>
          <r>
            <rPr>
              <rFont val="Calibri"/>
              <sz val="10"/>
            </rPr>
            <t xml:space="preserve">Sources, screens and hires talent. At B2: deep domain expertise, or one team.
</t>
          </r>
          <r>
            <rPr>
              <rFont val="Calibri"/>
              <b val="1"/>
              <sz val="10"/>
            </rPr>
            <t>Common themes in sub-family holders, all levels' answers:</t>
          </r>
          <r>
            <rPr>
              <rFont val="Calibri"/>
              <sz val="10"/>
            </rPr>
            <t xml:space="preserve"> hiring · right · stakeholders · talent · end recruitment · requirements</t>
          </r>
        </is>
      </c>
      <c r="K33" s="12" t="inlineStr">
        <is>
          <r>
            <rPr>
              <rFont val="Calibri"/>
              <sz val="10"/>
            </rPr>
            <t xml:space="preserve">Sources, screens and hires talent; Hardest problems in the domain; One team or a client portfolio
</t>
          </r>
          <r>
            <rPr>
              <rFont val="Calibri"/>
              <b val="1"/>
              <sz val="10"/>
            </rPr>
            <t>Common themes in sub-family holders, all levels' answers:</t>
          </r>
          <r>
            <rPr>
              <rFont val="Calibri"/>
              <sz val="10"/>
            </rPr>
            <t xml:space="preserve"> end end</t>
          </r>
        </is>
      </c>
      <c r="L33" s="12" t="inlineStr">
        <is>
          <t>Allocates people and sets team priorities</t>
        </is>
      </c>
      <c r="M33" s="12" t="inlineStr">
        <is>
          <t>—</t>
        </is>
      </c>
      <c r="N33" s="12" t="inlineStr">
        <is>
          <r>
            <rPr>
              <rFont val="Calibri"/>
              <b val="1"/>
              <sz val="10"/>
            </rPr>
            <t>Skills:</t>
          </r>
          <r>
            <rPr>
              <rFont val="Calibri"/>
              <sz val="10"/>
            </rPr>
            <t xml:space="preserve"> HR · Stakeholder Management
</t>
          </r>
          <r>
            <rPr>
              <rFont val="Calibri"/>
              <b val="1"/>
              <sz val="10"/>
            </rPr>
            <t>Tools:</t>
          </r>
          <r>
            <rPr>
              <rFont val="Calibri"/>
              <sz val="10"/>
            </rPr>
            <t xml:space="preserve"> Naukri · Keka Hiro</t>
          </r>
        </is>
      </c>
      <c r="O33" s="12" t="inlineStr">
        <is>
          <r>
            <rPr>
              <rFont val="Calibri"/>
              <b val="1"/>
              <sz val="10"/>
            </rPr>
            <t>Owns:</t>
          </r>
          <r>
            <rPr>
              <rFont val="Calibri"/>
              <sz val="10"/>
            </rPr>
            <t xml:space="preserve"> Deep domain expertise, or one team
</t>
          </r>
          <r>
            <rPr>
              <rFont val="Calibri"/>
              <b val="1"/>
              <sz val="10"/>
            </rPr>
            <t>Complexity:</t>
          </r>
          <r>
            <rPr>
              <rFont val="Calibri"/>
              <sz val="10"/>
            </rPr>
            <t xml:space="preserve"> Hardest problems in the domain
</t>
          </r>
          <r>
            <rPr>
              <rFont val="Calibri"/>
              <b val="1"/>
              <sz val="10"/>
            </rPr>
            <t>Decisions:</t>
          </r>
          <r>
            <rPr>
              <rFont val="Calibri"/>
              <sz val="10"/>
            </rPr>
            <t xml:space="preserve"> Allocates people and sets team priorities
</t>
          </r>
          <r>
            <rPr>
              <rFont val="Calibri"/>
              <b val="1"/>
              <sz val="10"/>
            </rPr>
            <t>Answers for:</t>
          </r>
          <r>
            <rPr>
              <rFont val="Calibri"/>
              <sz val="10"/>
            </rPr>
            <t xml:space="preserve"> One team or a client portfolio
</t>
          </r>
          <r>
            <rPr>
              <rFont val="Calibri"/>
              <b val="1"/>
              <sz val="10"/>
            </rPr>
            <t>Leadership:</t>
          </r>
          <r>
            <rPr>
              <rFont val="Calibri"/>
              <sz val="10"/>
            </rPr>
            <t xml:space="preserve"> IC: guides others in the domain · People: manages a team of 6+</t>
          </r>
        </is>
      </c>
      <c r="P33" s="12" t="inlineStr">
        <is>
          <t>6–9 yrs
Graduate or postgraduate; professional qualification preferred</t>
        </is>
      </c>
      <c r="Q33" s="12" t="inlineStr">
        <is>
          <t>Core 3 · Future-ready 3 · Functional 4 · Leadership 2
★ Stakeholder &amp; Client Management · Communication &amp; Presentation</t>
        </is>
      </c>
      <c r="R33" s="12" t="inlineStr">
        <is>
          <t>Enable workforce and organisational capability. Includes: HR operations, TA, OD, learning, reward, analytics and partnering. Excludes: Line-manager accountability for the operating business.</t>
        </is>
      </c>
      <c r="S33" s="12" t="inlineStr">
        <is>
          <r>
            <rPr>
              <rFont val="Calibri"/>
              <b val="1"/>
              <sz val="10"/>
            </rPr>
            <t>Comparable stage:</t>
          </r>
          <r>
            <rPr>
              <rFont val="Calibri"/>
              <sz val="10"/>
            </rPr>
            <t xml:space="preserve"> HR02-3 · Senior Recruiter
Own difficult searches and advise on selection quality.
</t>
          </r>
          <r>
            <rPr>
              <rFont val="Calibri"/>
              <b val="1"/>
              <sz val="10"/>
            </rPr>
            <t>Ready when:</t>
          </r>
          <r>
            <rPr>
              <rFont val="Calibri"/>
              <sz val="10"/>
            </rPr>
            <t xml:space="preserve"> Evidence of complex work, decisions and outcomes beyond routine delivery.
</t>
          </r>
          <r>
            <rPr>
              <rFont val="Calibri"/>
              <b val="1"/>
              <sz val="10"/>
            </rPr>
            <t>Work sample:</t>
          </r>
          <r>
            <rPr>
              <rFont val="Calibri"/>
              <sz val="10"/>
            </rPr>
            <t xml:space="preserve"> A hiring process with role-based criteria, consistent assessment and quality outcomes</t>
          </r>
        </is>
      </c>
      <c r="T33" s="12" t="inlineStr">
        <is>
          <t>Radford / Mercer P4 / M3 · SFIA 4–5
IRIS Vs Competitor Benchmark — HR ladder: HR Manager / Senior HRBP</t>
        </is>
      </c>
      <c r="U33" s="12" t="inlineStr">
        <is>
          <t>B3 · Lead Specialist</t>
        </is>
      </c>
      <c r="V33" s="12" t="inlineStr">
        <is>
          <t>Framework + sub-family themes · 3+ answered</t>
        </is>
      </c>
    </row>
    <row r="34">
      <c r="A34" s="88" t="inlineStr">
        <is>
          <t>IT &amp; Infrastructure</t>
        </is>
      </c>
    </row>
    <row r="35" ht="106" customHeight="1">
      <c r="A35" s="89" t="inlineStr">
        <is>
          <t>RC-106</t>
        </is>
      </c>
      <c r="B35" s="12" t="inlineStr">
        <is>
          <t>IT &amp; Infrastructure</t>
        </is>
      </c>
      <c r="C35" s="12" t="inlineStr">
        <is>
          <t>End-User Support</t>
        </is>
      </c>
      <c r="D35" s="16" t="inlineStr">
        <is>
          <t>A3</t>
        </is>
      </c>
      <c r="E35" s="17" t="inlineStr">
        <is>
          <t>Senior Associate</t>
        </is>
      </c>
      <c r="F35" s="12" t="inlineStr">
        <is>
          <t>IC</t>
        </is>
      </c>
      <c r="G35" s="12" t="inlineStr">
        <is>
          <t>Senior Desktop Support Engineer</t>
        </is>
      </c>
      <c r="H35" s="12" t="inlineStr">
        <is>
          <t>Sagar Jamadar</t>
        </is>
      </c>
      <c r="I35" s="12" t="inlineStr">
        <is>
          <t>IT &amp; Infrastructure</t>
        </is>
      </c>
      <c r="J35" s="12" t="inlineStr">
        <is>
          <r>
            <rPr>
              <rFont val="Calibri"/>
              <b val="1"/>
              <sz val="10"/>
            </rPr>
            <t>At A3:</t>
          </r>
          <r>
            <rPr>
              <rFont val="Calibri"/>
              <sz val="10"/>
            </rPr>
            <t xml:space="preserve"> varied work; reviews juniors; go-to for a process.</t>
          </r>
        </is>
      </c>
      <c r="K35" s="12" t="inlineStr">
        <is>
          <t>Varied and non-standard work; handles exceptions; A module / process, or work with client or regulatory consequences</t>
        </is>
      </c>
      <c r="L35" s="12" t="inlineStr">
        <is>
          <t>Technical / QC / client calls on own work</t>
        </is>
      </c>
      <c r="M35" s="12" t="inlineStr">
        <is>
          <t>—</t>
        </is>
      </c>
      <c r="N35" s="12" t="inlineStr">
        <is>
          <t>—</t>
        </is>
      </c>
      <c r="O35" s="12" t="inlineStr">
        <is>
          <r>
            <rPr>
              <rFont val="Calibri"/>
              <b val="1"/>
              <sz val="10"/>
            </rPr>
            <t>Owns:</t>
          </r>
          <r>
            <rPr>
              <rFont val="Calibri"/>
              <sz val="10"/>
            </rPr>
            <t xml:space="preserve"> Varied work; reviews juniors; go-to for a process
</t>
          </r>
          <r>
            <rPr>
              <rFont val="Calibri"/>
              <b val="1"/>
              <sz val="10"/>
            </rPr>
            <t>Complexity:</t>
          </r>
          <r>
            <rPr>
              <rFont val="Calibri"/>
              <sz val="10"/>
            </rPr>
            <t xml:space="preserve"> Varied and non-standard work; handles exceptions
</t>
          </r>
          <r>
            <rPr>
              <rFont val="Calibri"/>
              <b val="1"/>
              <sz val="10"/>
            </rPr>
            <t>Decisions:</t>
          </r>
          <r>
            <rPr>
              <rFont val="Calibri"/>
              <sz val="10"/>
            </rPr>
            <t xml:space="preserve"> Technical / QC / client calls on own work
</t>
          </r>
          <r>
            <rPr>
              <rFont val="Calibri"/>
              <b val="1"/>
              <sz val="10"/>
            </rPr>
            <t>Answers for:</t>
          </r>
          <r>
            <rPr>
              <rFont val="Calibri"/>
              <sz val="10"/>
            </rPr>
            <t xml:space="preserve"> A module / process, or work with client or regulatory consequences
</t>
          </r>
          <r>
            <rPr>
              <rFont val="Calibri"/>
              <b val="1"/>
              <sz val="10"/>
            </rPr>
            <t>Leadership:</t>
          </r>
          <r>
            <rPr>
              <rFont val="Calibri"/>
              <sz val="10"/>
            </rPr>
            <t xml:space="preserve"> Not scored in Band A</t>
          </r>
        </is>
      </c>
      <c r="P35" s="12" t="inlineStr">
        <is>
          <t>2–4 yrs
Graduate; relevant certification preferred</t>
        </is>
      </c>
      <c r="Q35" s="12" t="inlineStr">
        <is>
          <t>Core 2 · Future-ready 2 · Functional 3 · Leadership —
★ Cybersecurity &amp; Infrastructure · Cloud, DevOps &amp; CI/CD</t>
        </is>
      </c>
      <c r="R35" s="12" t="inlineStr">
        <is>
          <t>Provide secure organisational technology services. Includes: Internal infrastructure, employee technology and enterprise security. Excludes: Customer product support; application development.</t>
        </is>
      </c>
      <c r="S35" s="12" t="inlineStr">
        <is>
          <r>
            <rPr>
              <rFont val="Calibri"/>
              <b val="1"/>
              <sz val="10"/>
            </rPr>
            <t>Comparable stage:</t>
          </r>
          <r>
            <rPr>
              <rFont val="Calibri"/>
              <sz val="10"/>
            </rPr>
            <t xml:space="preserve"> IT02-2 · IT Support Analyst
Resolve employee incidents and administer approved access requests.
</t>
          </r>
          <r>
            <rPr>
              <rFont val="Calibri"/>
              <b val="1"/>
              <sz val="10"/>
            </rPr>
            <t>Ready when:</t>
          </r>
          <r>
            <rPr>
              <rFont val="Calibri"/>
              <sz val="10"/>
            </rPr>
            <t xml:space="preserve"> Demonstrate routine delivery plus judgement in bounded exceptions.
</t>
          </r>
          <r>
            <rPr>
              <rFont val="Calibri"/>
              <b val="1"/>
              <sz val="10"/>
            </rPr>
            <t>Work sample:</t>
          </r>
          <r>
            <rPr>
              <rFont val="Calibri"/>
              <sz val="10"/>
            </rPr>
            <t xml:space="preserve"> A resolved service set with secure access practices and accurate asset records</t>
          </r>
        </is>
      </c>
      <c r="T35" s="12" t="inlineStr">
        <is>
          <r>
            <rPr>
              <rFont val="Calibri"/>
              <sz val="10"/>
            </rPr>
            <t xml:space="preserve">Radford / Mercer P2 · SFIA 3 Apply
</t>
          </r>
          <r>
            <rPr>
              <rFont val="Calibri"/>
              <b val="1"/>
              <sz val="10"/>
            </rPr>
            <t>Atlassian company-wide P-levels:</t>
          </r>
          <r>
            <rPr>
              <rFont val="Calibri"/>
              <sz val="10"/>
            </rPr>
            <t xml:space="preserve"> P40 · IRIS Vs Competitor Benchmark — infrastructure ladder: System Administrator</t>
          </r>
        </is>
      </c>
      <c r="U35" s="12" t="inlineStr">
        <is>
          <t>B1 · Specialist</t>
        </is>
      </c>
      <c r="V35" s="12" t="inlineStr">
        <is>
          <t>Framework only · fewer than 3 answered</t>
        </is>
      </c>
    </row>
    <row r="36" ht="93" customHeight="1">
      <c r="A36" s="89" t="inlineStr">
        <is>
          <t>RC-107</t>
        </is>
      </c>
      <c r="B36" s="12" t="inlineStr">
        <is>
          <t>IT &amp; Infrastructure</t>
        </is>
      </c>
      <c r="C36" s="12" t="inlineStr">
        <is>
          <t>IT Infrastructure Leadership</t>
        </is>
      </c>
      <c r="D36" s="20" t="inlineStr">
        <is>
          <t>B2</t>
        </is>
      </c>
      <c r="E36" s="21" t="inlineStr">
        <is>
          <t>Manager</t>
        </is>
      </c>
      <c r="F36" s="12" t="inlineStr">
        <is>
          <t>Manager</t>
        </is>
      </c>
      <c r="G36" s="12" t="inlineStr">
        <is>
          <t>Senior IT Manager</t>
        </is>
      </c>
      <c r="H36" s="12" t="inlineStr">
        <is>
          <t>Mahesh Tilave</t>
        </is>
      </c>
      <c r="I36" s="12" t="inlineStr">
        <is>
          <t>IT &amp; Infrastructure</t>
        </is>
      </c>
      <c r="J36" s="12" t="inlineStr">
        <is>
          <t>Leads infrastructure operations, ISO governance and IT vendors. At B2: deep domain expertise, or one team.</t>
        </is>
      </c>
      <c r="K36" s="12" t="inlineStr">
        <is>
          <t>Leads infrastructure operations, ISO governance and IT vendors; Hardest problems in the domain; One team or a client portfolio</t>
        </is>
      </c>
      <c r="L36" s="12" t="inlineStr">
        <is>
          <t>Allocates people and sets team priorities</t>
        </is>
      </c>
      <c r="M36" s="12" t="inlineStr">
        <is>
          <t>—</t>
        </is>
      </c>
      <c r="N36" s="12" t="inlineStr">
        <is>
          <t>—</t>
        </is>
      </c>
      <c r="O36" s="12" t="inlineStr">
        <is>
          <r>
            <rPr>
              <rFont val="Calibri"/>
              <b val="1"/>
              <sz val="10"/>
            </rPr>
            <t>Owns:</t>
          </r>
          <r>
            <rPr>
              <rFont val="Calibri"/>
              <sz val="10"/>
            </rPr>
            <t xml:space="preserve"> Deep domain expertise, or one team
</t>
          </r>
          <r>
            <rPr>
              <rFont val="Calibri"/>
              <b val="1"/>
              <sz val="10"/>
            </rPr>
            <t>Complexity:</t>
          </r>
          <r>
            <rPr>
              <rFont val="Calibri"/>
              <sz val="10"/>
            </rPr>
            <t xml:space="preserve"> Hardest problems in the domain
</t>
          </r>
          <r>
            <rPr>
              <rFont val="Calibri"/>
              <b val="1"/>
              <sz val="10"/>
            </rPr>
            <t>Decisions:</t>
          </r>
          <r>
            <rPr>
              <rFont val="Calibri"/>
              <sz val="10"/>
            </rPr>
            <t xml:space="preserve"> Allocates people and sets team priorities
</t>
          </r>
          <r>
            <rPr>
              <rFont val="Calibri"/>
              <b val="1"/>
              <sz val="10"/>
            </rPr>
            <t>Answers for:</t>
          </r>
          <r>
            <rPr>
              <rFont val="Calibri"/>
              <sz val="10"/>
            </rPr>
            <t xml:space="preserve"> One team or a client portfolio
</t>
          </r>
          <r>
            <rPr>
              <rFont val="Calibri"/>
              <b val="1"/>
              <sz val="10"/>
            </rPr>
            <t>Leadership:</t>
          </r>
          <r>
            <rPr>
              <rFont val="Calibri"/>
              <sz val="10"/>
            </rPr>
            <t xml:space="preserve"> IC: guides others in the domain · People: manages a team of 6+</t>
          </r>
        </is>
      </c>
      <c r="P36" s="12" t="inlineStr">
        <is>
          <t>6–9 yrs
Graduate or postgraduate; professional qualification preferred</t>
        </is>
      </c>
      <c r="Q36" s="12" t="inlineStr">
        <is>
          <t>Core 3 · Future-ready 3 · Functional 4 · Leadership 3
★ Cybersecurity &amp; Infrastructure · Cloud, DevOps &amp; CI/CD</t>
        </is>
      </c>
      <c r="R36" s="12" t="inlineStr">
        <is>
          <t>Provide secure organisational technology services. Includes: Internal infrastructure, employee technology and enterprise security. Excludes: Customer product support; application development.</t>
        </is>
      </c>
      <c r="S36" s="12" t="inlineStr">
        <is>
          <r>
            <rPr>
              <rFont val="Calibri"/>
              <b val="1"/>
              <sz val="10"/>
            </rPr>
            <t>Comparable stage:</t>
          </r>
          <r>
            <rPr>
              <rFont val="Calibri"/>
              <sz val="10"/>
            </rPr>
            <t xml:space="preserve"> LD13-1 · IT Operations / Security Manager
Own staffing decisions, performance support, service quality and delegated team resources
</t>
          </r>
          <r>
            <rPr>
              <rFont val="Calibri"/>
              <b val="1"/>
              <sz val="10"/>
            </rPr>
            <t>Ready when:</t>
          </r>
          <r>
            <rPr>
              <rFont val="Calibri"/>
              <sz val="10"/>
            </rPr>
            <t xml:space="preserve"> Do not manufacture three reporting layers. Choose roles the organisation needs. A specialist may remain on an equally valued expert path.</t>
          </r>
        </is>
      </c>
      <c r="T36" s="12" t="inlineStr">
        <is>
          <r>
            <rPr>
              <rFont val="Calibri"/>
              <sz val="10"/>
            </rPr>
            <t xml:space="preserve">Radford / Mercer P4 / M3 · SFIA 4–5
</t>
          </r>
          <r>
            <rPr>
              <rFont val="Calibri"/>
              <b val="1"/>
              <sz val="10"/>
            </rPr>
            <t>Atlassian company-wide P-levels:</t>
          </r>
          <r>
            <rPr>
              <rFont val="Calibri"/>
              <sz val="10"/>
            </rPr>
            <t xml:space="preserve"> P50 Senior · IRIS Vs Competitor Benchmark — infrastructure ladder: Infrastructure Lead</t>
          </r>
        </is>
      </c>
      <c r="U36" s="12" t="inlineStr">
        <is>
          <t>B3 · Lead Specialist</t>
        </is>
      </c>
      <c r="V36" s="12" t="inlineStr">
        <is>
          <t>Framework only · fewer than 3 answered</t>
        </is>
      </c>
    </row>
    <row r="37" ht="106" customHeight="1">
      <c r="A37" s="89" t="inlineStr">
        <is>
          <t>RC-108</t>
        </is>
      </c>
      <c r="B37" s="12" t="inlineStr">
        <is>
          <t>IT &amp; Infrastructure</t>
        </is>
      </c>
      <c r="C37" s="12" t="inlineStr">
        <is>
          <t>Infrastructure &amp; Cloud Operations</t>
        </is>
      </c>
      <c r="D37" s="16" t="inlineStr">
        <is>
          <t>A3</t>
        </is>
      </c>
      <c r="E37" s="17" t="inlineStr">
        <is>
          <t>Senior Associate</t>
        </is>
      </c>
      <c r="F37" s="12" t="inlineStr">
        <is>
          <t>IC</t>
        </is>
      </c>
      <c r="G37" s="12" t="inlineStr">
        <is>
          <t>Senior System Administrator · Infrastructure Specialist</t>
        </is>
      </c>
      <c r="H37" s="12" t="inlineStr">
        <is>
          <t>Amit Gangaram Kamble, Gouri Kohale, Hemant Chordekar, Ketan Balbhadra Yadav, Nimit Sadafal, Rajyalakshmi Koyagura, Sandip Mane, Vishal Vare</t>
        </is>
      </c>
      <c r="I37" s="12" t="inlineStr">
        <is>
          <t>IT &amp; Infrastructure</t>
        </is>
      </c>
      <c r="J37" s="12" t="inlineStr">
        <is>
          <r>
            <rPr>
              <rFont val="Calibri"/>
              <sz val="10"/>
            </rPr>
            <t xml:space="preserve">Runs servers, AD/DNS, network, cloud, hosting, backup and DR. At A3: varied work; reviews juniors; go-to for a process.
</t>
          </r>
          <r>
            <rPr>
              <rFont val="Calibri"/>
              <b val="1"/>
              <sz val="10"/>
            </rPr>
            <t>Common themes in role-holders' answers:</t>
          </r>
          <r>
            <rPr>
              <rFont val="Calibri"/>
              <sz val="10"/>
            </rPr>
            <t xml:space="preserve"> server · support · security · windows · infrastructure · system</t>
          </r>
        </is>
      </c>
      <c r="K37" s="12" t="inlineStr">
        <is>
          <r>
            <rPr>
              <rFont val="Calibri"/>
              <sz val="10"/>
            </rPr>
            <t xml:space="preserve">Runs servers, AD/DNS, network, cloud, hosting, backup and DR; Varied and non-standard work; handles exceptions; A module / process, or work with client or regulatory consequences
</t>
          </r>
          <r>
            <rPr>
              <rFont val="Calibri"/>
              <b val="1"/>
              <sz val="10"/>
            </rPr>
            <t>Common themes in role-holders' answers:</t>
          </r>
          <r>
            <rPr>
              <rFont val="Calibri"/>
              <sz val="10"/>
            </rPr>
            <t xml:space="preserve"> server · dns · security · cloud · monitoring · administration</t>
          </r>
        </is>
      </c>
      <c r="L37" s="12" t="inlineStr">
        <is>
          <r>
            <rPr>
              <rFont val="Calibri"/>
              <sz val="10"/>
            </rPr>
            <t xml:space="preserve">Technical / QC / client calls on own work
</t>
          </r>
          <r>
            <rPr>
              <rFont val="Calibri"/>
              <b val="1"/>
              <sz val="10"/>
            </rPr>
            <t>Common themes in role-holders' answers:</t>
          </r>
          <r>
            <rPr>
              <rFont val="Calibri"/>
              <sz val="10"/>
            </rPr>
            <t xml:space="preserve"> backup · optimize · monitor · resolve</t>
          </r>
        </is>
      </c>
      <c r="M37" s="12" t="inlineStr">
        <is>
          <t>—</t>
        </is>
      </c>
      <c r="N37" s="12" t="inlineStr">
        <is>
          <r>
            <rPr>
              <rFont val="Calibri"/>
              <b val="1"/>
              <sz val="10"/>
            </rPr>
            <t>Skills:</t>
          </r>
          <r>
            <rPr>
              <rFont val="Calibri"/>
              <sz val="10"/>
            </rPr>
            <t xml:space="preserve"> Infra</t>
          </r>
        </is>
      </c>
      <c r="O37" s="12" t="inlineStr">
        <is>
          <r>
            <rPr>
              <rFont val="Calibri"/>
              <b val="1"/>
              <sz val="10"/>
            </rPr>
            <t>Owns:</t>
          </r>
          <r>
            <rPr>
              <rFont val="Calibri"/>
              <sz val="10"/>
            </rPr>
            <t xml:space="preserve"> Varied work; reviews juniors; go-to for a process
</t>
          </r>
          <r>
            <rPr>
              <rFont val="Calibri"/>
              <b val="1"/>
              <sz val="10"/>
            </rPr>
            <t>Complexity:</t>
          </r>
          <r>
            <rPr>
              <rFont val="Calibri"/>
              <sz val="10"/>
            </rPr>
            <t xml:space="preserve"> Varied and non-standard work; handles exceptions
</t>
          </r>
          <r>
            <rPr>
              <rFont val="Calibri"/>
              <b val="1"/>
              <sz val="10"/>
            </rPr>
            <t>Decisions:</t>
          </r>
          <r>
            <rPr>
              <rFont val="Calibri"/>
              <sz val="10"/>
            </rPr>
            <t xml:space="preserve"> Technical / QC / client calls on own work
</t>
          </r>
          <r>
            <rPr>
              <rFont val="Calibri"/>
              <b val="1"/>
              <sz val="10"/>
            </rPr>
            <t>Answers for:</t>
          </r>
          <r>
            <rPr>
              <rFont val="Calibri"/>
              <sz val="10"/>
            </rPr>
            <t xml:space="preserve"> A module / process, or work with client or regulatory consequences
</t>
          </r>
          <r>
            <rPr>
              <rFont val="Calibri"/>
              <b val="1"/>
              <sz val="10"/>
            </rPr>
            <t>Leadership:</t>
          </r>
          <r>
            <rPr>
              <rFont val="Calibri"/>
              <sz val="10"/>
            </rPr>
            <t xml:space="preserve"> Not scored in Band A</t>
          </r>
        </is>
      </c>
      <c r="P37" s="12" t="inlineStr">
        <is>
          <t>2–4 yrs
Graduate; relevant certification preferred</t>
        </is>
      </c>
      <c r="Q37" s="12" t="inlineStr">
        <is>
          <t>Core 2 · Future-ready 2 · Functional 3 · Leadership —
★ Cybersecurity &amp; Infrastructure · Cloud, DevOps &amp; CI/CD</t>
        </is>
      </c>
      <c r="R37" s="12" t="inlineStr">
        <is>
          <t>Provide secure organisational technology services. Includes: Internal infrastructure, employee technology and enterprise security. Excludes: Customer product support; application development.</t>
        </is>
      </c>
      <c r="S37" s="12" t="inlineStr">
        <is>
          <r>
            <rPr>
              <rFont val="Calibri"/>
              <b val="1"/>
              <sz val="10"/>
            </rPr>
            <t>Comparable stage:</t>
          </r>
          <r>
            <rPr>
              <rFont val="Calibri"/>
              <sz val="10"/>
            </rPr>
            <t xml:space="preserve"> IT01-2 · Cloud Infrastructure Engineer
Operate secure infrastructure and verify restoration.
</t>
          </r>
          <r>
            <rPr>
              <rFont val="Calibri"/>
              <b val="1"/>
              <sz val="10"/>
            </rPr>
            <t>Ready when:</t>
          </r>
          <r>
            <rPr>
              <rFont val="Calibri"/>
              <sz val="10"/>
            </rPr>
            <t xml:space="preserve"> Demonstrate routine delivery plus judgement in bounded exceptions.
</t>
          </r>
          <r>
            <rPr>
              <rFont val="Calibri"/>
              <b val="1"/>
              <sz val="10"/>
            </rPr>
            <t>Work sample:</t>
          </r>
          <r>
            <rPr>
              <rFont val="Calibri"/>
              <sz val="10"/>
            </rPr>
            <t xml:space="preserve"> A supported environment with secure configuration and tested restoration</t>
          </r>
        </is>
      </c>
      <c r="T37" s="12" t="inlineStr">
        <is>
          <r>
            <rPr>
              <rFont val="Calibri"/>
              <sz val="10"/>
            </rPr>
            <t xml:space="preserve">Radford / Mercer P2 · SFIA 3 Apply
</t>
          </r>
          <r>
            <rPr>
              <rFont val="Calibri"/>
              <b val="1"/>
              <sz val="10"/>
            </rPr>
            <t>Atlassian company-wide P-levels:</t>
          </r>
          <r>
            <rPr>
              <rFont val="Calibri"/>
              <sz val="10"/>
            </rPr>
            <t xml:space="preserve"> P40 · IRIS Vs Competitor Benchmark — infrastructure ladder: System Administrator</t>
          </r>
        </is>
      </c>
      <c r="U37" s="12" t="inlineStr">
        <is>
          <t>B1 · Specialist</t>
        </is>
      </c>
      <c r="V37" s="12" t="inlineStr">
        <is>
          <t>Framework + role-holders' themes · 3+ answered</t>
        </is>
      </c>
    </row>
    <row r="38" ht="106" customHeight="1">
      <c r="A38" s="89" t="inlineStr">
        <is>
          <t>RC-109</t>
        </is>
      </c>
      <c r="B38" s="12" t="inlineStr">
        <is>
          <t>IT &amp; Infrastructure</t>
        </is>
      </c>
      <c r="C38" s="12" t="inlineStr">
        <is>
          <t>Infrastructure &amp; Cloud Operations</t>
        </is>
      </c>
      <c r="D38" s="20" t="inlineStr">
        <is>
          <t>B1</t>
        </is>
      </c>
      <c r="E38" s="21" t="inlineStr">
        <is>
          <t>Specialist</t>
        </is>
      </c>
      <c r="F38" s="12" t="inlineStr">
        <is>
          <t>IC</t>
        </is>
      </c>
      <c r="G38" s="12" t="inlineStr">
        <is>
          <t>Infrastructure Specialist · Infrastructure Specialist – POD Lead</t>
        </is>
      </c>
      <c r="H38" s="12" t="inlineStr">
        <is>
          <t>Rajit Kumar Sahu, Ramesh Kone</t>
        </is>
      </c>
      <c r="I38" s="12" t="inlineStr">
        <is>
          <t>IT &amp; Infrastructure</t>
        </is>
      </c>
      <c r="J38" s="12" t="inlineStr">
        <is>
          <r>
            <rPr>
              <rFont val="Calibri"/>
              <sz val="10"/>
            </rPr>
            <t xml:space="preserve">Runs servers, AD/DNS, network, cloud, hosting, backup and DR. At B1: a domain / module, or a small team.
</t>
          </r>
          <r>
            <rPr>
              <rFont val="Calibri"/>
              <b val="1"/>
              <sz val="10"/>
            </rPr>
            <t>Common themes in sub-family holders, all levels' answers:</t>
          </r>
          <r>
            <rPr>
              <rFont val="Calibri"/>
              <sz val="10"/>
            </rPr>
            <t xml:space="preserve"> support · infra · services · secure · availability · windows</t>
          </r>
        </is>
      </c>
      <c r="K38" s="12" t="inlineStr">
        <is>
          <r>
            <rPr>
              <rFont val="Calibri"/>
              <sz val="10"/>
            </rPr>
            <t xml:space="preserve">Runs servers, AD/DNS, network, cloud, hosting, backup and DR; Domain specialist work; A domain or a small team
</t>
          </r>
          <r>
            <rPr>
              <rFont val="Calibri"/>
              <b val="1"/>
              <sz val="10"/>
            </rPr>
            <t>Common themes in sub-family holders, all levels' answers:</t>
          </r>
          <r>
            <rPr>
              <rFont val="Calibri"/>
              <sz val="10"/>
            </rPr>
            <t xml:space="preserve"> management · server · cloud · administration · dns · incident</t>
          </r>
        </is>
      </c>
      <c r="L38" s="12" t="inlineStr">
        <is>
          <r>
            <rPr>
              <rFont val="Calibri"/>
              <sz val="10"/>
            </rPr>
            <t xml:space="preserve">Technical / QC / client calls for the domain
</t>
          </r>
          <r>
            <rPr>
              <rFont val="Calibri"/>
              <b val="1"/>
              <sz val="10"/>
            </rPr>
            <t>Common themes in sub-family holders, all levels' answers:</t>
          </r>
          <r>
            <rPr>
              <rFont val="Calibri"/>
              <sz val="10"/>
            </rPr>
            <t xml:space="preserve"> backup · tuning · incident · failed · performance · optimize</t>
          </r>
        </is>
      </c>
      <c r="M38" s="12" t="inlineStr">
        <is>
          <t>—</t>
        </is>
      </c>
      <c r="N38" s="12" t="inlineStr">
        <is>
          <r>
            <rPr>
              <rFont val="Calibri"/>
              <b val="1"/>
              <sz val="10"/>
            </rPr>
            <t>Skills:</t>
          </r>
          <r>
            <rPr>
              <rFont val="Calibri"/>
              <sz val="10"/>
            </rPr>
            <t xml:space="preserve"> Infra
</t>
          </r>
          <r>
            <rPr>
              <rFont val="Calibri"/>
              <b val="1"/>
              <sz val="10"/>
            </rPr>
            <t>Tools:</t>
          </r>
          <r>
            <rPr>
              <rFont val="Calibri"/>
              <sz val="10"/>
            </rPr>
            <t xml:space="preserve"> AWS</t>
          </r>
        </is>
      </c>
      <c r="O38" s="12" t="inlineStr">
        <is>
          <r>
            <rPr>
              <rFont val="Calibri"/>
              <b val="1"/>
              <sz val="10"/>
            </rPr>
            <t>Owns:</t>
          </r>
          <r>
            <rPr>
              <rFont val="Calibri"/>
              <sz val="10"/>
            </rPr>
            <t xml:space="preserve"> A domain / module, or a small team
</t>
          </r>
          <r>
            <rPr>
              <rFont val="Calibri"/>
              <b val="1"/>
              <sz val="10"/>
            </rPr>
            <t>Complexity:</t>
          </r>
          <r>
            <rPr>
              <rFont val="Calibri"/>
              <sz val="10"/>
            </rPr>
            <t xml:space="preserve"> Domain specialist work
</t>
          </r>
          <r>
            <rPr>
              <rFont val="Calibri"/>
              <b val="1"/>
              <sz val="10"/>
            </rPr>
            <t>Decisions:</t>
          </r>
          <r>
            <rPr>
              <rFont val="Calibri"/>
              <sz val="10"/>
            </rPr>
            <t xml:space="preserve"> Technical / QC / client calls for the domain
</t>
          </r>
          <r>
            <rPr>
              <rFont val="Calibri"/>
              <b val="1"/>
              <sz val="10"/>
            </rPr>
            <t>Answers for:</t>
          </r>
          <r>
            <rPr>
              <rFont val="Calibri"/>
              <sz val="10"/>
            </rPr>
            <t xml:space="preserve"> A domain or a small team
</t>
          </r>
          <r>
            <rPr>
              <rFont val="Calibri"/>
              <b val="1"/>
              <sz val="10"/>
            </rPr>
            <t>Leadership:</t>
          </r>
          <r>
            <rPr>
              <rFont val="Calibri"/>
              <sz val="10"/>
            </rPr>
            <t xml:space="preserve"> IC: mentors and reviews · People: hands-on team lead of 3–5</t>
          </r>
        </is>
      </c>
      <c r="P38" s="12" t="inlineStr">
        <is>
          <t>4–7 yrs
Graduate + relevant qualification or certification preferred</t>
        </is>
      </c>
      <c r="Q38" s="12" t="inlineStr">
        <is>
          <t>Core 3 · Future-ready 3 · Functional 3 · Leadership 1
★ Cybersecurity &amp; Infrastructure · Cloud, DevOps &amp; CI/CD</t>
        </is>
      </c>
      <c r="R38" s="12" t="inlineStr">
        <is>
          <t>Provide secure organisational technology services. Includes: Internal infrastructure, employee technology and enterprise security. Excludes: Customer product support; application development.</t>
        </is>
      </c>
      <c r="S38" s="12" t="inlineStr">
        <is>
          <r>
            <rPr>
              <rFont val="Calibri"/>
              <b val="1"/>
              <sz val="10"/>
            </rPr>
            <t>Comparable stage:</t>
          </r>
          <r>
            <rPr>
              <rFont val="Calibri"/>
              <sz val="10"/>
            </rPr>
            <t xml:space="preserve"> IT01-3 · Senior Infrastructure Engineer
Own availability, identity and complex infrastructure changes.
</t>
          </r>
          <r>
            <rPr>
              <rFont val="Calibri"/>
              <b val="1"/>
              <sz val="10"/>
            </rPr>
            <t>Ready when:</t>
          </r>
          <r>
            <rPr>
              <rFont val="Calibri"/>
              <sz val="10"/>
            </rPr>
            <t xml:space="preserve"> Evidence of complex work, decisions and outcomes beyond routine delivery.
</t>
          </r>
          <r>
            <rPr>
              <rFont val="Calibri"/>
              <b val="1"/>
              <sz val="10"/>
            </rPr>
            <t>Work sample:</t>
          </r>
          <r>
            <rPr>
              <rFont val="Calibri"/>
              <sz val="10"/>
            </rPr>
            <t xml:space="preserve"> A supported environment with secure configuration and tested restoration</t>
          </r>
        </is>
      </c>
      <c r="T38" s="12" t="inlineStr">
        <is>
          <r>
            <rPr>
              <rFont val="Calibri"/>
              <sz val="10"/>
            </rPr>
            <t xml:space="preserve">Radford / Mercer P3 / M2 · SFIA 4 Enable
</t>
          </r>
          <r>
            <rPr>
              <rFont val="Calibri"/>
              <b val="1"/>
              <sz val="10"/>
            </rPr>
            <t>Atlassian company-wide P-levels:</t>
          </r>
          <r>
            <rPr>
              <rFont val="Calibri"/>
              <sz val="10"/>
            </rPr>
            <t xml:space="preserve"> P40 · IRIS Vs Competitor Benchmark — infrastructure ladder: Senior SysAdmin</t>
          </r>
        </is>
      </c>
      <c r="U38" s="12" t="inlineStr">
        <is>
          <t>B2 · Senior Specialist</t>
        </is>
      </c>
      <c r="V38" s="12" t="inlineStr">
        <is>
          <t>Framework + sub-family themes · 3+ answered</t>
        </is>
      </c>
    </row>
    <row r="39" ht="93" customHeight="1">
      <c r="A39" s="89" t="inlineStr">
        <is>
          <t>RC-110</t>
        </is>
      </c>
      <c r="B39" s="12" t="inlineStr">
        <is>
          <t>IT &amp; Infrastructure</t>
        </is>
      </c>
      <c r="C39" s="12" t="inlineStr">
        <is>
          <t>Infrastructure &amp; Cloud Operations</t>
        </is>
      </c>
      <c r="D39" s="20" t="inlineStr">
        <is>
          <t>B1</t>
        </is>
      </c>
      <c r="E39" s="21" t="inlineStr">
        <is>
          <t>Team Lead</t>
        </is>
      </c>
      <c r="F39" s="12" t="inlineStr">
        <is>
          <t>Manager</t>
        </is>
      </c>
      <c r="G39" s="12" t="inlineStr">
        <is>
          <t>IT Infrastructure Manager</t>
        </is>
      </c>
      <c r="H39" s="12" t="inlineStr">
        <is>
          <t>Vikas Mithbawkar</t>
        </is>
      </c>
      <c r="I39" s="12" t="inlineStr">
        <is>
          <t>IT &amp; Infrastructure</t>
        </is>
      </c>
      <c r="J39" s="12" t="inlineStr">
        <is>
          <r>
            <rPr>
              <rFont val="Calibri"/>
              <sz val="10"/>
            </rPr>
            <t xml:space="preserve">Runs servers, AD/DNS, network, cloud, hosting, backup and DR. At B1: a domain / module, or a small team.
</t>
          </r>
          <r>
            <rPr>
              <rFont val="Calibri"/>
              <b val="1"/>
              <sz val="10"/>
            </rPr>
            <t>Common themes in sub-family holders, all levels' answers:</t>
          </r>
          <r>
            <rPr>
              <rFont val="Calibri"/>
              <sz val="10"/>
            </rPr>
            <t xml:space="preserve"> support · infra · services · secure · availability · windows</t>
          </r>
        </is>
      </c>
      <c r="K39" s="12" t="inlineStr">
        <is>
          <r>
            <rPr>
              <rFont val="Calibri"/>
              <sz val="10"/>
            </rPr>
            <t xml:space="preserve">Runs servers, AD/DNS, network, cloud, hosting, backup and DR; Domain specialist work; A domain or a small team
</t>
          </r>
          <r>
            <rPr>
              <rFont val="Calibri"/>
              <b val="1"/>
              <sz val="10"/>
            </rPr>
            <t>Common themes in sub-family holders, all levels' answers:</t>
          </r>
          <r>
            <rPr>
              <rFont val="Calibri"/>
              <sz val="10"/>
            </rPr>
            <t xml:space="preserve"> management · server · cloud · administration · dns · incident</t>
          </r>
        </is>
      </c>
      <c r="L39" s="12" t="inlineStr">
        <is>
          <r>
            <rPr>
              <rFont val="Calibri"/>
              <sz val="10"/>
            </rPr>
            <t xml:space="preserve">Technical / QC / client calls for the domain
</t>
          </r>
          <r>
            <rPr>
              <rFont val="Calibri"/>
              <b val="1"/>
              <sz val="10"/>
            </rPr>
            <t>Common themes in sub-family holders, all levels' answers:</t>
          </r>
          <r>
            <rPr>
              <rFont val="Calibri"/>
              <sz val="10"/>
            </rPr>
            <t xml:space="preserve"> backup · tuning · incident · failed · performance · optimize</t>
          </r>
        </is>
      </c>
      <c r="M39" s="12" t="inlineStr">
        <is>
          <t>—</t>
        </is>
      </c>
      <c r="N39" s="12" t="inlineStr">
        <is>
          <r>
            <rPr>
              <rFont val="Calibri"/>
              <b val="1"/>
              <sz val="10"/>
            </rPr>
            <t>Skills:</t>
          </r>
          <r>
            <rPr>
              <rFont val="Calibri"/>
              <sz val="10"/>
            </rPr>
            <t xml:space="preserve"> Infra
</t>
          </r>
          <r>
            <rPr>
              <rFont val="Calibri"/>
              <b val="1"/>
              <sz val="10"/>
            </rPr>
            <t>Tools:</t>
          </r>
          <r>
            <rPr>
              <rFont val="Calibri"/>
              <sz val="10"/>
            </rPr>
            <t xml:space="preserve"> AWS</t>
          </r>
        </is>
      </c>
      <c r="O39" s="12" t="inlineStr">
        <is>
          <r>
            <rPr>
              <rFont val="Calibri"/>
              <b val="1"/>
              <sz val="10"/>
            </rPr>
            <t>Owns:</t>
          </r>
          <r>
            <rPr>
              <rFont val="Calibri"/>
              <sz val="10"/>
            </rPr>
            <t xml:space="preserve"> A domain / module, or a small team
</t>
          </r>
          <r>
            <rPr>
              <rFont val="Calibri"/>
              <b val="1"/>
              <sz val="10"/>
            </rPr>
            <t>Complexity:</t>
          </r>
          <r>
            <rPr>
              <rFont val="Calibri"/>
              <sz val="10"/>
            </rPr>
            <t xml:space="preserve"> Domain specialist work
</t>
          </r>
          <r>
            <rPr>
              <rFont val="Calibri"/>
              <b val="1"/>
              <sz val="10"/>
            </rPr>
            <t>Decisions:</t>
          </r>
          <r>
            <rPr>
              <rFont val="Calibri"/>
              <sz val="10"/>
            </rPr>
            <t xml:space="preserve"> Technical / QC / client calls for the domain
</t>
          </r>
          <r>
            <rPr>
              <rFont val="Calibri"/>
              <b val="1"/>
              <sz val="10"/>
            </rPr>
            <t>Answers for:</t>
          </r>
          <r>
            <rPr>
              <rFont val="Calibri"/>
              <sz val="10"/>
            </rPr>
            <t xml:space="preserve"> A domain or a small team
</t>
          </r>
          <r>
            <rPr>
              <rFont val="Calibri"/>
              <b val="1"/>
              <sz val="10"/>
            </rPr>
            <t>Leadership:</t>
          </r>
          <r>
            <rPr>
              <rFont val="Calibri"/>
              <sz val="10"/>
            </rPr>
            <t xml:space="preserve"> IC: mentors and reviews · People: hands-on team lead of 3–5</t>
          </r>
        </is>
      </c>
      <c r="P39" s="12" t="inlineStr">
        <is>
          <t>4–7 yrs
Graduate + relevant qualification or certification preferred</t>
        </is>
      </c>
      <c r="Q39" s="12" t="inlineStr">
        <is>
          <t>Core 3 · Future-ready 3 · Functional 3 · Leadership 2
★ Cybersecurity &amp; Infrastructure · Cloud, DevOps &amp; CI/CD</t>
        </is>
      </c>
      <c r="R39" s="12" t="inlineStr">
        <is>
          <t>Provide secure organisational technology services. Includes: Internal infrastructure, employee technology and enterprise security. Excludes: Customer product support; application development.</t>
        </is>
      </c>
      <c r="S39" s="12" t="inlineStr">
        <is>
          <r>
            <rPr>
              <rFont val="Calibri"/>
              <b val="1"/>
              <sz val="10"/>
            </rPr>
            <t>Comparable stage:</t>
          </r>
          <r>
            <rPr>
              <rFont val="Calibri"/>
              <sz val="10"/>
            </rPr>
            <t xml:space="preserve"> LD13-1 · IT Operations / Security Manager
Own staffing decisions, performance support, service quality and delegated team resources
</t>
          </r>
          <r>
            <rPr>
              <rFont val="Calibri"/>
              <b val="1"/>
              <sz val="10"/>
            </rPr>
            <t>Ready when:</t>
          </r>
          <r>
            <rPr>
              <rFont val="Calibri"/>
              <sz val="10"/>
            </rPr>
            <t xml:space="preserve"> Do not manufacture three reporting layers. Choose roles the organisation needs. A specialist may remain on an equally valued expert path.</t>
          </r>
        </is>
      </c>
      <c r="T39" s="12" t="inlineStr">
        <is>
          <r>
            <rPr>
              <rFont val="Calibri"/>
              <sz val="10"/>
            </rPr>
            <t xml:space="preserve">Radford / Mercer P3 / M2 · SFIA 4 Enable
</t>
          </r>
          <r>
            <rPr>
              <rFont val="Calibri"/>
              <b val="1"/>
              <sz val="10"/>
            </rPr>
            <t>Atlassian company-wide P-levels:</t>
          </r>
          <r>
            <rPr>
              <rFont val="Calibri"/>
              <sz val="10"/>
            </rPr>
            <t xml:space="preserve"> P40 · IRIS Vs Competitor Benchmark — infrastructure ladder: Senior SysAdmin</t>
          </r>
        </is>
      </c>
      <c r="U39" s="12" t="inlineStr">
        <is>
          <t>B2 · Senior Specialist</t>
        </is>
      </c>
      <c r="V39" s="12" t="inlineStr">
        <is>
          <t>Framework + sub-family themes · 3+ answered</t>
        </is>
      </c>
    </row>
    <row r="40">
      <c r="A40" s="88" t="inlineStr">
        <is>
          <t>Marketing &amp; Communications</t>
        </is>
      </c>
    </row>
    <row r="41" ht="119" customHeight="1">
      <c r="A41" s="89" t="inlineStr">
        <is>
          <t>RC-113</t>
        </is>
      </c>
      <c r="B41" s="12" t="inlineStr">
        <is>
          <t>Marketing &amp; Communications</t>
        </is>
      </c>
      <c r="C41" s="12" t="inlineStr">
        <is>
          <t>Content Marketing</t>
        </is>
      </c>
      <c r="D41" s="20" t="inlineStr">
        <is>
          <t>B2</t>
        </is>
      </c>
      <c r="E41" s="21" t="inlineStr">
        <is>
          <t>Senior Specialist</t>
        </is>
      </c>
      <c r="F41" s="12" t="inlineStr">
        <is>
          <t>IC</t>
        </is>
      </c>
      <c r="G41" s="12" t="inlineStr">
        <is>
          <t>Senior Content Marketing Specialist</t>
        </is>
      </c>
      <c r="H41" s="12" t="inlineStr">
        <is>
          <t>Barsha Gloria Gomes</t>
        </is>
      </c>
      <c r="I41" s="12" t="inlineStr">
        <is>
          <t>Marketing</t>
        </is>
      </c>
      <c r="J41" s="12" t="inlineStr">
        <is>
          <r>
            <rPr>
              <rFont val="Calibri"/>
              <sz val="10"/>
            </rPr>
            <t xml:space="preserve">Writes blogs, web copy, collateral and social content. At B2: deep domain expertise, or one team.
</t>
          </r>
          <r>
            <rPr>
              <rFont val="Calibri"/>
              <b val="1"/>
              <sz val="10"/>
            </rPr>
            <t>Common themes in sub-family holders, all levels' answers:</t>
          </r>
          <r>
            <rPr>
              <rFont val="Calibri"/>
              <sz val="10"/>
            </rPr>
            <t xml:space="preserve"> content · creation · brand · marketing · leads · through</t>
          </r>
        </is>
      </c>
      <c r="K41" s="12" t="inlineStr">
        <is>
          <r>
            <rPr>
              <rFont val="Calibri"/>
              <sz val="10"/>
            </rPr>
            <t xml:space="preserve">Writes blogs, web copy, collateral and social content; Hardest problems in the domain; One team or a client portfolio
</t>
          </r>
          <r>
            <rPr>
              <rFont val="Calibri"/>
              <b val="1"/>
              <sz val="10"/>
            </rPr>
            <t>Common themes in sub-family holders, all levels' answers:</t>
          </r>
          <r>
            <rPr>
              <rFont val="Calibri"/>
              <sz val="10"/>
            </rPr>
            <t xml:space="preserve"> content · blogs · week · research · campaign · assets</t>
          </r>
        </is>
      </c>
      <c r="L41" s="12" t="inlineStr">
        <is>
          <r>
            <rPr>
              <rFont val="Calibri"/>
              <sz val="10"/>
            </rPr>
            <t xml:space="preserve">Allocates people and sets team priorities
</t>
          </r>
          <r>
            <rPr>
              <rFont val="Calibri"/>
              <b val="1"/>
              <sz val="10"/>
            </rPr>
            <t>Common themes in sub-family holders, all levels' answers:</t>
          </r>
          <r>
            <rPr>
              <rFont val="Calibri"/>
              <sz val="10"/>
            </rPr>
            <t xml:space="preserve"> seo · blogs · content</t>
          </r>
        </is>
      </c>
      <c r="M41" s="12" t="inlineStr">
        <is>
          <t>—</t>
        </is>
      </c>
      <c r="N41" s="12" t="inlineStr">
        <is>
          <r>
            <rPr>
              <rFont val="Calibri"/>
              <b val="1"/>
              <sz val="10"/>
            </rPr>
            <t>Skills:</t>
          </r>
          <r>
            <rPr>
              <rFont val="Calibri"/>
              <sz val="10"/>
            </rPr>
            <t xml:space="preserve"> Marketing · Research skills · Content strategy · Copywriting
</t>
          </r>
          <r>
            <rPr>
              <rFont val="Calibri"/>
              <b val="1"/>
              <sz val="10"/>
            </rPr>
            <t>Tools:</t>
          </r>
          <r>
            <rPr>
              <rFont val="Calibri"/>
              <sz val="10"/>
            </rPr>
            <t xml:space="preserve"> Semrush · Google Analytics · Canva · Hubspot · Buffer · Claude</t>
          </r>
        </is>
      </c>
      <c r="O41" s="12" t="inlineStr">
        <is>
          <r>
            <rPr>
              <rFont val="Calibri"/>
              <b val="1"/>
              <sz val="10"/>
            </rPr>
            <t>Owns:</t>
          </r>
          <r>
            <rPr>
              <rFont val="Calibri"/>
              <sz val="10"/>
            </rPr>
            <t xml:space="preserve"> Deep domain expertise, or one team
</t>
          </r>
          <r>
            <rPr>
              <rFont val="Calibri"/>
              <b val="1"/>
              <sz val="10"/>
            </rPr>
            <t>Complexity:</t>
          </r>
          <r>
            <rPr>
              <rFont val="Calibri"/>
              <sz val="10"/>
            </rPr>
            <t xml:space="preserve"> Hardest problems in the domain
</t>
          </r>
          <r>
            <rPr>
              <rFont val="Calibri"/>
              <b val="1"/>
              <sz val="10"/>
            </rPr>
            <t>Decisions:</t>
          </r>
          <r>
            <rPr>
              <rFont val="Calibri"/>
              <sz val="10"/>
            </rPr>
            <t xml:space="preserve"> Allocates people and sets team priorities
</t>
          </r>
          <r>
            <rPr>
              <rFont val="Calibri"/>
              <b val="1"/>
              <sz val="10"/>
            </rPr>
            <t>Answers for:</t>
          </r>
          <r>
            <rPr>
              <rFont val="Calibri"/>
              <sz val="10"/>
            </rPr>
            <t xml:space="preserve"> One team or a client portfolio
</t>
          </r>
          <r>
            <rPr>
              <rFont val="Calibri"/>
              <b val="1"/>
              <sz val="10"/>
            </rPr>
            <t>Leadership:</t>
          </r>
          <r>
            <rPr>
              <rFont val="Calibri"/>
              <sz val="10"/>
            </rPr>
            <t xml:space="preserve"> IC: guides others in the domain · People: manages a team of 6+</t>
          </r>
        </is>
      </c>
      <c r="P41" s="12" t="inlineStr">
        <is>
          <t>6–9 yrs
Graduate or postgraduate; professional qualification preferred</t>
        </is>
      </c>
      <c r="Q41" s="12" t="inlineStr">
        <is>
          <t>Core 3 · Future-ready 3 · Functional 4 · Leadership 2
★ Marketing Tech &amp; Digital Marketing · Communication &amp; Presentation</t>
        </is>
      </c>
      <c r="R41" s="12" t="inlineStr">
        <is>
          <t>Create market understanding, demand and reputation. Includes: Content, demand, digital, product marketing, operations and communications. Excludes: Account closing; product UX design.</t>
        </is>
      </c>
      <c r="S41" s="12" t="inlineStr">
        <is>
          <r>
            <rPr>
              <rFont val="Calibri"/>
              <b val="1"/>
              <sz val="10"/>
            </rPr>
            <t>Comparable stage:</t>
          </r>
          <r>
            <rPr>
              <rFont val="Calibri"/>
              <sz val="10"/>
            </rPr>
            <t xml:space="preserve"> MKT01-3 · Senior Content Marketing Specialist
Own an editorial programme and diagnose conversion/quality issues.
</t>
          </r>
          <r>
            <rPr>
              <rFont val="Calibri"/>
              <b val="1"/>
              <sz val="10"/>
            </rPr>
            <t>Ready when:</t>
          </r>
          <r>
            <rPr>
              <rFont val="Calibri"/>
              <sz val="10"/>
            </rPr>
            <t xml:space="preserve"> Evidence of complex work, decisions and outcomes beyond routine delivery.
</t>
          </r>
          <r>
            <rPr>
              <rFont val="Calibri"/>
              <b val="1"/>
              <sz val="10"/>
            </rPr>
            <t>Work sample:</t>
          </r>
          <r>
            <rPr>
              <rFont val="Calibri"/>
              <sz val="10"/>
            </rPr>
            <t xml:space="preserve"> A content portfolio with source accuracy, audience fit and measured qualified engagement</t>
          </r>
        </is>
      </c>
      <c r="T41" s="12" t="inlineStr">
        <is>
          <t>Radford / Mercer P4 / M3 · SFIA 4–5
IRIS Vs Market Benchmark — CIM proficiency scale: 3–4 · IRIS Vs Competitor Benchmark — SaaS marketing ladder: Marketing Manager</t>
        </is>
      </c>
      <c r="U41" s="12" t="inlineStr">
        <is>
          <t>B3 · Lead Specialist</t>
        </is>
      </c>
      <c r="V41" s="12" t="inlineStr">
        <is>
          <t>Framework + sub-family themes · 3+ answered</t>
        </is>
      </c>
    </row>
    <row r="42" ht="106" customHeight="1">
      <c r="A42" s="89" t="inlineStr">
        <is>
          <t>RC-122</t>
        </is>
      </c>
      <c r="B42" s="12" t="inlineStr">
        <is>
          <t>Marketing &amp; Communications</t>
        </is>
      </c>
      <c r="C42" s="12" t="inlineStr">
        <is>
          <t>Marketing Operations &amp; Automation</t>
        </is>
      </c>
      <c r="D42" s="16" t="inlineStr">
        <is>
          <t>A3</t>
        </is>
      </c>
      <c r="E42" s="17" t="inlineStr">
        <is>
          <t>Senior Associate</t>
        </is>
      </c>
      <c r="F42" s="12" t="inlineStr">
        <is>
          <t>IC</t>
        </is>
      </c>
      <c r="G42" s="12" t="inlineStr">
        <is>
          <t>Senior Marketing Operations Associate</t>
        </is>
      </c>
      <c r="H42" s="12" t="inlineStr">
        <is>
          <t>Esther Kanagaselvam D</t>
        </is>
      </c>
      <c r="I42" s="12" t="inlineStr">
        <is>
          <t>Marketing</t>
        </is>
      </c>
      <c r="J42" s="12" t="inlineStr">
        <is>
          <r>
            <rPr>
              <rFont val="Calibri"/>
              <sz val="10"/>
            </rPr>
            <t xml:space="preserve">Maintains CRM/ICP data, marketing automation, reporting and dashboards. At A3: varied work; reviews juniors; go-to for a process.
</t>
          </r>
          <r>
            <rPr>
              <rFont val="Calibri"/>
              <b val="1"/>
              <sz val="10"/>
            </rPr>
            <t>Common themes in role-holders' answers:</t>
          </r>
          <r>
            <rPr>
              <rFont val="Calibri"/>
              <sz val="10"/>
            </rPr>
            <t xml:space="preserve"> business · management · crm · lead</t>
          </r>
        </is>
      </c>
      <c r="K42" s="12" t="inlineStr">
        <is>
          <r>
            <rPr>
              <rFont val="Calibri"/>
              <sz val="10"/>
            </rPr>
            <t xml:space="preserve">Maintains CRM/ICP data, marketing automation, reporting and dashboards; Varied and non-standard work; handles exceptions; A module / process, or work with client or regulatory consequences
</t>
          </r>
          <r>
            <rPr>
              <rFont val="Calibri"/>
              <b val="1"/>
              <sz val="10"/>
            </rPr>
            <t>Common themes in role-holders' answers:</t>
          </r>
          <r>
            <rPr>
              <rFont val="Calibri"/>
              <sz val="10"/>
            </rPr>
            <t xml:space="preserve"> data · crm · lead routing · hygiene · campaign</t>
          </r>
        </is>
      </c>
      <c r="L42" s="12" t="inlineStr">
        <is>
          <r>
            <rPr>
              <rFont val="Calibri"/>
              <sz val="10"/>
            </rPr>
            <t xml:space="preserve">Technical / QC / client calls on own work
</t>
          </r>
          <r>
            <rPr>
              <rFont val="Calibri"/>
              <b val="1"/>
              <sz val="10"/>
            </rPr>
            <t>Common themes in role-holders' answers:</t>
          </r>
          <r>
            <rPr>
              <rFont val="Calibri"/>
              <sz val="10"/>
            </rPr>
            <t xml:space="preserve"> hygiene · data · crm · campaign</t>
          </r>
        </is>
      </c>
      <c r="M42" s="12" t="inlineStr">
        <is>
          <t>—</t>
        </is>
      </c>
      <c r="N42" s="12" t="inlineStr">
        <is>
          <r>
            <rPr>
              <rFont val="Calibri"/>
              <b val="1"/>
              <sz val="10"/>
            </rPr>
            <t>Skills:</t>
          </r>
          <r>
            <rPr>
              <rFont val="Calibri"/>
              <sz val="10"/>
            </rPr>
            <t xml:space="preserve"> Marketing
</t>
          </r>
          <r>
            <rPr>
              <rFont val="Calibri"/>
              <b val="1"/>
              <sz val="10"/>
            </rPr>
            <t>Tools:</t>
          </r>
          <r>
            <rPr>
              <rFont val="Calibri"/>
              <sz val="10"/>
            </rPr>
            <t xml:space="preserve"> Google Ads · Google analytics</t>
          </r>
        </is>
      </c>
      <c r="O42" s="12" t="inlineStr">
        <is>
          <r>
            <rPr>
              <rFont val="Calibri"/>
              <b val="1"/>
              <sz val="10"/>
            </rPr>
            <t>Owns:</t>
          </r>
          <r>
            <rPr>
              <rFont val="Calibri"/>
              <sz val="10"/>
            </rPr>
            <t xml:space="preserve"> Varied work; reviews juniors; go-to for a process
</t>
          </r>
          <r>
            <rPr>
              <rFont val="Calibri"/>
              <b val="1"/>
              <sz val="10"/>
            </rPr>
            <t>Complexity:</t>
          </r>
          <r>
            <rPr>
              <rFont val="Calibri"/>
              <sz val="10"/>
            </rPr>
            <t xml:space="preserve"> Varied and non-standard work; handles exceptions
</t>
          </r>
          <r>
            <rPr>
              <rFont val="Calibri"/>
              <b val="1"/>
              <sz val="10"/>
            </rPr>
            <t>Decisions:</t>
          </r>
          <r>
            <rPr>
              <rFont val="Calibri"/>
              <sz val="10"/>
            </rPr>
            <t xml:space="preserve"> Technical / QC / client calls on own work
</t>
          </r>
          <r>
            <rPr>
              <rFont val="Calibri"/>
              <b val="1"/>
              <sz val="10"/>
            </rPr>
            <t>Answers for:</t>
          </r>
          <r>
            <rPr>
              <rFont val="Calibri"/>
              <sz val="10"/>
            </rPr>
            <t xml:space="preserve"> A module / process, or work with client or regulatory consequences
</t>
          </r>
          <r>
            <rPr>
              <rFont val="Calibri"/>
              <b val="1"/>
              <sz val="10"/>
            </rPr>
            <t>Leadership:</t>
          </r>
          <r>
            <rPr>
              <rFont val="Calibri"/>
              <sz val="10"/>
            </rPr>
            <t xml:space="preserve"> Not scored in Band A</t>
          </r>
        </is>
      </c>
      <c r="P42" s="12" t="inlineStr">
        <is>
          <t>2–4 yrs
Graduate; relevant certification preferred</t>
        </is>
      </c>
      <c r="Q42" s="12" t="inlineStr">
        <is>
          <t>Core 2 · Future-ready 2 · Functional 3 · Leadership —
★ Marketing Tech &amp; Digital Marketing · Communication &amp; Presentation</t>
        </is>
      </c>
      <c r="R42" s="12" t="inlineStr">
        <is>
          <t>Create market understanding, demand and reputation. Includes: Content, demand, digital, product marketing, operations and communications. Excludes: Account closing; product UX design.</t>
        </is>
      </c>
      <c r="S42" s="12" t="inlineStr">
        <is>
          <r>
            <rPr>
              <rFont val="Calibri"/>
              <b val="1"/>
              <sz val="10"/>
            </rPr>
            <t>Comparable stage:</t>
          </r>
          <r>
            <rPr>
              <rFont val="Calibri"/>
              <sz val="10"/>
            </rPr>
            <t xml:space="preserve"> MKT02-2 · Marketing Operations Specialist
Operate clean CRM/automation flows with reliable tracking.
</t>
          </r>
          <r>
            <rPr>
              <rFont val="Calibri"/>
              <b val="1"/>
              <sz val="10"/>
            </rPr>
            <t>Ready when:</t>
          </r>
          <r>
            <rPr>
              <rFont val="Calibri"/>
              <sz val="10"/>
            </rPr>
            <t xml:space="preserve"> Demonstrate routine delivery plus judgement in bounded exceptions.
</t>
          </r>
          <r>
            <rPr>
              <rFont val="Calibri"/>
              <b val="1"/>
              <sz val="10"/>
            </rPr>
            <t>Work sample:</t>
          </r>
          <r>
            <rPr>
              <rFont val="Calibri"/>
              <sz val="10"/>
            </rPr>
            <t xml:space="preserve"> An automated journey with consent controls, data reconciliation and conversion analysis</t>
          </r>
        </is>
      </c>
      <c r="T42" s="12" t="inlineStr">
        <is>
          <t>Radford / Mercer P2 · SFIA 3 Apply
IRIS Vs Market Benchmark — CIM proficiency scale: 2–3 · IRIS Vs Competitor Benchmark — SaaS marketing ladder: Marketing Specialist</t>
        </is>
      </c>
      <c r="U42" s="12" t="inlineStr">
        <is>
          <t>B1 · Specialist</t>
        </is>
      </c>
      <c r="V42" s="12" t="inlineStr">
        <is>
          <t>Framework + role-holders' themes · 3+ answered</t>
        </is>
      </c>
    </row>
    <row r="43">
      <c r="A43" s="88" t="inlineStr">
        <is>
          <t>Project &amp; Program Management</t>
        </is>
      </c>
    </row>
    <row r="44" ht="93" customHeight="1">
      <c r="A44" s="89" t="inlineStr">
        <is>
          <t>RC-133</t>
        </is>
      </c>
      <c r="B44" s="12" t="inlineStr">
        <is>
          <t>Project &amp; Program Management</t>
        </is>
      </c>
      <c r="C44" s="12" t="inlineStr">
        <is>
          <t>PMO &amp; Delivery Excellence</t>
        </is>
      </c>
      <c r="D44" s="20" t="inlineStr">
        <is>
          <t>B3</t>
        </is>
      </c>
      <c r="E44" s="21" t="inlineStr">
        <is>
          <t>Lead Specialist</t>
        </is>
      </c>
      <c r="F44" s="12" t="inlineStr">
        <is>
          <t>IC</t>
        </is>
      </c>
      <c r="G44" s="12" t="inlineStr">
        <is>
          <t>Agile Coach</t>
        </is>
      </c>
      <c r="H44" s="12" t="inlineStr">
        <is>
          <t>Vikas Thakur</t>
        </is>
      </c>
      <c r="I44" s="12" t="inlineStr">
        <is>
          <t>Technology</t>
        </is>
      </c>
      <c r="J44" s="12" t="inlineStr">
        <is>
          <t>Runs delivery governance, tracking, risk and process-improvement; coaches teams on delivery practices. At B3: a practice, or several teams through team leads.</t>
        </is>
      </c>
      <c r="K44" s="12" t="inlineStr">
        <is>
          <t>Runs delivery governance, tracking, risk and process-improvement; coaches teams on delivery practices; Sets standards for a practice; cross-team problems; Several teams or a practice</t>
        </is>
      </c>
      <c r="L44" s="12" t="inlineStr">
        <is>
          <t>Commercial / strategic calls for the unit</t>
        </is>
      </c>
      <c r="M44" s="12" t="inlineStr">
        <is>
          <t>—</t>
        </is>
      </c>
      <c r="N44" s="12" t="inlineStr">
        <is>
          <t>—</t>
        </is>
      </c>
      <c r="O44" s="12" t="inlineStr">
        <is>
          <r>
            <rPr>
              <rFont val="Calibri"/>
              <b val="1"/>
              <sz val="10"/>
            </rPr>
            <t>Owns:</t>
          </r>
          <r>
            <rPr>
              <rFont val="Calibri"/>
              <sz val="10"/>
            </rPr>
            <t xml:space="preserve"> A practice, or several teams through team leads
</t>
          </r>
          <r>
            <rPr>
              <rFont val="Calibri"/>
              <b val="1"/>
              <sz val="10"/>
            </rPr>
            <t>Complexity:</t>
          </r>
          <r>
            <rPr>
              <rFont val="Calibri"/>
              <sz val="10"/>
            </rPr>
            <t xml:space="preserve"> Sets standards for a practice; cross-team problems
</t>
          </r>
          <r>
            <rPr>
              <rFont val="Calibri"/>
              <b val="1"/>
              <sz val="10"/>
            </rPr>
            <t>Decisions:</t>
          </r>
          <r>
            <rPr>
              <rFont val="Calibri"/>
              <sz val="10"/>
            </rPr>
            <t xml:space="preserve"> Commercial / strategic calls for the unit
</t>
          </r>
          <r>
            <rPr>
              <rFont val="Calibri"/>
              <b val="1"/>
              <sz val="10"/>
            </rPr>
            <t>Answers for:</t>
          </r>
          <r>
            <rPr>
              <rFont val="Calibri"/>
              <sz val="10"/>
            </rPr>
            <t xml:space="preserve"> Several teams or a practice
</t>
          </r>
          <r>
            <rPr>
              <rFont val="Calibri"/>
              <b val="1"/>
              <sz val="10"/>
            </rPr>
            <t>Leadership:</t>
          </r>
          <r>
            <rPr>
              <rFont val="Calibri"/>
              <sz val="10"/>
            </rPr>
            <t xml:space="preserve"> IC: leads a practice · People: team leads / managers report in</t>
          </r>
        </is>
      </c>
      <c r="P44" s="12" t="inlineStr">
        <is>
          <t>8–12 yrs
Postgraduate or professional qualification preferred</t>
        </is>
      </c>
      <c r="Q44" s="12" t="inlineStr">
        <is>
          <t>Core 4 · Future-ready 3 · Functional 4 · Leadership 3
★ Project, Program &amp; Agile Management · Stakeholder &amp; Client Management</t>
        </is>
      </c>
      <c r="R44" s="12" t="inlineStr">
        <is>
          <t>Deliver change and govern investment execution. Includes: Project, programme, portfolio and PMO work with distinct mandates. Excludes: Ongoing product strategy; routine service operations.</t>
        </is>
      </c>
      <c r="S44" s="12" t="inlineStr">
        <is>
          <r>
            <rPr>
              <rFont val="Calibri"/>
              <b val="1"/>
              <sz val="10"/>
            </rPr>
            <t>Comparable stage:</t>
          </r>
          <r>
            <rPr>
              <rFont val="Calibri"/>
              <sz val="10"/>
            </rPr>
            <t xml:space="preserve"> PMO02-4 · PMO Lead
Design governance that changes investment and delivery decisions.
</t>
          </r>
          <r>
            <rPr>
              <rFont val="Calibri"/>
              <b val="1"/>
              <sz val="10"/>
            </rPr>
            <t>Ready when:</t>
          </r>
          <r>
            <rPr>
              <rFont val="Calibri"/>
              <sz val="10"/>
            </rPr>
            <t xml:space="preserve"> Adoption beyond own work; recurring authority and measurable wider outcomes.
</t>
          </r>
          <r>
            <rPr>
              <rFont val="Calibri"/>
              <b val="1"/>
              <sz val="10"/>
            </rPr>
            <t>Work sample:</t>
          </r>
          <r>
            <rPr>
              <rFont val="Calibri"/>
              <sz val="10"/>
            </rPr>
            <t xml:space="preserve"> A PMO decision pack with reconciled data, risks and actions that improve delivery</t>
          </r>
        </is>
      </c>
      <c r="T44" s="12" t="inlineStr">
        <is>
          <t>Radford / Mercer P5 / M4 · SFIA 5 Ensure, advise
IRIS Vs Competitor Benchmark — PMI pathway + SaaS delivery ladder: Program Manager · PgMP · Infosys / Accenture: JL6B Project Manager · L7 Manager</t>
        </is>
      </c>
      <c r="U44" s="12" t="inlineStr">
        <is>
          <t>C1 · Principal · or B+ · Player-Coach transition step if leading people hands-on</t>
        </is>
      </c>
      <c r="V44" s="12" t="inlineStr">
        <is>
          <t>Framework only · fewer than 3 answered</t>
        </is>
      </c>
    </row>
  </sheetData>
  <autoFilter ref="A6:V44"/>
  <mergeCells count="18">
    <mergeCell ref="A2:V2"/>
    <mergeCell ref="A16:V16"/>
    <mergeCell ref="O5:Q5"/>
    <mergeCell ref="A5:I5"/>
    <mergeCell ref="A1:V1"/>
    <mergeCell ref="J5:N5"/>
    <mergeCell ref="T5:U5"/>
    <mergeCell ref="A14:V14"/>
    <mergeCell ref="A40:V40"/>
    <mergeCell ref="A18:V18"/>
    <mergeCell ref="A27:V27"/>
    <mergeCell ref="A43:V43"/>
    <mergeCell ref="A3:V3"/>
    <mergeCell ref="A21:V21"/>
    <mergeCell ref="A34:V34"/>
    <mergeCell ref="A7:V7"/>
    <mergeCell ref="R5:S5"/>
    <mergeCell ref="V5"/>
  </mergeCells>
  <hyperlinks>
    <hyperlink xmlns:r="http://schemas.openxmlformats.org/officeDocument/2006/relationships" ref="W1" r:id="rId1"/>
  </hyperlinks>
  <pageMargins left="0.4" right="0.4" top="0.5" bottom="0.5" header="0.5" footer="0.5"/>
  <pageSetup orientation="landscape" paperSize="8" fitToHeight="0" fitToWidth="1"/>
  <headerFooter>
    <oddHeader/>
    <oddFooter>&amp;LIRIS · Job Architecture &amp; Job Design · Final v1.12 · October 2026 · Internal — Confidential&amp;RPage &amp;P of &amp;N</oddFooter>
    <evenHeader/>
    <evenFooter/>
    <firstHeader/>
    <firstFooter/>
  </headerFooter>
</worksheet>
</file>

<file path=xl/worksheets/sheet5.xml><?xml version="1.0" encoding="utf-8"?>
<worksheet xmlns="http://schemas.openxmlformats.org/spreadsheetml/2006/main">
  <sheetPr>
    <tabColor rgb="00C00000"/>
    <outlinePr summaryBelow="1" summaryRight="1"/>
    <pageSetUpPr fitToPage="1"/>
  </sheetPr>
  <dimension ref="A1:G97"/>
  <sheetViews>
    <sheetView showGridLines="0" workbookViewId="0">
      <pane ySplit="4" topLeftCell="A5" activePane="bottomLeft" state="frozen"/>
      <selection pane="bottomLeft" activeCell="A1" sqref="A1"/>
    </sheetView>
  </sheetViews>
  <sheetFormatPr baseColWidth="8" defaultRowHeight="15"/>
  <cols>
    <col width="24" customWidth="1" min="1" max="1"/>
    <col width="18" customWidth="1" min="2" max="2"/>
    <col width="8" customWidth="1" min="3" max="3"/>
    <col width="8" customWidth="1" min="4" max="4"/>
    <col width="30" customWidth="1" min="5" max="5"/>
    <col width="66" customWidth="1" min="6" max="6"/>
    <col width="13" customWidth="1" min="7" max="7"/>
  </cols>
  <sheetData>
    <row r="1" ht="34" customHeight="1">
      <c r="A1" s="1" t="inlineStr">
        <is>
          <t>Decisions &amp; Actions — what needs a decision, who must supply what, and what happens next</t>
        </is>
      </c>
      <c r="G1" s="103" t="inlineStr">
        <is>
          <t>◂ Start Here</t>
        </is>
      </c>
    </row>
    <row r="2" ht="30" customHeight="1">
      <c r="A2" s="3" t="inlineStr">
        <is>
          <t>Sheet 4 · Each case gives the person, the level, the score and the reason in full, so it can be decided from this page. Red = an input or decision is needed.</t>
        </is>
      </c>
    </row>
    <row r="3">
      <c r="A3" s="4" t="inlineStr">
        <is>
          <t>IRIS · Job Architecture &amp; Job Design · Final v1.12 · October 2026 · Internal — Confidential</t>
        </is>
      </c>
    </row>
    <row r="4" ht="15" customHeight="1"/>
    <row r="5" ht="15" customHeight="1">
      <c r="A5" s="41" t="inlineStr">
        <is>
          <t>A · DECISIONS FOR YOU AND THE CALIBRATION PANEL</t>
        </is>
      </c>
    </row>
    <row r="6" ht="20" customHeight="1">
      <c r="A6" s="6" t="inlineStr">
        <is>
          <t>A1. Player-Coach placements — 0</t>
        </is>
      </c>
    </row>
    <row r="7" ht="15" customHeight="1">
      <c r="A7" s="40" t="inlineStr">
        <is>
          <t>Confirm the person still spends a real share of time on hands-on work, and that the team size is right.</t>
        </is>
      </c>
    </row>
    <row r="8" ht="15" customHeight="1">
      <c r="A8" s="40" t="inlineStr">
        <is>
          <t>None.</t>
        </is>
      </c>
    </row>
    <row r="9" ht="20" customHeight="1">
      <c r="A9" s="6" t="inlineStr">
        <is>
          <t>A2. Player-Coach candidates and watch list — 0</t>
        </is>
      </c>
    </row>
    <row r="10" ht="15" customHeight="1">
      <c r="A10" s="40" t="inlineStr">
        <is>
          <t>Candidates qualify on the numbers but have no evidence yet of their own hands-on work: confirm it, or leave them where they are.</t>
        </is>
      </c>
    </row>
    <row r="11" ht="15" customHeight="1">
      <c r="A11" s="40" t="inlineStr">
        <is>
          <t>None.</t>
        </is>
      </c>
    </row>
    <row r="12" ht="20" customHeight="1">
      <c r="A12" s="6" t="inlineStr">
        <is>
          <t>A3. Close calls — 2</t>
        </is>
      </c>
    </row>
    <row r="13" ht="15" customHeight="1">
      <c r="A13" s="40" t="inlineStr">
        <is>
          <t>The score decided the level and sits within 0.05 of a rounding point: compare with peers before confirming.</t>
        </is>
      </c>
    </row>
    <row r="14" ht="15" customHeight="1">
      <c r="A14" s="8" t="inlineStr">
        <is>
          <t>Person</t>
        </is>
      </c>
      <c r="B14" s="8" t="inlineStr">
        <is>
          <t>Department</t>
        </is>
      </c>
      <c r="C14" s="8" t="inlineStr">
        <is>
          <t>Level</t>
        </is>
      </c>
      <c r="D14" s="8" t="inlineStr">
        <is>
          <t>Score</t>
        </is>
      </c>
      <c r="E14" s="8" t="inlineStr">
        <is>
          <t>Designation</t>
        </is>
      </c>
      <c r="F14" s="8" t="inlineStr">
        <is>
          <t>What to decide, and why</t>
        </is>
      </c>
    </row>
    <row r="15" ht="41" customHeight="1">
      <c r="A15" s="10" t="inlineStr">
        <is>
          <t>Bhushan Kashid</t>
        </is>
      </c>
      <c r="B15" s="12" t="inlineStr">
        <is>
          <t>Finance</t>
        </is>
      </c>
      <c r="C15" s="42" t="inlineStr">
        <is>
          <t>A3</t>
        </is>
      </c>
      <c r="D15" s="42" t="n">
        <v>2.52</v>
      </c>
      <c r="E15" s="12" t="inlineStr">
        <is>
          <t>Senior Accounts Executive</t>
        </is>
      </c>
      <c r="F15" s="84" t="inlineStr">
        <is>
          <t>Score 2.52 is 0.02 above the 2.5 rounding point between A2 and A3, and no rule moved it: confirm A3 against peers in similar roles, or place at A2.</t>
        </is>
      </c>
    </row>
    <row r="16" ht="41" customHeight="1">
      <c r="A16" s="10" t="inlineStr">
        <is>
          <t>Riddhi Narkar</t>
        </is>
      </c>
      <c r="B16" s="12" t="inlineStr">
        <is>
          <t>Finance</t>
        </is>
      </c>
      <c r="C16" s="42" t="inlineStr">
        <is>
          <t>A3</t>
        </is>
      </c>
      <c r="D16" s="42" t="n">
        <v>2.52</v>
      </c>
      <c r="E16" s="12" t="inlineStr">
        <is>
          <t>Senior Accounts Executive</t>
        </is>
      </c>
      <c r="F16" s="84" t="inlineStr">
        <is>
          <t>Score 2.52 is 0.02 above the 2.5 rounding point between A2 and A3, and no rule moved it: confirm A3 against peers in similar roles, or place at A2.</t>
        </is>
      </c>
    </row>
    <row r="17" ht="15" customHeight="1"/>
    <row r="18" ht="20" customHeight="1">
      <c r="A18" s="6" t="inlineStr">
        <is>
          <t>A4. Near a gate — 1</t>
        </is>
      </c>
    </row>
    <row r="19" ht="15" customHeight="1">
      <c r="A19" s="40" t="inlineStr">
        <is>
          <t>A rule set the level, and the number behind it is within a quarter-point of changing it: a small change in one rating would move the person.</t>
        </is>
      </c>
    </row>
    <row r="20" ht="15" customHeight="1">
      <c r="A20" s="8" t="inlineStr">
        <is>
          <t>Person</t>
        </is>
      </c>
      <c r="B20" s="8" t="inlineStr">
        <is>
          <t>Department</t>
        </is>
      </c>
      <c r="C20" s="8" t="inlineStr">
        <is>
          <t>Level</t>
        </is>
      </c>
      <c r="D20" s="8" t="inlineStr">
        <is>
          <t>Score</t>
        </is>
      </c>
      <c r="E20" s="8" t="inlineStr">
        <is>
          <t>Designation</t>
        </is>
      </c>
      <c r="F20" s="8" t="inlineStr">
        <is>
          <t>What to decide, and why</t>
        </is>
      </c>
    </row>
    <row r="21" ht="28" customHeight="1">
      <c r="A21" s="10" t="inlineStr">
        <is>
          <t>Hemant Chordekar</t>
        </is>
      </c>
      <c r="B21" s="12" t="inlineStr">
        <is>
          <t>IT &amp; Infrastructure</t>
        </is>
      </c>
      <c r="C21" s="42" t="inlineStr">
        <is>
          <t>A3</t>
        </is>
      </c>
      <c r="D21" s="42" t="n">
        <v>3.57</v>
      </c>
      <c r="E21" s="12" t="inlineStr">
        <is>
          <t>Infrastructure Specialist</t>
        </is>
      </c>
      <c r="F21" s="84" t="inlineStr">
        <is>
          <r>
            <rPr>
              <rFont val="Calibri"/>
              <b val="1"/>
              <color rgb="009C0006"/>
              <sz val="10"/>
            </rPr>
            <t>Top of band:</t>
          </r>
          <r>
            <rPr>
              <rFont val="Calibri"/>
              <color rgb="009C0006"/>
              <sz val="10"/>
            </rPr>
            <t xml:space="preserve"> 3.49 on Band B's weights, 0.01 short of the 3.5 needed to enter Band B.</t>
          </r>
        </is>
      </c>
    </row>
    <row r="22" ht="15" customHeight="1"/>
    <row r="23" ht="20" customHeight="1">
      <c r="A23" s="6" t="inlineStr">
        <is>
          <t>A5. Moves down · pay and title protected for one cycle — 1</t>
        </is>
      </c>
    </row>
    <row r="24" ht="15" customHeight="1">
      <c r="A24" s="40" t="inlineStr">
        <is>
          <t>Confirm the scope of the role and the review date.</t>
        </is>
      </c>
    </row>
    <row r="25" ht="15" customHeight="1">
      <c r="A25" s="8" t="inlineStr">
        <is>
          <t>Person</t>
        </is>
      </c>
      <c r="B25" s="8" t="inlineStr">
        <is>
          <t>Department</t>
        </is>
      </c>
      <c r="C25" s="8" t="inlineStr">
        <is>
          <t>Level</t>
        </is>
      </c>
      <c r="D25" s="8" t="inlineStr">
        <is>
          <t>Score</t>
        </is>
      </c>
      <c r="E25" s="8" t="inlineStr">
        <is>
          <t>Designation</t>
        </is>
      </c>
      <c r="F25" s="8" t="inlineStr">
        <is>
          <t>What to decide, and why</t>
        </is>
      </c>
    </row>
    <row r="26" ht="28" customHeight="1">
      <c r="A26" s="10" t="inlineStr">
        <is>
          <t>Esther Kanagaselvam D</t>
        </is>
      </c>
      <c r="B26" s="12" t="inlineStr">
        <is>
          <t>Marketing</t>
        </is>
      </c>
      <c r="C26" s="42" t="inlineStr">
        <is>
          <t>A3</t>
        </is>
      </c>
      <c r="D26" s="42" t="n">
        <v>2.65</v>
      </c>
      <c r="E26" s="12" t="inlineStr">
        <is>
          <t>Senior Marketing Operations Associate</t>
        </is>
      </c>
      <c r="F26" s="84" t="inlineStr">
        <is>
          <t>Current L5 – Lead · IC → A3. No rule changed the level: the score decides.</t>
        </is>
      </c>
    </row>
    <row r="27" ht="15" customHeight="1"/>
    <row r="28" ht="20" customHeight="1">
      <c r="A28" s="6" t="inlineStr">
        <is>
          <t>A6. Senior titles held by the structure gate — 1</t>
        </is>
      </c>
    </row>
    <row r="29" ht="15" customHeight="1">
      <c r="A29" s="40" t="inlineStr">
        <is>
          <t>Confirm whether the structure behind the title exists · team leads, a sub-function, a business line.</t>
        </is>
      </c>
    </row>
    <row r="30" ht="15" customHeight="1">
      <c r="A30" s="8" t="inlineStr">
        <is>
          <t>Person</t>
        </is>
      </c>
      <c r="B30" s="8" t="inlineStr">
        <is>
          <t>Department</t>
        </is>
      </c>
      <c r="C30" s="8" t="inlineStr">
        <is>
          <t>Level</t>
        </is>
      </c>
      <c r="D30" s="8" t="inlineStr">
        <is>
          <t>Score</t>
        </is>
      </c>
      <c r="E30" s="8" t="inlineStr">
        <is>
          <t>Designation</t>
        </is>
      </c>
      <c r="F30" s="8" t="inlineStr">
        <is>
          <t>What to decide, and why</t>
        </is>
      </c>
    </row>
    <row r="31" ht="41" customHeight="1">
      <c r="A31" s="10" t="inlineStr">
        <is>
          <t>Sudhakar Sawant</t>
        </is>
      </c>
      <c r="B31" s="12" t="inlineStr">
        <is>
          <t>Finance</t>
        </is>
      </c>
      <c r="C31" s="42" t="inlineStr">
        <is>
          <t>C1</t>
        </is>
      </c>
      <c r="D31" s="42" t="n">
        <v>7.87</v>
      </c>
      <c r="E31" s="12" t="inlineStr">
        <is>
          <t>Head – Admin &amp; Internal Audit → Associate Head – Admin &amp; Internal Audit</t>
        </is>
      </c>
      <c r="F31" s="84" t="inlineStr">
        <is>
          <r>
            <rPr>
              <rFont val="Calibri"/>
              <b val="1"/>
              <color rgb="009C0006"/>
              <sz val="10"/>
            </rPr>
            <t>Held at C1 instead of C2:</t>
          </r>
          <r>
            <rPr>
              <rFont val="Calibri"/>
              <color rgb="009C0006"/>
              <sz val="10"/>
            </rPr>
            <t xml:space="preserve"> C2 needs a whole function or a company-wide discipline, and the org chart does not show this yet.</t>
          </r>
        </is>
      </c>
    </row>
    <row r="32" ht="15" customHeight="1"/>
    <row r="33" ht="20" customHeight="1">
      <c r="A33" s="6" t="inlineStr">
        <is>
          <t>A7. Provisional placements — 2</t>
        </is>
      </c>
    </row>
    <row r="34" ht="15" customHeight="1">
      <c r="A34" s="40" t="inlineStr">
        <is>
          <t>HR to confirm the experience record; the level is kept until then.</t>
        </is>
      </c>
    </row>
    <row r="35" ht="15" customHeight="1">
      <c r="A35" s="8" t="inlineStr">
        <is>
          <t>Person</t>
        </is>
      </c>
      <c r="B35" s="8" t="inlineStr">
        <is>
          <t>Department</t>
        </is>
      </c>
      <c r="C35" s="8" t="inlineStr">
        <is>
          <t>Level</t>
        </is>
      </c>
      <c r="D35" s="8" t="inlineStr">
        <is>
          <t>Score</t>
        </is>
      </c>
      <c r="E35" s="8" t="inlineStr">
        <is>
          <t>Designation</t>
        </is>
      </c>
      <c r="F35" s="8" t="inlineStr">
        <is>
          <t>What to decide, and why</t>
        </is>
      </c>
    </row>
    <row r="36" ht="28" customHeight="1">
      <c r="A36" s="10" t="inlineStr">
        <is>
          <t>Radhika Karnani</t>
        </is>
      </c>
      <c r="B36" s="12" t="inlineStr">
        <is>
          <t>Finance</t>
        </is>
      </c>
      <c r="C36" s="42" t="inlineStr">
        <is>
          <t>B1</t>
        </is>
      </c>
      <c r="D36" s="42" t="n">
        <v>3.82</v>
      </c>
      <c r="E36" s="12" t="inlineStr">
        <is>
          <t>Finance Specialist</t>
        </is>
      </c>
      <c r="F36" s="84" t="inlineStr">
        <is>
          <r>
            <rPr>
              <rFont val="Calibri"/>
              <b val="1"/>
              <color rgb="009C0006"/>
              <sz val="10"/>
            </rPr>
            <t>Provisional:</t>
          </r>
          <r>
            <rPr>
              <rFont val="Calibri"/>
              <color rgb="009C0006"/>
              <sz val="10"/>
            </rPr>
            <t xml:space="preserve"> experience to be confirmed by HR — level kept until confirmed</t>
          </r>
        </is>
      </c>
    </row>
    <row r="37" ht="28" customHeight="1">
      <c r="A37" s="10" t="inlineStr">
        <is>
          <t>Simran Kaur Raina</t>
        </is>
      </c>
      <c r="B37" s="12" t="inlineStr">
        <is>
          <t>HR</t>
        </is>
      </c>
      <c r="C37" s="42" t="inlineStr">
        <is>
          <t>B2</t>
        </is>
      </c>
      <c r="D37" s="42" t="n">
        <v>4.53</v>
      </c>
      <c r="E37" s="12" t="inlineStr">
        <is>
          <t>Senior Talent Acquisition Specialist</t>
        </is>
      </c>
      <c r="F37" s="84" t="inlineStr">
        <is>
          <r>
            <rPr>
              <rFont val="Calibri"/>
              <b val="1"/>
              <color rgb="009C0006"/>
              <sz val="10"/>
            </rPr>
            <t>Provisional:</t>
          </r>
          <r>
            <rPr>
              <rFont val="Calibri"/>
              <color rgb="009C0006"/>
              <sz val="10"/>
            </rPr>
            <t xml:space="preserve"> experience to be confirmed by HR — level kept until confirmed</t>
          </r>
        </is>
      </c>
    </row>
    <row r="38" ht="15" customHeight="1"/>
    <row r="39" ht="15" customHeight="1">
      <c r="A39" s="41" t="inlineStr">
        <is>
          <t>B · INPUTS STILL NEEDED — BY OWNER · pay is needed for everyone and is set later</t>
        </is>
      </c>
    </row>
    <row r="40" ht="20" customHeight="1">
      <c r="A40" s="6" t="inlineStr">
        <is>
          <t>B · Employee — 15</t>
        </is>
      </c>
    </row>
    <row r="41" ht="15" customHeight="1">
      <c r="A41" s="8" t="inlineStr">
        <is>
          <t>Person</t>
        </is>
      </c>
      <c r="B41" s="8" t="inlineStr">
        <is>
          <t>Department</t>
        </is>
      </c>
      <c r="C41" s="8" t="inlineStr">
        <is>
          <t>Level</t>
        </is>
      </c>
      <c r="D41" s="8" t="inlineStr">
        <is>
          <t>Score</t>
        </is>
      </c>
      <c r="E41" s="8" t="inlineStr">
        <is>
          <t>Designation</t>
        </is>
      </c>
      <c r="F41" s="8" t="inlineStr">
        <is>
          <t>Input needed</t>
        </is>
      </c>
    </row>
    <row r="42" ht="28" customHeight="1">
      <c r="A42" s="10" t="inlineStr">
        <is>
          <t>Mangesh Kosty</t>
        </is>
      </c>
      <c r="B42" s="12" t="inlineStr">
        <is>
          <t>Administration</t>
        </is>
      </c>
      <c r="C42" s="42" t="inlineStr">
        <is>
          <t>A3</t>
        </is>
      </c>
      <c r="D42" s="42" t="n">
        <v>3.12</v>
      </c>
      <c r="E42" s="12" t="inlineStr">
        <is>
          <t>Senior Administration Executive</t>
        </is>
      </c>
      <c r="F42" s="84" t="inlineStr">
        <is>
          <t>Survey response or KRAs describing the work · nothing on file</t>
        </is>
      </c>
    </row>
    <row r="43" ht="28" customHeight="1">
      <c r="A43" s="10" t="inlineStr">
        <is>
          <t>Rajesh Khurambe</t>
        </is>
      </c>
      <c r="B43" s="12" t="inlineStr">
        <is>
          <t>Administration</t>
        </is>
      </c>
      <c r="C43" s="42" t="inlineStr">
        <is>
          <t>A3</t>
        </is>
      </c>
      <c r="D43" s="42" t="n">
        <v>3.12</v>
      </c>
      <c r="E43" s="12" t="inlineStr">
        <is>
          <t>Senior Administration Executive</t>
        </is>
      </c>
      <c r="F43" s="84" t="inlineStr">
        <is>
          <t>Survey response or KRAs describing the work · nothing on file</t>
        </is>
      </c>
    </row>
    <row r="44" ht="28" customHeight="1">
      <c r="A44" s="10" t="inlineStr">
        <is>
          <t>Sunil Pawar</t>
        </is>
      </c>
      <c r="B44" s="12" t="inlineStr">
        <is>
          <t>Administration</t>
        </is>
      </c>
      <c r="C44" s="42" t="inlineStr">
        <is>
          <t>A3</t>
        </is>
      </c>
      <c r="D44" s="42" t="n">
        <v>2.83</v>
      </c>
      <c r="E44" s="12" t="inlineStr">
        <is>
          <t>Senior Administration Executive</t>
        </is>
      </c>
      <c r="F44" s="84" t="inlineStr">
        <is>
          <t>Survey response or KRAs describing the work · nothing on file</t>
        </is>
      </c>
    </row>
    <row r="45" ht="15" customHeight="1">
      <c r="A45" s="10" t="inlineStr">
        <is>
          <t>Vineet Kandoi</t>
        </is>
      </c>
      <c r="B45" s="12" t="inlineStr">
        <is>
          <t>Finance</t>
        </is>
      </c>
      <c r="C45" s="42" t="inlineStr">
        <is>
          <t>E1</t>
        </is>
      </c>
      <c r="D45" s="42" t="n">
        <v>10.9</v>
      </c>
      <c r="E45" s="12" t="inlineStr">
        <is>
          <t>Chief Financial Officer</t>
        </is>
      </c>
      <c r="F45" s="84" t="inlineStr">
        <is>
          <t>Survey response or KRAs describing the work · nothing on file</t>
        </is>
      </c>
    </row>
    <row r="46" ht="28" customHeight="1">
      <c r="A46" s="10" t="inlineStr">
        <is>
          <t>Sudhakar Sawant</t>
        </is>
      </c>
      <c r="B46" s="12" t="inlineStr">
        <is>
          <t>Finance</t>
        </is>
      </c>
      <c r="C46" s="42" t="inlineStr">
        <is>
          <t>C1</t>
        </is>
      </c>
      <c r="D46" s="42" t="n">
        <v>7.87</v>
      </c>
      <c r="E46" s="12" t="inlineStr">
        <is>
          <t>Associate Head – Admin &amp; Internal Audit</t>
        </is>
      </c>
      <c r="F46" s="84" t="inlineStr">
        <is>
          <t>Survey response or KRAs describing the work · nothing on file</t>
        </is>
      </c>
    </row>
    <row r="47" ht="28" customHeight="1">
      <c r="A47" s="10" t="inlineStr">
        <is>
          <t>Nishant Gupta</t>
        </is>
      </c>
      <c r="B47" s="12" t="inlineStr">
        <is>
          <t>Finance</t>
        </is>
      </c>
      <c r="C47" s="42" t="inlineStr">
        <is>
          <t>C1</t>
        </is>
      </c>
      <c r="D47" s="42" t="n">
        <v>7.37</v>
      </c>
      <c r="E47" s="12" t="inlineStr">
        <is>
          <t>Associate Head – Finance &amp; Accounts</t>
        </is>
      </c>
      <c r="F47" s="84" t="inlineStr">
        <is>
          <t>Survey response or KRAs describing the work · nothing on file</t>
        </is>
      </c>
    </row>
    <row r="48" ht="28" customHeight="1">
      <c r="A48" s="10" t="inlineStr">
        <is>
          <t>Shweta Jha</t>
        </is>
      </c>
      <c r="B48" s="12" t="inlineStr">
        <is>
          <t>HR</t>
        </is>
      </c>
      <c r="C48" s="42" t="inlineStr">
        <is>
          <t>D2</t>
        </is>
      </c>
      <c r="D48" s="42" t="n">
        <v>9.970000000000001</v>
      </c>
      <c r="E48" s="12" t="inlineStr">
        <is>
          <t>Vice President – Human Resources</t>
        </is>
      </c>
      <c r="F48" s="84" t="inlineStr">
        <is>
          <t>Survey response or KRAs describing the work · nothing on file</t>
        </is>
      </c>
    </row>
    <row r="49" ht="28" customHeight="1">
      <c r="A49" s="10" t="inlineStr">
        <is>
          <t>Mohammed Hanzala Shaikh</t>
        </is>
      </c>
      <c r="B49" s="12" t="inlineStr">
        <is>
          <t>HR</t>
        </is>
      </c>
      <c r="C49" s="42" t="inlineStr">
        <is>
          <t>B3</t>
        </is>
      </c>
      <c r="D49" s="42" t="n">
        <v>5.73</v>
      </c>
      <c r="E49" s="12" t="inlineStr">
        <is>
          <t>Lead HR Specialist – Transformation &amp; OD</t>
        </is>
      </c>
      <c r="F49" s="84" t="inlineStr">
        <is>
          <t>Survey response or KRAs describing the work · nothing on file</t>
        </is>
      </c>
    </row>
    <row r="50" ht="28" customHeight="1">
      <c r="A50" s="10" t="inlineStr">
        <is>
          <t>Amit Gangaram Kamble</t>
        </is>
      </c>
      <c r="B50" s="12" t="inlineStr">
        <is>
          <t>IT &amp; Infrastructure</t>
        </is>
      </c>
      <c r="C50" s="42" t="inlineStr">
        <is>
          <t>A3</t>
        </is>
      </c>
      <c r="D50" s="42" t="n">
        <v>2.1</v>
      </c>
      <c r="E50" s="12" t="inlineStr">
        <is>
          <t>Senior System Administrator</t>
        </is>
      </c>
      <c r="F50" s="84" t="inlineStr">
        <is>
          <t>Survey response or KRAs describing the work · nothing on file</t>
        </is>
      </c>
    </row>
    <row r="51" ht="28" customHeight="1">
      <c r="A51" s="10" t="inlineStr">
        <is>
          <t>Hemant Chordekar</t>
        </is>
      </c>
      <c r="B51" s="12" t="inlineStr">
        <is>
          <t>IT &amp; Infrastructure</t>
        </is>
      </c>
      <c r="C51" s="42" t="inlineStr">
        <is>
          <t>A3</t>
        </is>
      </c>
      <c r="D51" s="42" t="n">
        <v>3.57</v>
      </c>
      <c r="E51" s="12" t="inlineStr">
        <is>
          <t>Infrastructure Specialist</t>
        </is>
      </c>
      <c r="F51" s="84" t="inlineStr">
        <is>
          <t>Survey response or KRAs describing the work · nothing on file</t>
        </is>
      </c>
    </row>
    <row r="52" ht="15" customHeight="1">
      <c r="A52" s="10" t="inlineStr">
        <is>
          <t>Balachandran K</t>
        </is>
      </c>
      <c r="B52" s="12" t="inlineStr">
        <is>
          <t>Management</t>
        </is>
      </c>
      <c r="C52" s="42" t="inlineStr">
        <is>
          <t>E2</t>
        </is>
      </c>
      <c r="D52" s="42" t="n">
        <v>12</v>
      </c>
      <c r="E52" s="12" t="inlineStr">
        <is>
          <t>Chief Executive Officer</t>
        </is>
      </c>
      <c r="F52" s="84" t="inlineStr">
        <is>
          <t>Survey response or KRAs describing the work · nothing on file</t>
        </is>
      </c>
    </row>
    <row r="53" ht="15" customHeight="1">
      <c r="A53" s="10" t="inlineStr">
        <is>
          <t>Deepta Rangarajan</t>
        </is>
      </c>
      <c r="B53" s="12" t="inlineStr">
        <is>
          <t>Management</t>
        </is>
      </c>
      <c r="C53" s="42" t="inlineStr">
        <is>
          <t>E1</t>
        </is>
      </c>
      <c r="D53" s="42" t="n">
        <v>11.05</v>
      </c>
      <c r="E53" s="12" t="inlineStr">
        <is>
          <t>Chief Operating Officer</t>
        </is>
      </c>
      <c r="F53" s="84" t="inlineStr">
        <is>
          <t>Survey response or KRAs describing the work · nothing on file</t>
        </is>
      </c>
    </row>
    <row r="54" ht="28" customHeight="1">
      <c r="A54" s="10" t="inlineStr">
        <is>
          <t>Santosh Sharma</t>
        </is>
      </c>
      <c r="B54" s="12" t="inlineStr">
        <is>
          <t>Secretarial &amp; Legal</t>
        </is>
      </c>
      <c r="C54" s="42" t="inlineStr">
        <is>
          <t>C1</t>
        </is>
      </c>
      <c r="D54" s="42" t="n">
        <v>6.93</v>
      </c>
      <c r="E54" s="12" t="inlineStr">
        <is>
          <t>Company Secretary – POD Lead</t>
        </is>
      </c>
      <c r="F54" s="84" t="inlineStr">
        <is>
          <t>Survey response or KRAs describing the work · nothing on file</t>
        </is>
      </c>
    </row>
    <row r="55" ht="15" customHeight="1">
      <c r="A55" s="10" t="inlineStr">
        <is>
          <t>P K X Thomas</t>
        </is>
      </c>
      <c r="B55" s="12" t="inlineStr">
        <is>
          <t>Technology</t>
        </is>
      </c>
      <c r="C55" s="42" t="inlineStr">
        <is>
          <t>E1</t>
        </is>
      </c>
      <c r="D55" s="42" t="n">
        <v>11.05</v>
      </c>
      <c r="E55" s="12" t="inlineStr">
        <is>
          <t>Chief Technology Officer</t>
        </is>
      </c>
      <c r="F55" s="84" t="inlineStr">
        <is>
          <t>Survey response or KRAs describing the work · nothing on file</t>
        </is>
      </c>
    </row>
    <row r="56" ht="15" customHeight="1">
      <c r="A56" s="10" t="inlineStr">
        <is>
          <t>Vikas Thakur</t>
        </is>
      </c>
      <c r="B56" s="12" t="inlineStr">
        <is>
          <t>Technology</t>
        </is>
      </c>
      <c r="C56" s="42" t="inlineStr">
        <is>
          <t>B3</t>
        </is>
      </c>
      <c r="D56" s="42" t="n">
        <v>6</v>
      </c>
      <c r="E56" s="12" t="inlineStr">
        <is>
          <t>Agile Coach</t>
        </is>
      </c>
      <c r="F56" s="84" t="inlineStr">
        <is>
          <t>Survey response or KRAs describing the work · nothing on file</t>
        </is>
      </c>
    </row>
    <row r="57" ht="15" customHeight="1"/>
    <row r="58" ht="20" customHeight="1">
      <c r="A58" s="6" t="inlineStr">
        <is>
          <t>B · HR — 8</t>
        </is>
      </c>
    </row>
    <row r="59" ht="15" customHeight="1">
      <c r="A59" s="8" t="inlineStr">
        <is>
          <t>Person</t>
        </is>
      </c>
      <c r="B59" s="8" t="inlineStr">
        <is>
          <t>Department</t>
        </is>
      </c>
      <c r="C59" s="8" t="inlineStr">
        <is>
          <t>Level</t>
        </is>
      </c>
      <c r="D59" s="8" t="inlineStr">
        <is>
          <t>Score</t>
        </is>
      </c>
      <c r="E59" s="8" t="inlineStr">
        <is>
          <t>Designation</t>
        </is>
      </c>
      <c r="F59" s="8" t="inlineStr">
        <is>
          <t>Input needed</t>
        </is>
      </c>
    </row>
    <row r="60" ht="28" customHeight="1">
      <c r="A60" s="10" t="inlineStr">
        <is>
          <t>Mangesh Kosty</t>
        </is>
      </c>
      <c r="B60" s="12" t="inlineStr">
        <is>
          <t>Administration</t>
        </is>
      </c>
      <c r="C60" s="42" t="inlineStr">
        <is>
          <t>A3</t>
        </is>
      </c>
      <c r="D60" s="42" t="n">
        <v>3.12</v>
      </c>
      <c r="E60" s="12" t="inlineStr">
        <is>
          <t>Senior Administration Executive</t>
        </is>
      </c>
      <c r="F60" s="84" t="inlineStr">
        <is>
          <t>Correct the experience record</t>
        </is>
      </c>
    </row>
    <row r="61" ht="28" customHeight="1">
      <c r="A61" s="10" t="inlineStr">
        <is>
          <t>Rajesh Khurambe</t>
        </is>
      </c>
      <c r="B61" s="12" t="inlineStr">
        <is>
          <t>Administration</t>
        </is>
      </c>
      <c r="C61" s="42" t="inlineStr">
        <is>
          <t>A3</t>
        </is>
      </c>
      <c r="D61" s="42" t="n">
        <v>3.12</v>
      </c>
      <c r="E61" s="12" t="inlineStr">
        <is>
          <t>Senior Administration Executive</t>
        </is>
      </c>
      <c r="F61" s="84" t="inlineStr">
        <is>
          <t>Correct the experience record</t>
        </is>
      </c>
    </row>
    <row r="62" ht="28" customHeight="1">
      <c r="A62" s="10" t="inlineStr">
        <is>
          <t>Sunil Pawar</t>
        </is>
      </c>
      <c r="B62" s="12" t="inlineStr">
        <is>
          <t>Administration</t>
        </is>
      </c>
      <c r="C62" s="42" t="inlineStr">
        <is>
          <t>A3</t>
        </is>
      </c>
      <c r="D62" s="42" t="n">
        <v>2.83</v>
      </c>
      <c r="E62" s="12" t="inlineStr">
        <is>
          <t>Senior Administration Executive</t>
        </is>
      </c>
      <c r="F62" s="84" t="inlineStr">
        <is>
          <t>Correct the experience record</t>
        </is>
      </c>
    </row>
    <row r="63" ht="15" customHeight="1">
      <c r="A63" s="10" t="inlineStr">
        <is>
          <t>Radhika Karnani</t>
        </is>
      </c>
      <c r="B63" s="12" t="inlineStr">
        <is>
          <t>Finance</t>
        </is>
      </c>
      <c r="C63" s="42" t="inlineStr">
        <is>
          <t>B1</t>
        </is>
      </c>
      <c r="D63" s="42" t="n">
        <v>3.82</v>
      </c>
      <c r="E63" s="12" t="inlineStr">
        <is>
          <t>Finance Specialist</t>
        </is>
      </c>
      <c r="F63" s="84" t="inlineStr">
        <is>
          <t>Total experience · outside + at IRIS</t>
        </is>
      </c>
    </row>
    <row r="64" ht="15" customHeight="1">
      <c r="A64" s="10" t="inlineStr">
        <is>
          <t>Radhika Karnani</t>
        </is>
      </c>
      <c r="B64" s="12" t="inlineStr">
        <is>
          <t>Finance</t>
        </is>
      </c>
      <c r="C64" s="42" t="inlineStr">
        <is>
          <t>B1</t>
        </is>
      </c>
      <c r="D64" s="42" t="n">
        <v>3.82</v>
      </c>
      <c r="E64" s="12" t="inlineStr">
        <is>
          <t>Finance Specialist</t>
        </is>
      </c>
      <c r="F64" s="84" t="inlineStr">
        <is>
          <t>Confirm prior experience · provisional placement</t>
        </is>
      </c>
    </row>
    <row r="65" ht="28" customHeight="1">
      <c r="A65" s="10" t="inlineStr">
        <is>
          <t>Simran Kaur Raina</t>
        </is>
      </c>
      <c r="B65" s="12" t="inlineStr">
        <is>
          <t>HR</t>
        </is>
      </c>
      <c r="C65" s="42" t="inlineStr">
        <is>
          <t>B2</t>
        </is>
      </c>
      <c r="D65" s="42" t="n">
        <v>4.53</v>
      </c>
      <c r="E65" s="12" t="inlineStr">
        <is>
          <t>Senior Talent Acquisition Specialist</t>
        </is>
      </c>
      <c r="F65" s="84" t="inlineStr">
        <is>
          <t>Total experience · outside + at IRIS</t>
        </is>
      </c>
    </row>
    <row r="66" ht="28" customHeight="1">
      <c r="A66" s="10" t="inlineStr">
        <is>
          <t>Simran Kaur Raina</t>
        </is>
      </c>
      <c r="B66" s="12" t="inlineStr">
        <is>
          <t>HR</t>
        </is>
      </c>
      <c r="C66" s="42" t="inlineStr">
        <is>
          <t>B2</t>
        </is>
      </c>
      <c r="D66" s="42" t="n">
        <v>4.53</v>
      </c>
      <c r="E66" s="12" t="inlineStr">
        <is>
          <t>Senior Talent Acquisition Specialist</t>
        </is>
      </c>
      <c r="F66" s="84" t="inlineStr">
        <is>
          <t>Confirm prior experience · provisional placement</t>
        </is>
      </c>
    </row>
    <row r="67" ht="28" customHeight="1">
      <c r="A67" s="10" t="inlineStr">
        <is>
          <t>Vishal Vare</t>
        </is>
      </c>
      <c r="B67" s="12" t="inlineStr">
        <is>
          <t>IT &amp; Infrastructure</t>
        </is>
      </c>
      <c r="C67" s="42" t="inlineStr">
        <is>
          <t>A3</t>
        </is>
      </c>
      <c r="D67" s="42" t="n">
        <v>3.22</v>
      </c>
      <c r="E67" s="12" t="inlineStr">
        <is>
          <t>Senior System Administrator</t>
        </is>
      </c>
      <c r="F67" s="84" t="inlineStr">
        <is>
          <t>Correct the experience record</t>
        </is>
      </c>
    </row>
    <row r="68" ht="15" customHeight="1"/>
    <row r="69" ht="20" customHeight="1">
      <c r="A69" s="6" t="inlineStr">
        <is>
          <t>B · Business head — 1</t>
        </is>
      </c>
    </row>
    <row r="70" ht="15" customHeight="1">
      <c r="A70" s="8" t="inlineStr">
        <is>
          <t>Person</t>
        </is>
      </c>
      <c r="B70" s="8" t="inlineStr">
        <is>
          <t>Department</t>
        </is>
      </c>
      <c r="C70" s="8" t="inlineStr">
        <is>
          <t>Level</t>
        </is>
      </c>
      <c r="D70" s="8" t="inlineStr">
        <is>
          <t>Score</t>
        </is>
      </c>
      <c r="E70" s="8" t="inlineStr">
        <is>
          <t>Designation</t>
        </is>
      </c>
      <c r="F70" s="8" t="inlineStr">
        <is>
          <t>Input needed</t>
        </is>
      </c>
    </row>
    <row r="71" ht="28" customHeight="1">
      <c r="A71" s="10" t="inlineStr">
        <is>
          <t>Sudhakar Sawant</t>
        </is>
      </c>
      <c r="B71" s="12" t="inlineStr">
        <is>
          <t>Finance</t>
        </is>
      </c>
      <c r="C71" s="42" t="inlineStr">
        <is>
          <t>C1</t>
        </is>
      </c>
      <c r="D71" s="42" t="n">
        <v>7.87</v>
      </c>
      <c r="E71" s="12" t="inlineStr">
        <is>
          <t>Associate Head – Admin &amp; Internal Audit</t>
        </is>
      </c>
      <c r="F71" s="84" t="inlineStr">
        <is>
          <t>Confirm structure behind the senior title · org chart</t>
        </is>
      </c>
    </row>
    <row r="72" ht="15" customHeight="1"/>
    <row r="73" ht="20" customHeight="1">
      <c r="A73" s="6" t="inlineStr">
        <is>
          <t>B · Manager — 1</t>
        </is>
      </c>
    </row>
    <row r="74" ht="15" customHeight="1">
      <c r="A74" s="8" t="inlineStr">
        <is>
          <t>Person</t>
        </is>
      </c>
      <c r="B74" s="8" t="inlineStr">
        <is>
          <t>Department</t>
        </is>
      </c>
      <c r="C74" s="8" t="inlineStr">
        <is>
          <t>Level</t>
        </is>
      </c>
      <c r="D74" s="8" t="inlineStr">
        <is>
          <t>Score</t>
        </is>
      </c>
      <c r="E74" s="8" t="inlineStr">
        <is>
          <t>Designation</t>
        </is>
      </c>
      <c r="F74" s="8" t="inlineStr">
        <is>
          <t>Input needed</t>
        </is>
      </c>
    </row>
    <row r="75" ht="28" customHeight="1">
      <c r="A75" s="10" t="inlineStr">
        <is>
          <t>Mahesh Tilave</t>
        </is>
      </c>
      <c r="B75" s="12" t="inlineStr">
        <is>
          <t>IT &amp; Infrastructure</t>
        </is>
      </c>
      <c r="C75" s="42" t="inlineStr">
        <is>
          <t>B2</t>
        </is>
      </c>
      <c r="D75" s="42" t="n">
        <v>5.14</v>
      </c>
      <c r="E75" s="12" t="inlineStr">
        <is>
          <t>Senior IT Manager</t>
        </is>
      </c>
      <c r="F75" s="84" t="inlineStr">
        <is>
          <t>Confirm the reporting line</t>
        </is>
      </c>
    </row>
    <row r="76" ht="15" customHeight="1"/>
    <row r="77" ht="15" customHeight="1">
      <c r="A77" s="41" t="inlineStr">
        <is>
          <t>C · HOW THE STRUCTURE CHANGED IN THIS BUSINESS</t>
        </is>
      </c>
    </row>
    <row r="78" ht="20" customHeight="1">
      <c r="A78" s="6" t="inlineStr">
        <is>
          <t>C. Job families — before → after</t>
        </is>
      </c>
    </row>
    <row r="79" ht="15" customHeight="1">
      <c r="A79" s="8" t="inlineStr">
        <is>
          <t>Job family · now</t>
        </is>
      </c>
      <c r="B79" s="8" t="inlineStr">
        <is>
          <t>People</t>
        </is>
      </c>
      <c r="C79" s="90" t="inlineStr"/>
      <c r="D79" s="90" t="inlineStr"/>
      <c r="E79" s="8" t="inlineStr">
        <is>
          <t>Status</t>
        </is>
      </c>
      <c r="F79" s="8" t="inlineStr">
        <is>
          <t>What happened</t>
        </is>
      </c>
    </row>
    <row r="80" ht="15" customHeight="1">
      <c r="A80" s="10" t="inlineStr">
        <is>
          <t>IT &amp; Infrastructure</t>
        </is>
      </c>
      <c r="B80" s="42" t="n">
        <v>13</v>
      </c>
      <c r="C80" s="12" t="inlineStr"/>
      <c r="D80" s="12" t="inlineStr"/>
      <c r="E80" s="12" t="inlineStr">
        <is>
          <t>New</t>
        </is>
      </c>
      <c r="F80" s="12" t="inlineStr">
        <is>
          <t>Created from General &amp; Admin · Employee Master ×13</t>
        </is>
      </c>
    </row>
    <row r="81" ht="15" customHeight="1">
      <c r="A81" s="10" t="inlineStr">
        <is>
          <t>Finance &amp; Accounts</t>
        </is>
      </c>
      <c r="B81" s="42" t="n">
        <v>10</v>
      </c>
      <c r="C81" s="12" t="inlineStr"/>
      <c r="D81" s="12" t="inlineStr"/>
      <c r="E81" s="12" t="inlineStr">
        <is>
          <t>New</t>
        </is>
      </c>
      <c r="F81" s="12" t="inlineStr">
        <is>
          <t>Created from General &amp; Admin · Employee Master ×10</t>
        </is>
      </c>
    </row>
    <row r="82" ht="28" customHeight="1">
      <c r="A82" s="10" t="inlineStr">
        <is>
          <t>Administration, Legal &amp; Secretarial</t>
        </is>
      </c>
      <c r="B82" s="42" t="n">
        <v>9</v>
      </c>
      <c r="C82" s="12" t="inlineStr"/>
      <c r="D82" s="12" t="inlineStr"/>
      <c r="E82" s="12" t="inlineStr">
        <is>
          <t>New</t>
        </is>
      </c>
      <c r="F82" s="12" t="inlineStr">
        <is>
          <t>Created from General &amp; Admin · Employee Master ×9</t>
        </is>
      </c>
    </row>
    <row r="83" ht="15" customHeight="1">
      <c r="A83" s="10" t="inlineStr">
        <is>
          <t>Human Resources</t>
        </is>
      </c>
      <c r="B83" s="42" t="n">
        <v>8</v>
      </c>
      <c r="C83" s="12" t="inlineStr"/>
      <c r="D83" s="12" t="inlineStr"/>
      <c r="E83" s="12" t="inlineStr">
        <is>
          <t>New</t>
        </is>
      </c>
      <c r="F83" s="12" t="inlineStr">
        <is>
          <t>Created from General &amp; Admin · Employee Master ×8</t>
        </is>
      </c>
    </row>
    <row r="84" ht="28" customHeight="1">
      <c r="A84" s="10" t="inlineStr">
        <is>
          <t>Executive Leadership</t>
        </is>
      </c>
      <c r="B84" s="42" t="n">
        <v>4</v>
      </c>
      <c r="C84" s="12" t="inlineStr"/>
      <c r="D84" s="12" t="inlineStr"/>
      <c r="E84" s="12" t="inlineStr">
        <is>
          <t>New</t>
        </is>
      </c>
      <c r="F84" s="12" t="inlineStr">
        <is>
          <t>Created from Management · Employee Master ×3; General &amp; Admin · Employee Master</t>
        </is>
      </c>
    </row>
    <row r="85" ht="28" customHeight="1">
      <c r="A85" s="10" t="inlineStr">
        <is>
          <t>Marketing &amp; Communications</t>
        </is>
      </c>
      <c r="B85" s="42" t="n">
        <v>2</v>
      </c>
      <c r="C85" s="12" t="inlineStr"/>
      <c r="D85" s="12" t="inlineStr"/>
      <c r="E85" s="12" t="inlineStr">
        <is>
          <t>Regrouped</t>
        </is>
      </c>
      <c r="F85" s="12" t="inlineStr">
        <is>
          <t>Kept its name; joined from Data &amp; Analytics</t>
        </is>
      </c>
    </row>
    <row r="86" ht="28" customHeight="1">
      <c r="A86" s="10" t="inlineStr">
        <is>
          <t>Engineering &amp; Development</t>
        </is>
      </c>
      <c r="B86" s="42" t="n">
        <v>1</v>
      </c>
      <c r="C86" s="12" t="inlineStr"/>
      <c r="D86" s="12" t="inlineStr"/>
      <c r="E86" s="12" t="inlineStr">
        <is>
          <t>New</t>
        </is>
      </c>
      <c r="F86" s="12" t="inlineStr">
        <is>
          <t>Created from General &amp; Admin · Employee Master</t>
        </is>
      </c>
    </row>
    <row r="87" ht="15" customHeight="1">
      <c r="A87" s="10" t="inlineStr">
        <is>
          <t>Design &amp; Creative</t>
        </is>
      </c>
      <c r="B87" s="42" t="n">
        <v>1</v>
      </c>
      <c r="C87" s="12" t="inlineStr"/>
      <c r="D87" s="12" t="inlineStr"/>
      <c r="E87" s="12" t="inlineStr">
        <is>
          <t>As is</t>
        </is>
      </c>
      <c r="F87" s="12" t="inlineStr">
        <is>
          <t>Unchanged</t>
        </is>
      </c>
    </row>
    <row r="88" ht="28" customHeight="1">
      <c r="A88" s="10" t="inlineStr">
        <is>
          <t>Project &amp; Program Management</t>
        </is>
      </c>
      <c r="B88" s="42" t="n">
        <v>1</v>
      </c>
      <c r="C88" s="12" t="inlineStr"/>
      <c r="D88" s="12" t="inlineStr"/>
      <c r="E88" s="12" t="inlineStr">
        <is>
          <t>Renamed</t>
        </is>
      </c>
      <c r="F88" s="12" t="inlineStr">
        <is>
          <t>Renamed from Product/Project · Employee Master</t>
        </is>
      </c>
    </row>
    <row r="89" ht="15" customHeight="1"/>
    <row r="90" ht="28" customHeight="1">
      <c r="A90" s="40" t="inlineStr">
        <is>
          <r>
            <rPr>
              <rFont val="Calibri"/>
              <b val="1"/>
              <i val="1"/>
              <color rgb="00595959"/>
              <sz val="10"/>
            </rPr>
            <t>Status:</t>
          </r>
          <r>
            <rPr>
              <rFont val="Calibri"/>
              <i val="1"/>
              <color rgb="00595959"/>
              <sz val="10"/>
            </rPr>
            <t xml:space="preserve"> As is = same name and people · Renamed = one old name became one new name · Regrouped = existing name, people joined or left · New = formed from old names.</t>
          </r>
        </is>
      </c>
    </row>
    <row r="91" ht="20" customHeight="1">
      <c r="A91" s="6" t="inlineStr">
        <is>
          <t>D · What happens next</t>
        </is>
      </c>
    </row>
    <row r="92" ht="15" customHeight="1">
      <c r="A92" s="8" t="inlineStr">
        <is>
          <t>Step</t>
        </is>
      </c>
      <c r="B92" s="90" t="inlineStr"/>
      <c r="C92" s="90" t="inlineStr"/>
      <c r="D92" s="90" t="inlineStr"/>
      <c r="E92" s="8" t="inlineStr">
        <is>
          <t>Who</t>
        </is>
      </c>
      <c r="F92" s="8" t="inlineStr">
        <is>
          <t>What</t>
        </is>
      </c>
    </row>
    <row r="93" ht="28" customHeight="1">
      <c r="A93" s="10" t="inlineStr">
        <is>
          <t>1. Validate</t>
        </is>
      </c>
      <c r="B93" s="12" t="inlineStr"/>
      <c r="C93" s="12" t="inlineStr"/>
      <c r="D93" s="12" t="inlineStr"/>
      <c r="E93" s="12" t="inlineStr">
        <is>
          <t>You and your managers</t>
        </is>
      </c>
      <c r="F93" s="12" t="inlineStr">
        <is>
          <t>Mark Agree / Change / Discuss for each person on sheet 2; give the reason for every change</t>
        </is>
      </c>
    </row>
    <row r="94" ht="28" customHeight="1">
      <c r="A94" s="10" t="inlineStr">
        <is>
          <t>2. Supply inputs</t>
        </is>
      </c>
      <c r="B94" s="12" t="inlineStr"/>
      <c r="C94" s="12" t="inlineStr"/>
      <c r="D94" s="12" t="inlineStr"/>
      <c r="E94" s="12" t="inlineStr">
        <is>
          <t>Owners in section B</t>
        </is>
      </c>
      <c r="F94" s="12" t="inlineStr">
        <is>
          <r>
            <rPr>
              <rFont val="Calibri"/>
              <b val="1"/>
              <sz val="10"/>
            </rPr>
            <t>Clear the red cells:</t>
          </r>
          <r>
            <rPr>
              <rFont val="Calibri"/>
              <sz val="10"/>
            </rPr>
            <t xml:space="preserve"> experience records, KRAs, reporting lines, scope confirmations</t>
          </r>
        </is>
      </c>
    </row>
    <row r="95" ht="28" customHeight="1">
      <c r="A95" s="10" t="inlineStr">
        <is>
          <t>3. Calibrate</t>
        </is>
      </c>
      <c r="B95" s="12" t="inlineStr"/>
      <c r="C95" s="12" t="inlineStr"/>
      <c r="D95" s="12" t="inlineStr"/>
      <c r="E95" s="12" t="inlineStr">
        <is>
          <t>Cross-business panel</t>
        </is>
      </c>
      <c r="F95" s="12" t="inlineStr">
        <is>
          <t>Decides section A cases against peers in other businesses, and all C-band and higher placements</t>
        </is>
      </c>
    </row>
    <row r="96" ht="28" customHeight="1">
      <c r="A96" s="10" t="inlineStr">
        <is>
          <t>4. Approve</t>
        </is>
      </c>
      <c r="B96" s="12" t="inlineStr"/>
      <c r="C96" s="12" t="inlineStr"/>
      <c r="D96" s="12" t="inlineStr"/>
      <c r="E96" s="12" t="inlineStr">
        <is>
          <t>HR; CEO for model changes</t>
        </is>
      </c>
      <c r="F96" s="12" t="inlineStr">
        <is>
          <t>HR approves placements; moves down are protected for one cycle; designations take effect</t>
        </is>
      </c>
    </row>
    <row r="97" ht="28" customHeight="1">
      <c r="A97" s="10" t="inlineStr">
        <is>
          <t>5. Price</t>
        </is>
      </c>
      <c r="B97" s="12" t="inlineStr"/>
      <c r="C97" s="12" t="inlineStr"/>
      <c r="D97" s="12" t="inlineStr"/>
      <c r="E97" s="12" t="inlineStr">
        <is>
          <t>HR</t>
        </is>
      </c>
      <c r="F97" s="12" t="inlineStr">
        <is>
          <t>Pay ranges per level from a purchased market survey; nothing changes pay before then</t>
        </is>
      </c>
    </row>
  </sheetData>
  <mergeCells count="29">
    <mergeCell ref="A90:F90"/>
    <mergeCell ref="A12:F12"/>
    <mergeCell ref="A18:F18"/>
    <mergeCell ref="A3:F3"/>
    <mergeCell ref="A2:F2"/>
    <mergeCell ref="A33:F33"/>
    <mergeCell ref="A5:F5"/>
    <mergeCell ref="A23:F23"/>
    <mergeCell ref="A8:F8"/>
    <mergeCell ref="A91:F91"/>
    <mergeCell ref="A29:F29"/>
    <mergeCell ref="A10:F10"/>
    <mergeCell ref="A28:F28"/>
    <mergeCell ref="A13:F13"/>
    <mergeCell ref="A19:F19"/>
    <mergeCell ref="A9:F9"/>
    <mergeCell ref="A58:F58"/>
    <mergeCell ref="A34:F34"/>
    <mergeCell ref="A40:F40"/>
    <mergeCell ref="A39:F39"/>
    <mergeCell ref="A77:F77"/>
    <mergeCell ref="A24:F24"/>
    <mergeCell ref="A73:F73"/>
    <mergeCell ref="A11:F11"/>
    <mergeCell ref="A1:F1"/>
    <mergeCell ref="A6:F6"/>
    <mergeCell ref="A78:F78"/>
    <mergeCell ref="A69:F69"/>
    <mergeCell ref="A7:F7"/>
  </mergeCells>
  <hyperlinks>
    <hyperlink xmlns:r="http://schemas.openxmlformats.org/officeDocument/2006/relationships" ref="G1" r:id="rId1"/>
  </hyperlinks>
  <pageMargins left="0.4" right="0.4" top="0.5" bottom="0.5" header="0.5" footer="0.5"/>
  <pageSetup orientation="landscape" paperSize="8" fitToHeight="0" fitToWidth="1"/>
  <headerFooter>
    <oddHeader/>
    <oddFooter>&amp;LIRIS · Job Architecture &amp; Job Design · Final v1.12 · October 2026 · Internal — Confidential&amp;RPage &amp;P of &amp;N</oddFooter>
    <evenHeader/>
    <evenFooter/>
    <firstHeader/>
    <firstFooter/>
  </headerFooter>
</worksheet>
</file>

<file path=xl/worksheets/sheet6.xml><?xml version="1.0" encoding="utf-8"?>
<worksheet xmlns="http://schemas.openxmlformats.org/spreadsheetml/2006/main">
  <sheetPr>
    <tabColor rgb="002E75B6"/>
    <outlinePr summaryBelow="1" summaryRight="1"/>
    <pageSetUpPr fitToPage="1"/>
  </sheetPr>
  <dimension ref="A1:Q42"/>
  <sheetViews>
    <sheetView showGridLines="0" workbookViewId="0">
      <pane xSplit="2" ySplit="6" topLeftCell="C7" activePane="bottomRight" state="frozen"/>
      <selection pane="topRight" activeCell="A1" sqref="A1"/>
      <selection pane="bottomLeft" activeCell="A1" sqref="A1"/>
      <selection pane="bottomRight" activeCell="A1" sqref="A1"/>
    </sheetView>
  </sheetViews>
  <sheetFormatPr baseColWidth="8" defaultRowHeight="15"/>
  <cols>
    <col width="20" customWidth="1" min="1" max="1"/>
    <col width="14" customWidth="1" min="2" max="2"/>
    <col width="6" customWidth="1" min="3" max="3"/>
    <col width="16" customWidth="1" min="4" max="4"/>
    <col width="20" customWidth="1" min="5" max="5"/>
    <col width="24" customWidth="1" min="6" max="6"/>
    <col width="30" customWidth="1" min="7" max="7"/>
    <col width="10" customWidth="1" min="8" max="8"/>
    <col width="7" customWidth="1" min="9" max="9"/>
    <col width="40" customWidth="1" min="10" max="10"/>
    <col width="30" customWidth="1" min="11" max="11"/>
    <col width="32" customWidth="1" min="12" max="12"/>
    <col width="22" customWidth="1" min="13" max="13"/>
    <col width="20" customWidth="1" min="14" max="14"/>
    <col width="34" customWidth="1" min="15" max="15"/>
    <col width="38" customWidth="1" min="16" max="16"/>
    <col width="13" customWidth="1" min="17" max="17"/>
  </cols>
  <sheetData>
    <row r="1" ht="34" customHeight="1">
      <c r="A1" s="1" t="inlineStr">
        <is>
          <t>Career ladder — Corporate: department → band → level, competencies and overlaps</t>
        </is>
      </c>
      <c r="Q1" s="103" t="inlineStr">
        <is>
          <t>◂ Start Here</t>
        </is>
      </c>
    </row>
    <row r="2" ht="32" customHeight="1">
      <c r="A2" s="3" t="inlineStr">
        <is>
          <t>Sheet 5 · 49 people in 8 departments. One row per designation at a level in a department, ordered department → band → level · bottom to top: earlier rows are lower levels. 'Same work' = same job family, sub-family and level; overlap within the product is shaded orange, overlap across IRIS blue. D1 top specialist title — decision for the heads: Option A Chief Specialist or Option B Distinguished Principal; both shown until decided.</t>
        </is>
      </c>
    </row>
    <row r="3">
      <c r="A3" s="4" t="inlineStr">
        <is>
          <t>IRIS · Job Architecture &amp; Job Design · Final v1.12 · October 2026 · Internal — Confidential</t>
        </is>
      </c>
    </row>
    <row r="4"/>
    <row r="5"/>
    <row r="6" ht="30" customHeight="1">
      <c r="A6" s="74" t="inlineStr">
        <is>
          <t>Department</t>
        </is>
      </c>
      <c r="B6" s="74" t="inlineStr">
        <is>
          <t>Band</t>
        </is>
      </c>
      <c r="C6" s="74" t="inlineStr">
        <is>
          <t>Level</t>
        </is>
      </c>
      <c r="D6" s="74" t="inlineStr">
        <is>
          <t>Level title</t>
        </is>
      </c>
      <c r="E6" s="74" t="inlineStr">
        <is>
          <t>Job family</t>
        </is>
      </c>
      <c r="F6" s="74" t="inlineStr">
        <is>
          <t>Sub-family</t>
        </is>
      </c>
      <c r="G6" s="74" t="inlineStr">
        <is>
          <t>Designation</t>
        </is>
      </c>
      <c r="H6" s="74" t="inlineStr">
        <is>
          <t>Track</t>
        </is>
      </c>
      <c r="I6" s="74" t="inlineStr">
        <is>
          <t>Holders</t>
        </is>
      </c>
      <c r="J6" s="74" t="inlineStr">
        <is>
          <t>Ladder in this sub-family here · level: designation</t>
        </is>
      </c>
      <c r="K6" s="74" t="inlineStr">
        <is>
          <t>★ Must-have competencies</t>
        </is>
      </c>
      <c r="L6" s="74" t="inlineStr">
        <is>
          <t>Other functional competencies</t>
        </is>
      </c>
      <c r="M6" s="74" t="inlineStr">
        <is>
          <t>Proficiency needed</t>
        </is>
      </c>
      <c r="N6" s="74" t="inlineStr">
        <is>
          <t>Credentials</t>
        </is>
      </c>
      <c r="O6" s="74" t="inlineStr">
        <is>
          <t>Overlap within Corporate · same work in other departments</t>
        </is>
      </c>
      <c r="P6" s="74" t="inlineStr">
        <is>
          <t>Overlap across IRIS · same work in other products</t>
        </is>
      </c>
    </row>
    <row r="7" ht="68" customHeight="1">
      <c r="A7" s="12" t="inlineStr">
        <is>
          <t>Administration</t>
        </is>
      </c>
      <c r="B7" s="17" t="inlineStr">
        <is>
          <t>A · Practitioner</t>
        </is>
      </c>
      <c r="C7" s="17" t="inlineStr">
        <is>
          <t>A3</t>
        </is>
      </c>
      <c r="D7" s="12" t="inlineStr">
        <is>
          <t>Senior Associate</t>
        </is>
      </c>
      <c r="E7" s="12" t="inlineStr">
        <is>
          <t>Administration, Legal &amp; Secretarial</t>
        </is>
      </c>
      <c r="F7" s="12" t="inlineStr">
        <is>
          <t>Administration &amp; Facilities</t>
        </is>
      </c>
      <c r="G7" s="12" t="inlineStr">
        <is>
          <t>Senior Administration Executive</t>
        </is>
      </c>
      <c r="H7" s="12" t="inlineStr">
        <is>
          <t>IC</t>
        </is>
      </c>
      <c r="I7" s="12" t="n">
        <v>4</v>
      </c>
      <c r="J7" s="12" t="inlineStr">
        <is>
          <r>
            <rPr>
              <rFont val="Calibri"/>
              <b val="1"/>
              <sz val="10"/>
            </rPr>
            <t>A3:</t>
          </r>
          <r>
            <rPr>
              <rFont val="Calibri"/>
              <sz val="10"/>
            </rPr>
            <t xml:space="preserve"> Senior Administration Executive → B2: Manager – Administration → X1: Associate Consultant – Administration &amp; Facilities</t>
          </r>
        </is>
      </c>
      <c r="K7" s="12" t="inlineStr">
        <is>
          <t>Regulatory &amp; BFSI Domain · Stakeholder &amp; Client Management</t>
        </is>
      </c>
      <c r="L7" s="12" t="inlineStr">
        <is>
          <t>Process Improvement &amp; Quality Mindset · Advanced Excel &amp; Productivity Tools · Communication &amp; Presentation · Time, Priority &amp; Self-Management</t>
        </is>
      </c>
      <c r="M7" s="12" t="inlineStr">
        <is>
          <t>Core 2 · Future-ready 2 · Functional 3 · Leadership —</t>
        </is>
      </c>
      <c r="N7" s="12" t="inlineStr">
        <is>
          <t>Domain certifications · optional</t>
        </is>
      </c>
      <c r="O7" s="12" t="inlineStr">
        <is>
          <t>None — only this department</t>
        </is>
      </c>
      <c r="P7" s="12" t="inlineStr">
        <is>
          <t>None — only Corporate</t>
        </is>
      </c>
    </row>
    <row r="8" ht="68" customHeight="1">
      <c r="A8" s="12" t="inlineStr">
        <is>
          <t>Administration</t>
        </is>
      </c>
      <c r="B8" s="21" t="inlineStr">
        <is>
          <t>B · Specialist / Manager</t>
        </is>
      </c>
      <c r="C8" s="21" t="inlineStr">
        <is>
          <t>B2</t>
        </is>
      </c>
      <c r="D8" s="12" t="inlineStr">
        <is>
          <t>Manager</t>
        </is>
      </c>
      <c r="E8" s="12" t="inlineStr">
        <is>
          <t>Administration, Legal &amp; Secretarial</t>
        </is>
      </c>
      <c r="F8" s="12" t="inlineStr">
        <is>
          <t>Administration &amp; Facilities</t>
        </is>
      </c>
      <c r="G8" s="12" t="inlineStr">
        <is>
          <t>Manager – Administration</t>
        </is>
      </c>
      <c r="H8" s="12" t="inlineStr">
        <is>
          <t>People Manager</t>
        </is>
      </c>
      <c r="I8" s="12" t="n">
        <v>1</v>
      </c>
      <c r="J8" s="12" t="inlineStr">
        <is>
          <r>
            <rPr>
              <rFont val="Calibri"/>
              <b val="1"/>
              <sz val="10"/>
            </rPr>
            <t>A3:</t>
          </r>
          <r>
            <rPr>
              <rFont val="Calibri"/>
              <sz val="10"/>
            </rPr>
            <t xml:space="preserve"> Senior Administration Executive → B2: Manager – Administration → X1: Associate Consultant – Administration &amp; Facilities</t>
          </r>
        </is>
      </c>
      <c r="K8" s="12" t="inlineStr">
        <is>
          <t>Regulatory &amp; BFSI Domain · Stakeholder &amp; Client Management</t>
        </is>
      </c>
      <c r="L8" s="12" t="inlineStr">
        <is>
          <t>Process Improvement &amp; Quality Mindset · Advanced Excel &amp; Productivity Tools · Communication &amp; Presentation · Time, Priority &amp; Self-Management</t>
        </is>
      </c>
      <c r="M8" s="12" t="inlineStr">
        <is>
          <t>Core 3 · Future-ready 3 · Functional 4 · Leadership 3</t>
        </is>
      </c>
      <c r="N8" s="12" t="inlineStr">
        <is>
          <t>Domain certifications · optional</t>
        </is>
      </c>
      <c r="O8" s="12" t="inlineStr">
        <is>
          <t>None — only this department</t>
        </is>
      </c>
      <c r="P8" s="12" t="inlineStr">
        <is>
          <t>None — only Corporate</t>
        </is>
      </c>
    </row>
    <row r="9" ht="68" customHeight="1">
      <c r="A9" s="12" t="inlineStr">
        <is>
          <t>Administration</t>
        </is>
      </c>
      <c r="B9" s="37" t="inlineStr">
        <is>
          <t>X · Consultant</t>
        </is>
      </c>
      <c r="C9" s="37" t="inlineStr">
        <is>
          <t>X1</t>
        </is>
      </c>
      <c r="D9" s="12" t="inlineStr">
        <is>
          <t>Associate Consultant</t>
        </is>
      </c>
      <c r="E9" s="12" t="inlineStr">
        <is>
          <t>Administration, Legal &amp; Secretarial</t>
        </is>
      </c>
      <c r="F9" s="12" t="inlineStr">
        <is>
          <t>Administration &amp; Facilities</t>
        </is>
      </c>
      <c r="G9" s="12" t="inlineStr">
        <is>
          <t>Associate Consultant – Administration &amp; Facilities</t>
        </is>
      </c>
      <c r="H9" s="12" t="inlineStr">
        <is>
          <t>Consultant</t>
        </is>
      </c>
      <c r="I9" s="12" t="n">
        <v>1</v>
      </c>
      <c r="J9" s="12" t="inlineStr">
        <is>
          <r>
            <rPr>
              <rFont val="Calibri"/>
              <b val="1"/>
              <sz val="10"/>
            </rPr>
            <t>A3:</t>
          </r>
          <r>
            <rPr>
              <rFont val="Calibri"/>
              <sz val="10"/>
            </rPr>
            <t xml:space="preserve"> Senior Administration Executive → B2: Manager – Administration → X1: Associate Consultant – Administration &amp; Facilities</t>
          </r>
        </is>
      </c>
      <c r="K9" s="12" t="inlineStr">
        <is>
          <t>Regulatory &amp; BFSI Domain · Stakeholder &amp; Client Management</t>
        </is>
      </c>
      <c r="L9" s="12" t="inlineStr">
        <is>
          <t>Process Improvement &amp; Quality Mindset · Advanced Excel &amp; Productivity Tools · Communication &amp; Presentation · Time, Priority &amp; Self-Management</t>
        </is>
      </c>
      <c r="M9" s="12" t="inlineStr">
        <is>
          <t>Per statement of work</t>
        </is>
      </c>
      <c r="N9" s="12" t="inlineStr">
        <is>
          <t>Domain certifications · optional</t>
        </is>
      </c>
      <c r="O9" s="12" t="inlineStr">
        <is>
          <t>None — only this department</t>
        </is>
      </c>
      <c r="P9" s="12" t="inlineStr">
        <is>
          <t>None — only Corporate</t>
        </is>
      </c>
    </row>
    <row r="10" ht="55" customHeight="1">
      <c r="A10" s="12" t="inlineStr">
        <is>
          <t>Finance</t>
        </is>
      </c>
      <c r="B10" s="17" t="inlineStr">
        <is>
          <t>A · Practitioner</t>
        </is>
      </c>
      <c r="C10" s="17" t="inlineStr">
        <is>
          <t>A3</t>
        </is>
      </c>
      <c r="D10" s="12" t="inlineStr">
        <is>
          <t>Senior Associate</t>
        </is>
      </c>
      <c r="E10" s="12" t="inlineStr">
        <is>
          <t>Finance &amp; Accounts</t>
        </is>
      </c>
      <c r="F10" s="12" t="inlineStr">
        <is>
          <t>Accounting &amp; Transaction Processing</t>
        </is>
      </c>
      <c r="G10" s="12" t="inlineStr">
        <is>
          <t>Senior Accounts Executive</t>
        </is>
      </c>
      <c r="H10" s="12" t="inlineStr">
        <is>
          <t>IC</t>
        </is>
      </c>
      <c r="I10" s="12" t="n">
        <v>2</v>
      </c>
      <c r="J10" s="12" t="inlineStr">
        <is>
          <r>
            <rPr>
              <rFont val="Calibri"/>
              <b val="1"/>
              <sz val="10"/>
            </rPr>
            <t>A3:</t>
          </r>
          <r>
            <rPr>
              <rFont val="Calibri"/>
              <sz val="10"/>
            </rPr>
            <t xml:space="preserve"> Senior Accounts Executive → B1: Accounts Specialist – POD Lead</t>
          </r>
        </is>
      </c>
      <c r="K10" s="12" t="inlineStr">
        <is>
          <t>Accounting &amp; Reporting Standards · IFRS/US GAAP · Advanced Excel &amp; Productivity Tools</t>
        </is>
      </c>
      <c r="L10" s="12" t="inlineStr">
        <is>
          <t>Regulatory &amp; BFSI Domain · Data Analytics, BI &amp; Visualisation · Process Improvement &amp; Quality Mindset · Strategic Thinking &amp; Business Acumen</t>
        </is>
      </c>
      <c r="M10" s="12" t="inlineStr">
        <is>
          <t>Core 2 · Future-ready 2 · Functional 3 · Leadership —</t>
        </is>
      </c>
      <c r="N10" s="12" t="inlineStr">
        <is>
          <t>CA / CMA / ACCA / CFA / IFRS certificate; MOS Excel · optional</t>
        </is>
      </c>
      <c r="O10" s="12" t="inlineStr">
        <is>
          <t>None — only this department</t>
        </is>
      </c>
      <c r="P10" s="12" t="inlineStr">
        <is>
          <t>None — only Corporate</t>
        </is>
      </c>
    </row>
    <row r="11" ht="55" customHeight="1">
      <c r="A11" s="12" t="inlineStr">
        <is>
          <t>Finance</t>
        </is>
      </c>
      <c r="B11" s="21" t="inlineStr">
        <is>
          <t>B · Specialist / Manager</t>
        </is>
      </c>
      <c r="C11" s="21" t="inlineStr">
        <is>
          <t>B1</t>
        </is>
      </c>
      <c r="D11" s="12" t="inlineStr">
        <is>
          <t>Specialist · POD Lead</t>
        </is>
      </c>
      <c r="E11" s="12" t="inlineStr">
        <is>
          <t>Finance &amp; Accounts</t>
        </is>
      </c>
      <c r="F11" s="12" t="inlineStr">
        <is>
          <t>Accounting &amp; Transaction Processing</t>
        </is>
      </c>
      <c r="G11" s="12" t="inlineStr">
        <is>
          <t>Accounts Specialist – POD Lead</t>
        </is>
      </c>
      <c r="H11" s="12" t="inlineStr">
        <is>
          <t>POD Lead</t>
        </is>
      </c>
      <c r="I11" s="12" t="n">
        <v>2</v>
      </c>
      <c r="J11" s="12" t="inlineStr">
        <is>
          <r>
            <rPr>
              <rFont val="Calibri"/>
              <b val="1"/>
              <sz val="10"/>
            </rPr>
            <t>A3:</t>
          </r>
          <r>
            <rPr>
              <rFont val="Calibri"/>
              <sz val="10"/>
            </rPr>
            <t xml:space="preserve"> Senior Accounts Executive → B1: Accounts Specialist – POD Lead</t>
          </r>
        </is>
      </c>
      <c r="K11" s="12" t="inlineStr">
        <is>
          <t>Accounting &amp; Reporting Standards · IFRS/US GAAP · Advanced Excel &amp; Productivity Tools</t>
        </is>
      </c>
      <c r="L11" s="12" t="inlineStr">
        <is>
          <t>Regulatory &amp; BFSI Domain · Data Analytics, BI &amp; Visualisation · Process Improvement &amp; Quality Mindset · Strategic Thinking &amp; Business Acumen</t>
        </is>
      </c>
      <c r="M11" s="12" t="inlineStr">
        <is>
          <t>Core 3 · Future-ready 3 · Functional 3 · Leadership 1</t>
        </is>
      </c>
      <c r="N11" s="12" t="inlineStr">
        <is>
          <t>CA / CMA / ACCA / CFA / IFRS certificate; MOS Excel · optional</t>
        </is>
      </c>
      <c r="O11" s="12" t="inlineStr">
        <is>
          <t>None — only this department</t>
        </is>
      </c>
      <c r="P11" s="12" t="inlineStr">
        <is>
          <t>None — only Corporate</t>
        </is>
      </c>
    </row>
    <row r="12" ht="55" customHeight="1">
      <c r="A12" s="12" t="inlineStr">
        <is>
          <t>Finance</t>
        </is>
      </c>
      <c r="B12" s="21" t="inlineStr">
        <is>
          <t>B · Specialist / Manager</t>
        </is>
      </c>
      <c r="C12" s="21" t="inlineStr">
        <is>
          <t>B1</t>
        </is>
      </c>
      <c r="D12" s="12" t="inlineStr">
        <is>
          <t>Specialist</t>
        </is>
      </c>
      <c r="E12" s="12" t="inlineStr">
        <is>
          <t>Finance &amp; Accounts</t>
        </is>
      </c>
      <c r="F12" s="12" t="inlineStr">
        <is>
          <t>Financial Reporting, Compliance &amp; Audit</t>
        </is>
      </c>
      <c r="G12" s="12" t="inlineStr">
        <is>
          <t>Finance Specialist</t>
        </is>
      </c>
      <c r="H12" s="12" t="inlineStr">
        <is>
          <t>IC</t>
        </is>
      </c>
      <c r="I12" s="12" t="n">
        <v>2</v>
      </c>
      <c r="J12" s="12" t="inlineStr">
        <is>
          <r>
            <rPr>
              <rFont val="Calibri"/>
              <b val="1"/>
              <sz val="10"/>
            </rPr>
            <t>B1:</t>
          </r>
          <r>
            <rPr>
              <rFont val="Calibri"/>
              <sz val="10"/>
            </rPr>
            <t xml:space="preserve"> Finance Specialist / Finance Specialist – POD Lead → B2: Senior Finance Specialist – POD Lead</t>
          </r>
        </is>
      </c>
      <c r="K12" s="12" t="inlineStr">
        <is>
          <t>Accounting &amp; Reporting Standards · IFRS/US GAAP · Advanced Excel &amp; Productivity Tools</t>
        </is>
      </c>
      <c r="L12" s="12" t="inlineStr">
        <is>
          <t>Regulatory &amp; BFSI Domain · Data Analytics, BI &amp; Visualisation · Process Improvement &amp; Quality Mindset · Strategic Thinking &amp; Business Acumen</t>
        </is>
      </c>
      <c r="M12" s="12" t="inlineStr">
        <is>
          <t>Core 3 · Future-ready 3 · Functional 3 · Leadership 1</t>
        </is>
      </c>
      <c r="N12" s="12" t="inlineStr">
        <is>
          <t>CA / CMA / ACCA / CFA / IFRS certificate; MOS Excel · optional</t>
        </is>
      </c>
      <c r="O12" s="12" t="inlineStr">
        <is>
          <t>None — only this department</t>
        </is>
      </c>
      <c r="P12" s="12" t="inlineStr">
        <is>
          <t>None — only Corporate</t>
        </is>
      </c>
    </row>
    <row r="13" ht="55" customHeight="1">
      <c r="A13" s="12" t="inlineStr">
        <is>
          <t>Finance</t>
        </is>
      </c>
      <c r="B13" s="21" t="inlineStr">
        <is>
          <t>B · Specialist / Manager</t>
        </is>
      </c>
      <c r="C13" s="21" t="inlineStr">
        <is>
          <t>B1</t>
        </is>
      </c>
      <c r="D13" s="12" t="inlineStr">
        <is>
          <t>Specialist · POD Lead</t>
        </is>
      </c>
      <c r="E13" s="12" t="inlineStr">
        <is>
          <t>Finance &amp; Accounts</t>
        </is>
      </c>
      <c r="F13" s="12" t="inlineStr">
        <is>
          <t>Financial Reporting, Compliance &amp; Audit</t>
        </is>
      </c>
      <c r="G13" s="12" t="inlineStr">
        <is>
          <t>Finance Specialist – POD Lead</t>
        </is>
      </c>
      <c r="H13" s="12" t="inlineStr">
        <is>
          <t>POD Lead</t>
        </is>
      </c>
      <c r="I13" s="12" t="n">
        <v>1</v>
      </c>
      <c r="J13" s="12" t="inlineStr">
        <is>
          <r>
            <rPr>
              <rFont val="Calibri"/>
              <b val="1"/>
              <sz val="10"/>
            </rPr>
            <t>B1:</t>
          </r>
          <r>
            <rPr>
              <rFont val="Calibri"/>
              <sz val="10"/>
            </rPr>
            <t xml:space="preserve"> Finance Specialist / Finance Specialist – POD Lead → B2: Senior Finance Specialist – POD Lead</t>
          </r>
        </is>
      </c>
      <c r="K13" s="12" t="inlineStr">
        <is>
          <t>Accounting &amp; Reporting Standards · IFRS/US GAAP · Advanced Excel &amp; Productivity Tools</t>
        </is>
      </c>
      <c r="L13" s="12" t="inlineStr">
        <is>
          <t>Regulatory &amp; BFSI Domain · Data Analytics, BI &amp; Visualisation · Process Improvement &amp; Quality Mindset · Strategic Thinking &amp; Business Acumen</t>
        </is>
      </c>
      <c r="M13" s="12" t="inlineStr">
        <is>
          <t>Core 3 · Future-ready 3 · Functional 3 · Leadership 1</t>
        </is>
      </c>
      <c r="N13" s="12" t="inlineStr">
        <is>
          <t>CA / CMA / ACCA / CFA / IFRS certificate; MOS Excel · optional</t>
        </is>
      </c>
      <c r="O13" s="12" t="inlineStr">
        <is>
          <t>None — only this department</t>
        </is>
      </c>
      <c r="P13" s="12" t="inlineStr">
        <is>
          <t>None — only Corporate</t>
        </is>
      </c>
    </row>
    <row r="14" ht="55" customHeight="1">
      <c r="A14" s="12" t="inlineStr">
        <is>
          <t>Finance</t>
        </is>
      </c>
      <c r="B14" s="21" t="inlineStr">
        <is>
          <t>B · Specialist / Manager</t>
        </is>
      </c>
      <c r="C14" s="21" t="inlineStr">
        <is>
          <t>B2</t>
        </is>
      </c>
      <c r="D14" s="12" t="inlineStr">
        <is>
          <t>Senior Specialist · POD Lead</t>
        </is>
      </c>
      <c r="E14" s="12" t="inlineStr">
        <is>
          <t>Finance &amp; Accounts</t>
        </is>
      </c>
      <c r="F14" s="12" t="inlineStr">
        <is>
          <t>Financial Reporting, Compliance &amp; Audit</t>
        </is>
      </c>
      <c r="G14" s="12" t="inlineStr">
        <is>
          <t>Senior Finance Specialist – POD Lead</t>
        </is>
      </c>
      <c r="H14" s="12" t="inlineStr">
        <is>
          <t>POD Lead</t>
        </is>
      </c>
      <c r="I14" s="12" t="n">
        <v>1</v>
      </c>
      <c r="J14" s="12" t="inlineStr">
        <is>
          <r>
            <rPr>
              <rFont val="Calibri"/>
              <b val="1"/>
              <sz val="10"/>
            </rPr>
            <t>B1:</t>
          </r>
          <r>
            <rPr>
              <rFont val="Calibri"/>
              <sz val="10"/>
            </rPr>
            <t xml:space="preserve"> Finance Specialist / Finance Specialist – POD Lead → B2: Senior Finance Specialist – POD Lead</t>
          </r>
        </is>
      </c>
      <c r="K14" s="12" t="inlineStr">
        <is>
          <t>Accounting &amp; Reporting Standards · IFRS/US GAAP · Advanced Excel &amp; Productivity Tools</t>
        </is>
      </c>
      <c r="L14" s="12" t="inlineStr">
        <is>
          <t>Regulatory &amp; BFSI Domain · Data Analytics, BI &amp; Visualisation · Process Improvement &amp; Quality Mindset · Strategic Thinking &amp; Business Acumen</t>
        </is>
      </c>
      <c r="M14" s="12" t="inlineStr">
        <is>
          <t>Core 3 · Future-ready 3 · Functional 4 · Leadership 2</t>
        </is>
      </c>
      <c r="N14" s="12" t="inlineStr">
        <is>
          <t>CA / CMA / ACCA / CFA / IFRS certificate; MOS Excel · optional</t>
        </is>
      </c>
      <c r="O14" s="12" t="inlineStr">
        <is>
          <t>None — only this department</t>
        </is>
      </c>
      <c r="P14" s="12" t="inlineStr">
        <is>
          <t>None — only Corporate</t>
        </is>
      </c>
    </row>
    <row r="15" ht="55" customHeight="1">
      <c r="A15" s="12" t="inlineStr">
        <is>
          <t>Finance</t>
        </is>
      </c>
      <c r="B15" s="25" t="inlineStr">
        <is>
          <t>C · Principal / Head</t>
        </is>
      </c>
      <c r="C15" s="25" t="inlineStr">
        <is>
          <t>C1</t>
        </is>
      </c>
      <c r="D15" s="12" t="inlineStr">
        <is>
          <t>Associate Head</t>
        </is>
      </c>
      <c r="E15" s="12" t="inlineStr">
        <is>
          <t>Finance &amp; Accounts</t>
        </is>
      </c>
      <c r="F15" s="12" t="inlineStr">
        <is>
          <t>Finance Leadership</t>
        </is>
      </c>
      <c r="G15" s="12" t="inlineStr">
        <is>
          <t>Associate Head – Admin &amp; Internal Audit</t>
        </is>
      </c>
      <c r="H15" s="12" t="inlineStr">
        <is>
          <t>People Manager</t>
        </is>
      </c>
      <c r="I15" s="12" t="n">
        <v>1</v>
      </c>
      <c r="J15" s="12" t="inlineStr">
        <is>
          <r>
            <rPr>
              <rFont val="Calibri"/>
              <b val="1"/>
              <sz val="10"/>
            </rPr>
            <t>C1:</t>
          </r>
          <r>
            <rPr>
              <rFont val="Calibri"/>
              <sz val="10"/>
            </rPr>
            <t xml:space="preserve"> Associate Head – Admin &amp; Internal Audit / Associate Head – Finance &amp; Accounts</t>
          </r>
        </is>
      </c>
      <c r="K15" s="12" t="inlineStr">
        <is>
          <t>Accounting &amp; Reporting Standards · IFRS/US GAAP · Advanced Excel &amp; Productivity Tools</t>
        </is>
      </c>
      <c r="L15" s="12" t="inlineStr">
        <is>
          <t>Regulatory &amp; BFSI Domain · Data Analytics, BI &amp; Visualisation · Process Improvement &amp; Quality Mindset · Strategic Thinking &amp; Business Acumen</t>
        </is>
      </c>
      <c r="M15" s="12" t="inlineStr">
        <is>
          <t>Core 4 · Future-ready 4 · Functional 4 · Leadership 4</t>
        </is>
      </c>
      <c r="N15" s="12" t="inlineStr">
        <is>
          <t>CA / CMA / ACCA / CFA / IFRS certificate; MOS Excel · optional</t>
        </is>
      </c>
      <c r="O15" s="12" t="inlineStr">
        <is>
          <t>None — only this department</t>
        </is>
      </c>
      <c r="P15" s="12" t="inlineStr">
        <is>
          <t>None — only Corporate</t>
        </is>
      </c>
    </row>
    <row r="16" ht="55" customHeight="1">
      <c r="A16" s="12" t="inlineStr">
        <is>
          <t>Finance</t>
        </is>
      </c>
      <c r="B16" s="25" t="inlineStr">
        <is>
          <t>C · Principal / Head</t>
        </is>
      </c>
      <c r="C16" s="25" t="inlineStr">
        <is>
          <t>C1</t>
        </is>
      </c>
      <c r="D16" s="12" t="inlineStr">
        <is>
          <t>Associate Head</t>
        </is>
      </c>
      <c r="E16" s="12" t="inlineStr">
        <is>
          <t>Finance &amp; Accounts</t>
        </is>
      </c>
      <c r="F16" s="12" t="inlineStr">
        <is>
          <t>Finance Leadership</t>
        </is>
      </c>
      <c r="G16" s="12" t="inlineStr">
        <is>
          <t>Associate Head – Finance &amp; Accounts</t>
        </is>
      </c>
      <c r="H16" s="12" t="inlineStr">
        <is>
          <t>People Manager</t>
        </is>
      </c>
      <c r="I16" s="12" t="n">
        <v>1</v>
      </c>
      <c r="J16" s="12" t="inlineStr">
        <is>
          <r>
            <rPr>
              <rFont val="Calibri"/>
              <b val="1"/>
              <sz val="10"/>
            </rPr>
            <t>C1:</t>
          </r>
          <r>
            <rPr>
              <rFont val="Calibri"/>
              <sz val="10"/>
            </rPr>
            <t xml:space="preserve"> Associate Head – Admin &amp; Internal Audit / Associate Head – Finance &amp; Accounts</t>
          </r>
        </is>
      </c>
      <c r="K16" s="12" t="inlineStr">
        <is>
          <t>Accounting &amp; Reporting Standards · IFRS/US GAAP · Advanced Excel &amp; Productivity Tools</t>
        </is>
      </c>
      <c r="L16" s="12" t="inlineStr">
        <is>
          <t>Regulatory &amp; BFSI Domain · Data Analytics, BI &amp; Visualisation · Process Improvement &amp; Quality Mindset · Strategic Thinking &amp; Business Acumen</t>
        </is>
      </c>
      <c r="M16" s="12" t="inlineStr">
        <is>
          <t>Core 4 · Future-ready 4 · Functional 4 · Leadership 4</t>
        </is>
      </c>
      <c r="N16" s="12" t="inlineStr">
        <is>
          <t>CA / CMA / ACCA / CFA / IFRS certificate; MOS Excel · optional</t>
        </is>
      </c>
      <c r="O16" s="12" t="inlineStr">
        <is>
          <t>None — only this department</t>
        </is>
      </c>
      <c r="P16" s="12" t="inlineStr">
        <is>
          <t>None — only Corporate</t>
        </is>
      </c>
    </row>
    <row r="17" ht="55" customHeight="1">
      <c r="A17" s="12" t="inlineStr">
        <is>
          <t>Finance</t>
        </is>
      </c>
      <c r="B17" s="33" t="inlineStr">
        <is>
          <t>E · Enterprise leadership</t>
        </is>
      </c>
      <c r="C17" s="33" t="inlineStr">
        <is>
          <t>E1</t>
        </is>
      </c>
      <c r="D17" s="12" t="inlineStr">
        <is>
          <t>CXO / President</t>
        </is>
      </c>
      <c r="E17" s="12" t="inlineStr">
        <is>
          <t>Executive Leadership</t>
        </is>
      </c>
      <c r="F17" s="12" t="inlineStr">
        <is>
          <t>Enterprise Leadership</t>
        </is>
      </c>
      <c r="G17" s="12" t="inlineStr">
        <is>
          <t>Chief Financial Officer</t>
        </is>
      </c>
      <c r="H17" s="12" t="inlineStr">
        <is>
          <t>People Manager</t>
        </is>
      </c>
      <c r="I17" s="12" t="n">
        <v>1</v>
      </c>
      <c r="J17" s="12" t="inlineStr">
        <is>
          <r>
            <rPr>
              <rFont val="Calibri"/>
              <b val="1"/>
              <sz val="10"/>
            </rPr>
            <t>E1:</t>
          </r>
          <r>
            <rPr>
              <rFont val="Calibri"/>
              <sz val="10"/>
            </rPr>
            <t xml:space="preserve"> Chief Financial Officer</t>
          </r>
        </is>
      </c>
      <c r="K17" s="12" t="inlineStr">
        <is>
          <t>Strategic Thinking &amp; Business Acumen · People Leadership &amp; Mentoring</t>
        </is>
      </c>
      <c r="L17" s="12" t="inlineStr">
        <is>
          <t>Stakeholder &amp; Client Management · Product, Platform &amp; Domain Knowledge · Regulatory &amp; BFSI Domain · Communication &amp; Presentation</t>
        </is>
      </c>
      <c r="M17" s="12" t="inlineStr">
        <is>
          <t>Core 5 · Future-ready 5 · Functional 4 · Leadership 5</t>
        </is>
      </c>
      <c r="N17" s="12" t="inlineStr">
        <is>
          <t>MBA / PGDM · preferred at C+</t>
        </is>
      </c>
      <c r="O17" s="95" t="inlineStr">
        <is>
          <t>Management · Technology</t>
        </is>
      </c>
      <c r="P17" s="17" t="inlineStr">
        <is>
          <r>
            <rPr>
              <rFont val="Calibri"/>
              <sz val="10"/>
            </rPr>
            <t xml:space="preserve">CARBON 1
</t>
          </r>
          <r>
            <rPr>
              <rFont val="Calibri"/>
              <b val="1"/>
              <sz val="10"/>
            </rPr>
            <t>Titled there:</t>
          </r>
          <r>
            <rPr>
              <rFont val="Calibri"/>
              <sz val="10"/>
            </rPr>
            <t xml:space="preserve"> Chief Revenue Officer</t>
          </r>
        </is>
      </c>
    </row>
    <row r="18" ht="68" customHeight="1">
      <c r="A18" s="12" t="inlineStr">
        <is>
          <t>HR</t>
        </is>
      </c>
      <c r="B18" s="17" t="inlineStr">
        <is>
          <t>A · Practitioner</t>
        </is>
      </c>
      <c r="C18" s="17" t="inlineStr">
        <is>
          <t>A2</t>
        </is>
      </c>
      <c r="D18" s="12" t="inlineStr">
        <is>
          <t>Associate</t>
        </is>
      </c>
      <c r="E18" s="12" t="inlineStr">
        <is>
          <t>Human Resources</t>
        </is>
      </c>
      <c r="F18" s="12" t="inlineStr">
        <is>
          <t>HR Operations &amp; Payroll</t>
        </is>
      </c>
      <c r="G18" s="12" t="inlineStr">
        <is>
          <t>HR Executive</t>
        </is>
      </c>
      <c r="H18" s="12" t="inlineStr">
        <is>
          <t>IC</t>
        </is>
      </c>
      <c r="I18" s="12" t="n">
        <v>1</v>
      </c>
      <c r="J18" s="12" t="inlineStr">
        <is>
          <r>
            <rPr>
              <rFont val="Calibri"/>
              <b val="1"/>
              <sz val="10"/>
            </rPr>
            <t>A2:</t>
          </r>
          <r>
            <rPr>
              <rFont val="Calibri"/>
              <sz val="10"/>
            </rPr>
            <t xml:space="preserve"> HR Executive → B1: HR Specialist / HR Specialist – POD Lead</t>
          </r>
        </is>
      </c>
      <c r="K18" s="12" t="inlineStr">
        <is>
          <t>Stakeholder &amp; Client Management · Communication &amp; Presentation</t>
        </is>
      </c>
      <c r="L18" s="12" t="inlineStr">
        <is>
          <t>Data Analytics, BI &amp; Visualisation · Process Improvement &amp; Quality Mindset · People Leadership &amp; Mentoring · Advanced Excel &amp; Productivity Tools</t>
        </is>
      </c>
      <c r="M18" s="12" t="inlineStr">
        <is>
          <t>Core 2 · Future-ready 2 · Functional 2 · Leadership —</t>
        </is>
      </c>
      <c r="N18" s="12" t="inlineStr">
        <is>
          <t>—</t>
        </is>
      </c>
      <c r="O18" s="12" t="inlineStr">
        <is>
          <t>None — only this department</t>
        </is>
      </c>
      <c r="P18" s="12" t="inlineStr">
        <is>
          <t>None — only Corporate</t>
        </is>
      </c>
    </row>
    <row r="19" ht="68" customHeight="1">
      <c r="A19" s="12" t="inlineStr">
        <is>
          <t>HR</t>
        </is>
      </c>
      <c r="B19" s="17" t="inlineStr">
        <is>
          <t>A · Practitioner</t>
        </is>
      </c>
      <c r="C19" s="17" t="inlineStr">
        <is>
          <t>A3</t>
        </is>
      </c>
      <c r="D19" s="12" t="inlineStr">
        <is>
          <t>Senior Associate</t>
        </is>
      </c>
      <c r="E19" s="12" t="inlineStr">
        <is>
          <t>Human Resources</t>
        </is>
      </c>
      <c r="F19" s="12" t="inlineStr">
        <is>
          <t>Talent Acquisition</t>
        </is>
      </c>
      <c r="G19" s="12" t="inlineStr">
        <is>
          <t>Senior Talent Acquisition Executive</t>
        </is>
      </c>
      <c r="H19" s="12" t="inlineStr">
        <is>
          <t>IC</t>
        </is>
      </c>
      <c r="I19" s="12" t="n">
        <v>2</v>
      </c>
      <c r="J19" s="12" t="inlineStr">
        <is>
          <r>
            <rPr>
              <rFont val="Calibri"/>
              <b val="1"/>
              <sz val="10"/>
            </rPr>
            <t>A3:</t>
          </r>
          <r>
            <rPr>
              <rFont val="Calibri"/>
              <sz val="10"/>
            </rPr>
            <t xml:space="preserve"> Senior Talent Acquisition Executive → B2: Senior Talent Acquisition Specialist</t>
          </r>
        </is>
      </c>
      <c r="K19" s="12" t="inlineStr">
        <is>
          <t>Stakeholder &amp; Client Management · Communication &amp; Presentation</t>
        </is>
      </c>
      <c r="L19" s="12" t="inlineStr">
        <is>
          <t>Data Analytics, BI &amp; Visualisation · Process Improvement &amp; Quality Mindset · People Leadership &amp; Mentoring · Advanced Excel &amp; Productivity Tools</t>
        </is>
      </c>
      <c r="M19" s="12" t="inlineStr">
        <is>
          <t>Core 2 · Future-ready 2 · Functional 3 · Leadership —</t>
        </is>
      </c>
      <c r="N19" s="12" t="inlineStr">
        <is>
          <t>—</t>
        </is>
      </c>
      <c r="O19" s="12" t="inlineStr">
        <is>
          <t>None — only this department</t>
        </is>
      </c>
      <c r="P19" s="12" t="inlineStr">
        <is>
          <t>None — only Corporate</t>
        </is>
      </c>
    </row>
    <row r="20" ht="68" customHeight="1">
      <c r="A20" s="12" t="inlineStr">
        <is>
          <t>HR</t>
        </is>
      </c>
      <c r="B20" s="21" t="inlineStr">
        <is>
          <t>B · Specialist / Manager</t>
        </is>
      </c>
      <c r="C20" s="21" t="inlineStr">
        <is>
          <t>B1</t>
        </is>
      </c>
      <c r="D20" s="12" t="inlineStr">
        <is>
          <t>Specialist</t>
        </is>
      </c>
      <c r="E20" s="12" t="inlineStr">
        <is>
          <t>Human Resources</t>
        </is>
      </c>
      <c r="F20" s="12" t="inlineStr">
        <is>
          <t>HR Operations &amp; Payroll</t>
        </is>
      </c>
      <c r="G20" s="12" t="inlineStr">
        <is>
          <t>HR Specialist</t>
        </is>
      </c>
      <c r="H20" s="12" t="inlineStr">
        <is>
          <t>IC</t>
        </is>
      </c>
      <c r="I20" s="12" t="n">
        <v>1</v>
      </c>
      <c r="J20" s="12" t="inlineStr">
        <is>
          <r>
            <rPr>
              <rFont val="Calibri"/>
              <b val="1"/>
              <sz val="10"/>
            </rPr>
            <t>A2:</t>
          </r>
          <r>
            <rPr>
              <rFont val="Calibri"/>
              <sz val="10"/>
            </rPr>
            <t xml:space="preserve"> HR Executive → B1: HR Specialist / HR Specialist – POD Lead</t>
          </r>
        </is>
      </c>
      <c r="K20" s="12" t="inlineStr">
        <is>
          <t>Stakeholder &amp; Client Management · Communication &amp; Presentation</t>
        </is>
      </c>
      <c r="L20" s="12" t="inlineStr">
        <is>
          <t>Data Analytics, BI &amp; Visualisation · Process Improvement &amp; Quality Mindset · People Leadership &amp; Mentoring · Advanced Excel &amp; Productivity Tools</t>
        </is>
      </c>
      <c r="M20" s="12" t="inlineStr">
        <is>
          <t>Core 3 · Future-ready 3 · Functional 3 · Leadership 1</t>
        </is>
      </c>
      <c r="N20" s="12" t="inlineStr">
        <is>
          <t>—</t>
        </is>
      </c>
      <c r="O20" s="12" t="inlineStr">
        <is>
          <t>None — only this department</t>
        </is>
      </c>
      <c r="P20" s="12" t="inlineStr">
        <is>
          <t>None — only Corporate</t>
        </is>
      </c>
    </row>
    <row r="21" ht="68" customHeight="1">
      <c r="A21" s="12" t="inlineStr">
        <is>
          <t>HR</t>
        </is>
      </c>
      <c r="B21" s="21" t="inlineStr">
        <is>
          <t>B · Specialist / Manager</t>
        </is>
      </c>
      <c r="C21" s="21" t="inlineStr">
        <is>
          <t>B1</t>
        </is>
      </c>
      <c r="D21" s="12" t="inlineStr">
        <is>
          <t>Specialist · POD Lead</t>
        </is>
      </c>
      <c r="E21" s="12" t="inlineStr">
        <is>
          <t>Human Resources</t>
        </is>
      </c>
      <c r="F21" s="12" t="inlineStr">
        <is>
          <t>HR Operations &amp; Payroll</t>
        </is>
      </c>
      <c r="G21" s="12" t="inlineStr">
        <is>
          <t>HR Specialist – POD Lead</t>
        </is>
      </c>
      <c r="H21" s="12" t="inlineStr">
        <is>
          <t>POD Lead</t>
        </is>
      </c>
      <c r="I21" s="12" t="n">
        <v>1</v>
      </c>
      <c r="J21" s="12" t="inlineStr">
        <is>
          <r>
            <rPr>
              <rFont val="Calibri"/>
              <b val="1"/>
              <sz val="10"/>
            </rPr>
            <t>A2:</t>
          </r>
          <r>
            <rPr>
              <rFont val="Calibri"/>
              <sz val="10"/>
            </rPr>
            <t xml:space="preserve"> HR Executive → B1: HR Specialist / HR Specialist – POD Lead</t>
          </r>
        </is>
      </c>
      <c r="K21" s="12" t="inlineStr">
        <is>
          <t>Stakeholder &amp; Client Management · Communication &amp; Presentation</t>
        </is>
      </c>
      <c r="L21" s="12" t="inlineStr">
        <is>
          <t>Data Analytics, BI &amp; Visualisation · Process Improvement &amp; Quality Mindset · People Leadership &amp; Mentoring · Advanced Excel &amp; Productivity Tools</t>
        </is>
      </c>
      <c r="M21" s="12" t="inlineStr">
        <is>
          <t>Core 3 · Future-ready 3 · Functional 3 · Leadership 1</t>
        </is>
      </c>
      <c r="N21" s="12" t="inlineStr">
        <is>
          <t>—</t>
        </is>
      </c>
      <c r="O21" s="12" t="inlineStr">
        <is>
          <t>None — only this department</t>
        </is>
      </c>
      <c r="P21" s="12" t="inlineStr">
        <is>
          <t>None — only Corporate</t>
        </is>
      </c>
    </row>
    <row r="22" ht="68" customHeight="1">
      <c r="A22" s="12" t="inlineStr">
        <is>
          <t>HR</t>
        </is>
      </c>
      <c r="B22" s="21" t="inlineStr">
        <is>
          <t>B · Specialist / Manager</t>
        </is>
      </c>
      <c r="C22" s="21" t="inlineStr">
        <is>
          <t>B2</t>
        </is>
      </c>
      <c r="D22" s="12" t="inlineStr">
        <is>
          <t>Senior Specialist</t>
        </is>
      </c>
      <c r="E22" s="12" t="inlineStr">
        <is>
          <t>Human Resources</t>
        </is>
      </c>
      <c r="F22" s="12" t="inlineStr">
        <is>
          <t>Talent Acquisition</t>
        </is>
      </c>
      <c r="G22" s="12" t="inlineStr">
        <is>
          <t>Senior Talent Acquisition Specialist</t>
        </is>
      </c>
      <c r="H22" s="12" t="inlineStr">
        <is>
          <t>IC</t>
        </is>
      </c>
      <c r="I22" s="12" t="n">
        <v>1</v>
      </c>
      <c r="J22" s="12" t="inlineStr">
        <is>
          <r>
            <rPr>
              <rFont val="Calibri"/>
              <b val="1"/>
              <sz val="10"/>
            </rPr>
            <t>A3:</t>
          </r>
          <r>
            <rPr>
              <rFont val="Calibri"/>
              <sz val="10"/>
            </rPr>
            <t xml:space="preserve"> Senior Talent Acquisition Executive → B2: Senior Talent Acquisition Specialist</t>
          </r>
        </is>
      </c>
      <c r="K22" s="12" t="inlineStr">
        <is>
          <t>Stakeholder &amp; Client Management · Communication &amp; Presentation</t>
        </is>
      </c>
      <c r="L22" s="12" t="inlineStr">
        <is>
          <t>Data Analytics, BI &amp; Visualisation · Process Improvement &amp; Quality Mindset · People Leadership &amp; Mentoring · Advanced Excel &amp; Productivity Tools</t>
        </is>
      </c>
      <c r="M22" s="12" t="inlineStr">
        <is>
          <t>Core 3 · Future-ready 3 · Functional 4 · Leadership 2</t>
        </is>
      </c>
      <c r="N22" s="12" t="inlineStr">
        <is>
          <t>—</t>
        </is>
      </c>
      <c r="O22" s="12" t="inlineStr">
        <is>
          <t>None — only this department</t>
        </is>
      </c>
      <c r="P22" s="12" t="inlineStr">
        <is>
          <t>None — only Corporate</t>
        </is>
      </c>
    </row>
    <row r="23" ht="68" customHeight="1">
      <c r="A23" s="12" t="inlineStr">
        <is>
          <t>HR</t>
        </is>
      </c>
      <c r="B23" s="21" t="inlineStr">
        <is>
          <t>B · Specialist / Manager</t>
        </is>
      </c>
      <c r="C23" s="21" t="inlineStr">
        <is>
          <t>B3</t>
        </is>
      </c>
      <c r="D23" s="12" t="inlineStr">
        <is>
          <t>Lead Specialist</t>
        </is>
      </c>
      <c r="E23" s="12" t="inlineStr">
        <is>
          <t>Human Resources</t>
        </is>
      </c>
      <c r="F23" s="12" t="inlineStr">
        <is>
          <t>HR Transformation &amp; OD</t>
        </is>
      </c>
      <c r="G23" s="12" t="inlineStr">
        <is>
          <t>Lead HR Specialist – Transformation &amp; OD</t>
        </is>
      </c>
      <c r="H23" s="12" t="inlineStr">
        <is>
          <t>IC</t>
        </is>
      </c>
      <c r="I23" s="12" t="n">
        <v>1</v>
      </c>
      <c r="J23" s="12" t="inlineStr">
        <is>
          <r>
            <rPr>
              <rFont val="Calibri"/>
              <b val="1"/>
              <sz val="10"/>
            </rPr>
            <t>B3:</t>
          </r>
          <r>
            <rPr>
              <rFont val="Calibri"/>
              <sz val="10"/>
            </rPr>
            <t xml:space="preserve"> Lead HR Specialist – Transformation &amp; OD</t>
          </r>
        </is>
      </c>
      <c r="K23" s="12" t="inlineStr">
        <is>
          <t>Stakeholder &amp; Client Management · Communication &amp; Presentation</t>
        </is>
      </c>
      <c r="L23" s="12" t="inlineStr">
        <is>
          <t>Data Analytics, BI &amp; Visualisation · Process Improvement &amp; Quality Mindset · People Leadership &amp; Mentoring · Advanced Excel &amp; Productivity Tools</t>
        </is>
      </c>
      <c r="M23" s="12" t="inlineStr">
        <is>
          <t>Core 4 · Future-ready 3 · Functional 4 · Leadership 3</t>
        </is>
      </c>
      <c r="N23" s="12" t="inlineStr">
        <is>
          <t>—</t>
        </is>
      </c>
      <c r="O23" s="12" t="inlineStr">
        <is>
          <t>None — only this department</t>
        </is>
      </c>
      <c r="P23" s="12" t="inlineStr">
        <is>
          <t>None — only Corporate</t>
        </is>
      </c>
    </row>
    <row r="24" ht="68" customHeight="1">
      <c r="A24" s="12" t="inlineStr">
        <is>
          <t>HR</t>
        </is>
      </c>
      <c r="B24" s="29" t="inlineStr">
        <is>
          <t>D · Business leadership</t>
        </is>
      </c>
      <c r="C24" s="29" t="inlineStr">
        <is>
          <t>D2</t>
        </is>
      </c>
      <c r="D24" s="12" t="inlineStr">
        <is>
          <t>Vice President</t>
        </is>
      </c>
      <c r="E24" s="12" t="inlineStr">
        <is>
          <t>Human Resources</t>
        </is>
      </c>
      <c r="F24" s="12" t="inlineStr">
        <is>
          <t>HR Leadership</t>
        </is>
      </c>
      <c r="G24" s="12" t="inlineStr">
        <is>
          <t>Vice President – Human Resources</t>
        </is>
      </c>
      <c r="H24" s="12" t="inlineStr">
        <is>
          <t>People Manager</t>
        </is>
      </c>
      <c r="I24" s="12" t="n">
        <v>1</v>
      </c>
      <c r="J24" s="12" t="inlineStr">
        <is>
          <r>
            <rPr>
              <rFont val="Calibri"/>
              <b val="1"/>
              <sz val="10"/>
            </rPr>
            <t>D2:</t>
          </r>
          <r>
            <rPr>
              <rFont val="Calibri"/>
              <sz val="10"/>
            </rPr>
            <t xml:space="preserve"> Vice President – Human Resources</t>
          </r>
        </is>
      </c>
      <c r="K24" s="12" t="inlineStr">
        <is>
          <t>Stakeholder &amp; Client Management · Communication &amp; Presentation</t>
        </is>
      </c>
      <c r="L24" s="12" t="inlineStr">
        <is>
          <t>Data Analytics, BI &amp; Visualisation · Process Improvement &amp; Quality Mindset · People Leadership &amp; Mentoring · Advanced Excel &amp; Productivity Tools</t>
        </is>
      </c>
      <c r="M24" s="12" t="inlineStr">
        <is>
          <t>Core 5 · Future-ready 4 · Functional 4 · Leadership 5</t>
        </is>
      </c>
      <c r="N24" s="12" t="inlineStr">
        <is>
          <t>—</t>
        </is>
      </c>
      <c r="O24" s="12" t="inlineStr">
        <is>
          <t>None — only this department</t>
        </is>
      </c>
      <c r="P24" s="12" t="inlineStr">
        <is>
          <t>None — only Corporate</t>
        </is>
      </c>
    </row>
    <row r="25" ht="55" customHeight="1">
      <c r="A25" s="12" t="inlineStr">
        <is>
          <t>IT &amp; Infrastructure</t>
        </is>
      </c>
      <c r="B25" s="17" t="inlineStr">
        <is>
          <t>A · Practitioner</t>
        </is>
      </c>
      <c r="C25" s="17" t="inlineStr">
        <is>
          <t>A3</t>
        </is>
      </c>
      <c r="D25" s="12" t="inlineStr">
        <is>
          <t>Senior Associate</t>
        </is>
      </c>
      <c r="E25" s="12" t="inlineStr">
        <is>
          <t>Engineering &amp; Development</t>
        </is>
      </c>
      <c r="F25" s="12" t="inlineStr">
        <is>
          <t>DevOps &amp; Release Engineering</t>
        </is>
      </c>
      <c r="G25" s="12" t="inlineStr">
        <is>
          <t>Senior DevOps Engineer</t>
        </is>
      </c>
      <c r="H25" s="12" t="inlineStr">
        <is>
          <t>IC</t>
        </is>
      </c>
      <c r="I25" s="12" t="n">
        <v>1</v>
      </c>
      <c r="J25" s="12" t="inlineStr">
        <is>
          <r>
            <rPr>
              <rFont val="Calibri"/>
              <b val="1"/>
              <sz val="10"/>
            </rPr>
            <t>A3:</t>
          </r>
          <r>
            <rPr>
              <rFont val="Calibri"/>
              <sz val="10"/>
            </rPr>
            <t xml:space="preserve"> Senior DevOps Engineer</t>
          </r>
        </is>
      </c>
      <c r="K25" s="12" t="inlineStr">
        <is>
          <t>Programming &amp; Tech-Stack Depth · System Design &amp; Architecture</t>
        </is>
      </c>
      <c r="L25" s="12" t="inlineStr">
        <is>
          <t>Database, SQL &amp; Data Engineering · Cloud, DevOps &amp; CI/CD · AI, GenAI &amp; Prompt Engineering · Product, Platform &amp; Domain Knowledge</t>
        </is>
      </c>
      <c r="M25" s="12" t="inlineStr">
        <is>
          <t>Core 2 · Future-ready 2 · Functional 3 · Leadership —</t>
        </is>
      </c>
      <c r="N25" s="12" t="inlineStr">
        <is>
          <t>Cloud / language certifications · optional; AWS / Azure architect · optional</t>
        </is>
      </c>
      <c r="O25" s="12" t="inlineStr">
        <is>
          <t>None — only this department</t>
        </is>
      </c>
      <c r="P25" s="17" t="inlineStr">
        <is>
          <t>iFile 1
Same title</t>
        </is>
      </c>
    </row>
    <row r="26" ht="55" customHeight="1">
      <c r="A26" s="12" t="inlineStr">
        <is>
          <t>IT &amp; Infrastructure</t>
        </is>
      </c>
      <c r="B26" s="17" t="inlineStr">
        <is>
          <t>A · Practitioner</t>
        </is>
      </c>
      <c r="C26" s="17" t="inlineStr">
        <is>
          <t>A3</t>
        </is>
      </c>
      <c r="D26" s="12" t="inlineStr">
        <is>
          <t>Senior Associate</t>
        </is>
      </c>
      <c r="E26" s="12" t="inlineStr">
        <is>
          <t>IT &amp; Infrastructure</t>
        </is>
      </c>
      <c r="F26" s="12" t="inlineStr">
        <is>
          <t>End-User Support</t>
        </is>
      </c>
      <c r="G26" s="12" t="inlineStr">
        <is>
          <t>Senior Desktop Support Engineer</t>
        </is>
      </c>
      <c r="H26" s="12" t="inlineStr">
        <is>
          <t>IC</t>
        </is>
      </c>
      <c r="I26" s="12" t="n">
        <v>1</v>
      </c>
      <c r="J26" s="12" t="inlineStr">
        <is>
          <r>
            <rPr>
              <rFont val="Calibri"/>
              <b val="1"/>
              <sz val="10"/>
            </rPr>
            <t>A3:</t>
          </r>
          <r>
            <rPr>
              <rFont val="Calibri"/>
              <sz val="10"/>
            </rPr>
            <t xml:space="preserve"> Senior Desktop Support Engineer</t>
          </r>
        </is>
      </c>
      <c r="K26" s="12" t="inlineStr">
        <is>
          <t>Cybersecurity &amp; Infrastructure · Cloud, DevOps &amp; CI/CD</t>
        </is>
      </c>
      <c r="L26" s="12" t="inlineStr">
        <is>
          <t>Process Improvement &amp; Quality Mindset · Stakeholder &amp; Client Management · Time, Priority &amp; Self-Management · AI, GenAI &amp; Prompt Engineering</t>
        </is>
      </c>
      <c r="M26" s="12" t="inlineStr">
        <is>
          <t>Core 2 · Future-ready 2 · Functional 3 · Leadership —</t>
        </is>
      </c>
      <c r="N26" s="12" t="inlineStr">
        <is>
          <t>Microsoft / CCNA / ISO 27001 / ITIL; AWS / Azure / Kubernetes certifications</t>
        </is>
      </c>
      <c r="O26" s="12" t="inlineStr">
        <is>
          <t>None — only this department</t>
        </is>
      </c>
      <c r="P26" s="12" t="inlineStr">
        <is>
          <t>None — only Corporate</t>
        </is>
      </c>
    </row>
    <row r="27" ht="55" customHeight="1">
      <c r="A27" s="12" t="inlineStr">
        <is>
          <t>IT &amp; Infrastructure</t>
        </is>
      </c>
      <c r="B27" s="17" t="inlineStr">
        <is>
          <t>A · Practitioner</t>
        </is>
      </c>
      <c r="C27" s="17" t="inlineStr">
        <is>
          <t>A3</t>
        </is>
      </c>
      <c r="D27" s="12" t="inlineStr">
        <is>
          <t>Senior Associate</t>
        </is>
      </c>
      <c r="E27" s="12" t="inlineStr">
        <is>
          <t>IT &amp; Infrastructure</t>
        </is>
      </c>
      <c r="F27" s="12" t="inlineStr">
        <is>
          <t>Infrastructure &amp; Cloud Operations</t>
        </is>
      </c>
      <c r="G27" s="12" t="inlineStr">
        <is>
          <t>Infrastructure Specialist</t>
        </is>
      </c>
      <c r="H27" s="12" t="inlineStr">
        <is>
          <t>IC</t>
        </is>
      </c>
      <c r="I27" s="12" t="n">
        <v>1</v>
      </c>
      <c r="J27" s="12" t="inlineStr">
        <is>
          <r>
            <rPr>
              <rFont val="Calibri"/>
              <b val="1"/>
              <sz val="10"/>
            </rPr>
            <t>A3:</t>
          </r>
          <r>
            <rPr>
              <rFont val="Calibri"/>
              <sz val="10"/>
            </rPr>
            <t xml:space="preserve"> Infrastructure Specialist / Senior System Administrator → B1: IT Infrastructure Manager / Infrastructure Specialist / Infrastructure Specialist – POD Lead</t>
          </r>
        </is>
      </c>
      <c r="K27" s="12" t="inlineStr">
        <is>
          <t>Cybersecurity &amp; Infrastructure · Cloud, DevOps &amp; CI/CD</t>
        </is>
      </c>
      <c r="L27" s="12" t="inlineStr">
        <is>
          <t>Process Improvement &amp; Quality Mindset · Stakeholder &amp; Client Management · Time, Priority &amp; Self-Management · AI, GenAI &amp; Prompt Engineering</t>
        </is>
      </c>
      <c r="M27" s="12" t="inlineStr">
        <is>
          <t>Core 2 · Future-ready 2 · Functional 3 · Leadership —</t>
        </is>
      </c>
      <c r="N27" s="12" t="inlineStr">
        <is>
          <t>Microsoft / CCNA / ISO 27001 / ITIL; AWS / Azure / Kubernetes certifications</t>
        </is>
      </c>
      <c r="O27" s="12" t="inlineStr">
        <is>
          <t>None — only this department</t>
        </is>
      </c>
      <c r="P27" s="12" t="inlineStr">
        <is>
          <t>None — only Corporate</t>
        </is>
      </c>
    </row>
    <row r="28" ht="55" customHeight="1">
      <c r="A28" s="12" t="inlineStr">
        <is>
          <t>IT &amp; Infrastructure</t>
        </is>
      </c>
      <c r="B28" s="17" t="inlineStr">
        <is>
          <t>A · Practitioner</t>
        </is>
      </c>
      <c r="C28" s="17" t="inlineStr">
        <is>
          <t>A3</t>
        </is>
      </c>
      <c r="D28" s="12" t="inlineStr">
        <is>
          <t>Senior Associate</t>
        </is>
      </c>
      <c r="E28" s="12" t="inlineStr">
        <is>
          <t>IT &amp; Infrastructure</t>
        </is>
      </c>
      <c r="F28" s="12" t="inlineStr">
        <is>
          <t>Infrastructure &amp; Cloud Operations</t>
        </is>
      </c>
      <c r="G28" s="12" t="inlineStr">
        <is>
          <t>Senior System Administrator</t>
        </is>
      </c>
      <c r="H28" s="12" t="inlineStr">
        <is>
          <t>IC</t>
        </is>
      </c>
      <c r="I28" s="12" t="n">
        <v>7</v>
      </c>
      <c r="J28" s="12" t="inlineStr">
        <is>
          <r>
            <rPr>
              <rFont val="Calibri"/>
              <b val="1"/>
              <sz val="10"/>
            </rPr>
            <t>A3:</t>
          </r>
          <r>
            <rPr>
              <rFont val="Calibri"/>
              <sz val="10"/>
            </rPr>
            <t xml:space="preserve"> Infrastructure Specialist / Senior System Administrator → B1: IT Infrastructure Manager / Infrastructure Specialist / Infrastructure Specialist – POD Lead</t>
          </r>
        </is>
      </c>
      <c r="K28" s="12" t="inlineStr">
        <is>
          <t>Cybersecurity &amp; Infrastructure · Cloud, DevOps &amp; CI/CD</t>
        </is>
      </c>
      <c r="L28" s="12" t="inlineStr">
        <is>
          <t>Process Improvement &amp; Quality Mindset · Stakeholder &amp; Client Management · Time, Priority &amp; Self-Management · AI, GenAI &amp; Prompt Engineering</t>
        </is>
      </c>
      <c r="M28" s="12" t="inlineStr">
        <is>
          <t>Core 2 · Future-ready 2 · Functional 3 · Leadership —</t>
        </is>
      </c>
      <c r="N28" s="12" t="inlineStr">
        <is>
          <t>Microsoft / CCNA / ISO 27001 / ITIL; AWS / Azure / Kubernetes certifications</t>
        </is>
      </c>
      <c r="O28" s="12" t="inlineStr">
        <is>
          <t>None — only this department</t>
        </is>
      </c>
      <c r="P28" s="12" t="inlineStr">
        <is>
          <t>None — only Corporate</t>
        </is>
      </c>
    </row>
    <row r="29" ht="55" customHeight="1">
      <c r="A29" s="12" t="inlineStr">
        <is>
          <t>IT &amp; Infrastructure</t>
        </is>
      </c>
      <c r="B29" s="21" t="inlineStr">
        <is>
          <t>B · Specialist / Manager</t>
        </is>
      </c>
      <c r="C29" s="21" t="inlineStr">
        <is>
          <t>B1</t>
        </is>
      </c>
      <c r="D29" s="12" t="inlineStr">
        <is>
          <t>Team Lead</t>
        </is>
      </c>
      <c r="E29" s="12" t="inlineStr">
        <is>
          <t>IT &amp; Infrastructure</t>
        </is>
      </c>
      <c r="F29" s="12" t="inlineStr">
        <is>
          <t>Infrastructure &amp; Cloud Operations</t>
        </is>
      </c>
      <c r="G29" s="12" t="inlineStr">
        <is>
          <t>IT Infrastructure Manager</t>
        </is>
      </c>
      <c r="H29" s="12" t="inlineStr">
        <is>
          <t>People Manager</t>
        </is>
      </c>
      <c r="I29" s="12" t="n">
        <v>1</v>
      </c>
      <c r="J29" s="12" t="inlineStr">
        <is>
          <r>
            <rPr>
              <rFont val="Calibri"/>
              <b val="1"/>
              <sz val="10"/>
            </rPr>
            <t>A3:</t>
          </r>
          <r>
            <rPr>
              <rFont val="Calibri"/>
              <sz val="10"/>
            </rPr>
            <t xml:space="preserve"> Infrastructure Specialist / Senior System Administrator → B1: IT Infrastructure Manager / Infrastructure Specialist / Infrastructure Specialist – POD Lead</t>
          </r>
        </is>
      </c>
      <c r="K29" s="12" t="inlineStr">
        <is>
          <t>Cybersecurity &amp; Infrastructure · Cloud, DevOps &amp; CI/CD</t>
        </is>
      </c>
      <c r="L29" s="12" t="inlineStr">
        <is>
          <t>Process Improvement &amp; Quality Mindset · Stakeholder &amp; Client Management · Time, Priority &amp; Self-Management · AI, GenAI &amp; Prompt Engineering</t>
        </is>
      </c>
      <c r="M29" s="12" t="inlineStr">
        <is>
          <t>Core 3 · Future-ready 3 · Functional 3 · Leadership 2</t>
        </is>
      </c>
      <c r="N29" s="12" t="inlineStr">
        <is>
          <t>Microsoft / CCNA / ISO 27001 / ITIL; AWS / Azure / Kubernetes certifications</t>
        </is>
      </c>
      <c r="O29" s="12" t="inlineStr">
        <is>
          <t>None — only this department</t>
        </is>
      </c>
      <c r="P29" s="12" t="inlineStr">
        <is>
          <t>None — only Corporate</t>
        </is>
      </c>
    </row>
    <row r="30" ht="55" customHeight="1">
      <c r="A30" s="12" t="inlineStr">
        <is>
          <t>IT &amp; Infrastructure</t>
        </is>
      </c>
      <c r="B30" s="21" t="inlineStr">
        <is>
          <t>B · Specialist / Manager</t>
        </is>
      </c>
      <c r="C30" s="21" t="inlineStr">
        <is>
          <t>B1</t>
        </is>
      </c>
      <c r="D30" s="12" t="inlineStr">
        <is>
          <t>Specialist</t>
        </is>
      </c>
      <c r="E30" s="12" t="inlineStr">
        <is>
          <t>IT &amp; Infrastructure</t>
        </is>
      </c>
      <c r="F30" s="12" t="inlineStr">
        <is>
          <t>Infrastructure &amp; Cloud Operations</t>
        </is>
      </c>
      <c r="G30" s="12" t="inlineStr">
        <is>
          <t>Infrastructure Specialist</t>
        </is>
      </c>
      <c r="H30" s="12" t="inlineStr">
        <is>
          <t>IC</t>
        </is>
      </c>
      <c r="I30" s="12" t="n">
        <v>1</v>
      </c>
      <c r="J30" s="12" t="inlineStr">
        <is>
          <r>
            <rPr>
              <rFont val="Calibri"/>
              <b val="1"/>
              <sz val="10"/>
            </rPr>
            <t>A3:</t>
          </r>
          <r>
            <rPr>
              <rFont val="Calibri"/>
              <sz val="10"/>
            </rPr>
            <t xml:space="preserve"> Infrastructure Specialist / Senior System Administrator → B1: IT Infrastructure Manager / Infrastructure Specialist / Infrastructure Specialist – POD Lead</t>
          </r>
        </is>
      </c>
      <c r="K30" s="12" t="inlineStr">
        <is>
          <t>Cybersecurity &amp; Infrastructure · Cloud, DevOps &amp; CI/CD</t>
        </is>
      </c>
      <c r="L30" s="12" t="inlineStr">
        <is>
          <t>Process Improvement &amp; Quality Mindset · Stakeholder &amp; Client Management · Time, Priority &amp; Self-Management · AI, GenAI &amp; Prompt Engineering</t>
        </is>
      </c>
      <c r="M30" s="12" t="inlineStr">
        <is>
          <t>Core 3 · Future-ready 3 · Functional 3 · Leadership 1</t>
        </is>
      </c>
      <c r="N30" s="12" t="inlineStr">
        <is>
          <t>Microsoft / CCNA / ISO 27001 / ITIL; AWS / Azure / Kubernetes certifications</t>
        </is>
      </c>
      <c r="O30" s="12" t="inlineStr">
        <is>
          <t>None — only this department</t>
        </is>
      </c>
      <c r="P30" s="12" t="inlineStr">
        <is>
          <t>None — only Corporate</t>
        </is>
      </c>
    </row>
    <row r="31" ht="55" customHeight="1">
      <c r="A31" s="12" t="inlineStr">
        <is>
          <t>IT &amp; Infrastructure</t>
        </is>
      </c>
      <c r="B31" s="21" t="inlineStr">
        <is>
          <t>B · Specialist / Manager</t>
        </is>
      </c>
      <c r="C31" s="21" t="inlineStr">
        <is>
          <t>B1</t>
        </is>
      </c>
      <c r="D31" s="12" t="inlineStr">
        <is>
          <t>Specialist · POD Lead</t>
        </is>
      </c>
      <c r="E31" s="12" t="inlineStr">
        <is>
          <t>IT &amp; Infrastructure</t>
        </is>
      </c>
      <c r="F31" s="12" t="inlineStr">
        <is>
          <t>Infrastructure &amp; Cloud Operations</t>
        </is>
      </c>
      <c r="G31" s="12" t="inlineStr">
        <is>
          <t>Infrastructure Specialist – POD Lead</t>
        </is>
      </c>
      <c r="H31" s="12" t="inlineStr">
        <is>
          <t>POD Lead</t>
        </is>
      </c>
      <c r="I31" s="12" t="n">
        <v>1</v>
      </c>
      <c r="J31" s="12" t="inlineStr">
        <is>
          <r>
            <rPr>
              <rFont val="Calibri"/>
              <b val="1"/>
              <sz val="10"/>
            </rPr>
            <t>A3:</t>
          </r>
          <r>
            <rPr>
              <rFont val="Calibri"/>
              <sz val="10"/>
            </rPr>
            <t xml:space="preserve"> Infrastructure Specialist / Senior System Administrator → B1: IT Infrastructure Manager / Infrastructure Specialist / Infrastructure Specialist – POD Lead</t>
          </r>
        </is>
      </c>
      <c r="K31" s="12" t="inlineStr">
        <is>
          <t>Cybersecurity &amp; Infrastructure · Cloud, DevOps &amp; CI/CD</t>
        </is>
      </c>
      <c r="L31" s="12" t="inlineStr">
        <is>
          <t>Process Improvement &amp; Quality Mindset · Stakeholder &amp; Client Management · Time, Priority &amp; Self-Management · AI, GenAI &amp; Prompt Engineering</t>
        </is>
      </c>
      <c r="M31" s="12" t="inlineStr">
        <is>
          <t>Core 3 · Future-ready 3 · Functional 3 · Leadership 1</t>
        </is>
      </c>
      <c r="N31" s="12" t="inlineStr">
        <is>
          <t>Microsoft / CCNA / ISO 27001 / ITIL; AWS / Azure / Kubernetes certifications</t>
        </is>
      </c>
      <c r="O31" s="12" t="inlineStr">
        <is>
          <t>None — only this department</t>
        </is>
      </c>
      <c r="P31" s="12" t="inlineStr">
        <is>
          <t>None — only Corporate</t>
        </is>
      </c>
    </row>
    <row r="32" ht="55" customHeight="1">
      <c r="A32" s="12" t="inlineStr">
        <is>
          <t>IT &amp; Infrastructure</t>
        </is>
      </c>
      <c r="B32" s="21" t="inlineStr">
        <is>
          <t>B · Specialist / Manager</t>
        </is>
      </c>
      <c r="C32" s="21" t="inlineStr">
        <is>
          <t>B2</t>
        </is>
      </c>
      <c r="D32" s="12" t="inlineStr">
        <is>
          <t>Manager</t>
        </is>
      </c>
      <c r="E32" s="12" t="inlineStr">
        <is>
          <t>IT &amp; Infrastructure</t>
        </is>
      </c>
      <c r="F32" s="12" t="inlineStr">
        <is>
          <t>IT Infrastructure Leadership</t>
        </is>
      </c>
      <c r="G32" s="12" t="inlineStr">
        <is>
          <t>Senior IT Manager</t>
        </is>
      </c>
      <c r="H32" s="12" t="inlineStr">
        <is>
          <t>People Manager</t>
        </is>
      </c>
      <c r="I32" s="12" t="n">
        <v>1</v>
      </c>
      <c r="J32" s="12" t="inlineStr">
        <is>
          <r>
            <rPr>
              <rFont val="Calibri"/>
              <b val="1"/>
              <sz val="10"/>
            </rPr>
            <t>B2:</t>
          </r>
          <r>
            <rPr>
              <rFont val="Calibri"/>
              <sz val="10"/>
            </rPr>
            <t xml:space="preserve"> Senior IT Manager</t>
          </r>
        </is>
      </c>
      <c r="K32" s="12" t="inlineStr">
        <is>
          <t>Cybersecurity &amp; Infrastructure · Cloud, DevOps &amp; CI/CD</t>
        </is>
      </c>
      <c r="L32" s="12" t="inlineStr">
        <is>
          <t>Process Improvement &amp; Quality Mindset · Stakeholder &amp; Client Management · Time, Priority &amp; Self-Management · AI, GenAI &amp; Prompt Engineering</t>
        </is>
      </c>
      <c r="M32" s="12" t="inlineStr">
        <is>
          <t>Core 3 · Future-ready 3 · Functional 4 · Leadership 3</t>
        </is>
      </c>
      <c r="N32" s="12" t="inlineStr">
        <is>
          <t>Microsoft / CCNA / ISO 27001 / ITIL; AWS / Azure / Kubernetes certifications</t>
        </is>
      </c>
      <c r="O32" s="12" t="inlineStr">
        <is>
          <t>None — only this department</t>
        </is>
      </c>
      <c r="P32" s="12" t="inlineStr">
        <is>
          <t>None — only Corporate</t>
        </is>
      </c>
    </row>
    <row r="33" ht="55" customHeight="1">
      <c r="A33" s="12" t="inlineStr">
        <is>
          <t>Management</t>
        </is>
      </c>
      <c r="B33" s="33" t="inlineStr">
        <is>
          <t>E · Enterprise leadership</t>
        </is>
      </c>
      <c r="C33" s="33" t="inlineStr">
        <is>
          <t>E1</t>
        </is>
      </c>
      <c r="D33" s="12" t="inlineStr">
        <is>
          <t>CXO / President</t>
        </is>
      </c>
      <c r="E33" s="12" t="inlineStr">
        <is>
          <t>Executive Leadership</t>
        </is>
      </c>
      <c r="F33" s="12" t="inlineStr">
        <is>
          <t>Enterprise Leadership</t>
        </is>
      </c>
      <c r="G33" s="12" t="inlineStr">
        <is>
          <t>Chief Operating Officer</t>
        </is>
      </c>
      <c r="H33" s="12" t="inlineStr">
        <is>
          <t>People Manager</t>
        </is>
      </c>
      <c r="I33" s="12" t="n">
        <v>1</v>
      </c>
      <c r="J33" s="12" t="inlineStr">
        <is>
          <r>
            <rPr>
              <rFont val="Calibri"/>
              <b val="1"/>
              <sz val="10"/>
            </rPr>
            <t>E1:</t>
          </r>
          <r>
            <rPr>
              <rFont val="Calibri"/>
              <sz val="10"/>
            </rPr>
            <t xml:space="preserve"> Chief Operating Officer → E2: Chief Executive Officer</t>
          </r>
        </is>
      </c>
      <c r="K33" s="12" t="inlineStr">
        <is>
          <t>Strategic Thinking &amp; Business Acumen · People Leadership &amp; Mentoring</t>
        </is>
      </c>
      <c r="L33" s="12" t="inlineStr">
        <is>
          <t>Stakeholder &amp; Client Management · Product, Platform &amp; Domain Knowledge · Regulatory &amp; BFSI Domain · Communication &amp; Presentation</t>
        </is>
      </c>
      <c r="M33" s="12" t="inlineStr">
        <is>
          <t>Core 5 · Future-ready 5 · Functional 4 · Leadership 5</t>
        </is>
      </c>
      <c r="N33" s="12" t="inlineStr">
        <is>
          <t>MBA / PGDM · preferred at C+</t>
        </is>
      </c>
      <c r="O33" s="95" t="inlineStr">
        <is>
          <t>Finance · Technology</t>
        </is>
      </c>
      <c r="P33" s="17" t="inlineStr">
        <is>
          <r>
            <rPr>
              <rFont val="Calibri"/>
              <sz val="10"/>
            </rPr>
            <t xml:space="preserve">CARBON 1
</t>
          </r>
          <r>
            <rPr>
              <rFont val="Calibri"/>
              <b val="1"/>
              <sz val="10"/>
            </rPr>
            <t>Titled there:</t>
          </r>
          <r>
            <rPr>
              <rFont val="Calibri"/>
              <sz val="10"/>
            </rPr>
            <t xml:space="preserve"> Chief Revenue Officer</t>
          </r>
        </is>
      </c>
    </row>
    <row r="34" ht="55" customHeight="1">
      <c r="A34" s="12" t="inlineStr">
        <is>
          <t>Management</t>
        </is>
      </c>
      <c r="B34" s="33" t="inlineStr">
        <is>
          <t>E · Enterprise leadership</t>
        </is>
      </c>
      <c r="C34" s="33" t="inlineStr">
        <is>
          <t>E2</t>
        </is>
      </c>
      <c r="D34" s="12" t="inlineStr">
        <is>
          <t>Chief Executive Officer</t>
        </is>
      </c>
      <c r="E34" s="12" t="inlineStr">
        <is>
          <t>Executive Leadership</t>
        </is>
      </c>
      <c r="F34" s="12" t="inlineStr">
        <is>
          <t>Enterprise Leadership</t>
        </is>
      </c>
      <c r="G34" s="12" t="inlineStr">
        <is>
          <t>Chief Executive Officer</t>
        </is>
      </c>
      <c r="H34" s="12" t="inlineStr">
        <is>
          <t>People Manager</t>
        </is>
      </c>
      <c r="I34" s="12" t="n">
        <v>1</v>
      </c>
      <c r="J34" s="12" t="inlineStr">
        <is>
          <r>
            <rPr>
              <rFont val="Calibri"/>
              <b val="1"/>
              <sz val="10"/>
            </rPr>
            <t>E1:</t>
          </r>
          <r>
            <rPr>
              <rFont val="Calibri"/>
              <sz val="10"/>
            </rPr>
            <t xml:space="preserve"> Chief Operating Officer → E2: Chief Executive Officer</t>
          </r>
        </is>
      </c>
      <c r="K34" s="12" t="inlineStr">
        <is>
          <t>Strategic Thinking &amp; Business Acumen · People Leadership &amp; Mentoring</t>
        </is>
      </c>
      <c r="L34" s="12" t="inlineStr">
        <is>
          <t>Stakeholder &amp; Client Management · Product, Platform &amp; Domain Knowledge · Regulatory &amp; BFSI Domain · Communication &amp; Presentation</t>
        </is>
      </c>
      <c r="M34" s="12" t="inlineStr">
        <is>
          <t>Core 5 · Future-ready 5 · Functional 4 · Leadership 5</t>
        </is>
      </c>
      <c r="N34" s="12" t="inlineStr">
        <is>
          <t>MBA / PGDM · preferred at C+</t>
        </is>
      </c>
      <c r="O34" s="12" t="inlineStr">
        <is>
          <t>None — only this department</t>
        </is>
      </c>
      <c r="P34" s="12" t="inlineStr">
        <is>
          <t>None — only Corporate</t>
        </is>
      </c>
    </row>
    <row r="35" ht="68" customHeight="1">
      <c r="A35" s="12" t="inlineStr">
        <is>
          <t>Marketing</t>
        </is>
      </c>
      <c r="B35" s="17" t="inlineStr">
        <is>
          <t>A · Practitioner</t>
        </is>
      </c>
      <c r="C35" s="17" t="inlineStr">
        <is>
          <t>A3</t>
        </is>
      </c>
      <c r="D35" s="12" t="inlineStr">
        <is>
          <t>Senior Associate</t>
        </is>
      </c>
      <c r="E35" s="12" t="inlineStr">
        <is>
          <t>Design &amp; Creative</t>
        </is>
      </c>
      <c r="F35" s="12" t="inlineStr">
        <is>
          <t>Brand, Graphic &amp; Video Design</t>
        </is>
      </c>
      <c r="G35" s="12" t="inlineStr">
        <is>
          <t>Senior Designer</t>
        </is>
      </c>
      <c r="H35" s="12" t="inlineStr">
        <is>
          <t>IC</t>
        </is>
      </c>
      <c r="I35" s="12" t="n">
        <v>1</v>
      </c>
      <c r="J35" s="12" t="inlineStr">
        <is>
          <r>
            <rPr>
              <rFont val="Calibri"/>
              <b val="1"/>
              <sz val="10"/>
            </rPr>
            <t>A3:</t>
          </r>
          <r>
            <rPr>
              <rFont val="Calibri"/>
              <sz val="10"/>
            </rPr>
            <t xml:space="preserve"> Senior Designer</t>
          </r>
        </is>
      </c>
      <c r="K35" s="12" t="inlineStr">
        <is>
          <t>Product, Platform &amp; Domain Knowledge · Communication &amp; Presentation</t>
        </is>
      </c>
      <c r="L35" s="12" t="inlineStr">
        <is>
          <t>Marketing Tech &amp; Digital Marketing · Process Improvement &amp; Quality Mindset · AI, GenAI &amp; Prompt Engineering · Stakeholder &amp; Client Management</t>
        </is>
      </c>
      <c r="M35" s="12" t="inlineStr">
        <is>
          <t>Core 2 · Future-ready 2 · Functional 3 · Leadership —</t>
        </is>
      </c>
      <c r="N35" s="12" t="inlineStr">
        <is>
          <t>Internal product certification</t>
        </is>
      </c>
      <c r="O35" s="12" t="inlineStr">
        <is>
          <t>None — only this department</t>
        </is>
      </c>
      <c r="P35" s="17" t="inlineStr">
        <is>
          <t>CARBON 1
Same title</t>
        </is>
      </c>
    </row>
    <row r="36" ht="68" customHeight="1">
      <c r="A36" s="12" t="inlineStr">
        <is>
          <t>Marketing</t>
        </is>
      </c>
      <c r="B36" s="17" t="inlineStr">
        <is>
          <t>A · Practitioner</t>
        </is>
      </c>
      <c r="C36" s="17" t="inlineStr">
        <is>
          <t>A3</t>
        </is>
      </c>
      <c r="D36" s="12" t="inlineStr">
        <is>
          <t>Senior Associate</t>
        </is>
      </c>
      <c r="E36" s="12" t="inlineStr">
        <is>
          <t>Marketing &amp; Communications</t>
        </is>
      </c>
      <c r="F36" s="12" t="inlineStr">
        <is>
          <t>Marketing Operations &amp; Automation</t>
        </is>
      </c>
      <c r="G36" s="12" t="inlineStr">
        <is>
          <t>Senior Marketing Operations Associate</t>
        </is>
      </c>
      <c r="H36" s="12" t="inlineStr">
        <is>
          <t>IC</t>
        </is>
      </c>
      <c r="I36" s="12" t="n">
        <v>1</v>
      </c>
      <c r="J36" s="12" t="inlineStr">
        <is>
          <r>
            <rPr>
              <rFont val="Calibri"/>
              <b val="1"/>
              <sz val="10"/>
            </rPr>
            <t>A3:</t>
          </r>
          <r>
            <rPr>
              <rFont val="Calibri"/>
              <sz val="10"/>
            </rPr>
            <t xml:space="preserve"> Senior Marketing Operations Associate</t>
          </r>
        </is>
      </c>
      <c r="K36" s="12" t="inlineStr">
        <is>
          <t>Marketing Tech &amp; Digital Marketing · Communication &amp; Presentation</t>
        </is>
      </c>
      <c r="L36" s="12" t="inlineStr">
        <is>
          <t>Data Analytics, BI &amp; Visualisation · AI, GenAI &amp; Prompt Engineering · Product, Platform &amp; Domain Knowledge · Strategic Thinking &amp; Business Acumen</t>
        </is>
      </c>
      <c r="M36" s="12" t="inlineStr">
        <is>
          <t>Core 2 · Future-ready 2 · Functional 3 · Leadership —</t>
        </is>
      </c>
      <c r="N36" s="12" t="inlineStr">
        <is>
          <t>Google / HubSpot certifications</t>
        </is>
      </c>
      <c r="O36" s="12" t="inlineStr">
        <is>
          <t>None — only this department</t>
        </is>
      </c>
      <c r="P36" s="17" t="inlineStr">
        <is>
          <t>CARBON 1 · iFile 1
Same title</t>
        </is>
      </c>
    </row>
    <row r="37" ht="68" customHeight="1">
      <c r="A37" s="12" t="inlineStr">
        <is>
          <t>Marketing</t>
        </is>
      </c>
      <c r="B37" s="21" t="inlineStr">
        <is>
          <t>B · Specialist / Manager</t>
        </is>
      </c>
      <c r="C37" s="21" t="inlineStr">
        <is>
          <t>B2</t>
        </is>
      </c>
      <c r="D37" s="12" t="inlineStr">
        <is>
          <t>Senior Specialist</t>
        </is>
      </c>
      <c r="E37" s="12" t="inlineStr">
        <is>
          <t>Marketing &amp; Communications</t>
        </is>
      </c>
      <c r="F37" s="12" t="inlineStr">
        <is>
          <t>Content Marketing</t>
        </is>
      </c>
      <c r="G37" s="12" t="inlineStr">
        <is>
          <t>Senior Content Marketing Specialist</t>
        </is>
      </c>
      <c r="H37" s="12" t="inlineStr">
        <is>
          <t>IC</t>
        </is>
      </c>
      <c r="I37" s="12" t="n">
        <v>1</v>
      </c>
      <c r="J37" s="12" t="inlineStr">
        <is>
          <r>
            <rPr>
              <rFont val="Calibri"/>
              <b val="1"/>
              <sz val="10"/>
            </rPr>
            <t>B2:</t>
          </r>
          <r>
            <rPr>
              <rFont val="Calibri"/>
              <sz val="10"/>
            </rPr>
            <t xml:space="preserve"> Senior Content Marketing Specialist</t>
          </r>
        </is>
      </c>
      <c r="K37" s="12" t="inlineStr">
        <is>
          <t>Marketing Tech &amp; Digital Marketing · Communication &amp; Presentation</t>
        </is>
      </c>
      <c r="L37" s="12" t="inlineStr">
        <is>
          <t>Data Analytics, BI &amp; Visualisation · AI, GenAI &amp; Prompt Engineering · Product, Platform &amp; Domain Knowledge · Strategic Thinking &amp; Business Acumen</t>
        </is>
      </c>
      <c r="M37" s="12" t="inlineStr">
        <is>
          <t>Core 3 · Future-ready 3 · Functional 4 · Leadership 2</t>
        </is>
      </c>
      <c r="N37" s="12" t="inlineStr">
        <is>
          <t>Google / HubSpot certifications</t>
        </is>
      </c>
      <c r="O37" s="12" t="inlineStr">
        <is>
          <t>None — only this department</t>
        </is>
      </c>
      <c r="P37" s="12" t="inlineStr">
        <is>
          <t>None — only Corporate</t>
        </is>
      </c>
    </row>
    <row r="38" ht="68" customHeight="1">
      <c r="A38" s="12" t="inlineStr">
        <is>
          <t>Secretarial &amp; Legal</t>
        </is>
      </c>
      <c r="B38" s="17" t="inlineStr">
        <is>
          <t>A · Practitioner</t>
        </is>
      </c>
      <c r="C38" s="17" t="inlineStr">
        <is>
          <t>A1</t>
        </is>
      </c>
      <c r="D38" s="12" t="inlineStr">
        <is>
          <t>Intern / Trainee</t>
        </is>
      </c>
      <c r="E38" s="12" t="inlineStr">
        <is>
          <t>Administration, Legal &amp; Secretarial</t>
        </is>
      </c>
      <c r="F38" s="12" t="inlineStr">
        <is>
          <t>Company Secretarial &amp; Legal</t>
        </is>
      </c>
      <c r="G38" s="12" t="inlineStr">
        <is>
          <t>Intern – Company Secretarial &amp; Legal</t>
        </is>
      </c>
      <c r="H38" s="12" t="inlineStr">
        <is>
          <t>IC</t>
        </is>
      </c>
      <c r="I38" s="12" t="n">
        <v>1</v>
      </c>
      <c r="J38" s="12" t="inlineStr">
        <is>
          <r>
            <rPr>
              <rFont val="Calibri"/>
              <b val="1"/>
              <sz val="10"/>
            </rPr>
            <t>A1:</t>
          </r>
          <r>
            <rPr>
              <rFont val="Calibri"/>
              <sz val="10"/>
            </rPr>
            <t xml:space="preserve"> Intern – Company Secretarial &amp; Legal → A3: Senior Secretarial Executive → C1: Company Secretary – POD Lead</t>
          </r>
        </is>
      </c>
      <c r="K38" s="12" t="inlineStr">
        <is>
          <t>Regulatory &amp; BFSI Domain · Stakeholder &amp; Client Management</t>
        </is>
      </c>
      <c r="L38" s="12" t="inlineStr">
        <is>
          <t>Process Improvement &amp; Quality Mindset · Advanced Excel &amp; Productivity Tools · Communication &amp; Presentation · Time, Priority &amp; Self-Management</t>
        </is>
      </c>
      <c r="M38" s="12" t="inlineStr">
        <is>
          <t>Core 1 · Future-ready 1 · Functional 1 · Leadership —</t>
        </is>
      </c>
      <c r="N38" s="12" t="inlineStr">
        <is>
          <t>Domain certifications · optional</t>
        </is>
      </c>
      <c r="O38" s="12" t="inlineStr">
        <is>
          <t>None — only this department</t>
        </is>
      </c>
      <c r="P38" s="12" t="inlineStr">
        <is>
          <t>None — only Corporate</t>
        </is>
      </c>
    </row>
    <row r="39" ht="68" customHeight="1">
      <c r="A39" s="12" t="inlineStr">
        <is>
          <t>Secretarial &amp; Legal</t>
        </is>
      </c>
      <c r="B39" s="17" t="inlineStr">
        <is>
          <t>A · Practitioner</t>
        </is>
      </c>
      <c r="C39" s="17" t="inlineStr">
        <is>
          <t>A3</t>
        </is>
      </c>
      <c r="D39" s="12" t="inlineStr">
        <is>
          <t>Senior Associate</t>
        </is>
      </c>
      <c r="E39" s="12" t="inlineStr">
        <is>
          <t>Administration, Legal &amp; Secretarial</t>
        </is>
      </c>
      <c r="F39" s="12" t="inlineStr">
        <is>
          <t>Company Secretarial &amp; Legal</t>
        </is>
      </c>
      <c r="G39" s="12" t="inlineStr">
        <is>
          <t>Senior Secretarial Executive</t>
        </is>
      </c>
      <c r="H39" s="12" t="inlineStr">
        <is>
          <t>IC</t>
        </is>
      </c>
      <c r="I39" s="12" t="n">
        <v>1</v>
      </c>
      <c r="J39" s="12" t="inlineStr">
        <is>
          <r>
            <rPr>
              <rFont val="Calibri"/>
              <b val="1"/>
              <sz val="10"/>
            </rPr>
            <t>A1:</t>
          </r>
          <r>
            <rPr>
              <rFont val="Calibri"/>
              <sz val="10"/>
            </rPr>
            <t xml:space="preserve"> Intern – Company Secretarial &amp; Legal → A3: Senior Secretarial Executive → C1: Company Secretary – POD Lead</t>
          </r>
        </is>
      </c>
      <c r="K39" s="12" t="inlineStr">
        <is>
          <t>Regulatory &amp; BFSI Domain · Stakeholder &amp; Client Management</t>
        </is>
      </c>
      <c r="L39" s="12" t="inlineStr">
        <is>
          <t>Process Improvement &amp; Quality Mindset · Advanced Excel &amp; Productivity Tools · Communication &amp; Presentation · Time, Priority &amp; Self-Management</t>
        </is>
      </c>
      <c r="M39" s="12" t="inlineStr">
        <is>
          <t>Core 2 · Future-ready 2 · Functional 3 · Leadership —</t>
        </is>
      </c>
      <c r="N39" s="12" t="inlineStr">
        <is>
          <t>Domain certifications · optional</t>
        </is>
      </c>
      <c r="O39" s="12" t="inlineStr">
        <is>
          <t>None — only this department</t>
        </is>
      </c>
      <c r="P39" s="12" t="inlineStr">
        <is>
          <t>None — only Corporate</t>
        </is>
      </c>
    </row>
    <row r="40" ht="68" customHeight="1">
      <c r="A40" s="12" t="inlineStr">
        <is>
          <t>Secretarial &amp; Legal</t>
        </is>
      </c>
      <c r="B40" s="25" t="inlineStr">
        <is>
          <t>C · Principal / Head</t>
        </is>
      </c>
      <c r="C40" s="25" t="inlineStr">
        <is>
          <t>C1</t>
        </is>
      </c>
      <c r="D40" s="12" t="inlineStr">
        <is>
          <t>Principal · POD Lead</t>
        </is>
      </c>
      <c r="E40" s="12" t="inlineStr">
        <is>
          <t>Administration, Legal &amp; Secretarial</t>
        </is>
      </c>
      <c r="F40" s="12" t="inlineStr">
        <is>
          <t>Company Secretarial &amp; Legal</t>
        </is>
      </c>
      <c r="G40" s="12" t="inlineStr">
        <is>
          <t>Company Secretary – POD Lead</t>
        </is>
      </c>
      <c r="H40" s="12" t="inlineStr">
        <is>
          <t>POD Lead</t>
        </is>
      </c>
      <c r="I40" s="12" t="n">
        <v>1</v>
      </c>
      <c r="J40" s="12" t="inlineStr">
        <is>
          <r>
            <rPr>
              <rFont val="Calibri"/>
              <b val="1"/>
              <sz val="10"/>
            </rPr>
            <t>A1:</t>
          </r>
          <r>
            <rPr>
              <rFont val="Calibri"/>
              <sz val="10"/>
            </rPr>
            <t xml:space="preserve"> Intern – Company Secretarial &amp; Legal → A3: Senior Secretarial Executive → C1: Company Secretary – POD Lead</t>
          </r>
        </is>
      </c>
      <c r="K40" s="12" t="inlineStr">
        <is>
          <t>Regulatory &amp; BFSI Domain · Stakeholder &amp; Client Management</t>
        </is>
      </c>
      <c r="L40" s="12" t="inlineStr">
        <is>
          <t>Process Improvement &amp; Quality Mindset · Advanced Excel &amp; Productivity Tools · Communication &amp; Presentation · Time, Priority &amp; Self-Management</t>
        </is>
      </c>
      <c r="M40" s="12" t="inlineStr">
        <is>
          <t>Core 4 · Future-ready 4 · Functional 4 · Leadership 4</t>
        </is>
      </c>
      <c r="N40" s="12" t="inlineStr">
        <is>
          <t>Domain certifications · optional</t>
        </is>
      </c>
      <c r="O40" s="12" t="inlineStr">
        <is>
          <t>None — only this department</t>
        </is>
      </c>
      <c r="P40" s="12" t="inlineStr">
        <is>
          <t>None — only Corporate</t>
        </is>
      </c>
    </row>
    <row r="41" ht="68" customHeight="1">
      <c r="A41" s="12" t="inlineStr">
        <is>
          <t>Technology</t>
        </is>
      </c>
      <c r="B41" s="21" t="inlineStr">
        <is>
          <t>B · Specialist / Manager</t>
        </is>
      </c>
      <c r="C41" s="21" t="inlineStr">
        <is>
          <t>B3</t>
        </is>
      </c>
      <c r="D41" s="12" t="inlineStr">
        <is>
          <t>Lead Specialist</t>
        </is>
      </c>
      <c r="E41" s="12" t="inlineStr">
        <is>
          <t>Project &amp; Program Management</t>
        </is>
      </c>
      <c r="F41" s="12" t="inlineStr">
        <is>
          <t>PMO &amp; Delivery Excellence</t>
        </is>
      </c>
      <c r="G41" s="12" t="inlineStr">
        <is>
          <t>Agile Coach</t>
        </is>
      </c>
      <c r="H41" s="12" t="inlineStr">
        <is>
          <t>IC</t>
        </is>
      </c>
      <c r="I41" s="12" t="n">
        <v>1</v>
      </c>
      <c r="J41" s="12" t="inlineStr">
        <is>
          <r>
            <rPr>
              <rFont val="Calibri"/>
              <b val="1"/>
              <sz val="10"/>
            </rPr>
            <t>B3:</t>
          </r>
          <r>
            <rPr>
              <rFont val="Calibri"/>
              <sz val="10"/>
            </rPr>
            <t xml:space="preserve"> Agile Coach</t>
          </r>
        </is>
      </c>
      <c r="K41" s="12" t="inlineStr">
        <is>
          <t>Project, Program &amp; Agile Management · Stakeholder &amp; Client Management</t>
        </is>
      </c>
      <c r="L41" s="12" t="inlineStr">
        <is>
          <t>Communication &amp; Presentation · Process Improvement &amp; Quality Mindset · Strategic Thinking &amp; Business Acumen · Product, Platform &amp; Domain Knowledge</t>
        </is>
      </c>
      <c r="M41" s="12" t="inlineStr">
        <is>
          <t>Core 4 · Future-ready 3 · Functional 4 · Leadership 3</t>
        </is>
      </c>
      <c r="N41" s="12" t="inlineStr">
        <is>
          <t>PMP / PRINCE2 / CSM / SAFe</t>
        </is>
      </c>
      <c r="O41" s="12" t="inlineStr">
        <is>
          <t>None — only this department</t>
        </is>
      </c>
      <c r="P41" s="12" t="inlineStr">
        <is>
          <t>None — only Corporate</t>
        </is>
      </c>
    </row>
    <row r="42" ht="55" customHeight="1">
      <c r="A42" s="12" t="inlineStr">
        <is>
          <t>Technology</t>
        </is>
      </c>
      <c r="B42" s="33" t="inlineStr">
        <is>
          <t>E · Enterprise leadership</t>
        </is>
      </c>
      <c r="C42" s="33" t="inlineStr">
        <is>
          <t>E1</t>
        </is>
      </c>
      <c r="D42" s="12" t="inlineStr">
        <is>
          <t>CXO / President</t>
        </is>
      </c>
      <c r="E42" s="12" t="inlineStr">
        <is>
          <t>Executive Leadership</t>
        </is>
      </c>
      <c r="F42" s="12" t="inlineStr">
        <is>
          <t>Enterprise Leadership</t>
        </is>
      </c>
      <c r="G42" s="12" t="inlineStr">
        <is>
          <t>Chief Technology Officer</t>
        </is>
      </c>
      <c r="H42" s="12" t="inlineStr">
        <is>
          <t>People Manager</t>
        </is>
      </c>
      <c r="I42" s="12" t="n">
        <v>1</v>
      </c>
      <c r="J42" s="12" t="inlineStr">
        <is>
          <r>
            <rPr>
              <rFont val="Calibri"/>
              <b val="1"/>
              <sz val="10"/>
            </rPr>
            <t>E1:</t>
          </r>
          <r>
            <rPr>
              <rFont val="Calibri"/>
              <sz val="10"/>
            </rPr>
            <t xml:space="preserve"> Chief Technology Officer</t>
          </r>
        </is>
      </c>
      <c r="K42" s="12" t="inlineStr">
        <is>
          <t>Strategic Thinking &amp; Business Acumen · People Leadership &amp; Mentoring</t>
        </is>
      </c>
      <c r="L42" s="12" t="inlineStr">
        <is>
          <t>Stakeholder &amp; Client Management · Product, Platform &amp; Domain Knowledge · Regulatory &amp; BFSI Domain · Communication &amp; Presentation</t>
        </is>
      </c>
      <c r="M42" s="12" t="inlineStr">
        <is>
          <t>Core 5 · Future-ready 5 · Functional 4 · Leadership 5</t>
        </is>
      </c>
      <c r="N42" s="12" t="inlineStr">
        <is>
          <t>MBA / PGDM · preferred at C+</t>
        </is>
      </c>
      <c r="O42" s="95" t="inlineStr">
        <is>
          <t>Finance · Management</t>
        </is>
      </c>
      <c r="P42" s="17" t="inlineStr">
        <is>
          <r>
            <rPr>
              <rFont val="Calibri"/>
              <sz val="10"/>
            </rPr>
            <t xml:space="preserve">CARBON 1
</t>
          </r>
          <r>
            <rPr>
              <rFont val="Calibri"/>
              <b val="1"/>
              <sz val="10"/>
            </rPr>
            <t>Titled there:</t>
          </r>
          <r>
            <rPr>
              <rFont val="Calibri"/>
              <sz val="10"/>
            </rPr>
            <t xml:space="preserve"> Chief Revenue Officer</t>
          </r>
        </is>
      </c>
    </row>
  </sheetData>
  <mergeCells count="3">
    <mergeCell ref="A1:P1"/>
    <mergeCell ref="A3:P3"/>
    <mergeCell ref="A2:P2"/>
  </mergeCells>
  <hyperlinks>
    <hyperlink xmlns:r="http://schemas.openxmlformats.org/officeDocument/2006/relationships" ref="Q1" r:id="rId1"/>
  </hyperlinks>
  <pageMargins left="0.4" right="0.4" top="0.5" bottom="0.5" header="0.5" footer="0.5"/>
  <pageSetup orientation="landscape" paperSize="8" fitToHeight="0" fitToWidth="1"/>
  <headerFooter>
    <oddHeader/>
    <oddFooter>&amp;LIRIS · Job Architecture &amp; Job Design · Final v1.12 · October 2026 · Internal — Confidential&amp;RPage &amp;P of &amp;N</oddFooter>
    <evenHeader/>
    <evenFooter/>
    <firstHeader/>
    <firstFooter/>
  </headerFooter>
  <legacyDrawing xmlns:r="http://schemas.openxmlformats.org/officeDocument/2006/relationships" r:id="anysvml"/>
  <tableParts count="1">
    <tablePart xmlns:r="http://schemas.openxmlformats.org/officeDocument/2006/relationships" r:id="rId2"/>
  </tableParts>
</worksheet>
</file>

<file path=xl/worksheets/sheet7.xml><?xml version="1.0" encoding="utf-8"?>
<worksheet xmlns="http://schemas.openxmlformats.org/spreadsheetml/2006/main">
  <sheetPr>
    <tabColor rgb="002E75B6"/>
    <outlinePr summaryBelow="1" summaryRight="1"/>
    <pageSetUpPr fitToPage="1"/>
  </sheetPr>
  <dimension ref="A1:Z93"/>
  <sheetViews>
    <sheetView showGridLines="0" workbookViewId="0">
      <pane xSplit="4" ySplit="16" topLeftCell="E17" activePane="bottomRight" state="frozen"/>
      <selection pane="topRight" activeCell="A1" sqref="A1"/>
      <selection pane="bottomLeft" activeCell="A1" sqref="A1"/>
      <selection pane="bottomRight" activeCell="A1" sqref="A1"/>
    </sheetView>
  </sheetViews>
  <sheetFormatPr baseColWidth="8" defaultRowHeight="15"/>
  <cols>
    <col width="44" customWidth="1" min="1" max="1"/>
    <col width="12" customWidth="1" min="2" max="2"/>
    <col width="24" customWidth="1" min="3" max="3"/>
    <col width="22" customWidth="1" min="4" max="4"/>
    <col width="8" customWidth="1" min="5" max="5"/>
    <col width="22" customWidth="1" min="6" max="6"/>
    <col width="11" customWidth="1" min="7" max="7"/>
    <col width="11" customWidth="1" min="8" max="8"/>
    <col width="11" customWidth="1" min="9" max="9"/>
    <col width="11" customWidth="1" min="10" max="10"/>
    <col width="11" customWidth="1" min="11" max="11"/>
    <col width="11" customWidth="1" min="12" max="12"/>
    <col width="10" customWidth="1" min="13" max="13"/>
    <col width="9" customWidth="1" min="14" max="14"/>
    <col width="9" customWidth="1" min="15" max="15"/>
    <col width="9" customWidth="1" min="16" max="16"/>
    <col width="9" customWidth="1" min="17" max="17"/>
    <col width="9" customWidth="1" min="18" max="18"/>
    <col width="9" customWidth="1" min="19" max="19"/>
    <col width="34" customWidth="1" min="20" max="20"/>
    <col hidden="1" width="13" customWidth="1" min="21" max="21"/>
    <col hidden="1" width="13" customWidth="1" min="22" max="22"/>
    <col hidden="1" width="13" customWidth="1" min="23" max="23"/>
    <col hidden="1" width="13" customWidth="1" min="24" max="24"/>
    <col hidden="1" width="13" customWidth="1" min="25" max="25"/>
    <col hidden="1" width="13" customWidth="1" min="26" max="26"/>
  </cols>
  <sheetData>
    <row r="1" ht="34" customHeight="1">
      <c r="A1" s="1" t="inlineStr">
        <is>
          <t>Weightage Matrix — how much each factor counts, by department and role group · editable</t>
        </is>
      </c>
      <c r="U1" s="103" t="inlineStr">
        <is>
          <t>◂ Start Here</t>
        </is>
      </c>
    </row>
    <row r="2" ht="30" customHeight="1">
      <c r="A2" s="3" t="inlineStr">
        <is>
          <t>6 · Leaders: change the yellow weights. Sheet 2 recalculates points, score and 'Level the score indicates' at once. Below the matrix: what each factor means, what a weight means, and what each rating means.</t>
        </is>
      </c>
    </row>
    <row r="3">
      <c r="A3" s="4" t="inlineStr">
        <is>
          <t>IRIS · Job Architecture &amp; Job Design · Final v1.12 · October 2026 · Internal — Confidential</t>
        </is>
      </c>
    </row>
    <row r="4"/>
    <row r="5" ht="20" customHeight="1">
      <c r="A5" s="6" t="inlineStr">
        <is>
          <t>SETTINGS — Experience &amp; Qualification weight · kept low by design; change it here for everyone</t>
        </is>
      </c>
    </row>
    <row r="6">
      <c r="A6" s="96" t="inlineStr">
        <is>
          <t>Experience &amp; Qualification weight — Bands A–B</t>
        </is>
      </c>
      <c r="B6" s="97" t="n">
        <v>10</v>
      </c>
      <c r="C6" s="40" t="inlineStr">
        <is>
          <t>Band A, Band B and B+ · Corporate functions rows add 5 for professional qualifications</t>
        </is>
      </c>
    </row>
    <row r="7">
      <c r="A7" s="96" t="inlineStr">
        <is>
          <t>Experience &amp; Qualification weight — Bands C–E</t>
        </is>
      </c>
      <c r="B7" s="97" t="n">
        <v>5</v>
      </c>
      <c r="C7" s="40" t="inlineStr">
        <is>
          <t>Band C, C+ and Bands D–E · Corporate functions rows add 5 for professional qualifications</t>
        </is>
      </c>
    </row>
    <row r="8">
      <c r="A8" s="40" t="inlineStr">
        <is>
          <r>
            <rPr>
              <rFont val="Calibri"/>
              <b val="1"/>
              <i val="1"/>
              <color rgb="00595959"/>
              <sz val="10"/>
            </rPr>
            <t>Why it is low:</t>
          </r>
          <r>
            <rPr>
              <rFont val="Calibri"/>
              <i val="1"/>
              <color rgb="00595959"/>
              <sz val="10"/>
            </rPr>
            <t xml:space="preserve"> Sources: S05, S49 Hay know-how includes experience however acquired · S04, S52 Mercer IPE knowledge · S07 WTW GGS · S58 McKinsey · S59 Deloitte · S60 WEF · S61 EY India, 2026 — skills over tenure. The 10% / 5% level is an IRIS leadership decision.</t>
          </r>
        </is>
      </c>
    </row>
    <row r="9"/>
    <row r="10" ht="20" customHeight="1">
      <c r="A10" s="6" t="inlineStr">
        <is>
          <t>HOW TO USE IT — in four steps</t>
        </is>
      </c>
    </row>
    <row r="11">
      <c r="A11" s="7" t="inlineStr">
        <is>
          <t>1. Find your department and role group in the matrix below · filter the Department column.</t>
        </is>
      </c>
    </row>
    <row r="12">
      <c r="A12" s="7" t="inlineStr">
        <is>
          <t>2. Change the yellow weights in steps of 5%. Each row should add up to about 100% — the 'Used' columns show the weights actually applied.</t>
        </is>
      </c>
    </row>
    <row r="13">
      <c r="A13" s="7" t="inlineStr">
        <is>
          <t>3. Look at sheet 2: points, the score and 'Level the score indicates' have already changed for everyone in that department and role group.</t>
        </is>
      </c>
    </row>
    <row r="14">
      <c r="A14" s="7" t="inlineStr">
        <is>
          <t>4. Write why you changed a row in the last column and send the file back; HR imports it and the final levels follow on the next run.</t>
        </is>
      </c>
    </row>
    <row r="15" ht="20" customHeight="1">
      <c r="A15" s="6" t="inlineStr">
        <is>
          <t>THE MATRIX — one row per department × role group in this file</t>
        </is>
      </c>
    </row>
    <row r="16" ht="32" customHeight="1">
      <c r="A16" s="74" t="inlineStr">
        <is>
          <t>Weight row</t>
        </is>
      </c>
      <c r="B16" s="74" t="inlineStr">
        <is>
          <t>Business</t>
        </is>
      </c>
      <c r="C16" s="74" t="inlineStr">
        <is>
          <t>Department</t>
        </is>
      </c>
      <c r="D16" s="74" t="inlineStr">
        <is>
          <t>Role group</t>
        </is>
      </c>
      <c r="E16" s="74" t="inlineStr">
        <is>
          <t>People</t>
        </is>
      </c>
      <c r="F16" s="74" t="inlineStr">
        <is>
          <t>Main type of work</t>
        </is>
      </c>
      <c r="G16" s="8" t="inlineStr">
        <is>
          <t>How hard %</t>
        </is>
      </c>
      <c r="H16" s="8" t="inlineStr">
        <is>
          <t>Decides alone %</t>
        </is>
      </c>
      <c r="I16" s="8" t="inlineStr">
        <is>
          <t>Answers for %</t>
        </is>
      </c>
      <c r="J16" s="8" t="inlineStr">
        <is>
          <t>Leads %</t>
        </is>
      </c>
      <c r="K16" s="8" t="inlineStr">
        <is>
          <t>Experience %</t>
        </is>
      </c>
      <c r="L16" s="8" t="inlineStr">
        <is>
          <t>Business impact %</t>
        </is>
      </c>
      <c r="M16" s="8" t="inlineStr">
        <is>
          <t>Entered total</t>
        </is>
      </c>
      <c r="N16" s="74" t="inlineStr">
        <is>
          <t>Used · How hard</t>
        </is>
      </c>
      <c r="O16" s="74" t="inlineStr">
        <is>
          <t>Used · Decides alone</t>
        </is>
      </c>
      <c r="P16" s="74" t="inlineStr">
        <is>
          <t>Used · Answers for</t>
        </is>
      </c>
      <c r="Q16" s="74" t="inlineStr">
        <is>
          <t>Used · Leads</t>
        </is>
      </c>
      <c r="R16" s="74" t="inlineStr">
        <is>
          <t>Used · Experience</t>
        </is>
      </c>
      <c r="S16" s="74" t="inlineStr">
        <is>
          <t>Used · Business impact</t>
        </is>
      </c>
      <c r="T16" s="74" t="inlineStr">
        <is>
          <t>Why changed · leader</t>
        </is>
      </c>
      <c r="U16" s="98" t="inlineStr">
        <is>
          <t>Default · How hard</t>
        </is>
      </c>
      <c r="V16" s="98" t="inlineStr">
        <is>
          <t>Default · Decides alone</t>
        </is>
      </c>
      <c r="W16" s="98" t="inlineStr">
        <is>
          <t>Default · Answers for</t>
        </is>
      </c>
      <c r="X16" s="98" t="inlineStr">
        <is>
          <t>Default · Leads</t>
        </is>
      </c>
      <c r="Y16" s="98" t="inlineStr">
        <is>
          <t>Default · Experience</t>
        </is>
      </c>
      <c r="Z16" s="98" t="inlineStr">
        <is>
          <t>Default · Business impact</t>
        </is>
      </c>
    </row>
    <row r="17" ht="30" customHeight="1">
      <c r="A17" s="12" t="inlineStr">
        <is>
          <t>Corporate · Administration · Band A · Early career</t>
        </is>
      </c>
      <c r="B17" s="12" t="inlineStr">
        <is>
          <t>Corporate</t>
        </is>
      </c>
      <c r="C17" s="12" t="inlineStr">
        <is>
          <t>Administration</t>
        </is>
      </c>
      <c r="D17" s="10" t="inlineStr">
        <is>
          <t>Band A · Early career</t>
        </is>
      </c>
      <c r="E17" s="42" t="n">
        <v>4</v>
      </c>
      <c r="F17" s="12" t="inlineStr">
        <is>
          <t>Corporate functions</t>
        </is>
      </c>
      <c r="G17" s="99" t="n">
        <v>54</v>
      </c>
      <c r="H17" s="99" t="n">
        <v>16</v>
      </c>
      <c r="I17" s="99" t="n">
        <v>9</v>
      </c>
      <c r="J17" s="99" t="n">
        <v>0</v>
      </c>
      <c r="K17" s="99">
        <f>WM_EXP_AB+5</f>
        <v>15</v>
      </c>
      <c r="L17" s="99" t="n">
        <v>6</v>
      </c>
      <c r="M17" s="100">
        <f>SUM(G17:L17)</f>
        <v>100</v>
      </c>
      <c r="N17" s="101">
        <f>IF((G17+H17+I17+J17+L17)=0,0,G17*(100-MAX(0,MIN(100,K17)))/(G17+H17+I17+J17+L17))/100</f>
        <v>0.54</v>
      </c>
      <c r="O17" s="101">
        <f>IF((G17+H17+I17+J17+L17)=0,0,H17*(100-MAX(0,MIN(100,K17)))/(G17+H17+I17+J17+L17))/100</f>
        <v>0.16</v>
      </c>
      <c r="P17" s="101">
        <f>IF((G17+H17+I17+J17+L17)=0,0,I17*(100-MAX(0,MIN(100,K17)))/(G17+H17+I17+J17+L17))/100</f>
        <v>0.09</v>
      </c>
      <c r="Q17" s="101">
        <f>IF((G17+H17+I17+J17+L17)=0,0,J17*(100-MAX(0,MIN(100,K17)))/(G17+H17+I17+J17+L17))/100</f>
        <v>0</v>
      </c>
      <c r="R17" s="101">
        <f>MAX(0,MIN(100,K17))/100</f>
        <v>0.15</v>
      </c>
      <c r="S17" s="101">
        <f>IF((G17+H17+I17+J17+L17)=0,0,L17*(100-MAX(0,MIN(100,K17)))/(G17+H17+I17+J17+L17))/100</f>
        <v>0.06</v>
      </c>
      <c r="T17" s="83" t="n"/>
      <c r="U17" s="102" t="n">
        <v>54</v>
      </c>
      <c r="V17" s="102" t="n">
        <v>16</v>
      </c>
      <c r="W17" s="102" t="n">
        <v>9</v>
      </c>
      <c r="X17" s="102" t="n">
        <v>0</v>
      </c>
      <c r="Y17" s="102" t="n">
        <v>15</v>
      </c>
      <c r="Z17" s="102" t="n">
        <v>6</v>
      </c>
    </row>
    <row r="18" ht="30" customHeight="1">
      <c r="A18" s="12" t="inlineStr">
        <is>
          <t>Corporate · Administration · Band B · People Manager</t>
        </is>
      </c>
      <c r="B18" s="12" t="inlineStr">
        <is>
          <t>Corporate</t>
        </is>
      </c>
      <c r="C18" s="12" t="inlineStr">
        <is>
          <t>Administration</t>
        </is>
      </c>
      <c r="D18" s="10" t="inlineStr">
        <is>
          <t>Band B · People Manager</t>
        </is>
      </c>
      <c r="E18" s="42" t="n">
        <v>1</v>
      </c>
      <c r="F18" s="12" t="inlineStr">
        <is>
          <t>Corporate functions</t>
        </is>
      </c>
      <c r="G18" s="99" t="n">
        <v>32</v>
      </c>
      <c r="H18" s="99" t="n">
        <v>18</v>
      </c>
      <c r="I18" s="99" t="n">
        <v>11</v>
      </c>
      <c r="J18" s="99" t="n">
        <v>15</v>
      </c>
      <c r="K18" s="99">
        <f>WM_EXP_AB+5</f>
        <v>15</v>
      </c>
      <c r="L18" s="99" t="n">
        <v>9</v>
      </c>
      <c r="M18" s="100">
        <f>SUM(G18:L18)</f>
        <v>100</v>
      </c>
      <c r="N18" s="101">
        <f>IF((G18+H18+I18+J18+L18)=0,0,G18*(100-MAX(0,MIN(100,K18)))/(G18+H18+I18+J18+L18))/100</f>
        <v>0.32</v>
      </c>
      <c r="O18" s="101">
        <f>IF((G18+H18+I18+J18+L18)=0,0,H18*(100-MAX(0,MIN(100,K18)))/(G18+H18+I18+J18+L18))/100</f>
        <v>0.18</v>
      </c>
      <c r="P18" s="101">
        <f>IF((G18+H18+I18+J18+L18)=0,0,I18*(100-MAX(0,MIN(100,K18)))/(G18+H18+I18+J18+L18))/100</f>
        <v>0.11</v>
      </c>
      <c r="Q18" s="101">
        <f>IF((G18+H18+I18+J18+L18)=0,0,J18*(100-MAX(0,MIN(100,K18)))/(G18+H18+I18+J18+L18))/100</f>
        <v>0.15</v>
      </c>
      <c r="R18" s="101">
        <f>MAX(0,MIN(100,K18))/100</f>
        <v>0.15</v>
      </c>
      <c r="S18" s="101">
        <f>IF((G18+H18+I18+J18+L18)=0,0,L18*(100-MAX(0,MIN(100,K18)))/(G18+H18+I18+J18+L18))/100</f>
        <v>0.09</v>
      </c>
      <c r="T18" s="83" t="n"/>
      <c r="U18" s="102" t="n">
        <v>32</v>
      </c>
      <c r="V18" s="102" t="n">
        <v>18</v>
      </c>
      <c r="W18" s="102" t="n">
        <v>11</v>
      </c>
      <c r="X18" s="102" t="n">
        <v>15</v>
      </c>
      <c r="Y18" s="102" t="n">
        <v>15</v>
      </c>
      <c r="Z18" s="102" t="n">
        <v>9</v>
      </c>
    </row>
    <row r="19" ht="30" customHeight="1">
      <c r="A19" s="12" t="inlineStr">
        <is>
          <t>Corporate · Finance · Band A · Early career</t>
        </is>
      </c>
      <c r="B19" s="12" t="inlineStr">
        <is>
          <t>Corporate</t>
        </is>
      </c>
      <c r="C19" s="12" t="inlineStr">
        <is>
          <t>Finance</t>
        </is>
      </c>
      <c r="D19" s="10" t="inlineStr">
        <is>
          <t>Band A · Early career</t>
        </is>
      </c>
      <c r="E19" s="42" t="n">
        <v>2</v>
      </c>
      <c r="F19" s="12" t="inlineStr">
        <is>
          <t>Corporate functions</t>
        </is>
      </c>
      <c r="G19" s="99" t="n">
        <v>54</v>
      </c>
      <c r="H19" s="99" t="n">
        <v>16</v>
      </c>
      <c r="I19" s="99" t="n">
        <v>9</v>
      </c>
      <c r="J19" s="99" t="n">
        <v>0</v>
      </c>
      <c r="K19" s="99">
        <f>WM_EXP_AB+5</f>
        <v>15</v>
      </c>
      <c r="L19" s="99" t="n">
        <v>6</v>
      </c>
      <c r="M19" s="100">
        <f>SUM(G19:L19)</f>
        <v>100</v>
      </c>
      <c r="N19" s="101">
        <f>IF((G19+H19+I19+J19+L19)=0,0,G19*(100-MAX(0,MIN(100,K19)))/(G19+H19+I19+J19+L19))/100</f>
        <v>0.54</v>
      </c>
      <c r="O19" s="101">
        <f>IF((G19+H19+I19+J19+L19)=0,0,H19*(100-MAX(0,MIN(100,K19)))/(G19+H19+I19+J19+L19))/100</f>
        <v>0.16</v>
      </c>
      <c r="P19" s="101">
        <f>IF((G19+H19+I19+J19+L19)=0,0,I19*(100-MAX(0,MIN(100,K19)))/(G19+H19+I19+J19+L19))/100</f>
        <v>0.09</v>
      </c>
      <c r="Q19" s="101">
        <f>IF((G19+H19+I19+J19+L19)=0,0,J19*(100-MAX(0,MIN(100,K19)))/(G19+H19+I19+J19+L19))/100</f>
        <v>0</v>
      </c>
      <c r="R19" s="101">
        <f>MAX(0,MIN(100,K19))/100</f>
        <v>0.15</v>
      </c>
      <c r="S19" s="101">
        <f>IF((G19+H19+I19+J19+L19)=0,0,L19*(100-MAX(0,MIN(100,K19)))/(G19+H19+I19+J19+L19))/100</f>
        <v>0.06</v>
      </c>
      <c r="T19" s="83" t="n"/>
      <c r="U19" s="102" t="n">
        <v>54</v>
      </c>
      <c r="V19" s="102" t="n">
        <v>16</v>
      </c>
      <c r="W19" s="102" t="n">
        <v>9</v>
      </c>
      <c r="X19" s="102" t="n">
        <v>0</v>
      </c>
      <c r="Y19" s="102" t="n">
        <v>15</v>
      </c>
      <c r="Z19" s="102" t="n">
        <v>6</v>
      </c>
    </row>
    <row r="20" ht="30" customHeight="1">
      <c r="A20" s="12" t="inlineStr">
        <is>
          <t>Corporate · Finance · Band B · Expert / POD Lead</t>
        </is>
      </c>
      <c r="B20" s="12" t="inlineStr">
        <is>
          <t>Corporate</t>
        </is>
      </c>
      <c r="C20" s="12" t="inlineStr">
        <is>
          <t>Finance</t>
        </is>
      </c>
      <c r="D20" s="10" t="inlineStr">
        <is>
          <t>Band B · Expert / POD Lead</t>
        </is>
      </c>
      <c r="E20" s="42" t="n">
        <v>6</v>
      </c>
      <c r="F20" s="12" t="inlineStr">
        <is>
          <t>Corporate functions</t>
        </is>
      </c>
      <c r="G20" s="99" t="n">
        <v>46</v>
      </c>
      <c r="H20" s="99" t="n">
        <v>17</v>
      </c>
      <c r="I20" s="99" t="n">
        <v>10</v>
      </c>
      <c r="J20" s="99" t="n">
        <v>5</v>
      </c>
      <c r="K20" s="99">
        <f>WM_EXP_AB+5</f>
        <v>15</v>
      </c>
      <c r="L20" s="99" t="n">
        <v>7</v>
      </c>
      <c r="M20" s="100">
        <f>SUM(G20:L20)</f>
        <v>100</v>
      </c>
      <c r="N20" s="101">
        <f>IF((G20+H20+I20+J20+L20)=0,0,G20*(100-MAX(0,MIN(100,K20)))/(G20+H20+I20+J20+L20))/100</f>
        <v>0.46</v>
      </c>
      <c r="O20" s="101">
        <f>IF((G20+H20+I20+J20+L20)=0,0,H20*(100-MAX(0,MIN(100,K20)))/(G20+H20+I20+J20+L20))/100</f>
        <v>0.17</v>
      </c>
      <c r="P20" s="101">
        <f>IF((G20+H20+I20+J20+L20)=0,0,I20*(100-MAX(0,MIN(100,K20)))/(G20+H20+I20+J20+L20))/100</f>
        <v>0.1</v>
      </c>
      <c r="Q20" s="101">
        <f>IF((G20+H20+I20+J20+L20)=0,0,J20*(100-MAX(0,MIN(100,K20)))/(G20+H20+I20+J20+L20))/100</f>
        <v>0.05</v>
      </c>
      <c r="R20" s="101">
        <f>MAX(0,MIN(100,K20))/100</f>
        <v>0.15</v>
      </c>
      <c r="S20" s="101">
        <f>IF((G20+H20+I20+J20+L20)=0,0,L20*(100-MAX(0,MIN(100,K20)))/(G20+H20+I20+J20+L20))/100</f>
        <v>0.07</v>
      </c>
      <c r="T20" s="83" t="n"/>
      <c r="U20" s="102" t="n">
        <v>46</v>
      </c>
      <c r="V20" s="102" t="n">
        <v>17</v>
      </c>
      <c r="W20" s="102" t="n">
        <v>10</v>
      </c>
      <c r="X20" s="102" t="n">
        <v>5</v>
      </c>
      <c r="Y20" s="102" t="n">
        <v>15</v>
      </c>
      <c r="Z20" s="102" t="n">
        <v>7</v>
      </c>
    </row>
    <row r="21" ht="30" customHeight="1">
      <c r="A21" s="12" t="inlineStr">
        <is>
          <t>Corporate · Finance · Band C · Head / Manager</t>
        </is>
      </c>
      <c r="B21" s="12" t="inlineStr">
        <is>
          <t>Corporate</t>
        </is>
      </c>
      <c r="C21" s="12" t="inlineStr">
        <is>
          <t>Finance</t>
        </is>
      </c>
      <c r="D21" s="10" t="inlineStr">
        <is>
          <t>Band C · Head / Manager</t>
        </is>
      </c>
      <c r="E21" s="42" t="n">
        <v>2</v>
      </c>
      <c r="F21" s="12" t="inlineStr">
        <is>
          <t>Corporate functions</t>
        </is>
      </c>
      <c r="G21" s="99" t="n">
        <v>38</v>
      </c>
      <c r="H21" s="99" t="n">
        <v>18</v>
      </c>
      <c r="I21" s="99" t="n">
        <v>11</v>
      </c>
      <c r="J21" s="99" t="n">
        <v>15</v>
      </c>
      <c r="K21" s="99">
        <f>WM_EXP_CE+5</f>
        <v>10</v>
      </c>
      <c r="L21" s="99" t="n">
        <v>8</v>
      </c>
      <c r="M21" s="100">
        <f>SUM(G21:L21)</f>
        <v>100</v>
      </c>
      <c r="N21" s="101">
        <f>IF((G21+H21+I21+J21+L21)=0,0,G21*(100-MAX(0,MIN(100,K21)))/(G21+H21+I21+J21+L21))/100</f>
        <v>0.38</v>
      </c>
      <c r="O21" s="101">
        <f>IF((G21+H21+I21+J21+L21)=0,0,H21*(100-MAX(0,MIN(100,K21)))/(G21+H21+I21+J21+L21))/100</f>
        <v>0.18</v>
      </c>
      <c r="P21" s="101">
        <f>IF((G21+H21+I21+J21+L21)=0,0,I21*(100-MAX(0,MIN(100,K21)))/(G21+H21+I21+J21+L21))/100</f>
        <v>0.11</v>
      </c>
      <c r="Q21" s="101">
        <f>IF((G21+H21+I21+J21+L21)=0,0,J21*(100-MAX(0,MIN(100,K21)))/(G21+H21+I21+J21+L21))/100</f>
        <v>0.15</v>
      </c>
      <c r="R21" s="101">
        <f>MAX(0,MIN(100,K21))/100</f>
        <v>0.1</v>
      </c>
      <c r="S21" s="101">
        <f>IF((G21+H21+I21+J21+L21)=0,0,L21*(100-MAX(0,MIN(100,K21)))/(G21+H21+I21+J21+L21))/100</f>
        <v>0.08</v>
      </c>
      <c r="T21" s="83" t="n"/>
      <c r="U21" s="102" t="n">
        <v>38</v>
      </c>
      <c r="V21" s="102" t="n">
        <v>18</v>
      </c>
      <c r="W21" s="102" t="n">
        <v>11</v>
      </c>
      <c r="X21" s="102" t="n">
        <v>15</v>
      </c>
      <c r="Y21" s="102" t="n">
        <v>10</v>
      </c>
      <c r="Z21" s="102" t="n">
        <v>8</v>
      </c>
    </row>
    <row r="22" ht="30" customHeight="1">
      <c r="A22" s="12" t="inlineStr">
        <is>
          <t>Corporate · Finance · Bands D–E · Leadership</t>
        </is>
      </c>
      <c r="B22" s="12" t="inlineStr">
        <is>
          <t>Corporate</t>
        </is>
      </c>
      <c r="C22" s="12" t="inlineStr">
        <is>
          <t>Finance</t>
        </is>
      </c>
      <c r="D22" s="10" t="inlineStr">
        <is>
          <t>Bands D–E · Leadership</t>
        </is>
      </c>
      <c r="E22" s="42" t="n">
        <v>1</v>
      </c>
      <c r="F22" s="12" t="inlineStr">
        <is>
          <t>Corporate functions</t>
        </is>
      </c>
      <c r="G22" s="99" t="n">
        <v>37</v>
      </c>
      <c r="H22" s="99" t="n">
        <v>19</v>
      </c>
      <c r="I22" s="99" t="n">
        <v>11</v>
      </c>
      <c r="J22" s="99" t="n">
        <v>20</v>
      </c>
      <c r="K22" s="99">
        <f>WM_EXP_CE</f>
        <v>5</v>
      </c>
      <c r="L22" s="99" t="n">
        <v>8</v>
      </c>
      <c r="M22" s="100">
        <f>SUM(G22:L22)</f>
        <v>100</v>
      </c>
      <c r="N22" s="101">
        <f>IF((G22+H22+I22+J22+L22)=0,0,G22*(100-MAX(0,MIN(100,K22)))/(G22+H22+I22+J22+L22))/100</f>
        <v>0.37</v>
      </c>
      <c r="O22" s="101">
        <f>IF((G22+H22+I22+J22+L22)=0,0,H22*(100-MAX(0,MIN(100,K22)))/(G22+H22+I22+J22+L22))/100</f>
        <v>0.19</v>
      </c>
      <c r="P22" s="101">
        <f>IF((G22+H22+I22+J22+L22)=0,0,I22*(100-MAX(0,MIN(100,K22)))/(G22+H22+I22+J22+L22))/100</f>
        <v>0.11</v>
      </c>
      <c r="Q22" s="101">
        <f>IF((G22+H22+I22+J22+L22)=0,0,J22*(100-MAX(0,MIN(100,K22)))/(G22+H22+I22+J22+L22))/100</f>
        <v>0.2</v>
      </c>
      <c r="R22" s="101">
        <f>MAX(0,MIN(100,K22))/100</f>
        <v>0.05</v>
      </c>
      <c r="S22" s="101">
        <f>IF((G22+H22+I22+J22+L22)=0,0,L22*(100-MAX(0,MIN(100,K22)))/(G22+H22+I22+J22+L22))/100</f>
        <v>0.08</v>
      </c>
      <c r="T22" s="83" t="n"/>
      <c r="U22" s="102" t="n">
        <v>37</v>
      </c>
      <c r="V22" s="102" t="n">
        <v>19</v>
      </c>
      <c r="W22" s="102" t="n">
        <v>11</v>
      </c>
      <c r="X22" s="102" t="n">
        <v>20</v>
      </c>
      <c r="Y22" s="102" t="n">
        <v>5</v>
      </c>
      <c r="Z22" s="102" t="n">
        <v>8</v>
      </c>
    </row>
    <row r="23" ht="30" customHeight="1">
      <c r="A23" s="12" t="inlineStr">
        <is>
          <t>Corporate · HR · Band A · Early career</t>
        </is>
      </c>
      <c r="B23" s="12" t="inlineStr">
        <is>
          <t>Corporate</t>
        </is>
      </c>
      <c r="C23" s="12" t="inlineStr">
        <is>
          <t>HR</t>
        </is>
      </c>
      <c r="D23" s="10" t="inlineStr">
        <is>
          <t>Band A · Early career</t>
        </is>
      </c>
      <c r="E23" s="42" t="n">
        <v>3</v>
      </c>
      <c r="F23" s="12" t="inlineStr">
        <is>
          <t>Corporate functions</t>
        </is>
      </c>
      <c r="G23" s="99" t="n">
        <v>54</v>
      </c>
      <c r="H23" s="99" t="n">
        <v>16</v>
      </c>
      <c r="I23" s="99" t="n">
        <v>9</v>
      </c>
      <c r="J23" s="99" t="n">
        <v>0</v>
      </c>
      <c r="K23" s="99">
        <f>WM_EXP_AB+5</f>
        <v>15</v>
      </c>
      <c r="L23" s="99" t="n">
        <v>6</v>
      </c>
      <c r="M23" s="100">
        <f>SUM(G23:L23)</f>
        <v>100</v>
      </c>
      <c r="N23" s="101">
        <f>IF((G23+H23+I23+J23+L23)=0,0,G23*(100-MAX(0,MIN(100,K23)))/(G23+H23+I23+J23+L23))/100</f>
        <v>0.54</v>
      </c>
      <c r="O23" s="101">
        <f>IF((G23+H23+I23+J23+L23)=0,0,H23*(100-MAX(0,MIN(100,K23)))/(G23+H23+I23+J23+L23))/100</f>
        <v>0.16</v>
      </c>
      <c r="P23" s="101">
        <f>IF((G23+H23+I23+J23+L23)=0,0,I23*(100-MAX(0,MIN(100,K23)))/(G23+H23+I23+J23+L23))/100</f>
        <v>0.09</v>
      </c>
      <c r="Q23" s="101">
        <f>IF((G23+H23+I23+J23+L23)=0,0,J23*(100-MAX(0,MIN(100,K23)))/(G23+H23+I23+J23+L23))/100</f>
        <v>0</v>
      </c>
      <c r="R23" s="101">
        <f>MAX(0,MIN(100,K23))/100</f>
        <v>0.15</v>
      </c>
      <c r="S23" s="101">
        <f>IF((G23+H23+I23+J23+L23)=0,0,L23*(100-MAX(0,MIN(100,K23)))/(G23+H23+I23+J23+L23))/100</f>
        <v>0.06</v>
      </c>
      <c r="T23" s="83" t="n"/>
      <c r="U23" s="102" t="n">
        <v>54</v>
      </c>
      <c r="V23" s="102" t="n">
        <v>16</v>
      </c>
      <c r="W23" s="102" t="n">
        <v>9</v>
      </c>
      <c r="X23" s="102" t="n">
        <v>0</v>
      </c>
      <c r="Y23" s="102" t="n">
        <v>15</v>
      </c>
      <c r="Z23" s="102" t="n">
        <v>6</v>
      </c>
    </row>
    <row r="24" ht="30" customHeight="1">
      <c r="A24" s="12" t="inlineStr">
        <is>
          <t>Corporate · HR · Band B · Expert / POD Lead</t>
        </is>
      </c>
      <c r="B24" s="12" t="inlineStr">
        <is>
          <t>Corporate</t>
        </is>
      </c>
      <c r="C24" s="12" t="inlineStr">
        <is>
          <t>HR</t>
        </is>
      </c>
      <c r="D24" s="10" t="inlineStr">
        <is>
          <t>Band B · Expert / POD Lead</t>
        </is>
      </c>
      <c r="E24" s="42" t="n">
        <v>4</v>
      </c>
      <c r="F24" s="12" t="inlineStr">
        <is>
          <t>Corporate functions</t>
        </is>
      </c>
      <c r="G24" s="99" t="n">
        <v>46</v>
      </c>
      <c r="H24" s="99" t="n">
        <v>17</v>
      </c>
      <c r="I24" s="99" t="n">
        <v>10</v>
      </c>
      <c r="J24" s="99" t="n">
        <v>5</v>
      </c>
      <c r="K24" s="99">
        <f>WM_EXP_AB+5</f>
        <v>15</v>
      </c>
      <c r="L24" s="99" t="n">
        <v>7</v>
      </c>
      <c r="M24" s="100">
        <f>SUM(G24:L24)</f>
        <v>100</v>
      </c>
      <c r="N24" s="101">
        <f>IF((G24+H24+I24+J24+L24)=0,0,G24*(100-MAX(0,MIN(100,K24)))/(G24+H24+I24+J24+L24))/100</f>
        <v>0.46</v>
      </c>
      <c r="O24" s="101">
        <f>IF((G24+H24+I24+J24+L24)=0,0,H24*(100-MAX(0,MIN(100,K24)))/(G24+H24+I24+J24+L24))/100</f>
        <v>0.17</v>
      </c>
      <c r="P24" s="101">
        <f>IF((G24+H24+I24+J24+L24)=0,0,I24*(100-MAX(0,MIN(100,K24)))/(G24+H24+I24+J24+L24))/100</f>
        <v>0.1</v>
      </c>
      <c r="Q24" s="101">
        <f>IF((G24+H24+I24+J24+L24)=0,0,J24*(100-MAX(0,MIN(100,K24)))/(G24+H24+I24+J24+L24))/100</f>
        <v>0.05</v>
      </c>
      <c r="R24" s="101">
        <f>MAX(0,MIN(100,K24))/100</f>
        <v>0.15</v>
      </c>
      <c r="S24" s="101">
        <f>IF((G24+H24+I24+J24+L24)=0,0,L24*(100-MAX(0,MIN(100,K24)))/(G24+H24+I24+J24+L24))/100</f>
        <v>0.07</v>
      </c>
      <c r="T24" s="83" t="n"/>
      <c r="U24" s="102" t="n">
        <v>46</v>
      </c>
      <c r="V24" s="102" t="n">
        <v>17</v>
      </c>
      <c r="W24" s="102" t="n">
        <v>10</v>
      </c>
      <c r="X24" s="102" t="n">
        <v>5</v>
      </c>
      <c r="Y24" s="102" t="n">
        <v>15</v>
      </c>
      <c r="Z24" s="102" t="n">
        <v>7</v>
      </c>
    </row>
    <row r="25" ht="30" customHeight="1">
      <c r="A25" s="12" t="inlineStr">
        <is>
          <t>Corporate · HR · Bands D–E · Leadership</t>
        </is>
      </c>
      <c r="B25" s="12" t="inlineStr">
        <is>
          <t>Corporate</t>
        </is>
      </c>
      <c r="C25" s="12" t="inlineStr">
        <is>
          <t>HR</t>
        </is>
      </c>
      <c r="D25" s="10" t="inlineStr">
        <is>
          <t>Bands D–E · Leadership</t>
        </is>
      </c>
      <c r="E25" s="42" t="n">
        <v>1</v>
      </c>
      <c r="F25" s="12" t="inlineStr">
        <is>
          <t>Corporate functions</t>
        </is>
      </c>
      <c r="G25" s="99" t="n">
        <v>37</v>
      </c>
      <c r="H25" s="99" t="n">
        <v>19</v>
      </c>
      <c r="I25" s="99" t="n">
        <v>11</v>
      </c>
      <c r="J25" s="99" t="n">
        <v>20</v>
      </c>
      <c r="K25" s="99">
        <f>WM_EXP_CE</f>
        <v>5</v>
      </c>
      <c r="L25" s="99" t="n">
        <v>8</v>
      </c>
      <c r="M25" s="100">
        <f>SUM(G25:L25)</f>
        <v>100</v>
      </c>
      <c r="N25" s="101">
        <f>IF((G25+H25+I25+J25+L25)=0,0,G25*(100-MAX(0,MIN(100,K25)))/(G25+H25+I25+J25+L25))/100</f>
        <v>0.37</v>
      </c>
      <c r="O25" s="101">
        <f>IF((G25+H25+I25+J25+L25)=0,0,H25*(100-MAX(0,MIN(100,K25)))/(G25+H25+I25+J25+L25))/100</f>
        <v>0.19</v>
      </c>
      <c r="P25" s="101">
        <f>IF((G25+H25+I25+J25+L25)=0,0,I25*(100-MAX(0,MIN(100,K25)))/(G25+H25+I25+J25+L25))/100</f>
        <v>0.11</v>
      </c>
      <c r="Q25" s="101">
        <f>IF((G25+H25+I25+J25+L25)=0,0,J25*(100-MAX(0,MIN(100,K25)))/(G25+H25+I25+J25+L25))/100</f>
        <v>0.2</v>
      </c>
      <c r="R25" s="101">
        <f>MAX(0,MIN(100,K25))/100</f>
        <v>0.05</v>
      </c>
      <c r="S25" s="101">
        <f>IF((G25+H25+I25+J25+L25)=0,0,L25*(100-MAX(0,MIN(100,K25)))/(G25+H25+I25+J25+L25))/100</f>
        <v>0.08</v>
      </c>
      <c r="T25" s="83" t="n"/>
      <c r="U25" s="102" t="n">
        <v>37</v>
      </c>
      <c r="V25" s="102" t="n">
        <v>19</v>
      </c>
      <c r="W25" s="102" t="n">
        <v>11</v>
      </c>
      <c r="X25" s="102" t="n">
        <v>20</v>
      </c>
      <c r="Y25" s="102" t="n">
        <v>5</v>
      </c>
      <c r="Z25" s="102" t="n">
        <v>8</v>
      </c>
    </row>
    <row r="26" ht="30" customHeight="1">
      <c r="A26" s="12" t="inlineStr">
        <is>
          <t>Corporate · IT &amp; Infrastructure · Band A · Early career</t>
        </is>
      </c>
      <c r="B26" s="12" t="inlineStr">
        <is>
          <t>Corporate</t>
        </is>
      </c>
      <c r="C26" s="12" t="inlineStr">
        <is>
          <t>IT &amp; Infrastructure</t>
        </is>
      </c>
      <c r="D26" s="10" t="inlineStr">
        <is>
          <t>Band A · Early career</t>
        </is>
      </c>
      <c r="E26" s="42" t="n">
        <v>10</v>
      </c>
      <c r="F26" s="12" t="inlineStr">
        <is>
          <t>Technology &amp; engineering</t>
        </is>
      </c>
      <c r="G26" s="99" t="n">
        <v>64</v>
      </c>
      <c r="H26" s="99" t="n">
        <v>16</v>
      </c>
      <c r="I26" s="99" t="n">
        <v>4</v>
      </c>
      <c r="J26" s="99" t="n">
        <v>0</v>
      </c>
      <c r="K26" s="99">
        <f>WM_EXP_AB</f>
        <v>10</v>
      </c>
      <c r="L26" s="99" t="n">
        <v>6</v>
      </c>
      <c r="M26" s="100">
        <f>SUM(G26:L26)</f>
        <v>100</v>
      </c>
      <c r="N26" s="101">
        <f>IF((G26+H26+I26+J26+L26)=0,0,G26*(100-MAX(0,MIN(100,K26)))/(G26+H26+I26+J26+L26))/100</f>
        <v>0.64</v>
      </c>
      <c r="O26" s="101">
        <f>IF((G26+H26+I26+J26+L26)=0,0,H26*(100-MAX(0,MIN(100,K26)))/(G26+H26+I26+J26+L26))/100</f>
        <v>0.16</v>
      </c>
      <c r="P26" s="101">
        <f>IF((G26+H26+I26+J26+L26)=0,0,I26*(100-MAX(0,MIN(100,K26)))/(G26+H26+I26+J26+L26))/100</f>
        <v>0.04</v>
      </c>
      <c r="Q26" s="101">
        <f>IF((G26+H26+I26+J26+L26)=0,0,J26*(100-MAX(0,MIN(100,K26)))/(G26+H26+I26+J26+L26))/100</f>
        <v>0</v>
      </c>
      <c r="R26" s="101">
        <f>MAX(0,MIN(100,K26))/100</f>
        <v>0.1</v>
      </c>
      <c r="S26" s="101">
        <f>IF((G26+H26+I26+J26+L26)=0,0,L26*(100-MAX(0,MIN(100,K26)))/(G26+H26+I26+J26+L26))/100</f>
        <v>0.06</v>
      </c>
      <c r="T26" s="83" t="n"/>
      <c r="U26" s="102" t="n">
        <v>64</v>
      </c>
      <c r="V26" s="102" t="n">
        <v>16</v>
      </c>
      <c r="W26" s="102" t="n">
        <v>4</v>
      </c>
      <c r="X26" s="102" t="n">
        <v>0</v>
      </c>
      <c r="Y26" s="102" t="n">
        <v>10</v>
      </c>
      <c r="Z26" s="102" t="n">
        <v>6</v>
      </c>
    </row>
    <row r="27" ht="30" customHeight="1">
      <c r="A27" s="12" t="inlineStr">
        <is>
          <t>Corporate · IT &amp; Infrastructure · Band B · Expert / POD Lead</t>
        </is>
      </c>
      <c r="B27" s="12" t="inlineStr">
        <is>
          <t>Corporate</t>
        </is>
      </c>
      <c r="C27" s="12" t="inlineStr">
        <is>
          <t>IT &amp; Infrastructure</t>
        </is>
      </c>
      <c r="D27" s="10" t="inlineStr">
        <is>
          <t>Band B · Expert / POD Lead</t>
        </is>
      </c>
      <c r="E27" s="42" t="n">
        <v>2</v>
      </c>
      <c r="F27" s="12" t="inlineStr">
        <is>
          <t>Technology &amp; engineering</t>
        </is>
      </c>
      <c r="G27" s="99" t="n">
        <v>56</v>
      </c>
      <c r="H27" s="99" t="n">
        <v>17</v>
      </c>
      <c r="I27" s="99" t="n">
        <v>5</v>
      </c>
      <c r="J27" s="99" t="n">
        <v>5</v>
      </c>
      <c r="K27" s="99">
        <f>WM_EXP_AB</f>
        <v>10</v>
      </c>
      <c r="L27" s="99" t="n">
        <v>7</v>
      </c>
      <c r="M27" s="100">
        <f>SUM(G27:L27)</f>
        <v>100</v>
      </c>
      <c r="N27" s="101">
        <f>IF((G27+H27+I27+J27+L27)=0,0,G27*(100-MAX(0,MIN(100,K27)))/(G27+H27+I27+J27+L27))/100</f>
        <v>0.56</v>
      </c>
      <c r="O27" s="101">
        <f>IF((G27+H27+I27+J27+L27)=0,0,H27*(100-MAX(0,MIN(100,K27)))/(G27+H27+I27+J27+L27))/100</f>
        <v>0.17</v>
      </c>
      <c r="P27" s="101">
        <f>IF((G27+H27+I27+J27+L27)=0,0,I27*(100-MAX(0,MIN(100,K27)))/(G27+H27+I27+J27+L27))/100</f>
        <v>0.05</v>
      </c>
      <c r="Q27" s="101">
        <f>IF((G27+H27+I27+J27+L27)=0,0,J27*(100-MAX(0,MIN(100,K27)))/(G27+H27+I27+J27+L27))/100</f>
        <v>0.05</v>
      </c>
      <c r="R27" s="101">
        <f>MAX(0,MIN(100,K27))/100</f>
        <v>0.1</v>
      </c>
      <c r="S27" s="101">
        <f>IF((G27+H27+I27+J27+L27)=0,0,L27*(100-MAX(0,MIN(100,K27)))/(G27+H27+I27+J27+L27))/100</f>
        <v>0.07</v>
      </c>
      <c r="T27" s="83" t="n"/>
      <c r="U27" s="102" t="n">
        <v>56</v>
      </c>
      <c r="V27" s="102" t="n">
        <v>17</v>
      </c>
      <c r="W27" s="102" t="n">
        <v>5</v>
      </c>
      <c r="X27" s="102" t="n">
        <v>5</v>
      </c>
      <c r="Y27" s="102" t="n">
        <v>10</v>
      </c>
      <c r="Z27" s="102" t="n">
        <v>7</v>
      </c>
    </row>
    <row r="28" ht="30" customHeight="1">
      <c r="A28" s="12" t="inlineStr">
        <is>
          <t>Corporate · IT &amp; Infrastructure · Band B · People Manager</t>
        </is>
      </c>
      <c r="B28" s="12" t="inlineStr">
        <is>
          <t>Corporate</t>
        </is>
      </c>
      <c r="C28" s="12" t="inlineStr">
        <is>
          <t>IT &amp; Infrastructure</t>
        </is>
      </c>
      <c r="D28" s="10" t="inlineStr">
        <is>
          <t>Band B · People Manager</t>
        </is>
      </c>
      <c r="E28" s="42" t="n">
        <v>2</v>
      </c>
      <c r="F28" s="12" t="inlineStr">
        <is>
          <t>Technology &amp; engineering</t>
        </is>
      </c>
      <c r="G28" s="99" t="n">
        <v>42</v>
      </c>
      <c r="H28" s="99" t="n">
        <v>18</v>
      </c>
      <c r="I28" s="99" t="n">
        <v>6</v>
      </c>
      <c r="J28" s="99" t="n">
        <v>15</v>
      </c>
      <c r="K28" s="99">
        <f>WM_EXP_AB</f>
        <v>10</v>
      </c>
      <c r="L28" s="99" t="n">
        <v>9</v>
      </c>
      <c r="M28" s="100">
        <f>SUM(G28:L28)</f>
        <v>100</v>
      </c>
      <c r="N28" s="101">
        <f>IF((G28+H28+I28+J28+L28)=0,0,G28*(100-MAX(0,MIN(100,K28)))/(G28+H28+I28+J28+L28))/100</f>
        <v>0.42</v>
      </c>
      <c r="O28" s="101">
        <f>IF((G28+H28+I28+J28+L28)=0,0,H28*(100-MAX(0,MIN(100,K28)))/(G28+H28+I28+J28+L28))/100</f>
        <v>0.18</v>
      </c>
      <c r="P28" s="101">
        <f>IF((G28+H28+I28+J28+L28)=0,0,I28*(100-MAX(0,MIN(100,K28)))/(G28+H28+I28+J28+L28))/100</f>
        <v>0.06</v>
      </c>
      <c r="Q28" s="101">
        <f>IF((G28+H28+I28+J28+L28)=0,0,J28*(100-MAX(0,MIN(100,K28)))/(G28+H28+I28+J28+L28))/100</f>
        <v>0.15</v>
      </c>
      <c r="R28" s="101">
        <f>MAX(0,MIN(100,K28))/100</f>
        <v>0.1</v>
      </c>
      <c r="S28" s="101">
        <f>IF((G28+H28+I28+J28+L28)=0,0,L28*(100-MAX(0,MIN(100,K28)))/(G28+H28+I28+J28+L28))/100</f>
        <v>0.09</v>
      </c>
      <c r="T28" s="83" t="n"/>
      <c r="U28" s="102" t="n">
        <v>42</v>
      </c>
      <c r="V28" s="102" t="n">
        <v>18</v>
      </c>
      <c r="W28" s="102" t="n">
        <v>6</v>
      </c>
      <c r="X28" s="102" t="n">
        <v>15</v>
      </c>
      <c r="Y28" s="102" t="n">
        <v>10</v>
      </c>
      <c r="Z28" s="102" t="n">
        <v>9</v>
      </c>
    </row>
    <row r="29" ht="30" customHeight="1">
      <c r="A29" s="12" t="inlineStr">
        <is>
          <t>Corporate · Management · Bands D–E · Leadership</t>
        </is>
      </c>
      <c r="B29" s="12" t="inlineStr">
        <is>
          <t>Corporate</t>
        </is>
      </c>
      <c r="C29" s="12" t="inlineStr">
        <is>
          <t>Management</t>
        </is>
      </c>
      <c r="D29" s="10" t="inlineStr">
        <is>
          <t>Bands D–E · Leadership</t>
        </is>
      </c>
      <c r="E29" s="42" t="n">
        <v>2</v>
      </c>
      <c r="F29" s="12" t="inlineStr">
        <is>
          <t>General management</t>
        </is>
      </c>
      <c r="G29" s="99" t="n">
        <v>37</v>
      </c>
      <c r="H29" s="99" t="n">
        <v>19</v>
      </c>
      <c r="I29" s="99" t="n">
        <v>11</v>
      </c>
      <c r="J29" s="99" t="n">
        <v>20</v>
      </c>
      <c r="K29" s="99">
        <f>WM_EXP_CE</f>
        <v>5</v>
      </c>
      <c r="L29" s="99" t="n">
        <v>8</v>
      </c>
      <c r="M29" s="100">
        <f>SUM(G29:L29)</f>
        <v>100</v>
      </c>
      <c r="N29" s="101">
        <f>IF((G29+H29+I29+J29+L29)=0,0,G29*(100-MAX(0,MIN(100,K29)))/(G29+H29+I29+J29+L29))/100</f>
        <v>0.37</v>
      </c>
      <c r="O29" s="101">
        <f>IF((G29+H29+I29+J29+L29)=0,0,H29*(100-MAX(0,MIN(100,K29)))/(G29+H29+I29+J29+L29))/100</f>
        <v>0.19</v>
      </c>
      <c r="P29" s="101">
        <f>IF((G29+H29+I29+J29+L29)=0,0,I29*(100-MAX(0,MIN(100,K29)))/(G29+H29+I29+J29+L29))/100</f>
        <v>0.11</v>
      </c>
      <c r="Q29" s="101">
        <f>IF((G29+H29+I29+J29+L29)=0,0,J29*(100-MAX(0,MIN(100,K29)))/(G29+H29+I29+J29+L29))/100</f>
        <v>0.2</v>
      </c>
      <c r="R29" s="101">
        <f>MAX(0,MIN(100,K29))/100</f>
        <v>0.05</v>
      </c>
      <c r="S29" s="101">
        <f>IF((G29+H29+I29+J29+L29)=0,0,L29*(100-MAX(0,MIN(100,K29)))/(G29+H29+I29+J29+L29))/100</f>
        <v>0.08</v>
      </c>
      <c r="T29" s="83" t="n"/>
      <c r="U29" s="102" t="n">
        <v>37</v>
      </c>
      <c r="V29" s="102" t="n">
        <v>19</v>
      </c>
      <c r="W29" s="102" t="n">
        <v>11</v>
      </c>
      <c r="X29" s="102" t="n">
        <v>20</v>
      </c>
      <c r="Y29" s="102" t="n">
        <v>5</v>
      </c>
      <c r="Z29" s="102" t="n">
        <v>8</v>
      </c>
    </row>
    <row r="30" ht="30" customHeight="1">
      <c r="A30" s="12" t="inlineStr">
        <is>
          <t>Corporate · Marketing · Band A · Early career</t>
        </is>
      </c>
      <c r="B30" s="12" t="inlineStr">
        <is>
          <t>Corporate</t>
        </is>
      </c>
      <c r="C30" s="12" t="inlineStr">
        <is>
          <t>Marketing</t>
        </is>
      </c>
      <c r="D30" s="10" t="inlineStr">
        <is>
          <t>Band A · Early career</t>
        </is>
      </c>
      <c r="E30" s="42" t="n">
        <v>2</v>
      </c>
      <c r="F30" s="12" t="inlineStr">
        <is>
          <t>Sales &amp; marketing</t>
        </is>
      </c>
      <c r="G30" s="99" t="n">
        <v>54</v>
      </c>
      <c r="H30" s="99" t="n">
        <v>21</v>
      </c>
      <c r="I30" s="99" t="n">
        <v>4</v>
      </c>
      <c r="J30" s="99" t="n">
        <v>0</v>
      </c>
      <c r="K30" s="99">
        <f>WM_EXP_AB</f>
        <v>10</v>
      </c>
      <c r="L30" s="99" t="n">
        <v>11</v>
      </c>
      <c r="M30" s="100">
        <f>SUM(G30:L30)</f>
        <v>100</v>
      </c>
      <c r="N30" s="101">
        <f>IF((G30+H30+I30+J30+L30)=0,0,G30*(100-MAX(0,MIN(100,K30)))/(G30+H30+I30+J30+L30))/100</f>
        <v>0.54</v>
      </c>
      <c r="O30" s="101">
        <f>IF((G30+H30+I30+J30+L30)=0,0,H30*(100-MAX(0,MIN(100,K30)))/(G30+H30+I30+J30+L30))/100</f>
        <v>0.21</v>
      </c>
      <c r="P30" s="101">
        <f>IF((G30+H30+I30+J30+L30)=0,0,I30*(100-MAX(0,MIN(100,K30)))/(G30+H30+I30+J30+L30))/100</f>
        <v>0.04</v>
      </c>
      <c r="Q30" s="101">
        <f>IF((G30+H30+I30+J30+L30)=0,0,J30*(100-MAX(0,MIN(100,K30)))/(G30+H30+I30+J30+L30))/100</f>
        <v>0</v>
      </c>
      <c r="R30" s="101">
        <f>MAX(0,MIN(100,K30))/100</f>
        <v>0.1</v>
      </c>
      <c r="S30" s="101">
        <f>IF((G30+H30+I30+J30+L30)=0,0,L30*(100-MAX(0,MIN(100,K30)))/(G30+H30+I30+J30+L30))/100</f>
        <v>0.11</v>
      </c>
      <c r="T30" s="83" t="n"/>
      <c r="U30" s="102" t="n">
        <v>54</v>
      </c>
      <c r="V30" s="102" t="n">
        <v>21</v>
      </c>
      <c r="W30" s="102" t="n">
        <v>4</v>
      </c>
      <c r="X30" s="102" t="n">
        <v>0</v>
      </c>
      <c r="Y30" s="102" t="n">
        <v>10</v>
      </c>
      <c r="Z30" s="102" t="n">
        <v>11</v>
      </c>
    </row>
    <row r="31" ht="30" customHeight="1">
      <c r="A31" s="12" t="inlineStr">
        <is>
          <t>Corporate · Marketing · Band B · Expert / POD Lead</t>
        </is>
      </c>
      <c r="B31" s="12" t="inlineStr">
        <is>
          <t>Corporate</t>
        </is>
      </c>
      <c r="C31" s="12" t="inlineStr">
        <is>
          <t>Marketing</t>
        </is>
      </c>
      <c r="D31" s="10" t="inlineStr">
        <is>
          <t>Band B · Expert / POD Lead</t>
        </is>
      </c>
      <c r="E31" s="42" t="n">
        <v>1</v>
      </c>
      <c r="F31" s="12" t="inlineStr">
        <is>
          <t>Sales &amp; marketing</t>
        </is>
      </c>
      <c r="G31" s="99" t="n">
        <v>46</v>
      </c>
      <c r="H31" s="99" t="n">
        <v>22</v>
      </c>
      <c r="I31" s="99" t="n">
        <v>5</v>
      </c>
      <c r="J31" s="99" t="n">
        <v>5</v>
      </c>
      <c r="K31" s="99">
        <f>WM_EXP_AB</f>
        <v>10</v>
      </c>
      <c r="L31" s="99" t="n">
        <v>12</v>
      </c>
      <c r="M31" s="100">
        <f>SUM(G31:L31)</f>
        <v>100</v>
      </c>
      <c r="N31" s="101">
        <f>IF((G31+H31+I31+J31+L31)=0,0,G31*(100-MAX(0,MIN(100,K31)))/(G31+H31+I31+J31+L31))/100</f>
        <v>0.46</v>
      </c>
      <c r="O31" s="101">
        <f>IF((G31+H31+I31+J31+L31)=0,0,H31*(100-MAX(0,MIN(100,K31)))/(G31+H31+I31+J31+L31))/100</f>
        <v>0.22</v>
      </c>
      <c r="P31" s="101">
        <f>IF((G31+H31+I31+J31+L31)=0,0,I31*(100-MAX(0,MIN(100,K31)))/(G31+H31+I31+J31+L31))/100</f>
        <v>0.05</v>
      </c>
      <c r="Q31" s="101">
        <f>IF((G31+H31+I31+J31+L31)=0,0,J31*(100-MAX(0,MIN(100,K31)))/(G31+H31+I31+J31+L31))/100</f>
        <v>0.05</v>
      </c>
      <c r="R31" s="101">
        <f>MAX(0,MIN(100,K31))/100</f>
        <v>0.1</v>
      </c>
      <c r="S31" s="101">
        <f>IF((G31+H31+I31+J31+L31)=0,0,L31*(100-MAX(0,MIN(100,K31)))/(G31+H31+I31+J31+L31))/100</f>
        <v>0.12</v>
      </c>
      <c r="T31" s="83" t="n"/>
      <c r="U31" s="102" t="n">
        <v>46</v>
      </c>
      <c r="V31" s="102" t="n">
        <v>22</v>
      </c>
      <c r="W31" s="102" t="n">
        <v>5</v>
      </c>
      <c r="X31" s="102" t="n">
        <v>5</v>
      </c>
      <c r="Y31" s="102" t="n">
        <v>10</v>
      </c>
      <c r="Z31" s="102" t="n">
        <v>12</v>
      </c>
    </row>
    <row r="32" ht="30" customHeight="1">
      <c r="A32" s="12" t="inlineStr">
        <is>
          <t>Corporate · Secretarial &amp; Legal · Band A · Early career</t>
        </is>
      </c>
      <c r="B32" s="12" t="inlineStr">
        <is>
          <t>Corporate</t>
        </is>
      </c>
      <c r="C32" s="12" t="inlineStr">
        <is>
          <t>Secretarial &amp; Legal</t>
        </is>
      </c>
      <c r="D32" s="10" t="inlineStr">
        <is>
          <t>Band A · Early career</t>
        </is>
      </c>
      <c r="E32" s="42" t="n">
        <v>1</v>
      </c>
      <c r="F32" s="12" t="inlineStr">
        <is>
          <t>Corporate functions</t>
        </is>
      </c>
      <c r="G32" s="99" t="n">
        <v>54</v>
      </c>
      <c r="H32" s="99" t="n">
        <v>16</v>
      </c>
      <c r="I32" s="99" t="n">
        <v>9</v>
      </c>
      <c r="J32" s="99" t="n">
        <v>0</v>
      </c>
      <c r="K32" s="99">
        <f>WM_EXP_AB+5</f>
        <v>15</v>
      </c>
      <c r="L32" s="99" t="n">
        <v>6</v>
      </c>
      <c r="M32" s="100">
        <f>SUM(G32:L32)</f>
        <v>100</v>
      </c>
      <c r="N32" s="101">
        <f>IF((G32+H32+I32+J32+L32)=0,0,G32*(100-MAX(0,MIN(100,K32)))/(G32+H32+I32+J32+L32))/100</f>
        <v>0.54</v>
      </c>
      <c r="O32" s="101">
        <f>IF((G32+H32+I32+J32+L32)=0,0,H32*(100-MAX(0,MIN(100,K32)))/(G32+H32+I32+J32+L32))/100</f>
        <v>0.16</v>
      </c>
      <c r="P32" s="101">
        <f>IF((G32+H32+I32+J32+L32)=0,0,I32*(100-MAX(0,MIN(100,K32)))/(G32+H32+I32+J32+L32))/100</f>
        <v>0.09</v>
      </c>
      <c r="Q32" s="101">
        <f>IF((G32+H32+I32+J32+L32)=0,0,J32*(100-MAX(0,MIN(100,K32)))/(G32+H32+I32+J32+L32))/100</f>
        <v>0</v>
      </c>
      <c r="R32" s="101">
        <f>MAX(0,MIN(100,K32))/100</f>
        <v>0.15</v>
      </c>
      <c r="S32" s="101">
        <f>IF((G32+H32+I32+J32+L32)=0,0,L32*(100-MAX(0,MIN(100,K32)))/(G32+H32+I32+J32+L32))/100</f>
        <v>0.06</v>
      </c>
      <c r="T32" s="83" t="n"/>
      <c r="U32" s="102" t="n">
        <v>54</v>
      </c>
      <c r="V32" s="102" t="n">
        <v>16</v>
      </c>
      <c r="W32" s="102" t="n">
        <v>9</v>
      </c>
      <c r="X32" s="102" t="n">
        <v>0</v>
      </c>
      <c r="Y32" s="102" t="n">
        <v>15</v>
      </c>
      <c r="Z32" s="102" t="n">
        <v>6</v>
      </c>
    </row>
    <row r="33" ht="30" customHeight="1">
      <c r="A33" s="12" t="inlineStr">
        <is>
          <t>Corporate · Secretarial &amp; Legal · Band C · Principal expert</t>
        </is>
      </c>
      <c r="B33" s="12" t="inlineStr">
        <is>
          <t>Corporate</t>
        </is>
      </c>
      <c r="C33" s="12" t="inlineStr">
        <is>
          <t>Secretarial &amp; Legal</t>
        </is>
      </c>
      <c r="D33" s="10" t="inlineStr">
        <is>
          <t>Band C · Principal expert</t>
        </is>
      </c>
      <c r="E33" s="42" t="n">
        <v>1</v>
      </c>
      <c r="F33" s="12" t="inlineStr">
        <is>
          <t>Corporate functions</t>
        </is>
      </c>
      <c r="G33" s="99" t="n">
        <v>49</v>
      </c>
      <c r="H33" s="99" t="n">
        <v>18</v>
      </c>
      <c r="I33" s="99" t="n">
        <v>10</v>
      </c>
      <c r="J33" s="99" t="n">
        <v>5</v>
      </c>
      <c r="K33" s="99">
        <f>WM_EXP_CE+5</f>
        <v>10</v>
      </c>
      <c r="L33" s="99" t="n">
        <v>8</v>
      </c>
      <c r="M33" s="100">
        <f>SUM(G33:L33)</f>
        <v>100</v>
      </c>
      <c r="N33" s="101">
        <f>IF((G33+H33+I33+J33+L33)=0,0,G33*(100-MAX(0,MIN(100,K33)))/(G33+H33+I33+J33+L33))/100</f>
        <v>0.49</v>
      </c>
      <c r="O33" s="101">
        <f>IF((G33+H33+I33+J33+L33)=0,0,H33*(100-MAX(0,MIN(100,K33)))/(G33+H33+I33+J33+L33))/100</f>
        <v>0.18</v>
      </c>
      <c r="P33" s="101">
        <f>IF((G33+H33+I33+J33+L33)=0,0,I33*(100-MAX(0,MIN(100,K33)))/(G33+H33+I33+J33+L33))/100</f>
        <v>0.1</v>
      </c>
      <c r="Q33" s="101">
        <f>IF((G33+H33+I33+J33+L33)=0,0,J33*(100-MAX(0,MIN(100,K33)))/(G33+H33+I33+J33+L33))/100</f>
        <v>0.05</v>
      </c>
      <c r="R33" s="101">
        <f>MAX(0,MIN(100,K33))/100</f>
        <v>0.1</v>
      </c>
      <c r="S33" s="101">
        <f>IF((G33+H33+I33+J33+L33)=0,0,L33*(100-MAX(0,MIN(100,K33)))/(G33+H33+I33+J33+L33))/100</f>
        <v>0.08</v>
      </c>
      <c r="T33" s="83" t="n"/>
      <c r="U33" s="102" t="n">
        <v>49</v>
      </c>
      <c r="V33" s="102" t="n">
        <v>18</v>
      </c>
      <c r="W33" s="102" t="n">
        <v>10</v>
      </c>
      <c r="X33" s="102" t="n">
        <v>5</v>
      </c>
      <c r="Y33" s="102" t="n">
        <v>10</v>
      </c>
      <c r="Z33" s="102" t="n">
        <v>8</v>
      </c>
    </row>
    <row r="34" ht="30" customHeight="1">
      <c r="A34" s="12" t="inlineStr">
        <is>
          <t>Corporate · Technology · Band B · Expert / POD Lead</t>
        </is>
      </c>
      <c r="B34" s="12" t="inlineStr">
        <is>
          <t>Corporate</t>
        </is>
      </c>
      <c r="C34" s="12" t="inlineStr">
        <is>
          <t>Technology</t>
        </is>
      </c>
      <c r="D34" s="10" t="inlineStr">
        <is>
          <t>Band B · Expert / POD Lead</t>
        </is>
      </c>
      <c r="E34" s="42" t="n">
        <v>1</v>
      </c>
      <c r="F34" s="12" t="inlineStr">
        <is>
          <t>Technology &amp; engineering</t>
        </is>
      </c>
      <c r="G34" s="99" t="n">
        <v>56</v>
      </c>
      <c r="H34" s="99" t="n">
        <v>17</v>
      </c>
      <c r="I34" s="99" t="n">
        <v>5</v>
      </c>
      <c r="J34" s="99" t="n">
        <v>5</v>
      </c>
      <c r="K34" s="99">
        <f>WM_EXP_AB</f>
        <v>10</v>
      </c>
      <c r="L34" s="99" t="n">
        <v>7</v>
      </c>
      <c r="M34" s="100">
        <f>SUM(G34:L34)</f>
        <v>100</v>
      </c>
      <c r="N34" s="101">
        <f>IF((G34+H34+I34+J34+L34)=0,0,G34*(100-MAX(0,MIN(100,K34)))/(G34+H34+I34+J34+L34))/100</f>
        <v>0.56</v>
      </c>
      <c r="O34" s="101">
        <f>IF((G34+H34+I34+J34+L34)=0,0,H34*(100-MAX(0,MIN(100,K34)))/(G34+H34+I34+J34+L34))/100</f>
        <v>0.17</v>
      </c>
      <c r="P34" s="101">
        <f>IF((G34+H34+I34+J34+L34)=0,0,I34*(100-MAX(0,MIN(100,K34)))/(G34+H34+I34+J34+L34))/100</f>
        <v>0.05</v>
      </c>
      <c r="Q34" s="101">
        <f>IF((G34+H34+I34+J34+L34)=0,0,J34*(100-MAX(0,MIN(100,K34)))/(G34+H34+I34+J34+L34))/100</f>
        <v>0.05</v>
      </c>
      <c r="R34" s="101">
        <f>MAX(0,MIN(100,K34))/100</f>
        <v>0.1</v>
      </c>
      <c r="S34" s="101">
        <f>IF((G34+H34+I34+J34+L34)=0,0,L34*(100-MAX(0,MIN(100,K34)))/(G34+H34+I34+J34+L34))/100</f>
        <v>0.07</v>
      </c>
      <c r="T34" s="83" t="n"/>
      <c r="U34" s="102" t="n">
        <v>56</v>
      </c>
      <c r="V34" s="102" t="n">
        <v>17</v>
      </c>
      <c r="W34" s="102" t="n">
        <v>5</v>
      </c>
      <c r="X34" s="102" t="n">
        <v>5</v>
      </c>
      <c r="Y34" s="102" t="n">
        <v>10</v>
      </c>
      <c r="Z34" s="102" t="n">
        <v>7</v>
      </c>
    </row>
    <row r="35" ht="30" customHeight="1">
      <c r="A35" s="12" t="inlineStr">
        <is>
          <t>Corporate · Technology · Bands D–E · Leadership</t>
        </is>
      </c>
      <c r="B35" s="12" t="inlineStr">
        <is>
          <t>Corporate</t>
        </is>
      </c>
      <c r="C35" s="12" t="inlineStr">
        <is>
          <t>Technology</t>
        </is>
      </c>
      <c r="D35" s="10" t="inlineStr">
        <is>
          <t>Bands D–E · Leadership</t>
        </is>
      </c>
      <c r="E35" s="42" t="n">
        <v>1</v>
      </c>
      <c r="F35" s="12" t="inlineStr">
        <is>
          <t>Technology &amp; engineering</t>
        </is>
      </c>
      <c r="G35" s="99" t="n">
        <v>37</v>
      </c>
      <c r="H35" s="99" t="n">
        <v>19</v>
      </c>
      <c r="I35" s="99" t="n">
        <v>11</v>
      </c>
      <c r="J35" s="99" t="n">
        <v>20</v>
      </c>
      <c r="K35" s="99">
        <f>WM_EXP_CE</f>
        <v>5</v>
      </c>
      <c r="L35" s="99" t="n">
        <v>8</v>
      </c>
      <c r="M35" s="100">
        <f>SUM(G35:L35)</f>
        <v>100</v>
      </c>
      <c r="N35" s="101">
        <f>IF((G35+H35+I35+J35+L35)=0,0,G35*(100-MAX(0,MIN(100,K35)))/(G35+H35+I35+J35+L35))/100</f>
        <v>0.37</v>
      </c>
      <c r="O35" s="101">
        <f>IF((G35+H35+I35+J35+L35)=0,0,H35*(100-MAX(0,MIN(100,K35)))/(G35+H35+I35+J35+L35))/100</f>
        <v>0.19</v>
      </c>
      <c r="P35" s="101">
        <f>IF((G35+H35+I35+J35+L35)=0,0,I35*(100-MAX(0,MIN(100,K35)))/(G35+H35+I35+J35+L35))/100</f>
        <v>0.11</v>
      </c>
      <c r="Q35" s="101">
        <f>IF((G35+H35+I35+J35+L35)=0,0,J35*(100-MAX(0,MIN(100,K35)))/(G35+H35+I35+J35+L35))/100</f>
        <v>0.2</v>
      </c>
      <c r="R35" s="101">
        <f>MAX(0,MIN(100,K35))/100</f>
        <v>0.05</v>
      </c>
      <c r="S35" s="101">
        <f>IF((G35+H35+I35+J35+L35)=0,0,L35*(100-MAX(0,MIN(100,K35)))/(G35+H35+I35+J35+L35))/100</f>
        <v>0.08</v>
      </c>
      <c r="T35" s="83" t="n"/>
      <c r="U35" s="102" t="n">
        <v>37</v>
      </c>
      <c r="V35" s="102" t="n">
        <v>19</v>
      </c>
      <c r="W35" s="102" t="n">
        <v>11</v>
      </c>
      <c r="X35" s="102" t="n">
        <v>20</v>
      </c>
      <c r="Y35" s="102" t="n">
        <v>5</v>
      </c>
      <c r="Z35" s="102" t="n">
        <v>8</v>
      </c>
    </row>
    <row r="36" ht="15" customHeight="1"/>
    <row r="37" ht="20" customHeight="1">
      <c r="A37" s="6" t="inlineStr">
        <is>
          <t>WHAT EACH FACTOR MEANS — and when to give it more weight</t>
        </is>
      </c>
    </row>
    <row r="38" ht="15" customHeight="1">
      <c r="A38" s="8" t="inlineStr">
        <is>
          <t>Factor</t>
        </is>
      </c>
      <c r="B38" s="92" t="n"/>
      <c r="C38" s="8" t="inlineStr">
        <is>
          <t>What it measures</t>
        </is>
      </c>
      <c r="D38" s="91" t="n"/>
      <c r="E38" s="91" t="n"/>
      <c r="F38" s="91" t="n"/>
      <c r="G38" s="91" t="n"/>
      <c r="H38" s="92" t="n"/>
      <c r="I38" s="8" t="inlineStr">
        <is>
          <t>Give it more weight when…</t>
        </is>
      </c>
      <c r="J38" s="91" t="n"/>
      <c r="K38" s="91" t="n"/>
      <c r="L38" s="91" t="n"/>
      <c r="M38" s="91" t="n"/>
      <c r="N38" s="91" t="n"/>
      <c r="O38" s="91" t="n"/>
      <c r="P38" s="91" t="n"/>
      <c r="Q38" s="91" t="n"/>
      <c r="R38" s="91" t="n"/>
      <c r="S38" s="91" t="n"/>
      <c r="T38" s="92" t="n"/>
    </row>
    <row r="39" ht="15" customHeight="1">
      <c r="A39" s="10" t="inlineStr">
        <is>
          <t>Complexity &amp; Expertise</t>
        </is>
      </c>
      <c r="B39" s="92" t="n"/>
      <c r="C39" s="12" t="inlineStr">
        <is>
          <t>How hard and how specialised the work is</t>
        </is>
      </c>
      <c r="D39" s="91" t="n"/>
      <c r="E39" s="91" t="n"/>
      <c r="F39" s="91" t="n"/>
      <c r="G39" s="91" t="n"/>
      <c r="H39" s="92" t="n"/>
      <c r="I39" s="12" t="inlineStr">
        <is>
          <r>
            <rPr>
              <rFont val="Calibri"/>
              <b val="1"/>
              <sz val="10"/>
            </rPr>
            <t>The job's value is deep expertise:</t>
          </r>
          <r>
            <rPr>
              <rFont val="Calibri"/>
              <sz val="10"/>
            </rPr>
            <t xml:space="preserve"> architecture, actuarial, taxonomy design</t>
          </r>
        </is>
      </c>
      <c r="J39" s="91" t="n"/>
      <c r="K39" s="91" t="n"/>
      <c r="L39" s="91" t="n"/>
      <c r="M39" s="91" t="n"/>
      <c r="N39" s="91" t="n"/>
      <c r="O39" s="91" t="n"/>
      <c r="P39" s="91" t="n"/>
      <c r="Q39" s="91" t="n"/>
      <c r="R39" s="91" t="n"/>
      <c r="S39" s="91" t="n"/>
      <c r="T39" s="92" t="n"/>
    </row>
    <row r="40" ht="15" customHeight="1">
      <c r="A40" s="10" t="inlineStr">
        <is>
          <t>Autonomy &amp; Decision</t>
        </is>
      </c>
      <c r="B40" s="92" t="n"/>
      <c r="C40" s="12" t="inlineStr">
        <is>
          <t>What the person decides without asking</t>
        </is>
      </c>
      <c r="D40" s="91" t="n"/>
      <c r="E40" s="91" t="n"/>
      <c r="F40" s="91" t="n"/>
      <c r="G40" s="91" t="n"/>
      <c r="H40" s="92" t="n"/>
      <c r="I40" s="12" t="inlineStr">
        <is>
          <r>
            <rPr>
              <rFont val="Calibri"/>
              <b val="1"/>
              <sz val="10"/>
            </rPr>
            <t>The job is trusted to act alone:</t>
          </r>
          <r>
            <rPr>
              <rFont val="Calibri"/>
              <sz val="10"/>
            </rPr>
            <t xml:space="preserve"> product calls, deals, client decisions</t>
          </r>
        </is>
      </c>
      <c r="J40" s="91" t="n"/>
      <c r="K40" s="91" t="n"/>
      <c r="L40" s="91" t="n"/>
      <c r="M40" s="91" t="n"/>
      <c r="N40" s="91" t="n"/>
      <c r="O40" s="91" t="n"/>
      <c r="P40" s="91" t="n"/>
      <c r="Q40" s="91" t="n"/>
      <c r="R40" s="91" t="n"/>
      <c r="S40" s="91" t="n"/>
      <c r="T40" s="92" t="n"/>
    </row>
    <row r="41" ht="15" customHeight="1">
      <c r="A41" s="10" t="inlineStr">
        <is>
          <t>Accountability &amp; Impact</t>
        </is>
      </c>
      <c r="B41" s="92" t="n"/>
      <c r="C41" s="12" t="inlineStr">
        <is>
          <t>What the job answers for — its scope</t>
        </is>
      </c>
      <c r="D41" s="91" t="n"/>
      <c r="E41" s="91" t="n"/>
      <c r="F41" s="91" t="n"/>
      <c r="G41" s="91" t="n"/>
      <c r="H41" s="92" t="n"/>
      <c r="I41" s="12" t="inlineStr">
        <is>
          <t>Results, risk or quality of an area rest on this job</t>
        </is>
      </c>
      <c r="J41" s="91" t="n"/>
      <c r="K41" s="91" t="n"/>
      <c r="L41" s="91" t="n"/>
      <c r="M41" s="91" t="n"/>
      <c r="N41" s="91" t="n"/>
      <c r="O41" s="91" t="n"/>
      <c r="P41" s="91" t="n"/>
      <c r="Q41" s="91" t="n"/>
      <c r="R41" s="91" t="n"/>
      <c r="S41" s="91" t="n"/>
      <c r="T41" s="92" t="n"/>
    </row>
    <row r="42" ht="15" customHeight="1">
      <c r="A42" s="10" t="inlineStr">
        <is>
          <t>Leadership &amp; Strategy</t>
        </is>
      </c>
      <c r="B42" s="92" t="n"/>
      <c r="C42" s="12" t="inlineStr">
        <is>
          <t>Leading people or setting direction</t>
        </is>
      </c>
      <c r="D42" s="91" t="n"/>
      <c r="E42" s="91" t="n"/>
      <c r="F42" s="91" t="n"/>
      <c r="G42" s="91" t="n"/>
      <c r="H42" s="92" t="n"/>
      <c r="I42" s="12" t="inlineStr">
        <is>
          <t>The job's results come through a team or through direction it sets</t>
        </is>
      </c>
      <c r="J42" s="91" t="n"/>
      <c r="K42" s="91" t="n"/>
      <c r="L42" s="91" t="n"/>
      <c r="M42" s="91" t="n"/>
      <c r="N42" s="91" t="n"/>
      <c r="O42" s="91" t="n"/>
      <c r="P42" s="91" t="n"/>
      <c r="Q42" s="91" t="n"/>
      <c r="R42" s="91" t="n"/>
      <c r="S42" s="91" t="n"/>
      <c r="T42" s="92" t="n"/>
    </row>
    <row r="43" ht="15" customHeight="1">
      <c r="A43" s="10" t="inlineStr">
        <is>
          <t>Experience &amp; Qualification</t>
        </is>
      </c>
      <c r="B43" s="92" t="n"/>
      <c r="C43" s="12" t="inlineStr">
        <is>
          <t>Years in the field and qualifications</t>
        </is>
      </c>
      <c r="D43" s="91" t="n"/>
      <c r="E43" s="91" t="n"/>
      <c r="F43" s="91" t="n"/>
      <c r="G43" s="91" t="n"/>
      <c r="H43" s="92" t="n"/>
      <c r="I43" s="12" t="inlineStr">
        <is>
          <t>A licence or long experience is itself the requirement — kept low by design</t>
        </is>
      </c>
      <c r="J43" s="91" t="n"/>
      <c r="K43" s="91" t="n"/>
      <c r="L43" s="91" t="n"/>
      <c r="M43" s="91" t="n"/>
      <c r="N43" s="91" t="n"/>
      <c r="O43" s="91" t="n"/>
      <c r="P43" s="91" t="n"/>
      <c r="Q43" s="91" t="n"/>
      <c r="R43" s="91" t="n"/>
      <c r="S43" s="91" t="n"/>
      <c r="T43" s="92" t="n"/>
    </row>
    <row r="44" ht="15" customHeight="1">
      <c r="A44" s="10" t="inlineStr">
        <is>
          <t>Business Impact</t>
        </is>
      </c>
      <c r="B44" s="92" t="n"/>
      <c r="C44" s="12" t="inlineStr">
        <is>
          <t>The difference the job makes to revenue, clients, compliance or cost</t>
        </is>
      </c>
      <c r="D44" s="91" t="n"/>
      <c r="E44" s="91" t="n"/>
      <c r="F44" s="91" t="n"/>
      <c r="G44" s="91" t="n"/>
      <c r="H44" s="92" t="n"/>
      <c r="I44" s="12" t="inlineStr">
        <is>
          <r>
            <rPr>
              <rFont val="Calibri"/>
              <b val="1"/>
              <sz val="10"/>
            </rPr>
            <t>Results are visible in business numbers:</t>
          </r>
          <r>
            <rPr>
              <rFont val="Calibri"/>
              <sz val="10"/>
            </rPr>
            <t xml:space="preserve"> sales, client retention, filings, savings</t>
          </r>
        </is>
      </c>
      <c r="J44" s="91" t="n"/>
      <c r="K44" s="91" t="n"/>
      <c r="L44" s="91" t="n"/>
      <c r="M44" s="91" t="n"/>
      <c r="N44" s="91" t="n"/>
      <c r="O44" s="91" t="n"/>
      <c r="P44" s="91" t="n"/>
      <c r="Q44" s="91" t="n"/>
      <c r="R44" s="91" t="n"/>
      <c r="S44" s="91" t="n"/>
      <c r="T44" s="92" t="n"/>
    </row>
    <row r="45" ht="15" customHeight="1"/>
    <row r="46" ht="15" customHeight="1">
      <c r="A46" s="40" t="inlineStr">
        <is>
          <r>
            <rPr>
              <rFont val="Calibri"/>
              <b val="1"/>
              <i val="1"/>
              <color rgb="00595959"/>
              <sz val="10"/>
            </rPr>
            <t>Leadership weights:</t>
          </r>
          <r>
            <rPr>
              <rFont val="Calibri"/>
              <i val="1"/>
              <color rgb="00595959"/>
              <sz val="10"/>
            </rPr>
            <t xml:space="preserve"> Sources: S05, S46, S47 Hay managerial know-how by level · S04 Mercer IPE communication · S09 McKinsey spans of control. The 0 / 5 / 10 / 15 / 20% steps by role group are an IRIS design rule.</t>
          </r>
        </is>
      </c>
    </row>
    <row r="47" ht="15" customHeight="1">
      <c r="A47" s="40" t="inlineStr">
        <is>
          <r>
            <rPr>
              <rFont val="Calibri"/>
              <b val="1"/>
              <i val="1"/>
              <color rgb="00595959"/>
              <sz val="10"/>
            </rPr>
            <t>Business Impact:</t>
          </r>
          <r>
            <rPr>
              <rFont val="Calibri"/>
              <i val="1"/>
              <color rgb="00595959"/>
              <sz val="10"/>
            </rPr>
            <t xml:space="preserve"> Sources: S05 Hay accountability, nature of impact · S04 Mercer IPE impact · S07 WTW GGS nature and area of impact · S53–S57 public plans' financial or consequences factor, 7–10% of points.</t>
          </r>
        </is>
      </c>
    </row>
    <row r="48" ht="15" customHeight="1">
      <c r="A48" s="40" t="inlineStr">
        <is>
          <r>
            <rPr>
              <rFont val="Calibri"/>
              <b val="1"/>
              <i val="1"/>
              <color rgb="00595959"/>
              <sz val="10"/>
            </rPr>
            <t>Type-of-work shift:</t>
          </r>
          <r>
            <rPr>
              <rFont val="Calibri"/>
              <i val="1"/>
              <color rgb="00595959"/>
              <sz val="10"/>
            </rPr>
            <t xml:space="preserve"> Basis: S06 Hay short profile — A-type delivery jobs weight accountability, P-type thinking jobs weight problem solving, L-type are balanced. The ±5 size is an IRIS design rule, kept small so the market defaults stay in control.</t>
          </r>
        </is>
      </c>
    </row>
    <row r="49" ht="20" customHeight="1">
      <c r="A49" s="6" t="inlineStr">
        <is>
          <t>WHAT A WEIGHT MEANS</t>
        </is>
      </c>
    </row>
    <row r="50" ht="15" customHeight="1">
      <c r="A50" s="8" t="inlineStr">
        <is>
          <t>Weight</t>
        </is>
      </c>
      <c r="B50" s="92" t="n"/>
      <c r="C50" s="8" t="inlineStr">
        <is>
          <t>What it means for the score</t>
        </is>
      </c>
      <c r="D50" s="91" t="n"/>
      <c r="E50" s="91" t="n"/>
      <c r="F50" s="91" t="n"/>
      <c r="G50" s="91" t="n"/>
      <c r="H50" s="91" t="n"/>
      <c r="I50" s="91" t="n"/>
      <c r="J50" s="91" t="n"/>
      <c r="K50" s="91" t="n"/>
      <c r="L50" s="91" t="n"/>
      <c r="M50" s="91" t="n"/>
      <c r="N50" s="91" t="n"/>
      <c r="O50" s="91" t="n"/>
      <c r="P50" s="91" t="n"/>
      <c r="Q50" s="91" t="n"/>
      <c r="R50" s="91" t="n"/>
      <c r="S50" s="91" t="n"/>
      <c r="T50" s="92" t="n"/>
    </row>
    <row r="51" ht="15" customHeight="1">
      <c r="A51" s="10" t="inlineStr">
        <is>
          <t>0%</t>
        </is>
      </c>
      <c r="B51" s="92" t="n"/>
      <c r="C51" s="12" t="inlineStr">
        <is>
          <t>Ignored for this role group — the rating does not count at all</t>
        </is>
      </c>
      <c r="D51" s="91" t="n"/>
      <c r="E51" s="91" t="n"/>
      <c r="F51" s="91" t="n"/>
      <c r="G51" s="91" t="n"/>
      <c r="H51" s="91" t="n"/>
      <c r="I51" s="91" t="n"/>
      <c r="J51" s="91" t="n"/>
      <c r="K51" s="91" t="n"/>
      <c r="L51" s="91" t="n"/>
      <c r="M51" s="91" t="n"/>
      <c r="N51" s="91" t="n"/>
      <c r="O51" s="91" t="n"/>
      <c r="P51" s="91" t="n"/>
      <c r="Q51" s="91" t="n"/>
      <c r="R51" s="91" t="n"/>
      <c r="S51" s="91" t="n"/>
      <c r="T51" s="92" t="n"/>
    </row>
    <row r="52" ht="15" customHeight="1">
      <c r="A52" s="10" t="inlineStr">
        <is>
          <t>5%</t>
        </is>
      </c>
      <c r="B52" s="92" t="n"/>
      <c r="C52" s="12" t="inlineStr">
        <is>
          <t>Minor — a tie-breaker; a 1-point change in the rating moves the score by 0.05</t>
        </is>
      </c>
      <c r="D52" s="91" t="n"/>
      <c r="E52" s="91" t="n"/>
      <c r="F52" s="91" t="n"/>
      <c r="G52" s="91" t="n"/>
      <c r="H52" s="91" t="n"/>
      <c r="I52" s="91" t="n"/>
      <c r="J52" s="91" t="n"/>
      <c r="K52" s="91" t="n"/>
      <c r="L52" s="91" t="n"/>
      <c r="M52" s="91" t="n"/>
      <c r="N52" s="91" t="n"/>
      <c r="O52" s="91" t="n"/>
      <c r="P52" s="91" t="n"/>
      <c r="Q52" s="91" t="n"/>
      <c r="R52" s="91" t="n"/>
      <c r="S52" s="91" t="n"/>
      <c r="T52" s="92" t="n"/>
    </row>
    <row r="53" ht="15" customHeight="1">
      <c r="A53" s="10" t="inlineStr">
        <is>
          <t>10%</t>
        </is>
      </c>
      <c r="B53" s="92" t="n"/>
      <c r="C53" s="12" t="inlineStr">
        <is>
          <t>Counts a little — a 1-point change moves the score by 0.10</t>
        </is>
      </c>
      <c r="D53" s="91" t="n"/>
      <c r="E53" s="91" t="n"/>
      <c r="F53" s="91" t="n"/>
      <c r="G53" s="91" t="n"/>
      <c r="H53" s="91" t="n"/>
      <c r="I53" s="91" t="n"/>
      <c r="J53" s="91" t="n"/>
      <c r="K53" s="91" t="n"/>
      <c r="L53" s="91" t="n"/>
      <c r="M53" s="91" t="n"/>
      <c r="N53" s="91" t="n"/>
      <c r="O53" s="91" t="n"/>
      <c r="P53" s="91" t="n"/>
      <c r="Q53" s="91" t="n"/>
      <c r="R53" s="91" t="n"/>
      <c r="S53" s="91" t="n"/>
      <c r="T53" s="92" t="n"/>
    </row>
    <row r="54" ht="15" customHeight="1">
      <c r="A54" s="10" t="inlineStr">
        <is>
          <t>15–20%</t>
        </is>
      </c>
      <c r="B54" s="92" t="n"/>
      <c r="C54" s="12" t="inlineStr">
        <is>
          <t>Important — one of the main things this role is judged on</t>
        </is>
      </c>
      <c r="D54" s="91" t="n"/>
      <c r="E54" s="91" t="n"/>
      <c r="F54" s="91" t="n"/>
      <c r="G54" s="91" t="n"/>
      <c r="H54" s="91" t="n"/>
      <c r="I54" s="91" t="n"/>
      <c r="J54" s="91" t="n"/>
      <c r="K54" s="91" t="n"/>
      <c r="L54" s="91" t="n"/>
      <c r="M54" s="91" t="n"/>
      <c r="N54" s="91" t="n"/>
      <c r="O54" s="91" t="n"/>
      <c r="P54" s="91" t="n"/>
      <c r="Q54" s="91" t="n"/>
      <c r="R54" s="91" t="n"/>
      <c r="S54" s="91" t="n"/>
      <c r="T54" s="92" t="n"/>
    </row>
    <row r="55" ht="15" customHeight="1">
      <c r="A55" s="10" t="inlineStr">
        <is>
          <t>25–30%</t>
        </is>
      </c>
      <c r="B55" s="92" t="n"/>
      <c r="C55" s="12" t="inlineStr">
        <is>
          <t>Leading factor — this is what the role is mostly about</t>
        </is>
      </c>
      <c r="D55" s="91" t="n"/>
      <c r="E55" s="91" t="n"/>
      <c r="F55" s="91" t="n"/>
      <c r="G55" s="91" t="n"/>
      <c r="H55" s="91" t="n"/>
      <c r="I55" s="91" t="n"/>
      <c r="J55" s="91" t="n"/>
      <c r="K55" s="91" t="n"/>
      <c r="L55" s="91" t="n"/>
      <c r="M55" s="91" t="n"/>
      <c r="N55" s="91" t="n"/>
      <c r="O55" s="91" t="n"/>
      <c r="P55" s="91" t="n"/>
      <c r="Q55" s="91" t="n"/>
      <c r="R55" s="91" t="n"/>
      <c r="S55" s="91" t="n"/>
      <c r="T55" s="92" t="n"/>
    </row>
    <row r="56" ht="15" customHeight="1">
      <c r="A56" s="10" t="inlineStr">
        <is>
          <t>35%+</t>
        </is>
      </c>
      <c r="B56" s="92" t="n"/>
      <c r="C56" s="12" t="inlineStr">
        <is>
          <t>Dominant — use rarely; one factor then decides most of the score</t>
        </is>
      </c>
      <c r="D56" s="91" t="n"/>
      <c r="E56" s="91" t="n"/>
      <c r="F56" s="91" t="n"/>
      <c r="G56" s="91" t="n"/>
      <c r="H56" s="91" t="n"/>
      <c r="I56" s="91" t="n"/>
      <c r="J56" s="91" t="n"/>
      <c r="K56" s="91" t="n"/>
      <c r="L56" s="91" t="n"/>
      <c r="M56" s="91" t="n"/>
      <c r="N56" s="91" t="n"/>
      <c r="O56" s="91" t="n"/>
      <c r="P56" s="91" t="n"/>
      <c r="Q56" s="91" t="n"/>
      <c r="R56" s="91" t="n"/>
      <c r="S56" s="91" t="n"/>
      <c r="T56" s="92" t="n"/>
    </row>
    <row r="57" ht="15" customHeight="1"/>
    <row r="58" ht="28" customHeight="1">
      <c r="A58" s="7" t="inlineStr">
        <is>
          <r>
            <rPr>
              <rFont val="Calibri"/>
              <b val="1"/>
              <sz val="10"/>
            </rPr>
            <t>How a weight works:</t>
          </r>
          <r>
            <rPr>
              <rFont val="Calibri"/>
              <sz val="10"/>
            </rPr>
            <t xml:space="preserve"> points = rating × weight, and the score is the sum of the six points. So a weight is simply how much one point of rating on that factor is worth. Moving 5% from one factor to another changes a person's score by 0.05 × the difference between their two ratings — usually less than 0.2, which is why small changes rarely move a level.</t>
          </r>
        </is>
      </c>
    </row>
    <row r="59" ht="20" customHeight="1">
      <c r="A59" s="6" t="inlineStr">
        <is>
          <t>RULES OF THUMB</t>
        </is>
      </c>
    </row>
    <row r="60" ht="15" customHeight="1">
      <c r="A60" s="7" t="inlineStr">
        <is>
          <t>• Start from the default row and change it in steps of 5%; small changes are safer than big ones.</t>
        </is>
      </c>
    </row>
    <row r="61" ht="15" customHeight="1">
      <c r="A61" s="7" t="inlineStr">
        <is>
          <t>• Keep each row's six weights adding up to about 100%. If they don't, the sheet scales the five non-Experience weights so they do — the 'Used' columns show the real weights.</t>
        </is>
      </c>
    </row>
    <row r="62" ht="15" customHeight="1">
      <c r="A62" s="7" t="inlineStr">
        <is>
          <t>• Experience &amp; Qualification is set once for everyone in the Settings block above · Bands A–B and Bands C–E. Change it there, not row by row; a number typed in a row's Experience cell overrides the setting for that row.</t>
        </is>
      </c>
    </row>
    <row r="63" ht="15" customHeight="1">
      <c r="A63" s="7" t="inlineStr">
        <is>
          <t>• Leaders of the same role group in different departments should differ only for a real reason · for example, sales roles count Business Impact more. Note the reason in the last column.</t>
        </is>
      </c>
    </row>
    <row r="64" ht="15" customHeight="1">
      <c r="A64" s="7" t="inlineStr">
        <is>
          <t>• Your edits change points, the score and 'Level the score indicates' on sheet 2 at once. The final level — with the fair-play checks — is confirmed when HR imports your edits and re-runs the model.</t>
        </is>
      </c>
    </row>
    <row r="65" ht="20" customHeight="1">
      <c r="A65" s="6" t="inlineStr">
        <is>
          <t>WHERE THE DEFAULT WEIGHTS COME FROM</t>
        </is>
      </c>
    </row>
    <row r="66" ht="28" customHeight="1">
      <c r="A66" s="40" t="inlineStr">
        <is>
          <t>Each role group's default row is the average of three published sources, given equal weight: Korn Ferry Hay, Mercer IPE and five public point-factor plans — NHS Agenda for Change, UK local-government 13-factor, GLPC, Scottish Joint Council, US OPM FES. Sources: S46–S51 Korn Ferry Hay evaluations · S04, S52 Mercer IPE · S53–S57 NHS, UK NJC/PSC, GLPC, SJC and US OPM point-factor plans. The per-source figures: HR Super Master sheet 1e, section 0. Full links: source register, HR Super Master sheet 11 and Framework Master M16.</t>
        </is>
      </c>
    </row>
    <row r="67" ht="15" customHeight="1">
      <c r="A67" s="8" t="inlineStr">
        <is>
          <t>Factor</t>
        </is>
      </c>
      <c r="B67" s="91" t="n"/>
      <c r="C67" s="91" t="n"/>
      <c r="D67" s="91" t="n"/>
      <c r="E67" s="91" t="n"/>
      <c r="F67" s="92" t="n"/>
      <c r="G67" s="8" t="inlineStr">
        <is>
          <t>This file — average of its scored roles</t>
        </is>
      </c>
      <c r="H67" s="91" t="n"/>
      <c r="I67" s="91" t="n"/>
      <c r="J67" s="92" t="n"/>
      <c r="K67" s="8" t="inlineStr">
        <is>
          <t>Published plans — average</t>
        </is>
      </c>
      <c r="L67" s="91" t="n"/>
      <c r="M67" s="91" t="n"/>
      <c r="N67" s="92" t="n"/>
      <c r="O67" s="8" t="inlineStr">
        <is>
          <t>Published plans — range</t>
        </is>
      </c>
      <c r="P67" s="91" t="n"/>
      <c r="Q67" s="91" t="n"/>
      <c r="R67" s="91" t="n"/>
      <c r="S67" s="91" t="n"/>
      <c r="T67" s="92" t="n"/>
    </row>
    <row r="68" ht="15" customHeight="1">
      <c r="A68" s="10" t="inlineStr">
        <is>
          <t>Complexity &amp; Expertise</t>
        </is>
      </c>
      <c r="B68" s="91" t="n"/>
      <c r="C68" s="91" t="n"/>
      <c r="D68" s="91" t="n"/>
      <c r="E68" s="91" t="n"/>
      <c r="F68" s="92" t="n"/>
      <c r="G68" s="12" t="inlineStr">
        <is>
          <t>50.8%</t>
        </is>
      </c>
      <c r="H68" s="91" t="n"/>
      <c r="I68" s="91" t="n"/>
      <c r="J68" s="92" t="n"/>
      <c r="K68" s="12" t="inlineStr">
        <is>
          <t>42.8%</t>
        </is>
      </c>
      <c r="L68" s="91" t="n"/>
      <c r="M68" s="91" t="n"/>
      <c r="N68" s="92" t="n"/>
      <c r="O68" s="12" t="inlineStr">
        <is>
          <t>38–52%</t>
        </is>
      </c>
      <c r="P68" s="91" t="n"/>
      <c r="Q68" s="91" t="n"/>
      <c r="R68" s="91" t="n"/>
      <c r="S68" s="91" t="n"/>
      <c r="T68" s="92" t="n"/>
    </row>
    <row r="69" ht="15" customHeight="1">
      <c r="A69" s="10" t="inlineStr">
        <is>
          <t>Autonomy &amp; Decision</t>
        </is>
      </c>
      <c r="B69" s="91" t="n"/>
      <c r="C69" s="91" t="n"/>
      <c r="D69" s="91" t="n"/>
      <c r="E69" s="91" t="n"/>
      <c r="F69" s="92" t="n"/>
      <c r="G69" s="12" t="inlineStr">
        <is>
          <t>17.2%</t>
        </is>
      </c>
      <c r="H69" s="91" t="n"/>
      <c r="I69" s="91" t="n"/>
      <c r="J69" s="92" t="n"/>
      <c r="K69" s="12" t="inlineStr">
        <is>
          <t>14.9%</t>
        </is>
      </c>
      <c r="L69" s="91" t="n"/>
      <c r="M69" s="91" t="n"/>
      <c r="N69" s="92" t="n"/>
      <c r="O69" s="12" t="inlineStr">
        <is>
          <t>7–30%</t>
        </is>
      </c>
      <c r="P69" s="91" t="n"/>
      <c r="Q69" s="91" t="n"/>
      <c r="R69" s="91" t="n"/>
      <c r="S69" s="91" t="n"/>
      <c r="T69" s="92" t="n"/>
    </row>
    <row r="70" ht="15" customHeight="1">
      <c r="A70" s="10" t="inlineStr">
        <is>
          <t>Accountability &amp; Impact</t>
        </is>
      </c>
      <c r="B70" s="91" t="n"/>
      <c r="C70" s="91" t="n"/>
      <c r="D70" s="91" t="n"/>
      <c r="E70" s="91" t="n"/>
      <c r="F70" s="92" t="n"/>
      <c r="G70" s="12" t="inlineStr">
        <is>
          <t>7.8%</t>
        </is>
      </c>
      <c r="H70" s="91" t="n"/>
      <c r="I70" s="91" t="n"/>
      <c r="J70" s="92" t="n"/>
      <c r="K70" s="12" t="inlineStr">
        <is>
          <t>15.1%</t>
        </is>
      </c>
      <c r="L70" s="91" t="n"/>
      <c r="M70" s="91" t="n"/>
      <c r="N70" s="92" t="n"/>
      <c r="O70" s="12" t="inlineStr">
        <is>
          <t>6–20%</t>
        </is>
      </c>
      <c r="P70" s="91" t="n"/>
      <c r="Q70" s="91" t="n"/>
      <c r="R70" s="91" t="n"/>
      <c r="S70" s="91" t="n"/>
      <c r="T70" s="92" t="n"/>
    </row>
    <row r="71" ht="15" customHeight="1">
      <c r="A71" s="10" t="inlineStr">
        <is>
          <t>Leadership &amp; Strategy</t>
        </is>
      </c>
      <c r="B71" s="91" t="n"/>
      <c r="C71" s="91" t="n"/>
      <c r="D71" s="91" t="n"/>
      <c r="E71" s="91" t="n"/>
      <c r="F71" s="92" t="n"/>
      <c r="G71" s="12" t="inlineStr">
        <is>
          <t>5.3%</t>
        </is>
      </c>
      <c r="H71" s="91" t="n"/>
      <c r="I71" s="91" t="n"/>
      <c r="J71" s="92" t="n"/>
      <c r="K71" s="12" t="inlineStr">
        <is>
          <t>20.6%</t>
        </is>
      </c>
      <c r="L71" s="91" t="n"/>
      <c r="M71" s="91" t="n"/>
      <c r="N71" s="92" t="n"/>
      <c r="O71" s="12" t="inlineStr">
        <is>
          <t>8–30%</t>
        </is>
      </c>
      <c r="P71" s="91" t="n"/>
      <c r="Q71" s="91" t="n"/>
      <c r="R71" s="91" t="n"/>
      <c r="S71" s="91" t="n"/>
      <c r="T71" s="92" t="n"/>
    </row>
    <row r="72" ht="15" customHeight="1">
      <c r="A72" s="10" t="inlineStr">
        <is>
          <t>Business Impact</t>
        </is>
      </c>
      <c r="B72" s="91" t="n"/>
      <c r="C72" s="91" t="n"/>
      <c r="D72" s="91" t="n"/>
      <c r="E72" s="91" t="n"/>
      <c r="F72" s="92" t="n"/>
      <c r="G72" s="12" t="inlineStr">
        <is>
          <t>7.1%</t>
        </is>
      </c>
      <c r="H72" s="91" t="n"/>
      <c r="I72" s="91" t="n"/>
      <c r="J72" s="92" t="n"/>
      <c r="K72" s="12" t="inlineStr">
        <is>
          <t>6.7%</t>
        </is>
      </c>
      <c r="L72" s="91" t="n"/>
      <c r="M72" s="91" t="n"/>
      <c r="N72" s="92" t="n"/>
      <c r="O72" s="12" t="inlineStr">
        <is>
          <t>0–10%</t>
        </is>
      </c>
      <c r="P72" s="91" t="n"/>
      <c r="Q72" s="91" t="n"/>
      <c r="R72" s="91" t="n"/>
      <c r="S72" s="91" t="n"/>
      <c r="T72" s="92" t="n"/>
    </row>
    <row r="73" ht="15" customHeight="1">
      <c r="A73" s="10" t="inlineStr">
        <is>
          <t>Experience &amp; Qualification</t>
        </is>
      </c>
      <c r="B73" s="91" t="n"/>
      <c r="C73" s="91" t="n"/>
      <c r="D73" s="91" t="n"/>
      <c r="E73" s="91" t="n"/>
      <c r="F73" s="92" t="n"/>
      <c r="G73" s="12" t="inlineStr">
        <is>
          <t>11.7%</t>
        </is>
      </c>
      <c r="H73" s="91" t="n"/>
      <c r="I73" s="91" t="n"/>
      <c r="J73" s="92" t="n"/>
      <c r="K73" s="12" t="inlineStr">
        <is>
          <t>not scored separately</t>
        </is>
      </c>
      <c r="L73" s="91" t="n"/>
      <c r="M73" s="91" t="n"/>
      <c r="N73" s="92" t="n"/>
      <c r="O73" s="12" t="inlineStr">
        <is>
          <t>Hay, Mercer IPE and WTW fold experience into knowledge</t>
        </is>
      </c>
      <c r="P73" s="91" t="n"/>
      <c r="Q73" s="91" t="n"/>
      <c r="R73" s="91" t="n"/>
      <c r="S73" s="91" t="n"/>
      <c r="T73" s="92" t="n"/>
    </row>
    <row r="74" ht="15" customHeight="1"/>
    <row r="75" ht="20" customHeight="1">
      <c r="A75" s="6" t="inlineStr">
        <is>
          <t>WHAT A RATING MEANS — the same 1-to-12 scale for every factor, every department, every band</t>
        </is>
      </c>
    </row>
    <row r="76" ht="15" customHeight="1">
      <c r="A76" s="40" t="inlineStr">
        <is>
          <t>A rating is the floor of the ladder that this side of the job looks like: 4 = B1-level, 8 = C2-level. Managers can change a person's Business Impact rating on sheet 2 · yellow; the other ratings are set from the evidence and changed through validation.</t>
        </is>
      </c>
    </row>
    <row r="77" ht="15" customHeight="1">
      <c r="A77" s="8" t="inlineStr">
        <is>
          <t>Rating · level</t>
        </is>
      </c>
      <c r="B77" s="92" t="n"/>
      <c r="C77" s="8" t="inlineStr">
        <is>
          <t>Complexity</t>
        </is>
      </c>
      <c r="D77" s="91" t="n"/>
      <c r="E77" s="92" t="n"/>
      <c r="F77" s="8" t="inlineStr">
        <is>
          <t>Autonomy</t>
        </is>
      </c>
      <c r="G77" s="91" t="n"/>
      <c r="H77" s="92" t="n"/>
      <c r="I77" s="8" t="inlineStr">
        <is>
          <t>Accountability</t>
        </is>
      </c>
      <c r="J77" s="91" t="n"/>
      <c r="K77" s="92" t="n"/>
      <c r="L77" s="8" t="inlineStr">
        <is>
          <t>Leadership</t>
        </is>
      </c>
      <c r="M77" s="91" t="n"/>
      <c r="N77" s="92" t="n"/>
      <c r="O77" s="8" t="inlineStr">
        <is>
          <t>Experience</t>
        </is>
      </c>
      <c r="P77" s="91" t="n"/>
      <c r="Q77" s="92" t="n"/>
      <c r="R77" s="8" t="inlineStr">
        <is>
          <t>Business impact</t>
        </is>
      </c>
      <c r="S77" s="91" t="n"/>
      <c r="T77" s="92" t="n"/>
    </row>
    <row r="78" ht="28" customHeight="1">
      <c r="A78" s="10" t="inlineStr">
        <is>
          <t>12 · E2</t>
        </is>
      </c>
      <c r="B78" s="92" t="n"/>
      <c r="C78" s="12" t="inlineStr">
        <is>
          <t>Enterprise-wide uncertainty, transformation and external forces</t>
        </is>
      </c>
      <c r="D78" s="91" t="n"/>
      <c r="E78" s="92" t="n"/>
      <c r="F78" s="12" t="inlineStr">
        <is>
          <t>Accountable to the board</t>
        </is>
      </c>
      <c r="G78" s="91" t="n"/>
      <c r="H78" s="92" t="n"/>
      <c r="I78" s="12" t="inlineStr">
        <is>
          <t>Enterprise results, risk, culture and long-term viability</t>
        </is>
      </c>
      <c r="J78" s="91" t="n"/>
      <c r="K78" s="92" t="n"/>
      <c r="L78" s="12" t="inlineStr">
        <is>
          <t>Sets enterprise strategy; leads the executive team</t>
        </is>
      </c>
      <c r="M78" s="91" t="n"/>
      <c r="N78" s="92" t="n"/>
      <c r="O78" s="12" t="inlineStr">
        <is>
          <t>About 28 yrs</t>
        </is>
      </c>
      <c r="P78" s="91" t="n"/>
      <c r="Q78" s="92" t="n"/>
      <c r="R78" s="12" t="inlineStr">
        <is>
          <t>Answers for the whole company's results and long-term value</t>
        </is>
      </c>
      <c r="S78" s="91" t="n"/>
      <c r="T78" s="92" t="n"/>
    </row>
    <row r="79" ht="28" customHeight="1">
      <c r="A79" s="10" t="inlineStr">
        <is>
          <t>11 · E1</t>
        </is>
      </c>
      <c r="B79" s="92" t="n"/>
      <c r="C79" s="12" t="inlineStr">
        <is>
          <t>Enterprise-level functional strategy</t>
        </is>
      </c>
      <c r="D79" s="91" t="n"/>
      <c r="E79" s="92" t="n"/>
      <c r="F79" s="12" t="inlineStr">
        <is>
          <t>Sets enterprise priorities for the function</t>
        </is>
      </c>
      <c r="G79" s="91" t="n"/>
      <c r="H79" s="92" t="n"/>
      <c r="I79" s="12" t="inlineStr">
        <is>
          <t>Enterprise-wide functional results</t>
        </is>
      </c>
      <c r="J79" s="91" t="n"/>
      <c r="K79" s="92" t="n"/>
      <c r="L79" s="12" t="inlineStr">
        <is>
          <t>Shapes enterprise strategy</t>
        </is>
      </c>
      <c r="M79" s="91" t="n"/>
      <c r="N79" s="92" t="n"/>
      <c r="O79" s="12" t="inlineStr">
        <is>
          <t>About 24 yrs</t>
        </is>
      </c>
      <c r="P79" s="91" t="n"/>
      <c r="Q79" s="92" t="n"/>
      <c r="R79" s="12" t="inlineStr">
        <is>
          <t>Shapes company-wide results through a function</t>
        </is>
      </c>
      <c r="S79" s="91" t="n"/>
      <c r="T79" s="92" t="n"/>
    </row>
    <row r="80" ht="28" customHeight="1">
      <c r="A80" s="10" t="inlineStr">
        <is>
          <t>10 · D2</t>
        </is>
      </c>
      <c r="B80" s="92" t="n"/>
      <c r="C80" s="12" t="inlineStr">
        <is>
          <t>Portfolio-level strategic, financial and regulatory trade-offs</t>
        </is>
      </c>
      <c r="D80" s="91" t="n"/>
      <c r="E80" s="92" t="n"/>
      <c r="F80" s="12" t="inlineStr">
        <is>
          <t>Sets direction across business lines</t>
        </is>
      </c>
      <c r="G80" s="91" t="n"/>
      <c r="H80" s="92" t="n"/>
      <c r="I80" s="12" t="inlineStr">
        <is>
          <t>Multi-business results</t>
        </is>
      </c>
      <c r="J80" s="91" t="n"/>
      <c r="K80" s="92" t="n"/>
      <c r="L80" s="12" t="inlineStr">
        <is>
          <t>Builds the leadership team across businesses</t>
        </is>
      </c>
      <c r="M80" s="91" t="n"/>
      <c r="N80" s="92" t="n"/>
      <c r="O80" s="12" t="inlineStr">
        <is>
          <t>About 21 yrs</t>
        </is>
      </c>
      <c r="P80" s="91" t="n"/>
      <c r="Q80" s="92" t="n"/>
      <c r="R80" s="12" t="inlineStr">
        <is>
          <t>Owns the results of several business lines</t>
        </is>
      </c>
      <c r="S80" s="91" t="n"/>
      <c r="T80" s="92" t="n"/>
    </row>
    <row r="81" ht="28" customHeight="1">
      <c r="A81" s="10" t="inlineStr">
        <is>
          <t>9 · D1</t>
        </is>
      </c>
      <c r="B81" s="92" t="n"/>
      <c r="C81" s="12" t="inlineStr">
        <is>
          <t>Competing strategic, financial and regulatory priorities</t>
        </is>
      </c>
      <c r="D81" s="91" t="n"/>
      <c r="E81" s="92" t="n"/>
      <c r="F81" s="12" t="inlineStr">
        <is>
          <t>Sets business-line direction, pricing and investment</t>
        </is>
      </c>
      <c r="G81" s="91" t="n"/>
      <c r="H81" s="92" t="n"/>
      <c r="I81" s="12" t="inlineStr">
        <is>
          <t>Business-line P&amp;L and market position</t>
        </is>
      </c>
      <c r="J81" s="91" t="n"/>
      <c r="K81" s="92" t="n"/>
      <c r="L81" s="12" t="inlineStr">
        <is>
          <t>Defines business strategy; builds the leadership bench</t>
        </is>
      </c>
      <c r="M81" s="91" t="n"/>
      <c r="N81" s="92" t="n"/>
      <c r="O81" s="12" t="inlineStr">
        <is>
          <t>About 17.5 yrs</t>
        </is>
      </c>
      <c r="P81" s="91" t="n"/>
      <c r="Q81" s="92" t="n"/>
      <c r="R81" s="12" t="inlineStr">
        <is>
          <t>Owns a business line's P&amp;L and growth, or a company-wide function</t>
        </is>
      </c>
      <c r="S81" s="91" t="n"/>
      <c r="T81" s="92" t="n"/>
    </row>
    <row r="82" ht="41" customHeight="1">
      <c r="A82" s="10" t="inlineStr">
        <is>
          <t>8.5 · C+</t>
        </is>
      </c>
      <c r="B82" s="92" t="n"/>
      <c r="C82" s="12" t="inlineStr">
        <is>
          <t>Function-wide and cross-product problems; personally handles the most critical client or technical work</t>
        </is>
      </c>
      <c r="D82" s="91" t="n"/>
      <c r="E82" s="92" t="n"/>
      <c r="F82" s="12" t="inlineStr">
        <is>
          <t>Sets direction for the function; business-line trade-offs go to the Business Head</t>
        </is>
      </c>
      <c r="G82" s="91" t="n"/>
      <c r="H82" s="92" t="n"/>
      <c r="I82" s="12" t="inlineStr">
        <is>
          <t>Function results, budget and key-client outcomes; carries own book or principal delivery</t>
        </is>
      </c>
      <c r="J82" s="91" t="n"/>
      <c r="K82" s="92" t="n"/>
      <c r="L82" s="12" t="inlineStr">
        <is>
          <t>Leads managers and leads and 10+ people in the function while staying hands-on</t>
        </is>
      </c>
      <c r="M82" s="91" t="n"/>
      <c r="N82" s="92" t="n"/>
      <c r="O82" s="12" t="inlineStr">
        <is>
          <t>About 16 yrs</t>
        </is>
      </c>
      <c r="P82" s="91" t="n"/>
      <c r="Q82" s="92" t="n"/>
      <c r="R82" s="12" t="inlineStr">
        <is>
          <t>Drives a function's results and personally wins or delivers key work</t>
        </is>
      </c>
      <c r="S82" s="91" t="n"/>
      <c r="T82" s="92" t="n"/>
    </row>
    <row r="83" ht="28" customHeight="1">
      <c r="A83" s="10" t="inlineStr">
        <is>
          <t>8 · C2</t>
        </is>
      </c>
      <c r="B83" s="92" t="n"/>
      <c r="C83" s="12" t="inlineStr">
        <is>
          <t>Function-wide or company-wide problems; creates methods and standards</t>
        </is>
      </c>
      <c r="D83" s="91" t="n"/>
      <c r="E83" s="92" t="n"/>
      <c r="F83" s="12" t="inlineStr">
        <is>
          <t>Sets direction for a function</t>
        </is>
      </c>
      <c r="G83" s="91" t="n"/>
      <c r="H83" s="92" t="n"/>
      <c r="I83" s="12" t="inlineStr">
        <is>
          <t>Function results, budget and risk</t>
        </is>
      </c>
      <c r="J83" s="91" t="n"/>
      <c r="K83" s="92" t="n"/>
      <c r="L83" s="12" t="inlineStr">
        <is>
          <t>Leads a function; shapes functional strategy</t>
        </is>
      </c>
      <c r="M83" s="91" t="n"/>
      <c r="N83" s="92" t="n"/>
      <c r="O83" s="12" t="inlineStr">
        <is>
          <t>About 14.5 yrs</t>
        </is>
      </c>
      <c r="P83" s="91" t="n"/>
      <c r="Q83" s="92" t="n"/>
      <c r="R83" s="12" t="inlineStr">
        <is>
          <t>Drives a function's or department's results and costs</t>
        </is>
      </c>
      <c r="S83" s="91" t="n"/>
      <c r="T83" s="92" t="n"/>
    </row>
    <row r="84" ht="28" customHeight="1">
      <c r="A84" s="10" t="inlineStr">
        <is>
          <t>7 · C1</t>
        </is>
      </c>
      <c r="B84" s="92" t="n"/>
      <c r="C84" s="12" t="inlineStr">
        <is>
          <t>Ambiguous, cross-product problems</t>
        </is>
      </c>
      <c r="D84" s="91" t="n"/>
      <c r="E84" s="92" t="n"/>
      <c r="F84" s="12" t="inlineStr">
        <is>
          <t>Sets direction for a sub-function or domain</t>
        </is>
      </c>
      <c r="G84" s="91" t="n"/>
      <c r="H84" s="92" t="n"/>
      <c r="I84" s="12" t="inlineStr">
        <is>
          <t>Sub-function results or domain quality across products</t>
        </is>
      </c>
      <c r="J84" s="91" t="n"/>
      <c r="K84" s="92" t="n"/>
      <c r="L84" s="12" t="inlineStr">
        <is>
          <t>Leads managers or a community of practice</t>
        </is>
      </c>
      <c r="M84" s="91" t="n"/>
      <c r="N84" s="92" t="n"/>
      <c r="O84" s="12" t="inlineStr">
        <is>
          <t>About 12 yrs</t>
        </is>
      </c>
      <c r="P84" s="91" t="n"/>
      <c r="Q84" s="92" t="n"/>
      <c r="R84" s="12" t="inlineStr">
        <is>
          <t>Changes results across a sub-function or across products</t>
        </is>
      </c>
      <c r="S84" s="91" t="n"/>
      <c r="T84" s="92" t="n"/>
    </row>
    <row r="85" ht="54" customHeight="1">
      <c r="A85" s="10" t="inlineStr">
        <is>
          <t>6.5 · B+</t>
        </is>
      </c>
      <c r="B85" s="92" t="n"/>
      <c r="C85" s="12" t="inlineStr">
        <is>
          <t>Principal-level problems in own domain; sets technical or quality standards and still builds</t>
        </is>
      </c>
      <c r="D85" s="91" t="n"/>
      <c r="E85" s="92" t="n"/>
      <c r="F85" s="12" t="inlineStr">
        <is>
          <t>Decides approach and priorities for the practice; escalates only cross-function trade-offs</t>
        </is>
      </c>
      <c r="G85" s="91" t="n"/>
      <c r="H85" s="92" t="n"/>
      <c r="I85" s="12" t="inlineStr">
        <is>
          <t>Practice outcomes plus own deliverables; quality and delivery of the team</t>
        </is>
      </c>
      <c r="J85" s="91" t="n"/>
      <c r="K85" s="92" t="n"/>
      <c r="L85" s="12" t="inlineStr">
        <is>
          <t>Leads 3–6 people · or a pod while remaining a hands-on expert; coaches, allocates, reviews</t>
        </is>
      </c>
      <c r="M85" s="91" t="n"/>
      <c r="N85" s="92" t="n"/>
      <c r="O85" s="12" t="inlineStr">
        <is>
          <t>About 11–12 yrs</t>
        </is>
      </c>
      <c r="P85" s="91" t="n"/>
      <c r="Q85" s="92" t="n"/>
      <c r="R85" s="12" t="inlineStr">
        <is>
          <t>Drives a practice's results while delivering the hardest work</t>
        </is>
      </c>
      <c r="S85" s="91" t="n"/>
      <c r="T85" s="92" t="n"/>
    </row>
    <row r="86" ht="41" customHeight="1">
      <c r="A86" s="10" t="inlineStr">
        <is>
          <t>6 · B3</t>
        </is>
      </c>
      <c r="B86" s="92" t="n"/>
      <c r="C86" s="12" t="inlineStr">
        <is>
          <t>Sets standards for a practice; cross-team problems</t>
        </is>
      </c>
      <c r="D86" s="91" t="n"/>
      <c r="E86" s="92" t="n"/>
      <c r="F86" s="12" t="inlineStr">
        <is>
          <t>Commercial / strategic calls for the unit</t>
        </is>
      </c>
      <c r="G86" s="91" t="n"/>
      <c r="H86" s="92" t="n"/>
      <c r="I86" s="12" t="inlineStr">
        <is>
          <t>Several teams or a practice</t>
        </is>
      </c>
      <c r="J86" s="91" t="n"/>
      <c r="K86" s="92" t="n"/>
      <c r="L86" s="12" t="inlineStr">
        <is>
          <r>
            <rPr>
              <rFont val="Calibri"/>
              <b val="1"/>
              <sz val="10"/>
            </rPr>
            <t>IC:</t>
          </r>
          <r>
            <rPr>
              <rFont val="Calibri"/>
              <sz val="10"/>
            </rPr>
            <t xml:space="preserve"> leads a practice · People: team leads / managers report in</t>
          </r>
        </is>
      </c>
      <c r="M86" s="91" t="n"/>
      <c r="N86" s="92" t="n"/>
      <c r="O86" s="12" t="inlineStr">
        <is>
          <t>About 10 yrs</t>
        </is>
      </c>
      <c r="P86" s="91" t="n"/>
      <c r="Q86" s="92" t="n"/>
      <c r="R86" s="12" t="inlineStr">
        <is>
          <t>Shapes the results of a practice or several teams</t>
        </is>
      </c>
      <c r="S86" s="91" t="n"/>
      <c r="T86" s="92" t="n"/>
    </row>
    <row r="87" ht="41" customHeight="1">
      <c r="A87" s="10" t="inlineStr">
        <is>
          <t>5 · B2</t>
        </is>
      </c>
      <c r="B87" s="92" t="n"/>
      <c r="C87" s="12" t="inlineStr">
        <is>
          <t>Hardest problems in the domain</t>
        </is>
      </c>
      <c r="D87" s="91" t="n"/>
      <c r="E87" s="92" t="n"/>
      <c r="F87" s="12" t="inlineStr">
        <is>
          <t>Allocates people and sets team priorities</t>
        </is>
      </c>
      <c r="G87" s="91" t="n"/>
      <c r="H87" s="92" t="n"/>
      <c r="I87" s="12" t="inlineStr">
        <is>
          <t>One team or a client portfolio</t>
        </is>
      </c>
      <c r="J87" s="91" t="n"/>
      <c r="K87" s="92" t="n"/>
      <c r="L87" s="12" t="inlineStr">
        <is>
          <r>
            <rPr>
              <rFont val="Calibri"/>
              <b val="1"/>
              <sz val="10"/>
            </rPr>
            <t>IC:</t>
          </r>
          <r>
            <rPr>
              <rFont val="Calibri"/>
              <sz val="10"/>
            </rPr>
            <t xml:space="preserve"> guides others in the domain · People: manages a team of 6+</t>
          </r>
        </is>
      </c>
      <c r="M87" s="91" t="n"/>
      <c r="N87" s="92" t="n"/>
      <c r="O87" s="12" t="inlineStr">
        <is>
          <t>About 7.5 yrs</t>
        </is>
      </c>
      <c r="P87" s="91" t="n"/>
      <c r="Q87" s="92" t="n"/>
      <c r="R87" s="12" t="inlineStr">
        <is>
          <t>Visible effect on a team's or client portfolio's revenue, quality or compliance</t>
        </is>
      </c>
      <c r="S87" s="91" t="n"/>
      <c r="T87" s="92" t="n"/>
    </row>
    <row r="88" ht="41" customHeight="1">
      <c r="A88" s="10" t="inlineStr">
        <is>
          <t>4 · B1</t>
        </is>
      </c>
      <c r="B88" s="92" t="n"/>
      <c r="C88" s="12" t="inlineStr">
        <is>
          <t>Domain specialist work</t>
        </is>
      </c>
      <c r="D88" s="91" t="n"/>
      <c r="E88" s="92" t="n"/>
      <c r="F88" s="12" t="inlineStr">
        <is>
          <t>Technical / QC / client calls for the domain</t>
        </is>
      </c>
      <c r="G88" s="91" t="n"/>
      <c r="H88" s="92" t="n"/>
      <c r="I88" s="12" t="inlineStr">
        <is>
          <t>A domain or a small team</t>
        </is>
      </c>
      <c r="J88" s="91" t="n"/>
      <c r="K88" s="92" t="n"/>
      <c r="L88" s="12" t="inlineStr">
        <is>
          <r>
            <rPr>
              <rFont val="Calibri"/>
              <b val="1"/>
              <sz val="10"/>
            </rPr>
            <t>IC:</t>
          </r>
          <r>
            <rPr>
              <rFont val="Calibri"/>
              <sz val="10"/>
            </rPr>
            <t xml:space="preserve"> mentors and reviews · People: hands-on team lead of 3–5</t>
          </r>
        </is>
      </c>
      <c r="M88" s="91" t="n"/>
      <c r="N88" s="92" t="n"/>
      <c r="O88" s="12" t="inlineStr">
        <is>
          <t>About 5.5 yrs</t>
        </is>
      </c>
      <c r="P88" s="91" t="n"/>
      <c r="Q88" s="92" t="n"/>
      <c r="R88" s="12" t="inlineStr">
        <is>
          <t>Moves a module's, product area's or client account's results</t>
        </is>
      </c>
      <c r="S88" s="91" t="n"/>
      <c r="T88" s="92" t="n"/>
    </row>
    <row r="89" ht="41" customHeight="1">
      <c r="A89" s="10" t="inlineStr">
        <is>
          <t>3 · A3</t>
        </is>
      </c>
      <c r="B89" s="92" t="n"/>
      <c r="C89" s="12" t="inlineStr">
        <is>
          <t>Varied and non-standard work; handles exceptions</t>
        </is>
      </c>
      <c r="D89" s="91" t="n"/>
      <c r="E89" s="92" t="n"/>
      <c r="F89" s="12" t="inlineStr">
        <is>
          <t>Technical / QC / client calls on own work</t>
        </is>
      </c>
      <c r="G89" s="91" t="n"/>
      <c r="H89" s="92" t="n"/>
      <c r="I89" s="12" t="inlineStr">
        <is>
          <t>A module / process, or work with client or regulatory consequences</t>
        </is>
      </c>
      <c r="J89" s="91" t="n"/>
      <c r="K89" s="92" t="n"/>
      <c r="L89" s="12" t="inlineStr">
        <is>
          <t>Not scored in Band A</t>
        </is>
      </c>
      <c r="M89" s="91" t="n"/>
      <c r="N89" s="92" t="n"/>
      <c r="O89" s="12" t="inlineStr">
        <is>
          <t>About 3 yrs</t>
        </is>
      </c>
      <c r="P89" s="91" t="n"/>
      <c r="Q89" s="92" t="n"/>
      <c r="R89" s="12" t="inlineStr">
        <is>
          <t>A process or client deliverable depends on this work</t>
        </is>
      </c>
      <c r="S89" s="91" t="n"/>
      <c r="T89" s="92" t="n"/>
    </row>
    <row r="90" ht="28" customHeight="1">
      <c r="A90" s="10" t="inlineStr">
        <is>
          <t>2 · A2</t>
        </is>
      </c>
      <c r="B90" s="92" t="n"/>
      <c r="C90" s="12" t="inlineStr">
        <is>
          <t>Standard work of the discipline</t>
        </is>
      </c>
      <c r="D90" s="91" t="n"/>
      <c r="E90" s="92" t="n"/>
      <c r="F90" s="12" t="inlineStr">
        <is>
          <t>Chooses own approach within standards</t>
        </is>
      </c>
      <c r="G90" s="91" t="n"/>
      <c r="H90" s="92" t="n"/>
      <c r="I90" s="12" t="inlineStr">
        <is>
          <t>Own deliverables · accuracy, TAT</t>
        </is>
      </c>
      <c r="J90" s="91" t="n"/>
      <c r="K90" s="92" t="n"/>
      <c r="L90" s="12" t="inlineStr">
        <is>
          <t>Not scored in Band A</t>
        </is>
      </c>
      <c r="M90" s="91" t="n"/>
      <c r="N90" s="92" t="n"/>
      <c r="O90" s="12" t="inlineStr">
        <is>
          <t>About 1 yr</t>
        </is>
      </c>
      <c r="P90" s="91" t="n"/>
      <c r="Q90" s="92" t="n"/>
      <c r="R90" s="12" t="inlineStr">
        <is>
          <t>Own deliverables feed a team's output and turnaround</t>
        </is>
      </c>
      <c r="S90" s="91" t="n"/>
      <c r="T90" s="92" t="n"/>
    </row>
    <row r="91" ht="28" customHeight="1">
      <c r="A91" s="10" t="inlineStr">
        <is>
          <t>1 · A1</t>
        </is>
      </c>
      <c r="B91" s="92" t="n"/>
      <c r="C91" s="12" t="inlineStr">
        <is>
          <t>Learning; follows worked examples</t>
        </is>
      </c>
      <c r="D91" s="91" t="n"/>
      <c r="E91" s="92" t="n"/>
      <c r="F91" s="12" t="inlineStr">
        <is>
          <t>Needs approval / close guidance</t>
        </is>
      </c>
      <c r="G91" s="91" t="n"/>
      <c r="H91" s="92" t="n"/>
      <c r="I91" s="12" t="inlineStr">
        <is>
          <t>Learning tasks</t>
        </is>
      </c>
      <c r="J91" s="91" t="n"/>
      <c r="K91" s="92" t="n"/>
      <c r="L91" s="12" t="inlineStr">
        <is>
          <t>Not scored in Band A</t>
        </is>
      </c>
      <c r="M91" s="91" t="n"/>
      <c r="N91" s="92" t="n"/>
      <c r="O91" s="12" t="inlineStr">
        <is>
          <t>No experience yet</t>
        </is>
      </c>
      <c r="P91" s="91" t="n"/>
      <c r="Q91" s="92" t="n"/>
      <c r="R91" s="12" t="inlineStr">
        <is>
          <t>Learning; little direct effect on business results yet</t>
        </is>
      </c>
      <c r="S91" s="91" t="n"/>
      <c r="T91" s="92" t="n"/>
    </row>
    <row r="92" ht="15" customHeight="1"/>
    <row r="93" ht="15" customHeight="1">
      <c r="A93" s="40" t="inlineStr">
        <is>
          <r>
            <rPr>
              <rFont val="Calibri"/>
              <b val="1"/>
              <i val="1"/>
              <color rgb="00595959"/>
              <sz val="10"/>
            </rPr>
            <t>The ladder scale:</t>
          </r>
          <r>
            <rPr>
              <rFont val="Calibri"/>
              <i val="1"/>
              <color rgb="00595959"/>
              <sz val="10"/>
            </rPr>
            <t xml:space="preserve"> Sources: S01, S02 Aon Radford and Pave level codes · S08 SFIA levels of responsibility. Full links: source register, HR Super Master sheet 11 and Framework Master M16.</t>
          </r>
        </is>
      </c>
    </row>
  </sheetData>
  <mergeCells count="198">
    <mergeCell ref="A58:T58"/>
    <mergeCell ref="K70:N70"/>
    <mergeCell ref="C80:E80"/>
    <mergeCell ref="I41:T41"/>
    <mergeCell ref="A51:B51"/>
    <mergeCell ref="R83:T83"/>
    <mergeCell ref="F85:H85"/>
    <mergeCell ref="A15:T15"/>
    <mergeCell ref="C50:T50"/>
    <mergeCell ref="A64:T64"/>
    <mergeCell ref="O69:T69"/>
    <mergeCell ref="L83:N83"/>
    <mergeCell ref="I87:K87"/>
    <mergeCell ref="A88:B88"/>
    <mergeCell ref="C56:T56"/>
    <mergeCell ref="A60:T60"/>
    <mergeCell ref="R91:T91"/>
    <mergeCell ref="I43:T43"/>
    <mergeCell ref="R85:T85"/>
    <mergeCell ref="A54:B54"/>
    <mergeCell ref="L85:N85"/>
    <mergeCell ref="A41:B41"/>
    <mergeCell ref="G72:J72"/>
    <mergeCell ref="A90:B90"/>
    <mergeCell ref="C39:H39"/>
    <mergeCell ref="I79:K79"/>
    <mergeCell ref="I88:K88"/>
    <mergeCell ref="A56:B56"/>
    <mergeCell ref="I82:K82"/>
    <mergeCell ref="C91:E91"/>
    <mergeCell ref="G71:J71"/>
    <mergeCell ref="A72:F72"/>
    <mergeCell ref="R77:T77"/>
    <mergeCell ref="C38:H38"/>
    <mergeCell ref="O90:Q90"/>
    <mergeCell ref="O85:Q85"/>
    <mergeCell ref="O72:T72"/>
    <mergeCell ref="A85:B85"/>
    <mergeCell ref="A42:B42"/>
    <mergeCell ref="A2:T2"/>
    <mergeCell ref="C77:E77"/>
    <mergeCell ref="F78:H78"/>
    <mergeCell ref="A53:B53"/>
    <mergeCell ref="F87:H87"/>
    <mergeCell ref="A73:F73"/>
    <mergeCell ref="O77:Q77"/>
    <mergeCell ref="A62:T62"/>
    <mergeCell ref="R79:T79"/>
    <mergeCell ref="K67:N67"/>
    <mergeCell ref="A70:F70"/>
    <mergeCell ref="R88:T88"/>
    <mergeCell ref="F89:H89"/>
    <mergeCell ref="G68:J68"/>
    <mergeCell ref="O83:Q83"/>
    <mergeCell ref="L87:N87"/>
    <mergeCell ref="A39:B39"/>
    <mergeCell ref="C85:E85"/>
    <mergeCell ref="C41:H41"/>
    <mergeCell ref="R90:T90"/>
    <mergeCell ref="L89:N89"/>
    <mergeCell ref="A48:T48"/>
    <mergeCell ref="C84:E84"/>
    <mergeCell ref="C54:T54"/>
    <mergeCell ref="O84:Q84"/>
    <mergeCell ref="A59:T59"/>
    <mergeCell ref="C43:H43"/>
    <mergeCell ref="L88:N88"/>
    <mergeCell ref="A79:B79"/>
    <mergeCell ref="F91:H91"/>
    <mergeCell ref="A87:B87"/>
    <mergeCell ref="A61:T61"/>
    <mergeCell ref="K69:N69"/>
    <mergeCell ref="O80:Q80"/>
    <mergeCell ref="O89:Q89"/>
    <mergeCell ref="O79:Q79"/>
    <mergeCell ref="A8:I8"/>
    <mergeCell ref="A89:B89"/>
    <mergeCell ref="F77:H77"/>
    <mergeCell ref="I78:K78"/>
    <mergeCell ref="G67:J67"/>
    <mergeCell ref="C81:E81"/>
    <mergeCell ref="G70:J70"/>
    <mergeCell ref="O81:Q81"/>
    <mergeCell ref="O67:T67"/>
    <mergeCell ref="C87:E87"/>
    <mergeCell ref="L77:N77"/>
    <mergeCell ref="O78:Q78"/>
    <mergeCell ref="C53:T53"/>
    <mergeCell ref="I81:K81"/>
    <mergeCell ref="L86:N86"/>
    <mergeCell ref="K72:N72"/>
    <mergeCell ref="A76:T76"/>
    <mergeCell ref="O87:Q87"/>
    <mergeCell ref="I90:K90"/>
    <mergeCell ref="A91:B91"/>
    <mergeCell ref="C6:H6"/>
    <mergeCell ref="C89:E89"/>
    <mergeCell ref="A52:B52"/>
    <mergeCell ref="C79:E79"/>
    <mergeCell ref="R84:T84"/>
    <mergeCell ref="C88:E88"/>
    <mergeCell ref="R78:T78"/>
    <mergeCell ref="A63:T63"/>
    <mergeCell ref="A10:T10"/>
    <mergeCell ref="R87:T87"/>
    <mergeCell ref="L78:N78"/>
    <mergeCell ref="F86:H86"/>
    <mergeCell ref="A77:B77"/>
    <mergeCell ref="A83:B83"/>
    <mergeCell ref="I91:K91"/>
    <mergeCell ref="I85:K85"/>
    <mergeCell ref="R80:T80"/>
    <mergeCell ref="C40:H40"/>
    <mergeCell ref="F79:H79"/>
    <mergeCell ref="R89:T89"/>
    <mergeCell ref="A49:T49"/>
    <mergeCell ref="A11:T11"/>
    <mergeCell ref="A1:T1"/>
    <mergeCell ref="A71:F71"/>
    <mergeCell ref="A78:B78"/>
    <mergeCell ref="F81:H81"/>
    <mergeCell ref="F90:H90"/>
    <mergeCell ref="L79:N79"/>
    <mergeCell ref="C51:T51"/>
    <mergeCell ref="O71:T71"/>
    <mergeCell ref="A65:T65"/>
    <mergeCell ref="I39:T39"/>
    <mergeCell ref="A80:B80"/>
    <mergeCell ref="L81:N81"/>
    <mergeCell ref="A55:B55"/>
    <mergeCell ref="L90:N90"/>
    <mergeCell ref="A37:T37"/>
    <mergeCell ref="A46:T46"/>
    <mergeCell ref="O73:T73"/>
    <mergeCell ref="I38:T38"/>
    <mergeCell ref="F82:H82"/>
    <mergeCell ref="A68:F68"/>
    <mergeCell ref="A12:T12"/>
    <mergeCell ref="I84:K84"/>
    <mergeCell ref="C78:E78"/>
    <mergeCell ref="I40:T40"/>
    <mergeCell ref="A14:T14"/>
    <mergeCell ref="I86:K86"/>
    <mergeCell ref="L82:N82"/>
    <mergeCell ref="L91:N91"/>
    <mergeCell ref="I80:K80"/>
    <mergeCell ref="A38:B38"/>
    <mergeCell ref="O68:T68"/>
    <mergeCell ref="I89:K89"/>
    <mergeCell ref="A43:B43"/>
    <mergeCell ref="F84:H84"/>
    <mergeCell ref="A40:B40"/>
    <mergeCell ref="K71:N71"/>
    <mergeCell ref="A93:T93"/>
    <mergeCell ref="F80:H80"/>
    <mergeCell ref="A82:B82"/>
    <mergeCell ref="C44:H44"/>
    <mergeCell ref="G73:J73"/>
    <mergeCell ref="O88:Q88"/>
    <mergeCell ref="C55:T55"/>
    <mergeCell ref="K73:N73"/>
    <mergeCell ref="R86:T86"/>
    <mergeCell ref="C90:E90"/>
    <mergeCell ref="I42:T42"/>
    <mergeCell ref="L84:N84"/>
    <mergeCell ref="I83:K83"/>
    <mergeCell ref="A84:B84"/>
    <mergeCell ref="C52:T52"/>
    <mergeCell ref="K68:N68"/>
    <mergeCell ref="O70:T70"/>
    <mergeCell ref="C82:E82"/>
    <mergeCell ref="R81:T81"/>
    <mergeCell ref="C7:H7"/>
    <mergeCell ref="A66:T66"/>
    <mergeCell ref="I44:T44"/>
    <mergeCell ref="A50:B50"/>
    <mergeCell ref="O91:Q91"/>
    <mergeCell ref="A75:T75"/>
    <mergeCell ref="O82:Q82"/>
    <mergeCell ref="L80:N80"/>
    <mergeCell ref="A86:B86"/>
    <mergeCell ref="A3:T3"/>
    <mergeCell ref="A67:F67"/>
    <mergeCell ref="F88:H88"/>
    <mergeCell ref="C86:E86"/>
    <mergeCell ref="A47:T47"/>
    <mergeCell ref="C83:E83"/>
    <mergeCell ref="O86:Q86"/>
    <mergeCell ref="A5:T5"/>
    <mergeCell ref="I77:K77"/>
    <mergeCell ref="R82:T82"/>
    <mergeCell ref="C42:H42"/>
    <mergeCell ref="A81:B81"/>
    <mergeCell ref="G69:J69"/>
    <mergeCell ref="A44:B44"/>
    <mergeCell ref="F83:H83"/>
    <mergeCell ref="A69:F69"/>
    <mergeCell ref="A13:T13"/>
  </mergeCells>
  <conditionalFormatting sqref="G17:G35">
    <cfRule type="colorScale" priority="1">
      <colorScale>
        <cfvo type="num" val="0"/>
        <cfvo type="num" val="40"/>
        <color rgb="00FFFFFF"/>
        <color rgb="00A9D08E"/>
      </colorScale>
    </cfRule>
  </conditionalFormatting>
  <conditionalFormatting sqref="H17:H35">
    <cfRule type="colorScale" priority="2">
      <colorScale>
        <cfvo type="num" val="0"/>
        <cfvo type="num" val="40"/>
        <color rgb="00FFFFFF"/>
        <color rgb="00A9D08E"/>
      </colorScale>
    </cfRule>
  </conditionalFormatting>
  <conditionalFormatting sqref="I17:I35">
    <cfRule type="colorScale" priority="3">
      <colorScale>
        <cfvo type="num" val="0"/>
        <cfvo type="num" val="40"/>
        <color rgb="00FFFFFF"/>
        <color rgb="00A9D08E"/>
      </colorScale>
    </cfRule>
  </conditionalFormatting>
  <conditionalFormatting sqref="J17:J35">
    <cfRule type="colorScale" priority="4">
      <colorScale>
        <cfvo type="num" val="0"/>
        <cfvo type="num" val="40"/>
        <color rgb="00FFFFFF"/>
        <color rgb="00A9D08E"/>
      </colorScale>
    </cfRule>
  </conditionalFormatting>
  <conditionalFormatting sqref="K17:K35">
    <cfRule type="colorScale" priority="5">
      <colorScale>
        <cfvo type="num" val="0"/>
        <cfvo type="num" val="40"/>
        <color rgb="00FFFFFF"/>
        <color rgb="00A9D08E"/>
      </colorScale>
    </cfRule>
  </conditionalFormatting>
  <conditionalFormatting sqref="L17:L35">
    <cfRule type="colorScale" priority="6">
      <colorScale>
        <cfvo type="num" val="0"/>
        <cfvo type="num" val="40"/>
        <color rgb="00FFFFFF"/>
        <color rgb="00A9D08E"/>
      </colorScale>
    </cfRule>
  </conditionalFormatting>
  <dataValidations count="2">
    <dataValidation sqref="G17:L35" showDropDown="0" showInputMessage="0" showErrorMessage="1" allowBlank="1" errorTitle="Weight" error="Enter a weight from 0 to 100 (%)." type="decimal" operator="between">
      <formula1>0</formula1>
      <formula2>100</formula2>
    </dataValidation>
    <dataValidation sqref="B6:B7" showDropDown="0" showInputMessage="0" showErrorMessage="1" allowBlank="0" errorTitle="Experience weight" error="Enter a weight from 0 to 50 (%)." type="decimal" operator="between">
      <formula1>0</formula1>
      <formula2>50</formula2>
    </dataValidation>
  </dataValidations>
  <hyperlinks>
    <hyperlink xmlns:r="http://schemas.openxmlformats.org/officeDocument/2006/relationships" ref="U1" r:id="rId1"/>
  </hyperlinks>
  <pageMargins left="0.4" right="0.4" top="0.5" bottom="0.5" header="0.5" footer="0.5"/>
  <pageSetup orientation="landscape" paperSize="8" fitToHeight="0" fitToWidth="1"/>
  <headerFooter>
    <oddHeader/>
    <oddFooter>&amp;LIRIS · Job Architecture &amp; Job Design · Final v1.12 · October 2026 · Internal — Confidential&amp;RPage &amp;P of &amp;N</oddFooter>
    <evenHeader/>
    <evenFooter/>
    <firstHeader/>
    <firstFooter/>
  </headerFooter>
  <legacyDrawing xmlns:r="http://schemas.openxmlformats.org/officeDocument/2006/relationships" r:id="anysvml"/>
  <tableParts count="1">
    <tablePart xmlns:r="http://schemas.openxmlformats.org/officeDocument/2006/relationships" r:id="rId2"/>
  </tableParts>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IRIS HR — Job Architecture &amp; Job Design</dc:creator>
  <dc:title xmlns:dc="http://purl.org/dc/elements/1.1/">IRIS Job Architecture — Corporate (simplified product edition)</dc:title>
  <dcterms:created xmlns:dcterms="http://purl.org/dc/terms/" xmlns:xsi="http://www.w3.org/2001/XMLSchema-instance" xsi:type="dcterms:W3CDTF">2026-10-12T06:11:41Z</dcterms:created>
  <dcterms:modified xmlns:dcterms="http://purl.org/dc/terms/" xmlns:xsi="http://www.w3.org/2001/XMLSchema-instance" xsi:type="dcterms:W3CDTF">2026-10-12T06:13:49Z</dcterms:modified>
</cp:coreProperties>
</file>