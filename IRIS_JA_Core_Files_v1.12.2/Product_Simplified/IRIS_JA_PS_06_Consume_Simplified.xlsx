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1. Start Here" sheetId="2" state="visible" r:id="rId2"/>
    <sheet xmlns:r="http://schemas.openxmlformats.org/officeDocument/2006/relationships" name="2. People &amp; Levels" sheetId="3" state="visible" r:id="rId3"/>
    <sheet xmlns:r="http://schemas.openxmlformats.org/officeDocument/2006/relationships" name="3. Roles" sheetId="4" state="visible" r:id="rId4"/>
    <sheet xmlns:r="http://schemas.openxmlformats.org/officeDocument/2006/relationships" name="4. Decisions &amp; Actions" sheetId="5" state="visible" r:id="rId5"/>
    <sheet xmlns:r="http://schemas.openxmlformats.org/officeDocument/2006/relationships" name="5. Career Ladder" sheetId="6" state="visible" r:id="rId6"/>
    <sheet xmlns:r="http://schemas.openxmlformats.org/officeDocument/2006/relationships" name="6. Weightage Matrix" sheetId="7" state="visible" r:id="rId7"/>
  </sheets>
  <definedNames>
    <definedName name="WM_EXP_AB">'6. Weightage Matrix'!$B$6</definedName>
    <definedName name="WM_EXP_CE">'6. Weightage Matrix'!$B$7</definedName>
    <definedName name="WM_C">'6. Weightage Matrix'!$N$17:$N$25</definedName>
    <definedName name="WM_AU">'6. Weightage Matrix'!$O$17:$O$25</definedName>
    <definedName name="WM_AC">'6. Weightage Matrix'!$P$17:$P$25</definedName>
    <definedName name="WM_L">'6. Weightage Matrix'!$Q$17:$Q$25</definedName>
    <definedName name="WM_E">'6. Weightage Matrix'!$R$17:$R$25</definedName>
    <definedName name="WM_BI">'6. Weightage Matrix'!$S$17:$S$25</definedName>
    <definedName name="WM_KEY">'6. Weightage Matrix'!$A$17:$A$25</definedName>
    <definedName name="_xlnm.Print_Titles" localSheetId="2">'2. People &amp; Levels'!$5:$6</definedName>
    <definedName name="_xlnm._FilterDatabase" localSheetId="3" hidden="1">'3. Roles'!$A$6:$V$21</definedName>
    <definedName name="_xlnm.Print_Titles" localSheetId="3">'3. Roles'!$5:$6</definedName>
    <definedName name="_xlnm.Print_Titles" localSheetId="5">'5. Career Ladder'!$5:$6</definedName>
    <definedName name="_xlnm.Print_Titles" localSheetId="6">'6. Weightage Matrix'!$15:$16</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sz val="10"/>
    </font>
    <font>
      <name val="Calibri"/>
      <b val="1"/>
      <color rgb="00FFFFFF"/>
      <sz val="10"/>
    </font>
    <font>
      <name val="Calibri"/>
      <b val="1"/>
      <sz val="10"/>
    </font>
    <font>
      <name val="Calibri"/>
      <b val="1"/>
      <color rgb="00FFFFFF"/>
      <sz val="9"/>
    </font>
    <font>
      <name val="Calibri"/>
      <b val="1"/>
      <color rgb="001F3864"/>
      <sz val="18"/>
    </font>
    <font>
      <name val="Calibri"/>
      <i val="1"/>
      <color rgb="00595959"/>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9C0006"/>
      <sz val="10"/>
    </font>
    <font>
      <name val="Calibri"/>
      <b val="1"/>
      <color rgb="007F6000"/>
      <sz val="10"/>
    </font>
    <font>
      <name val="Calibri"/>
      <color rgb="009C0006"/>
      <sz val="10"/>
    </font>
    <font>
      <name val="Calibri"/>
      <color rgb="009C5700"/>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b val="1"/>
      <sz val="12"/>
    </font>
    <font>
      <name val="Calibri"/>
      <b val="1"/>
      <color rgb="000563C1"/>
      <sz val="10"/>
      <u val="single"/>
    </font>
  </fonts>
  <fills count="20">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F8CBAD"/>
      </patternFill>
    </fill>
    <fill>
      <patternFill patternType="solid">
        <fgColor rgb="00C6EFCE"/>
      </patternFill>
    </fill>
    <fill>
      <patternFill patternType="solid">
        <fgColor rgb="00FFEB9C"/>
      </patternFill>
    </fill>
    <fill>
      <patternFill patternType="solid">
        <fgColor rgb="00C6E0B4"/>
      </patternFill>
    </fill>
    <fill>
      <patternFill patternType="solid">
        <fgColor rgb="00FFC7CE"/>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EDEDED"/>
      </patternFill>
    </fill>
    <fill>
      <patternFill patternType="solid">
        <f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88">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0" borderId="0" applyAlignment="1" pivotButton="0" quotePrefix="0" xfId="0">
      <alignment vertical="top" wrapText="1"/>
    </xf>
    <xf numFmtId="0" fontId="6" fillId="4" borderId="1" applyAlignment="1" pivotButton="0" quotePrefix="0" xfId="0">
      <alignment horizontal="center" vertical="top" wrapText="1"/>
    </xf>
    <xf numFmtId="0" fontId="0" fillId="4" borderId="1" pivotButton="0" quotePrefix="0" xfId="0"/>
    <xf numFmtId="0" fontId="7"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0" fillId="5" borderId="1" pivotButton="0" quotePrefix="0" xfId="0"/>
    <xf numFmtId="0" fontId="7" fillId="6" borderId="1" applyAlignment="1" pivotButton="0" quotePrefix="0" xfId="0">
      <alignment horizontal="center" vertical="top" wrapText="1"/>
    </xf>
    <xf numFmtId="0" fontId="5" fillId="6" borderId="1" applyAlignment="1" pivotButton="0" quotePrefix="0" xfId="0">
      <alignment vertical="top" wrapText="1"/>
    </xf>
    <xf numFmtId="0" fontId="0" fillId="6" borderId="1" pivotButton="0" quotePrefix="0" xfId="0"/>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7" borderId="1" applyAlignment="1" pivotButton="0" quotePrefix="0" xfId="0">
      <alignment vertical="top" wrapText="1"/>
    </xf>
    <xf numFmtId="0" fontId="0" fillId="7" borderId="1" pivotButton="0" quotePrefix="0" xfId="0"/>
    <xf numFmtId="0" fontId="5" fillId="7" borderId="1" applyAlignment="1" pivotButton="0" quotePrefix="0" xfId="0">
      <alignment horizontal="center"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horizontal="center" vertical="top" wrapText="1"/>
    </xf>
    <xf numFmtId="0" fontId="11" fillId="8" borderId="1" applyAlignment="1" pivotButton="0" quotePrefix="0" xfId="0">
      <alignment vertical="center" indent="1"/>
    </xf>
    <xf numFmtId="0" fontId="0" fillId="8" borderId="1" pivotButton="0" quotePrefix="0" xfId="0"/>
    <xf numFmtId="0" fontId="12" fillId="9" borderId="1" applyAlignment="1" pivotButton="0" quotePrefix="0" xfId="0">
      <alignment vertical="center" indent="1"/>
    </xf>
    <xf numFmtId="0" fontId="0" fillId="9" borderId="1" pivotButton="0" quotePrefix="0" xfId="0"/>
    <xf numFmtId="0" fontId="13" fillId="10" borderId="1" applyAlignment="1" pivotButton="0" quotePrefix="0" xfId="0">
      <alignment vertical="center" indent="1"/>
    </xf>
    <xf numFmtId="0" fontId="0" fillId="10" borderId="1" pivotButton="0" quotePrefix="0" xfId="0"/>
    <xf numFmtId="0" fontId="14" fillId="6" borderId="1" applyAlignment="1" pivotButton="0" quotePrefix="0" xfId="0">
      <alignment vertical="center" indent="1"/>
    </xf>
    <xf numFmtId="0" fontId="15" fillId="11" borderId="1" applyAlignment="1" pivotButton="0" quotePrefix="0" xfId="0">
      <alignment vertical="center" indent="1"/>
    </xf>
    <xf numFmtId="0" fontId="0" fillId="11" borderId="1" pivotButton="0" quotePrefix="0" xfId="0"/>
    <xf numFmtId="0" fontId="16" fillId="12" borderId="1" applyAlignment="1" pivotButton="0" quotePrefix="0" xfId="0">
      <alignment vertical="center" indent="1"/>
    </xf>
    <xf numFmtId="0" fontId="0" fillId="12" borderId="1" pivotButton="0" quotePrefix="0" xfId="0"/>
    <xf numFmtId="0" fontId="17" fillId="13" borderId="1" applyAlignment="1" pivotButton="0" quotePrefix="0" xfId="0">
      <alignment vertical="center" indent="1"/>
    </xf>
    <xf numFmtId="0" fontId="0" fillId="13" borderId="1" pivotButton="0" quotePrefix="0" xfId="0"/>
    <xf numFmtId="0" fontId="21" fillId="3" borderId="0" applyAlignment="1" pivotButton="0" quotePrefix="0" xfId="0">
      <alignment horizontal="center" vertical="center" wrapText="1"/>
    </xf>
    <xf numFmtId="0" fontId="22" fillId="8" borderId="0" applyAlignment="1" pivotButton="0" quotePrefix="0" xfId="0">
      <alignment horizontal="center" vertical="center" wrapText="1"/>
    </xf>
    <xf numFmtId="0" fontId="23" fillId="9" borderId="0" applyAlignment="1" pivotButton="0" quotePrefix="0" xfId="0">
      <alignment horizontal="center" vertical="center" wrapText="1"/>
    </xf>
    <xf numFmtId="0" fontId="24" fillId="10" borderId="0" applyAlignment="1" pivotButton="0" quotePrefix="0" xfId="0">
      <alignment horizontal="center" vertical="center" wrapText="1"/>
    </xf>
    <xf numFmtId="0" fontId="25" fillId="6" borderId="0" applyAlignment="1" pivotButton="0" quotePrefix="0" xfId="0">
      <alignment horizontal="center" vertical="center" wrapText="1"/>
    </xf>
    <xf numFmtId="0" fontId="0" fillId="6" borderId="0" pivotButton="0" quotePrefix="0" xfId="0"/>
    <xf numFmtId="0" fontId="26" fillId="11" borderId="0" applyAlignment="1" pivotButton="0" quotePrefix="0" xfId="0">
      <alignment horizontal="center" vertical="center" wrapText="1"/>
    </xf>
    <xf numFmtId="0" fontId="0" fillId="11" borderId="0" pivotButton="0" quotePrefix="0" xfId="0"/>
    <xf numFmtId="0" fontId="27" fillId="12" borderId="0" applyAlignment="1" pivotButton="0" quotePrefix="0" xfId="0">
      <alignment horizontal="center" vertical="center" wrapText="1"/>
    </xf>
    <xf numFmtId="0" fontId="0" fillId="12" borderId="0" pivotButton="0" quotePrefix="0" xfId="0"/>
    <xf numFmtId="0" fontId="28" fillId="13" borderId="0" applyAlignment="1" pivotButton="0" quotePrefix="0" xfId="0">
      <alignment horizontal="center" vertical="center" wrapText="1"/>
    </xf>
    <xf numFmtId="0" fontId="0" fillId="13"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4" fillId="14" borderId="0" applyAlignment="1" pivotButton="0" quotePrefix="0" xfId="0">
      <alignment vertical="center" wrapText="1"/>
    </xf>
    <xf numFmtId="0" fontId="4" fillId="15" borderId="0" applyAlignment="1" pivotButton="0" quotePrefix="0" xfId="0">
      <alignment vertical="center" wrapText="1"/>
    </xf>
    <xf numFmtId="0" fontId="4" fillId="16" borderId="0" applyAlignment="1" pivotButton="0" quotePrefix="0" xfId="0">
      <alignment vertical="center" wrapText="1"/>
    </xf>
    <xf numFmtId="0" fontId="4" fillId="17" borderId="0" applyAlignment="1" pivotButton="0" quotePrefix="0" xfId="0">
      <alignment vertical="center" wrapText="1"/>
    </xf>
    <xf numFmtId="0" fontId="6" fillId="2" borderId="1" applyAlignment="1" pivotButton="0" quotePrefix="0" xfId="0">
      <alignment horizontal="center" vertical="top" wrapText="1"/>
    </xf>
    <xf numFmtId="0" fontId="6" fillId="14" borderId="1" applyAlignment="1" pivotButton="0" quotePrefix="0" xfId="0">
      <alignment horizontal="center" vertical="top" wrapText="1"/>
    </xf>
    <xf numFmtId="0" fontId="6" fillId="15" borderId="1" applyAlignment="1" pivotButton="0" quotePrefix="0" xfId="0">
      <alignment horizontal="center" vertical="top" wrapText="1"/>
    </xf>
    <xf numFmtId="0" fontId="6" fillId="16" borderId="1" applyAlignment="1" pivotButton="0" quotePrefix="0" xfId="0">
      <alignment horizontal="center" vertical="top" wrapText="1"/>
    </xf>
    <xf numFmtId="0" fontId="6" fillId="17" borderId="1" applyAlignment="1" pivotButton="0" quotePrefix="0" xfId="0">
      <alignment horizontal="center" vertical="top" wrapText="1"/>
    </xf>
    <xf numFmtId="0" fontId="11" fillId="8" borderId="1" applyAlignment="1" pivotButton="0" quotePrefix="0" xfId="0">
      <alignment vertical="top" wrapText="1"/>
    </xf>
    <xf numFmtId="0" fontId="12" fillId="9" borderId="1" applyAlignment="1" pivotButton="0" quotePrefix="0" xfId="0">
      <alignment vertical="top" wrapText="1"/>
    </xf>
    <xf numFmtId="0" fontId="5" fillId="13" borderId="1" applyAlignment="1" pivotButton="0" quotePrefix="0" xfId="0">
      <alignment horizontal="center" vertical="top" wrapText="1"/>
    </xf>
    <xf numFmtId="2" fontId="5" fillId="0" borderId="1" applyAlignment="1" pivotButton="0" quotePrefix="0" xfId="0">
      <alignment horizontal="center" vertical="top" wrapText="1"/>
    </xf>
    <xf numFmtId="0" fontId="18" fillId="12" borderId="1" applyAlignment="1" pivotButton="0" quotePrefix="0" xfId="0">
      <alignment vertical="top" wrapText="1"/>
    </xf>
    <xf numFmtId="0" fontId="5" fillId="13" borderId="1" applyAlignment="1" pivotButton="0" quotePrefix="0" xfId="0">
      <alignment vertical="top" wrapText="1"/>
    </xf>
    <xf numFmtId="0" fontId="19" fillId="10" borderId="1" applyAlignment="1" pivotButton="0" quotePrefix="0" xfId="0">
      <alignment vertical="top" wrapText="1"/>
    </xf>
    <xf numFmtId="0" fontId="20" fillId="5" borderId="1" applyAlignment="1" pivotButton="0" quotePrefix="0" xfId="0">
      <alignment vertical="top" wrapText="1"/>
    </xf>
    <xf numFmtId="0" fontId="13" fillId="10" borderId="1" applyAlignment="1" pivotButton="0" quotePrefix="0" xfId="0">
      <alignment vertical="top" wrapText="1"/>
    </xf>
    <xf numFmtId="0" fontId="4" fillId="4" borderId="0" pivotButton="0" quotePrefix="0" xfId="0"/>
    <xf numFmtId="0" fontId="7" fillId="0" borderId="1" applyAlignment="1" pivotButton="0" quotePrefix="0" xfId="0">
      <alignment horizontal="center" vertical="top" wrapText="1"/>
    </xf>
    <xf numFmtId="0" fontId="6" fillId="4" borderId="1" applyAlignment="1" pivotButton="0" quotePrefix="0" xfId="0">
      <alignment vertical="top" wrapText="1"/>
    </xf>
    <xf numFmtId="0" fontId="0" fillId="0" borderId="5" pivotButton="0" quotePrefix="0" xfId="0"/>
    <xf numFmtId="0" fontId="0" fillId="0" borderId="4" pivotButton="0" quotePrefix="0" xfId="0"/>
    <xf numFmtId="0" fontId="7" fillId="3" borderId="1" applyAlignment="1" pivotButton="0" quotePrefix="0" xfId="0">
      <alignment vertical="top" wrapText="1"/>
    </xf>
    <xf numFmtId="0" fontId="5" fillId="3" borderId="1" applyAlignment="1" pivotButton="0" quotePrefix="0" xfId="0">
      <alignment horizontal="center" vertical="top" wrapText="1"/>
    </xf>
    <xf numFmtId="0" fontId="7" fillId="5" borderId="1" applyAlignment="1" pivotButton="0" quotePrefix="0" xfId="0">
      <alignment vertical="top" wrapText="1"/>
    </xf>
    <xf numFmtId="0" fontId="29" fillId="13" borderId="1" applyAlignment="1" pivotButton="0" quotePrefix="0" xfId="0">
      <alignment horizontal="center" vertical="top" wrapText="1"/>
    </xf>
    <xf numFmtId="0" fontId="6" fillId="19" borderId="1" applyAlignment="1" pivotButton="0" quotePrefix="0" xfId="0">
      <alignment horizontal="center" vertical="top" wrapText="1"/>
    </xf>
    <xf numFmtId="164" fontId="5" fillId="13" borderId="1" applyAlignment="1" pivotButton="0" quotePrefix="0" xfId="0">
      <alignment horizontal="center" vertical="top" wrapText="1"/>
    </xf>
    <xf numFmtId="164" fontId="7" fillId="0" borderId="1" applyAlignment="1" pivotButton="0" quotePrefix="0" xfId="0">
      <alignment horizontal="center" vertical="top" wrapText="1"/>
    </xf>
    <xf numFmtId="9" fontId="5" fillId="18" borderId="1" applyAlignment="1" pivotButton="0" quotePrefix="0" xfId="0">
      <alignment horizontal="center" vertical="top" wrapText="1"/>
    </xf>
    <xf numFmtId="164" fontId="5" fillId="0" borderId="1" applyAlignment="1" pivotButton="0" quotePrefix="0" xfId="0">
      <alignment vertical="top" wrapText="1"/>
    </xf>
    <xf numFmtId="0" fontId="30" fillId="0" borderId="0" applyAlignment="1" pivotButton="0" quotePrefix="0" xfId="0">
      <alignment vertical="center"/>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Start Here'!B98</f>
            </strRef>
          </tx>
          <spPr>
            <a:solidFill xmlns:a="http://schemas.openxmlformats.org/drawingml/2006/main">
              <a:srgbClr val="2E75B6"/>
            </a:solidFill>
            <a:ln xmlns:a="http://schemas.openxmlformats.org/drawingml/2006/main">
              <a:solidFill>
                <a:srgbClr val="2E75B6"/>
              </a:solidFill>
              <a:prstDash val="solid"/>
            </a:ln>
          </spPr>
          <cat>
            <numRef>
              <f>'1. Start Here'!$A$99:$A$103</f>
            </numRef>
          </cat>
          <val>
            <numRef>
              <f>'1. Start Here'!$B$99:$B$103</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The discipline, the same across businesses.</t>
      </text>
    </comment>
    <comment ref="H6" authorId="0" shapeId="0">
      <text>
        <t>Individual Contributor, POD Lead, People Manager, Player-Coach or Consultant.</t>
      </text>
    </comment>
    <comment ref="I6" authorId="0" shapeId="0">
      <text>
        <t>Level in the current structure, or 'Not in current mapping files'.</t>
      </text>
    </comment>
    <comment ref="J6" authorId="0" shapeId="0">
      <text>
        <t>Level on the new ladder after the rules.</t>
      </text>
    </comment>
    <comment ref="K6" authorId="0" shapeId="0">
      <text>
        <t>The generic title of the level on the person's track.</t>
      </text>
    </comment>
    <comment ref="L6" authorId="0" shapeId="0">
      <text>
        <t>Up, same, down · pay and title protected for one cycle or newly mapped.</t>
      </text>
    </comment>
    <comment ref="T6" authorId="0" shapeId="0">
      <text>
        <t>Weighted score = Σ rating × weight, on the 1–12 level scale. Not performance, not pay.</t>
      </text>
    </comment>
    <comment ref="U6" authorId="0" shapeId="0">
      <text>
        <t>The score rounded to the nearest level ·.5 rounds up, before the rules.</t>
      </text>
    </comment>
    <comment ref="AC6" authorId="0" shapeId="0">
      <text>
        <t>Agree / Change / Discuss — your view of this placement.</t>
      </text>
    </comment>
  </commentList>
</comments>
</file>

<file path=xl/comments/comment2.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3.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97</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2__People___Levels" displayName="T_2__People___Levels" ref="A6:AF29" headerRowCount="1">
  <autoFilter ref="A6:AF29"/>
  <tableColumns count="32">
    <tableColumn id="1" name="Emp ID"/>
    <tableColumn id="2" name="Employee name"/>
    <tableColumn id="3" name="Department"/>
    <tableColumn id="4" name="Current designation"/>
    <tableColumn id="5" name="New designation"/>
    <tableColumn id="6" name="Job family"/>
    <tableColumn id="7" name="Sub-family"/>
    <tableColumn id="8" name="Track"/>
    <tableColumn id="9" name="Current level"/>
    <tableColumn id="10" name="NEW LEVEL"/>
    <tableColumn id="11" name="Level title"/>
    <tableColumn id="12" name="Change vs current"/>
    <tableColumn id="13" name="Weight row — Weightage Matrix"/>
    <tableColumn id="14" name="Complexity rating"/>
    <tableColumn id="15" name="Autonomy rating"/>
    <tableColumn id="16" name="Accountab. rating"/>
    <tableColumn id="17" name="Leadership rating"/>
    <tableColumn id="18" name="Exp + Qual rating"/>
    <tableColumn id="19" name="Bus. Impact rating"/>
    <tableColumn id="20" name="Score"/>
    <tableColumn id="21" name="Level the score indicates"/>
    <tableColumn id="22" name="Why this level"/>
    <tableColumn id="23" name="How each factor was rated · rating of 12 — starting point and evidence"/>
    <tableColumn id="24" name="Market comparison"/>
    <tableColumn id="25" name="Data behind the placement"/>
    <tableColumn id="26" name="Points for your attention"/>
    <tableColumn id="27" name="Input still needed — and who provides it"/>
    <tableColumn id="28" name="Business impact — from survey and data"/>
    <tableColumn id="29" name="Your view"/>
    <tableColumn id="30" name="If change: proposed level / designation, and why"/>
    <tableColumn id="31" name="Business impact of this person — your view"/>
    <tableColumn id="32" name="Bus. Impact — model start"/>
  </tableColumns>
  <tableStyleInfo name="TableStyleLight1" showRowStripes="1" showColumnStripes="0"/>
</table>
</file>

<file path=xl/tables/table2.xml><?xml version="1.0" encoding="utf-8"?>
<table xmlns="http://schemas.openxmlformats.org/spreadsheetml/2006/main" id="2" name="T_5__Career_Ladder" displayName="T_5__Career_Ladder" ref="A6:P18" headerRowCount="1">
  <autoFilter ref="A6:P18"/>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onsume · same work in other departments"/>
    <tableColumn id="16" name="Overlap across IRIS · same work in other products"/>
  </tableColumns>
  <tableStyleInfo name="TableStyleLight1" showRowStripes="1" showColumnStripes="0"/>
</table>
</file>

<file path=xl/tables/table3.xml><?xml version="1.0" encoding="utf-8"?>
<table xmlns="http://schemas.openxmlformats.org/spreadsheetml/2006/main" id="3" name="T_6__Weightage_Matrix" displayName="T_6__Weightage_Matrix" ref="A16:T25" headerRowCount="1">
  <autoFilter ref="A16:T25"/>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Start Here'!A1" TargetMode="External" Id="rId1"/></Relationships>
</file>

<file path=xl/worksheets/_rels/sheet2.xml.rels><Relationships xmlns="http://schemas.openxmlformats.org/package/2006/relationships"><Relationship Type="http://schemas.openxmlformats.org/officeDocument/2006/relationships/hyperlink" Target="#'2. People &amp; Levels'!A1" TargetMode="External" Id="rId1"/><Relationship Type="http://schemas.openxmlformats.org/officeDocument/2006/relationships/hyperlink" Target="#'3. Roles'!A1" TargetMode="External" Id="rId2"/><Relationship Type="http://schemas.openxmlformats.org/officeDocument/2006/relationships/hyperlink" Target="#'4. Decisions &amp; Actions'!A1" TargetMode="External" Id="rId3"/><Relationship Type="http://schemas.openxmlformats.org/officeDocument/2006/relationships/hyperlink" Target="#'5. Career Ladder'!A1" TargetMode="External" Id="rId4"/><Relationship Type="http://schemas.openxmlformats.org/officeDocument/2006/relationships/hyperlink" Target="#'6. Weightage Matrix'!A1"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1. Start Here'!A1" TargetMode="External" Id="rId1"/></Relationships>
</file>

<file path=xl/worksheets/_rels/sheet5.xml.rels><Relationships xmlns="http://schemas.openxmlformats.org/package/2006/relationships"><Relationship Type="http://schemas.openxmlformats.org/officeDocument/2006/relationships/hyperlink" Target="#'1. Start Here'!A1" TargetMode="External" Id="rId1"/></Relationships>
</file>

<file path=xl/worksheets/_rels/sheet6.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86" t="inlineStr">
        <is>
          <t>◂ Start Here</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business head's edition for one product: the numbers, every placement, the roles, the decisions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8" t="inlineStr">
        <is>
          <t>#</t>
        </is>
      </c>
      <c r="B6" s="8" t="inlineStr">
        <is>
          <t>Step</t>
        </is>
      </c>
      <c r="C6" s="8" t="inlineStr">
        <is>
          <t>What we did</t>
        </is>
      </c>
      <c r="D6" s="8" t="inlineStr">
        <is>
          <t>What came out of it</t>
        </is>
      </c>
    </row>
    <row r="7" ht="54" customHeight="1">
      <c r="A7" s="26" t="n">
        <v>1</v>
      </c>
      <c r="B7" s="12" t="inlineStr">
        <is>
          <t>Created a base framework</t>
        </is>
      </c>
      <c r="C7" s="12" t="inlineStr">
        <is>
          <t>Built IRIS's job architecture from established market methods — Aon Radford / Mercer career levels, Korn Ferry Hay factors, WTW banding and SFIA — with job families anchored to the ILO occupation standard.</t>
        </is>
      </c>
      <c r="D7" s="12" t="inlineStr">
        <is>
          <t>19 job families, 61 sub-families, a 12-level ladder plus two Player-Coach steps · B+, C+, six factors, individual-contributor and manager tracks</t>
        </is>
      </c>
    </row>
    <row r="8" ht="54" customHeight="1">
      <c r="A8" s="26" t="n">
        <v>2</v>
      </c>
      <c r="B8" s="12" t="inlineStr">
        <is>
          <t>Designed a survey around it</t>
        </is>
      </c>
      <c r="C8" s="12"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2" t="inlineStr">
        <is>
          <t>One evidence form for every role, so each rating can be traced to an answer</t>
        </is>
      </c>
    </row>
    <row r="9" ht="41" customHeight="1">
      <c r="A9" s="26" t="n">
        <v>3</v>
      </c>
      <c r="B9" s="12" t="inlineStr">
        <is>
          <t>Conducted 60–65 workshops</t>
        </is>
      </c>
      <c r="C9" s="12" t="inlineStr">
        <is>
          <t>Ran 60–65 workshops with teams across the six products and Corporate: explained the framework, walked through the questions and collected answers in the room.</t>
        </is>
      </c>
      <c r="D9" s="12" t="inlineStr">
        <is>
          <t>Survey responses from 520 people</t>
        </is>
      </c>
    </row>
    <row r="10" ht="41" customHeight="1">
      <c r="A10" s="26" t="n">
        <v>4</v>
      </c>
      <c r="B10" s="12" t="inlineStr">
        <is>
          <t>Gathered the data</t>
        </is>
      </c>
      <c r="C10" s="12" t="inlineStr">
        <is>
          <t>Combined the survey with the HRIS employee master, KRAs · self and manager-set, the managers' talent mapping · rating, potential, 9-box and the reporting lines.</t>
        </is>
      </c>
      <c r="D10" s="12" t="inlineStr">
        <is>
          <t>One record per person — 586 people; KRAs on file for 453</t>
        </is>
      </c>
    </row>
    <row r="11" ht="41" customHeight="1">
      <c r="A11" s="26" t="n">
        <v>5</v>
      </c>
      <c r="B11" s="12" t="inlineStr">
        <is>
          <t>Cleaned and protected it</t>
        </is>
      </c>
      <c r="C11" s="12" t="inlineStr">
        <is>
          <t>Matched responses to people · with consent where needed, removed personal data, and showed survey content only where three or more role-holders answered — never one person's words against a name.</t>
        </is>
      </c>
      <c r="D11" s="12" t="inlineStr">
        <is>
          <t>Privacy-safe evidence</t>
        </is>
      </c>
    </row>
    <row r="12" ht="28" customHeight="1">
      <c r="A12" s="26" t="n">
        <v>6</v>
      </c>
      <c r="B12" s="12" t="inlineStr">
        <is>
          <t>Mapped every role</t>
        </is>
      </c>
      <c r="C12" s="12" t="inlineStr">
        <is>
          <t>Placed each person in a job family, a sub-family · the work they actually do and a track.</t>
        </is>
      </c>
      <c r="D12" s="12" t="inlineStr">
        <is>
          <t>267 distinct employee roles; one IRIS-wide role catalogue</t>
        </is>
      </c>
    </row>
    <row r="13" ht="54" customHeight="1">
      <c r="A13" s="26" t="n">
        <v>7</v>
      </c>
      <c r="B13" s="12" t="inlineStr">
        <is>
          <t>Rated and scored</t>
        </is>
      </c>
      <c r="C13" s="12" t="inlineStr">
        <is>
          <t>Rated six factors — Complexity, Autonomy, Accountability, Leadership, Experience &amp; Qualification, Business Impact — on the ladder scale from the evidence; rating × weight = points; points add up to a score; the score points to a level.</t>
        </is>
      </c>
      <c r="D13" s="12" t="inlineStr">
        <is>
          <t>A score and an indicated level for 540 employees</t>
        </is>
      </c>
    </row>
    <row r="14" ht="41" customHeight="1">
      <c r="A14" s="26" t="n">
        <v>8</v>
      </c>
      <c r="B14" s="12" t="inlineStr">
        <is>
          <t>Applied the rules</t>
        </is>
      </c>
      <c r="C14" s="12" t="inlineStr">
        <is>
          <t>Gates, limits and Player-Coach steps where the evidence calls for them, and leadership decisions for the top bands — each one written down with its numbers.</t>
        </is>
      </c>
      <c r="D14" s="12" t="inlineStr">
        <is>
          <t>A final level and designation for everyone, every move explained</t>
        </is>
      </c>
    </row>
    <row r="15" ht="41" customHeight="1">
      <c r="A15" s="26" t="n">
        <v>9</v>
      </c>
      <c r="B15" s="12" t="inlineStr">
        <is>
          <t>Benchmarked to the market</t>
        </is>
      </c>
      <c r="C15" s="12" t="inlineStr">
        <is>
          <t>Matched every level to Aon Radford / Mercer codes and SFIA, and to competitor, regtech and SaaS ladders; every source re-read and corrected.</t>
        </is>
      </c>
      <c r="D15" s="12" t="inlineStr">
        <is>
          <t>A market code and a typical market title for every level</t>
        </is>
      </c>
    </row>
    <row r="16" ht="54" customHeight="1">
      <c r="A16" s="26" t="n">
        <v>10</v>
      </c>
      <c r="B16" s="12" t="inlineStr">
        <is>
          <t>Built the file set</t>
        </is>
      </c>
      <c r="C16" s="12" t="inlineStr">
        <is>
          <t>One build produces every file from the same data, so they always agree: the HR Super Master, product masters and simplified editions, the framework &amp; model master, the calibration panel pack, the ladder master and draft letters.</t>
        </is>
      </c>
      <c r="D16" s="12" t="inlineStr">
        <is>
          <t>Files by audience, rebuilt and re-checked in minutes</t>
        </is>
      </c>
    </row>
    <row r="17" ht="28" customHeight="1">
      <c r="A17" s="26" t="n">
        <v>11</v>
      </c>
      <c r="B17" s="12" t="inlineStr">
        <is>
          <t>Reviewed and corrected</t>
        </is>
      </c>
      <c r="C17" s="12" t="inlineStr">
        <is>
          <t>Business-head review, independent reviews, and 100+ automated checks on every build · placements, privacy, formulas, links, counts.</t>
        </is>
      </c>
      <c r="D17" s="12" t="inlineStr">
        <is>
          <t>Corrections fed back as validated inputs, never as hand edits</t>
        </is>
      </c>
    </row>
    <row r="18" ht="15" customHeight="1"/>
    <row r="19" ht="20" customHeight="1">
      <c r="A19" s="6" t="inlineStr">
        <is>
          <t>2. What we are doing now</t>
        </is>
      </c>
      <c r="B19" s="2" t="n"/>
      <c r="C19" s="2" t="n"/>
      <c r="D19" s="2" t="n"/>
    </row>
    <row r="20" ht="15" customHeight="1">
      <c r="A20" s="8" t="inlineStr">
        <is>
          <t>Now</t>
        </is>
      </c>
      <c r="B20" s="9" t="n"/>
      <c r="C20" s="8" t="inlineStr">
        <is>
          <t>What happens</t>
        </is>
      </c>
      <c r="D20" s="8" t="inlineStr">
        <is>
          <t>Who</t>
        </is>
      </c>
    </row>
    <row r="21" ht="28" customHeight="1">
      <c r="A21" s="10" t="inlineStr">
        <is>
          <t>Calibration</t>
        </is>
      </c>
      <c r="B21" s="11" t="n"/>
      <c r="C21" s="12" t="inlineStr">
        <is>
          <t>The panel rates anchor roles blind and compares them with the model; close calls and moves down are decided.</t>
        </is>
      </c>
      <c r="D21" s="12" t="inlineStr">
        <is>
          <t>Calibration panel</t>
        </is>
      </c>
    </row>
    <row r="22" ht="28" customHeight="1">
      <c r="A22" s="10" t="inlineStr">
        <is>
          <t>Decisions and data</t>
        </is>
      </c>
      <c r="B22" s="11" t="n"/>
      <c r="C22" s="12" t="inlineStr">
        <is>
          <t>Open decisions and critical data requests are worked in the HR Super Master's tracker.</t>
        </is>
      </c>
      <c r="D22" s="12" t="inlineStr">
        <is>
          <t>HR, managers, business heads</t>
        </is>
      </c>
    </row>
    <row r="23" ht="28" customHeight="1">
      <c r="A23" s="10" t="inlineStr">
        <is>
          <t>Business-head review</t>
        </is>
      </c>
      <c r="B23" s="11" t="n"/>
      <c r="C23" s="12" t="inlineStr">
        <is>
          <t>Each business head marks Agree / Change / Discuss in their simplified edition; responses are imported and tracked.</t>
        </is>
      </c>
      <c r="D23" s="12" t="inlineStr">
        <is>
          <t>Business heads</t>
        </is>
      </c>
    </row>
    <row r="24" ht="28" customHeight="1">
      <c r="A24" s="10" t="inlineStr">
        <is>
          <t>Sign-off</t>
        </is>
      </c>
      <c r="B24" s="11" t="n"/>
      <c r="C24" s="12" t="inlineStr">
        <is>
          <t>The executive sponsor approves the structure; then the draft letters are issued.</t>
        </is>
      </c>
      <c r="D24" s="12" t="inlineStr">
        <is>
          <t>Executive sponsor, HR</t>
        </is>
      </c>
    </row>
    <row r="25" ht="28" customHeight="1">
      <c r="A25" s="10" t="inlineStr">
        <is>
          <t>Pay · later</t>
        </is>
      </c>
      <c r="B25" s="11" t="n"/>
      <c r="C25" s="12" t="inlineStr">
        <is>
          <t>Buy one India pay survey and price each level; pay columns stay blank until then.</t>
        </is>
      </c>
      <c r="D25" s="12" t="inlineStr">
        <is>
          <t>HR, Finance</t>
        </is>
      </c>
    </row>
    <row r="26" ht="15" customHeight="1"/>
    <row r="27" ht="20" customHeight="1">
      <c r="A27" s="6" t="inlineStr">
        <is>
          <t>3. How it works — in one minute</t>
        </is>
      </c>
      <c r="B27" s="2" t="n"/>
      <c r="C27" s="2" t="n"/>
      <c r="D27" s="2" t="n"/>
    </row>
    <row r="28" ht="15" customHeight="1">
      <c r="A28" s="8" t="inlineStr">
        <is>
          <t>Step</t>
        </is>
      </c>
      <c r="B28" s="9" t="n"/>
      <c r="C28" s="8" t="inlineStr">
        <is>
          <t>In plain words</t>
        </is>
      </c>
      <c r="D28" s="9" t="n"/>
    </row>
    <row r="29" ht="28" customHeight="1">
      <c r="A29" s="10" t="inlineStr">
        <is>
          <t>1 · A building with 12 floors</t>
        </is>
      </c>
      <c r="B29" s="11" t="n"/>
      <c r="C29" s="12"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10" t="inlineStr">
        <is>
          <t>2 · Six judges</t>
        </is>
      </c>
      <c r="B30" s="11" t="n"/>
      <c r="C30" s="12" t="inlineStr">
        <is>
          <t>Six judges look at the job — How hard? Decides alone? Answers for? Leads? Experience? Business impact? — and each holds up a floor number · the rating, using the evidence: survey, KRAs, HRIS, reporting line.</t>
        </is>
      </c>
      <c r="D30" s="11" t="n"/>
    </row>
    <row r="31" ht="28" customHeight="1">
      <c r="A31" s="10" t="inlineStr">
        <is>
          <t>3 · Some count more</t>
        </is>
      </c>
      <c r="B31" s="11" t="n"/>
      <c r="C31" s="12" t="inlineStr">
        <is>
          <t>Starting out, the quality of the work counts most; for leaders, results, leading and business impact count most. Experience counts little. All six add to 100%, and leaders can edit them on the Weightage Matrix.</t>
        </is>
      </c>
      <c r="D31" s="11" t="n"/>
    </row>
    <row r="32" ht="28" customHeight="1">
      <c r="A32" s="10" t="inlineStr">
        <is>
          <t>4 · Add up = the floor</t>
        </is>
      </c>
      <c r="B32" s="11" t="n"/>
      <c r="C32" s="12" t="inlineStr">
        <is>
          <t>Card × how much it counts = points; add the points = the score; round it = the floor · 5.05 → 5 → B2. Fair-play checks can hold it — each one written down.</t>
        </is>
      </c>
      <c r="D32" s="11" t="n"/>
    </row>
    <row r="33" ht="15" customHeight="1"/>
    <row r="34" ht="15" customHeight="1">
      <c r="A34" s="24"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8" t="inlineStr">
        <is>
          <t>Output</t>
        </is>
      </c>
      <c r="B36" s="9" t="n"/>
      <c r="C36" s="9" t="n"/>
      <c r="D36" s="8" t="inlineStr">
        <is>
          <t>Count</t>
        </is>
      </c>
    </row>
    <row r="37" ht="15" customHeight="1">
      <c r="A37" s="10" t="inlineStr">
        <is>
          <t>People mapped · employees + consultants</t>
        </is>
      </c>
      <c r="B37" s="11" t="n"/>
      <c r="C37" s="11" t="n"/>
      <c r="D37" s="26" t="inlineStr">
        <is>
          <t>586</t>
        </is>
      </c>
    </row>
    <row r="38" ht="15" customHeight="1">
      <c r="A38" s="10" t="inlineStr">
        <is>
          <t>Job families · sub-families</t>
        </is>
      </c>
      <c r="B38" s="11" t="n"/>
      <c r="C38" s="11" t="n"/>
      <c r="D38" s="26" t="inlineStr">
        <is>
          <t>19 · 61</t>
        </is>
      </c>
    </row>
    <row r="39" ht="15" customHeight="1">
      <c r="A39" s="10" t="inlineStr">
        <is>
          <t>Ladder steps in use · employees</t>
        </is>
      </c>
      <c r="B39" s="11" t="n"/>
      <c r="C39" s="11" t="n"/>
      <c r="D39" s="26" t="n">
        <v>13</v>
      </c>
    </row>
    <row r="40" ht="15" customHeight="1">
      <c r="A40" s="10" t="inlineStr">
        <is>
          <t>Designations on the new ladder · employees</t>
        </is>
      </c>
      <c r="B40" s="11" t="n"/>
      <c r="C40" s="11" t="n"/>
      <c r="D40" s="26" t="n">
        <v>184</v>
      </c>
    </row>
    <row r="41" ht="15" customHeight="1">
      <c r="A41" s="10" t="inlineStr">
        <is>
          <t>Distinct employee roles</t>
        </is>
      </c>
      <c r="B41" s="11" t="n"/>
      <c r="C41" s="11" t="n"/>
      <c r="D41" s="26" t="n">
        <v>267</v>
      </c>
    </row>
    <row r="42" ht="15" customHeight="1">
      <c r="A42" s="10" t="inlineStr">
        <is>
          <t>Products and Corporate</t>
        </is>
      </c>
      <c r="B42" s="11" t="n"/>
      <c r="C42" s="11" t="n"/>
      <c r="D42" s="26" t="n">
        <v>6</v>
      </c>
    </row>
    <row r="43" ht="15" customHeight="1">
      <c r="A43" s="10" t="inlineStr">
        <is>
          <t>People in leadership bands D–E</t>
        </is>
      </c>
      <c r="B43" s="11" t="n"/>
      <c r="C43" s="11" t="n"/>
      <c r="D43" s="26" t="n">
        <v>11</v>
      </c>
    </row>
    <row r="44" ht="15" customHeight="1"/>
    <row r="45" ht="20" customHeight="1">
      <c r="A45" s="6" t="inlineStr">
        <is>
          <t>5. The impact</t>
        </is>
      </c>
      <c r="B45" s="2" t="n"/>
      <c r="C45" s="2" t="n"/>
      <c r="D45" s="2" t="n"/>
    </row>
    <row r="46" ht="15" customHeight="1">
      <c r="A46" s="8" t="inlineStr">
        <is>
          <t>Impact</t>
        </is>
      </c>
      <c r="B46" s="9" t="n"/>
      <c r="C46" s="8" t="inlineStr">
        <is>
          <t>What it means</t>
        </is>
      </c>
      <c r="D46" s="9" t="n"/>
    </row>
    <row r="47" ht="28" customHeight="1">
      <c r="A47" s="10" t="inlineStr">
        <is>
          <t>One architecture for all of IRIS</t>
        </is>
      </c>
      <c r="B47" s="11" t="n"/>
      <c r="C47" s="12" t="inlineStr">
        <is>
          <t>The same families, the same ladder and the same method in every product — titles mean the same thing everywhere.</t>
        </is>
      </c>
      <c r="D47" s="11" t="n"/>
    </row>
    <row r="48" ht="15" customHeight="1">
      <c r="A48" s="10" t="inlineStr">
        <is>
          <t>Transparent, explainable levels</t>
        </is>
      </c>
      <c r="B48" s="11" t="n"/>
      <c r="C48" s="12" t="inlineStr">
        <is>
          <t>Every level traces to evidence, ratings, weights and named rules; anyone can see why a role sits where it does.</t>
        </is>
      </c>
      <c r="D48" s="11" t="n"/>
    </row>
    <row r="49" ht="28" customHeight="1">
      <c r="A49" s="10" t="inlineStr">
        <is>
          <t>Clear career paths</t>
        </is>
      </c>
      <c r="B49" s="11" t="n"/>
      <c r="C49" s="12" t="inlineStr">
        <is>
          <t>Individual-contributor and manager tracks with a ladder in every sub-family, and the competencies needed for the next step.</t>
        </is>
      </c>
      <c r="D49" s="11" t="n"/>
    </row>
    <row r="50" ht="28" customHeight="1">
      <c r="A50" s="10" t="inlineStr">
        <is>
          <t>Duplication made visible</t>
        </is>
      </c>
      <c r="B50" s="11" t="n"/>
      <c r="C50" s="12" t="inlineStr">
        <is>
          <t>53 family × sub-family × level combinations are held in more than one product — candidates for common role definitions and shared pools.</t>
        </is>
      </c>
      <c r="D50" s="11" t="n"/>
    </row>
    <row r="51" ht="28" customHeight="1">
      <c r="A51" s="10" t="inlineStr">
        <is>
          <t>Leadership consistency</t>
        </is>
      </c>
      <c r="B51" s="11" t="n"/>
      <c r="C51" s="12" t="inlineStr">
        <is>
          <t>No one in Bands D–E sits above their reporting manager, anyone in Band D reporting to an E1 / E2 sits at D2, and leadership levels are set by approved decisions.</t>
        </is>
      </c>
      <c r="D51" s="11" t="n"/>
    </row>
    <row r="52" ht="15" customHeight="1">
      <c r="A52" s="10" t="inlineStr">
        <is>
          <t>Ready for pay and planning</t>
        </is>
      </c>
      <c r="B52" s="11" t="n"/>
      <c r="C52" s="12"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8" t="inlineStr">
        <is>
          <t>Element</t>
        </is>
      </c>
      <c r="B55" s="8" t="inlineStr">
        <is>
          <t>What it is</t>
        </is>
      </c>
      <c r="C55" s="9" t="n"/>
      <c r="D55" s="9" t="n"/>
    </row>
    <row r="56" ht="41" customHeight="1">
      <c r="A56" s="10" t="inlineStr">
        <is>
          <t>Job families</t>
        </is>
      </c>
      <c r="B56" s="12" t="inlineStr">
        <is>
          <t>19 families of work, each anchored to the ILO occupation standard — the same in every product.</t>
        </is>
      </c>
      <c r="C56" s="11" t="n"/>
      <c r="D56" s="11" t="n"/>
    </row>
    <row r="57" ht="41" customHeight="1">
      <c r="A57" s="10" t="inlineStr">
        <is>
          <t>Sub-families</t>
        </is>
      </c>
      <c r="B57" s="12" t="inlineStr">
        <is>
          <t>61 sub-families: the work a person actually does inside a family. One definition each, used everywhere.</t>
        </is>
      </c>
      <c r="C57" s="11" t="n"/>
      <c r="D57" s="11" t="n"/>
    </row>
    <row r="58" ht="41" customHeight="1">
      <c r="A58" s="10" t="inlineStr">
        <is>
          <t>Career ladder</t>
        </is>
      </c>
      <c r="B58" s="12"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10" t="inlineStr">
        <is>
          <t>Tracks</t>
        </is>
      </c>
      <c r="B59" s="12" t="inlineStr">
        <is>
          <t>Individual contributor, POD Lead · leads 1–3 while doing the work, Player-Coach · leads and delivers, People Manager, Consultant — experts progress without having to manage.</t>
        </is>
      </c>
      <c r="C59" s="11" t="n"/>
      <c r="D59" s="11" t="n"/>
    </row>
    <row r="60" ht="28" customHeight="1">
      <c r="A60" s="10" t="inlineStr">
        <is>
          <t>Six factors</t>
        </is>
      </c>
      <c r="B60" s="12"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10" t="inlineStr">
        <is>
          <t>Weights</t>
        </is>
      </c>
      <c r="B61" s="12" t="inlineStr">
        <is>
          <t>How much each factor counts, by band and track · junior roles: skill and experience; senior roles: accountability and leadership, fine-tuned ±5 by type of work.</t>
        </is>
      </c>
      <c r="C61" s="11" t="n"/>
      <c r="D61" s="11" t="n"/>
    </row>
    <row r="62" ht="28" customHeight="1">
      <c r="A62" s="10" t="inlineStr">
        <is>
          <t>Rules</t>
        </is>
      </c>
      <c r="B62" s="12"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10" t="inlineStr">
        <is>
          <t>Titles</t>
        </is>
      </c>
      <c r="B63" s="12" t="inlineStr">
        <is>
          <t>Level marker + role noun; market titles where the market has its own ladder · Product Manager, Account Executive.</t>
        </is>
      </c>
      <c r="C63" s="11" t="n"/>
      <c r="D63" s="11" t="n"/>
    </row>
    <row r="64" ht="41" customHeight="1">
      <c r="A64" s="10" t="inlineStr">
        <is>
          <t>Competencies</t>
        </is>
      </c>
      <c r="B64" s="12" t="inlineStr">
        <is>
          <t>6 core and 4 future-ready for everyone, 4 leadership for leaders, and functional competencies for each family — each with a 1–5 skill level required at every career level.</t>
        </is>
      </c>
      <c r="C64" s="11" t="n"/>
      <c r="D64" s="11" t="n"/>
    </row>
    <row r="65" ht="28" customHeight="1">
      <c r="A65" s="10" t="inlineStr">
        <is>
          <t>Market link</t>
        </is>
      </c>
      <c r="B65" s="12"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8" t="inlineStr">
        <is>
          <t>#</t>
        </is>
      </c>
      <c r="B68" s="8" t="inlineStr">
        <is>
          <t>Step</t>
        </is>
      </c>
      <c r="C68" s="8" t="inlineStr">
        <is>
          <t>What happens</t>
        </is>
      </c>
      <c r="D68" s="9" t="n"/>
    </row>
    <row r="69" ht="15" customHeight="1">
      <c r="A69" s="26" t="n">
        <v>1</v>
      </c>
      <c r="B69" s="12" t="inlineStr">
        <is>
          <t>Define families</t>
        </is>
      </c>
      <c r="C69" s="12" t="inlineStr">
        <is>
          <t>Group all work into job families anchored to ISCO-08, so the same work has the same name everywhere.</t>
        </is>
      </c>
      <c r="D69" s="11" t="n"/>
    </row>
    <row r="70" ht="15" customHeight="1">
      <c r="A70" s="26" t="n">
        <v>2</v>
      </c>
      <c r="B70" s="12" t="inlineStr">
        <is>
          <t>Define sub-families</t>
        </is>
      </c>
      <c r="C70" s="12" t="inlineStr">
        <is>
          <t>Split each family into the distinct kinds of work people do, from the survey and role data.</t>
        </is>
      </c>
      <c r="D70" s="11" t="n"/>
    </row>
    <row r="71" ht="28" customHeight="1">
      <c r="A71" s="26" t="n">
        <v>3</v>
      </c>
      <c r="B71" s="12" t="inlineStr">
        <is>
          <t>Set the ladder and bands</t>
        </is>
      </c>
      <c r="C71" s="12" t="inlineStr">
        <is>
          <t>One 12-level ladder with five bands and two Player-Coach steps; what each level owns, its experience range and span.</t>
        </is>
      </c>
      <c r="D71" s="11" t="n"/>
    </row>
    <row r="72" ht="28" customHeight="1">
      <c r="A72" s="26" t="n">
        <v>4</v>
      </c>
      <c r="B72" s="12" t="inlineStr">
        <is>
          <t>Set the tracks</t>
        </is>
      </c>
      <c r="C72" s="12" t="inlineStr">
        <is>
          <t>IC, POD Lead, Player-Coach, People Manager, Consultant — and the rules for each.</t>
        </is>
      </c>
      <c r="D72" s="11" t="n"/>
    </row>
    <row r="73" ht="15" customHeight="1">
      <c r="A73" s="26" t="n">
        <v>5</v>
      </c>
      <c r="B73" s="12" t="inlineStr">
        <is>
          <t>Level every role</t>
        </is>
      </c>
      <c r="C73" s="12" t="inlineStr">
        <is>
          <t>Six ratings × weights → score → level, then the rules; leadership levels by approved decision.</t>
        </is>
      </c>
      <c r="D73" s="11" t="n"/>
    </row>
    <row r="74" ht="15" customHeight="1">
      <c r="A74" s="26" t="n">
        <v>6</v>
      </c>
      <c r="B74" s="12" t="inlineStr">
        <is>
          <t>Name every role</t>
        </is>
      </c>
      <c r="C74" s="12" t="inlineStr">
        <is>
          <t>Designation = level marker + role noun; title protection for anyone moving down.</t>
        </is>
      </c>
      <c r="D74" s="11" t="n"/>
    </row>
    <row r="75" ht="15" customHeight="1">
      <c r="A75" s="26" t="n">
        <v>7</v>
      </c>
      <c r="B75" s="12" t="inlineStr">
        <is>
          <t>Benchmark</t>
        </is>
      </c>
      <c r="C75" s="12" t="inlineStr">
        <is>
          <t>Crosswalk every level to Radford / Mercer and SFIA; compare with competitor and peer ladders.</t>
        </is>
      </c>
      <c r="D75" s="11" t="n"/>
    </row>
    <row r="76" ht="15" customHeight="1">
      <c r="A76" s="26" t="n">
        <v>8</v>
      </c>
      <c r="B76" s="12" t="inlineStr">
        <is>
          <t>Govern</t>
        </is>
      </c>
      <c r="C76" s="12"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8" t="inlineStr">
        <is>
          <t>#</t>
        </is>
      </c>
      <c r="B79" s="8" t="inlineStr">
        <is>
          <t>Step</t>
        </is>
      </c>
      <c r="C79" s="8" t="inlineStr">
        <is>
          <t>What happens</t>
        </is>
      </c>
      <c r="D79" s="9" t="n"/>
    </row>
    <row r="80" ht="15" customHeight="1">
      <c r="A80" s="26" t="n">
        <v>1</v>
      </c>
      <c r="B80" s="12" t="inlineStr">
        <is>
          <t>Purpose</t>
        </is>
      </c>
      <c r="C80" s="12" t="inlineStr">
        <is>
          <t>Why the role exists — from the sub-family definition and the level standard.</t>
        </is>
      </c>
      <c r="D80" s="11" t="n"/>
    </row>
    <row r="81" ht="28" customHeight="1">
      <c r="A81" s="26" t="n">
        <v>2</v>
      </c>
      <c r="B81" s="12" t="inlineStr">
        <is>
          <t>Responsibilities and deliverables</t>
        </is>
      </c>
      <c r="C81" s="12" t="inlineStr">
        <is>
          <t>What the role does and produces — from role-holders' survey answers · as counted themes and KRAs.</t>
        </is>
      </c>
      <c r="D81" s="11" t="n"/>
    </row>
    <row r="82" ht="28" customHeight="1">
      <c r="A82" s="26" t="n">
        <v>3</v>
      </c>
      <c r="B82" s="12" t="inlineStr">
        <is>
          <t>Accountability and decision rights</t>
        </is>
      </c>
      <c r="C82" s="12" t="inlineStr">
        <is>
          <t>What the role answers for, what it can decide alone, and what happens if the work is missed.</t>
        </is>
      </c>
      <c r="D82" s="11" t="n"/>
    </row>
    <row r="83" ht="15" customHeight="1">
      <c r="A83" s="26" t="n">
        <v>4</v>
      </c>
      <c r="B83" s="12" t="inlineStr">
        <is>
          <t>Measures</t>
        </is>
      </c>
      <c r="C83" s="12" t="inlineStr">
        <is>
          <r>
            <rPr>
              <rFont val="Calibri"/>
              <b val="1"/>
              <sz val="10"/>
            </rPr>
            <t>Manager-set KRAs:</t>
          </r>
          <r>
            <rPr>
              <rFont val="Calibri"/>
              <sz val="10"/>
            </rPr>
            <t xml:space="preserve"> how the role is judged.</t>
          </r>
        </is>
      </c>
      <c r="D83" s="11" t="n"/>
    </row>
    <row r="84" ht="15" customHeight="1">
      <c r="A84" s="26" t="n">
        <v>5</v>
      </c>
      <c r="B84" s="12" t="inlineStr">
        <is>
          <t>Competencies and skill level</t>
        </is>
      </c>
      <c r="C84" s="12" t="inlineStr">
        <is>
          <t>The core, future-ready, functional and leadership competencies the role needs, each at a 1–5 level.</t>
        </is>
      </c>
      <c r="D84" s="11" t="n"/>
    </row>
    <row r="85" ht="15" customHeight="1">
      <c r="A85" s="26" t="n">
        <v>6</v>
      </c>
      <c r="B85" s="12" t="inlineStr">
        <is>
          <t>Role profile and catalogue</t>
        </is>
      </c>
      <c r="C85" s="12" t="inlineStr">
        <is>
          <t>One IRIS-wide catalogue entry per family × sub-family × level × track — the shared description of the job.</t>
        </is>
      </c>
      <c r="D85" s="11" t="n"/>
    </row>
    <row r="86" ht="15" customHeight="1">
      <c r="A86" s="26" t="n">
        <v>7</v>
      </c>
      <c r="B86" s="12" t="inlineStr">
        <is>
          <t>Career ladder</t>
        </is>
      </c>
      <c r="C86" s="12" t="inlineStr">
        <is>
          <t>Where the role sits in its sub-family's ladder, the next step and what it takes.</t>
        </is>
      </c>
      <c r="D86" s="11" t="n"/>
    </row>
    <row r="87" ht="28" customHeight="1">
      <c r="A87" s="26" t="n">
        <v>8</v>
      </c>
      <c r="B87" s="12" t="inlineStr">
        <is>
          <t>Recruitment profile</t>
        </is>
      </c>
      <c r="C87" s="12"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N121"/>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1" t="inlineStr">
        <is>
          <t>Consume — Job Architecture: simplified product edition · for the business head</t>
        </is>
      </c>
    </row>
    <row r="2" ht="32" customHeight="1">
      <c r="A2" s="3" t="inlineStr">
        <is>
          <r>
            <rPr>
              <rFont val="Calibri"/>
              <b val="1"/>
              <i val="1"/>
              <color rgb="00404040"/>
              <sz val="10"/>
            </rPr>
            <t>Six sheets after the Start page, complete in themselves:</t>
          </r>
          <r>
            <rPr>
              <rFont val="Calibri"/>
              <i val="1"/>
              <color rgb="00404040"/>
              <sz val="10"/>
            </rPr>
            <t xml:space="preserve"> who sits where and exactly why, what each role is, what we need you to decide, the career ladder and the weightage matrix you can edit. Read this page first; every term and colour used in the workbook is explained here.</t>
          </r>
        </is>
      </c>
    </row>
    <row r="3">
      <c r="A3" s="4" t="inlineStr">
        <is>
          <t>IRIS · Job Architecture &amp; Job Design · Final v1.12 · October 2026 · Internal — Confidential</t>
        </is>
      </c>
    </row>
    <row r="4" ht="15" customHeight="1"/>
    <row r="5" ht="20" customHeight="1">
      <c r="A5" s="6" t="inlineStr">
        <is>
          <t>1. What this is, and what we ask of you</t>
        </is>
      </c>
    </row>
    <row r="6" ht="41" customHeight="1">
      <c r="A6" s="7" t="inlineStr">
        <is>
          <t>Every one of the 23 people in Consume has been placed on IRIS's new career ladder: a job family and sub-family · the work they do, a level · the size of the role and a designation · level marker + role noun. Each placement follows one published model — the same for every business — and every number behind it is shown on sheet 2. Nothing here changes pay: pay is set later, and any move down is protected for one cycle.</t>
        </is>
      </c>
    </row>
    <row r="7" ht="15" customHeight="1">
      <c r="A7" s="8" t="inlineStr">
        <is>
          <t>Sheet</t>
        </is>
      </c>
      <c r="B7" s="75" t="n"/>
      <c r="C7" s="76" t="n"/>
      <c r="D7" s="8" t="inlineStr">
        <is>
          <t>What it gives you</t>
        </is>
      </c>
      <c r="E7" s="75" t="n"/>
      <c r="F7" s="75" t="n"/>
      <c r="G7" s="75" t="n"/>
      <c r="H7" s="75" t="n"/>
      <c r="I7" s="75" t="n"/>
      <c r="J7" s="76" t="n"/>
      <c r="K7" s="8" t="inlineStr">
        <is>
          <t>What to do</t>
        </is>
      </c>
      <c r="L7" s="75" t="n"/>
      <c r="M7" s="75" t="n"/>
      <c r="N7" s="76" t="n"/>
    </row>
    <row r="8" ht="28" customHeight="1">
      <c r="A8" s="10" t="inlineStr">
        <is>
          <t>1. Start Here</t>
        </is>
      </c>
      <c r="B8" s="75" t="n"/>
      <c r="C8" s="76" t="n"/>
      <c r="D8" s="12" t="inlineStr">
        <is>
          <r>
            <rPr>
              <rFont val="Calibri"/>
              <b val="1"/>
              <sz val="10"/>
            </rPr>
            <t>This page:</t>
          </r>
          <r>
            <rPr>
              <rFont val="Calibri"/>
              <sz val="10"/>
            </rPr>
            <t xml:space="preserve"> the numbers, the ladder, how a level is worked out, the rules, colours and terms</t>
          </r>
        </is>
      </c>
      <c r="E8" s="75" t="n"/>
      <c r="F8" s="75" t="n"/>
      <c r="G8" s="75" t="n"/>
      <c r="H8" s="75" t="n"/>
      <c r="I8" s="75" t="n"/>
      <c r="J8" s="76" t="n"/>
      <c r="K8" s="12" t="inlineStr">
        <is>
          <t>Read first</t>
        </is>
      </c>
      <c r="L8" s="75" t="n"/>
      <c r="M8" s="75" t="n"/>
      <c r="N8" s="76" t="n"/>
    </row>
    <row r="9" ht="41" customHeight="1">
      <c r="A9" s="87" t="inlineStr">
        <is>
          <t>2. People &amp; Levels</t>
        </is>
      </c>
      <c r="B9" s="75" t="n"/>
      <c r="C9" s="76" t="n"/>
      <c r="D9" s="12" t="inlineStr">
        <is>
          <r>
            <rPr>
              <rFont val="Calibri"/>
              <b val="1"/>
              <sz val="10"/>
            </rPr>
            <t>Every person:</t>
          </r>
          <r>
            <rPr>
              <rFont val="Calibri"/>
              <sz val="10"/>
            </rPr>
            <t xml:space="preserve"> role before → after, score, the full reason for the level, each factor's rating and why, the market comparison, the data behind it, points for attention, inputs still needed</t>
          </r>
        </is>
      </c>
      <c r="E9" s="75" t="n"/>
      <c r="F9" s="75" t="n"/>
      <c r="G9" s="75" t="n"/>
      <c r="H9" s="75" t="n"/>
      <c r="I9" s="75" t="n"/>
      <c r="J9" s="76" t="n"/>
      <c r="K9" s="12" t="inlineStr">
        <is>
          <t>For each person, mark Agree / Change / Discuss in the yellow column; give the reason for any change</t>
        </is>
      </c>
      <c r="L9" s="75" t="n"/>
      <c r="M9" s="75" t="n"/>
      <c r="N9" s="76" t="n"/>
    </row>
    <row r="10" ht="41" customHeight="1">
      <c r="A10" s="87" t="inlineStr">
        <is>
          <t>3. Roles</t>
        </is>
      </c>
      <c r="B10" s="75" t="n"/>
      <c r="C10" s="76" t="n"/>
      <c r="D10" s="12" t="inlineStr">
        <is>
          <r>
            <rPr>
              <rFont val="Calibri"/>
              <b val="1"/>
              <sz val="10"/>
            </rPr>
            <t>Every role held here, as defined once for all of IRIS:</t>
          </r>
          <r>
            <rPr>
              <rFont val="Calibri"/>
              <sz val="10"/>
            </rPr>
            <t xml:space="preserve"> purpose, responsibilities, decisions, KRAs, skills, what the level requires, competencies, market, next step</t>
          </r>
        </is>
      </c>
      <c r="E10" s="75" t="n"/>
      <c r="F10" s="75" t="n"/>
      <c r="G10" s="75" t="n"/>
      <c r="H10" s="75" t="n"/>
      <c r="I10" s="75" t="n"/>
      <c r="J10" s="76" t="n"/>
      <c r="K10" s="12" t="inlineStr">
        <is>
          <t>Check the role descriptions match the work</t>
        </is>
      </c>
      <c r="L10" s="75" t="n"/>
      <c r="M10" s="75" t="n"/>
      <c r="N10" s="76" t="n"/>
    </row>
    <row r="11" ht="28" customHeight="1">
      <c r="A11" s="87" t="inlineStr">
        <is>
          <t>4. Decisions &amp; Actions</t>
        </is>
      </c>
      <c r="B11" s="75" t="n"/>
      <c r="C11" s="76" t="n"/>
      <c r="D11" s="12" t="inlineStr">
        <is>
          <t>Placements that need a decision, inputs still needed by owner, how the structure changed, what happens next</t>
        </is>
      </c>
      <c r="E11" s="75" t="n"/>
      <c r="F11" s="75" t="n"/>
      <c r="G11" s="75" t="n"/>
      <c r="H11" s="75" t="n"/>
      <c r="I11" s="75" t="n"/>
      <c r="J11" s="76" t="n"/>
      <c r="K11" s="12" t="inlineStr">
        <is>
          <t>Decide or supply what is marked red</t>
        </is>
      </c>
      <c r="L11" s="75" t="n"/>
      <c r="M11" s="75" t="n"/>
      <c r="N11" s="76" t="n"/>
    </row>
    <row r="12" ht="41" customHeight="1">
      <c r="A12" s="87" t="inlineStr">
        <is>
          <t>5. Career Ladder</t>
        </is>
      </c>
      <c r="B12" s="75" t="n"/>
      <c r="C12" s="76" t="n"/>
      <c r="D12" s="12" t="inlineStr">
        <is>
          <t>Department → band → level by job family, sub-family and designation: the ladder in each sub-family, the competencies each role requires, and where the same work sits in other departments or other products</t>
        </is>
      </c>
      <c r="E12" s="75" t="n"/>
      <c r="F12" s="75" t="n"/>
      <c r="G12" s="75" t="n"/>
      <c r="H12" s="75" t="n"/>
      <c r="I12" s="75" t="n"/>
      <c r="J12" s="76" t="n"/>
      <c r="K12" s="12" t="inlineStr">
        <is>
          <t>Check the ladder and titles; note duplicated roles</t>
        </is>
      </c>
      <c r="L12" s="75" t="n"/>
      <c r="M12" s="75" t="n"/>
      <c r="N12" s="76" t="n"/>
    </row>
    <row r="13" ht="41" customHeight="1">
      <c r="A13" s="87" t="inlineStr">
        <is>
          <t>6. Weightage Matrix</t>
        </is>
      </c>
      <c r="B13" s="75" t="n"/>
      <c r="C13" s="76" t="n"/>
      <c r="D13" s="12" t="inlineStr">
        <is>
          <t>How much each of the six factors counts, by department and role group, with a guide to weighting and rating. Sheet 2 scores recalculate when you edit it</t>
        </is>
      </c>
      <c r="E13" s="75" t="n"/>
      <c r="F13" s="75" t="n"/>
      <c r="G13" s="75" t="n"/>
      <c r="H13" s="75" t="n"/>
      <c r="I13" s="75" t="n"/>
      <c r="J13" s="76" t="n"/>
      <c r="K13" s="12" t="inlineStr">
        <is>
          <t>Adjust the yellow weights where your department judges roles differently; say why</t>
        </is>
      </c>
      <c r="L13" s="75" t="n"/>
      <c r="M13" s="75" t="n"/>
      <c r="N13" s="76" t="n"/>
    </row>
    <row r="14" ht="15" customHeight="1"/>
    <row r="15" ht="20" customHeight="1">
      <c r="A15" s="6" t="inlineStr">
        <is>
          <t>2. The numbers</t>
        </is>
      </c>
    </row>
    <row r="16" ht="15" customHeight="1">
      <c r="A16" s="13" t="inlineStr">
        <is>
          <t>People</t>
        </is>
      </c>
      <c r="B16" s="76" t="n"/>
      <c r="C16" s="13" t="inlineStr">
        <is>
          <t>Departments</t>
        </is>
      </c>
      <c r="D16" s="76" t="n"/>
      <c r="E16" s="13" t="inlineStr">
        <is>
          <t>Roles</t>
        </is>
      </c>
      <c r="F16" s="76" t="n"/>
      <c r="G16" s="13" t="inlineStr">
        <is>
          <t>Levels in use</t>
        </is>
      </c>
      <c r="H16" s="76" t="n"/>
      <c r="I16" s="13" t="inlineStr">
        <is>
          <t>Level up</t>
        </is>
      </c>
      <c r="J16" s="76" t="n"/>
      <c r="K16" s="13" t="inlineStr">
        <is>
          <t>Same level</t>
        </is>
      </c>
      <c r="L16" s="76" t="n"/>
      <c r="M16" s="13" t="inlineStr">
        <is>
          <t>Level down · protected</t>
        </is>
      </c>
      <c r="N16" s="76" t="n"/>
    </row>
    <row r="17" ht="30" customHeight="1">
      <c r="A17" s="14" t="n">
        <v>23</v>
      </c>
      <c r="B17" s="76" t="n"/>
      <c r="C17" s="14" t="n">
        <v>3</v>
      </c>
      <c r="D17" s="76" t="n"/>
      <c r="E17" s="14" t="n">
        <v>12</v>
      </c>
      <c r="F17" s="76" t="n"/>
      <c r="G17" s="14" t="n">
        <v>5</v>
      </c>
      <c r="H17" s="76" t="n"/>
      <c r="I17" s="14" t="n">
        <v>17</v>
      </c>
      <c r="J17" s="76" t="n"/>
      <c r="K17" s="14" t="n">
        <v>5</v>
      </c>
      <c r="L17" s="76" t="n"/>
      <c r="M17" s="14" t="n">
        <v>1</v>
      </c>
      <c r="N17" s="76" t="n"/>
    </row>
    <row r="18" ht="15" customHeight="1">
      <c r="A18" s="13" t="inlineStr">
        <is>
          <t>Newly mapped</t>
        </is>
      </c>
      <c r="B18" s="76" t="n"/>
      <c r="C18" s="13" t="inlineStr">
        <is>
          <t>Player-Coaches</t>
        </is>
      </c>
      <c r="D18" s="76" t="n"/>
      <c r="E18" s="13" t="inlineStr">
        <is>
          <t>Close calls</t>
        </is>
      </c>
      <c r="F18" s="76" t="n"/>
      <c r="G18" s="13" t="inlineStr">
        <is>
          <t>Near a gate</t>
        </is>
      </c>
      <c r="H18" s="76" t="n"/>
      <c r="I18" s="13" t="inlineStr">
        <is>
          <t>People needing an input</t>
        </is>
      </c>
      <c r="J18" s="76" t="n"/>
      <c r="K18" s="13" t="inlineStr">
        <is>
          <t>Consultants</t>
        </is>
      </c>
      <c r="L18" s="76" t="n"/>
    </row>
    <row r="19" ht="30" customHeight="1">
      <c r="A19" s="14" t="n">
        <v>0</v>
      </c>
      <c r="B19" s="76" t="n"/>
      <c r="C19" s="14" t="n">
        <v>0</v>
      </c>
      <c r="D19" s="76" t="n"/>
      <c r="E19" s="14" t="n">
        <v>2</v>
      </c>
      <c r="F19" s="76" t="n"/>
      <c r="G19" s="14" t="n">
        <v>1</v>
      </c>
      <c r="H19" s="76" t="n"/>
      <c r="I19" s="14" t="n">
        <v>4</v>
      </c>
      <c r="J19" s="76" t="n"/>
      <c r="K19" s="14" t="n">
        <v>0</v>
      </c>
      <c r="L19" s="76" t="n"/>
    </row>
    <row r="20" ht="15" customHeight="1"/>
    <row r="21" ht="20" customHeight="1">
      <c r="A21" s="6" t="inlineStr">
        <is>
          <t>3. The career ladder — what each level means · bottom to top</t>
        </is>
      </c>
    </row>
    <row r="22" ht="28" customHeight="1">
      <c r="A22" s="8" t="inlineStr">
        <is>
          <t>Level</t>
        </is>
      </c>
      <c r="B22" s="8" t="inlineStr">
        <is>
          <t>IC title</t>
        </is>
      </c>
      <c r="C22" s="76" t="n"/>
      <c r="D22" s="8" t="inlineStr">
        <is>
          <t>Manager title</t>
        </is>
      </c>
      <c r="E22" s="76" t="n"/>
      <c r="F22" s="8" t="inlineStr">
        <is>
          <t>What a role at this level owns</t>
        </is>
      </c>
      <c r="G22" s="75" t="n"/>
      <c r="H22" s="75" t="n"/>
      <c r="I22" s="75" t="n"/>
      <c r="J22" s="75" t="n"/>
      <c r="K22" s="76" t="n"/>
      <c r="L22" s="8" t="inlineStr">
        <is>
          <t>Typical experience</t>
        </is>
      </c>
      <c r="M22" s="76" t="n"/>
      <c r="N22" s="8" t="inlineStr">
        <is>
          <t>People here</t>
        </is>
      </c>
    </row>
    <row r="23" ht="15" customHeight="1">
      <c r="A23" s="16" t="inlineStr">
        <is>
          <t>A2</t>
        </is>
      </c>
      <c r="B23" s="17" t="inlineStr">
        <is>
          <t>Associate</t>
        </is>
      </c>
      <c r="C23" s="76" t="n"/>
      <c r="D23" s="17" t="inlineStr">
        <is>
          <t>Same path</t>
        </is>
      </c>
      <c r="E23" s="76" t="n"/>
      <c r="F23" s="17" t="inlineStr">
        <is>
          <t>Standard work delivered independently</t>
        </is>
      </c>
      <c r="G23" s="75" t="n"/>
      <c r="H23" s="75" t="n"/>
      <c r="I23" s="75" t="n"/>
      <c r="J23" s="75" t="n"/>
      <c r="K23" s="76" t="n"/>
      <c r="L23" s="19" t="inlineStr">
        <is>
          <t>0–2 yrs</t>
        </is>
      </c>
      <c r="M23" s="76" t="n"/>
      <c r="N23" s="19" t="n">
        <v>1</v>
      </c>
    </row>
    <row r="24" ht="15" customHeight="1">
      <c r="A24" s="16" t="inlineStr">
        <is>
          <t>A3</t>
        </is>
      </c>
      <c r="B24" s="17" t="inlineStr">
        <is>
          <t>Senior Associate</t>
        </is>
      </c>
      <c r="C24" s="76" t="n"/>
      <c r="D24" s="17" t="inlineStr">
        <is>
          <t>Same path</t>
        </is>
      </c>
      <c r="E24" s="76" t="n"/>
      <c r="F24" s="17" t="inlineStr">
        <is>
          <t>Varied work; reviews juniors; go-to for a process</t>
        </is>
      </c>
      <c r="G24" s="75" t="n"/>
      <c r="H24" s="75" t="n"/>
      <c r="I24" s="75" t="n"/>
      <c r="J24" s="75" t="n"/>
      <c r="K24" s="76" t="n"/>
      <c r="L24" s="19" t="inlineStr">
        <is>
          <t>2–4 yrs</t>
        </is>
      </c>
      <c r="M24" s="76" t="n"/>
      <c r="N24" s="19" t="n">
        <v>15</v>
      </c>
    </row>
    <row r="25" ht="15" customHeight="1">
      <c r="A25" s="20" t="inlineStr">
        <is>
          <t>B1</t>
        </is>
      </c>
      <c r="B25" s="21" t="inlineStr">
        <is>
          <t>Specialist</t>
        </is>
      </c>
      <c r="C25" s="76" t="n"/>
      <c r="D25" s="21" t="inlineStr">
        <is>
          <t>Team Lead</t>
        </is>
      </c>
      <c r="E25" s="76" t="n"/>
      <c r="F25" s="21" t="inlineStr">
        <is>
          <t>A domain / module, or a small team</t>
        </is>
      </c>
      <c r="G25" s="75" t="n"/>
      <c r="H25" s="75" t="n"/>
      <c r="I25" s="75" t="n"/>
      <c r="J25" s="75" t="n"/>
      <c r="K25" s="76" t="n"/>
      <c r="L25" s="23" t="inlineStr">
        <is>
          <t>4–7 yrs</t>
        </is>
      </c>
      <c r="M25" s="76" t="n"/>
      <c r="N25" s="23" t="n">
        <v>3</v>
      </c>
    </row>
    <row r="26" ht="15" customHeight="1">
      <c r="A26" s="20" t="inlineStr">
        <is>
          <t>B2</t>
        </is>
      </c>
      <c r="B26" s="21" t="inlineStr">
        <is>
          <t>Senior Specialist</t>
        </is>
      </c>
      <c r="C26" s="76" t="n"/>
      <c r="D26" s="21" t="inlineStr">
        <is>
          <t>Manager</t>
        </is>
      </c>
      <c r="E26" s="76" t="n"/>
      <c r="F26" s="21" t="inlineStr">
        <is>
          <t>Deep domain expertise, or one team</t>
        </is>
      </c>
      <c r="G26" s="75" t="n"/>
      <c r="H26" s="75" t="n"/>
      <c r="I26" s="75" t="n"/>
      <c r="J26" s="75" t="n"/>
      <c r="K26" s="76" t="n"/>
      <c r="L26" s="23" t="inlineStr">
        <is>
          <t>6–9 yrs</t>
        </is>
      </c>
      <c r="M26" s="76" t="n"/>
      <c r="N26" s="23" t="n">
        <v>3</v>
      </c>
    </row>
    <row r="27" ht="15" customHeight="1">
      <c r="A27" s="20" t="inlineStr">
        <is>
          <t>B3</t>
        </is>
      </c>
      <c r="B27" s="21" t="inlineStr">
        <is>
          <t>Lead Specialist</t>
        </is>
      </c>
      <c r="C27" s="76" t="n"/>
      <c r="D27" s="21" t="inlineStr">
        <is>
          <t>Senior Manager</t>
        </is>
      </c>
      <c r="E27" s="76" t="n"/>
      <c r="F27" s="21" t="inlineStr">
        <is>
          <t>A practice, or several teams through team leads</t>
        </is>
      </c>
      <c r="G27" s="75" t="n"/>
      <c r="H27" s="75" t="n"/>
      <c r="I27" s="75" t="n"/>
      <c r="J27" s="75" t="n"/>
      <c r="K27" s="76" t="n"/>
      <c r="L27" s="23" t="inlineStr">
        <is>
          <t>8–12 yrs</t>
        </is>
      </c>
      <c r="M27" s="76" t="n"/>
      <c r="N27" s="23" t="n">
        <v>1</v>
      </c>
    </row>
    <row r="28" ht="15" customHeight="1"/>
    <row r="29" ht="28" customHeight="1">
      <c r="A29" s="24" t="inlineStr">
        <is>
          <r>
            <rPr>
              <rFont val="Calibri"/>
              <b val="1"/>
              <i val="1"/>
              <color rgb="00595959"/>
              <sz val="10"/>
            </rPr>
            <t>Bands:</t>
          </r>
          <r>
            <rPr>
              <rFont val="Calibri"/>
              <i val="1"/>
              <color rgb="00595959"/>
              <sz val="10"/>
            </rPr>
            <t xml:space="preserve"> A practitioner · B specialist / manager · C principal / head · D business leadership · E enterprise leadership. B+ and C+ are the Player-Coach transition steps · between B3 and C1, and between C2 and D1, for people who lead a team and still do the hardest hands-on work. X1–X3 are consultants outside the ladder.</t>
          </r>
        </is>
      </c>
    </row>
    <row r="30" ht="15" customHeight="1"/>
    <row r="31" ht="20" customHeight="1">
      <c r="A31" s="6" t="inlineStr">
        <is>
          <t>3b. Top specialist title at D1 — decision for the heads</t>
        </is>
      </c>
    </row>
    <row r="32" ht="15" customHeight="1">
      <c r="A32" s="24" t="inlineStr">
        <is>
          <t>IRIS uses no 'Fellow' and no 'Director'. Status: Not decided yet — both options are shown as 'Chief Specialist / Distinguished Principal' until the heads choose.</t>
        </is>
      </c>
    </row>
    <row r="33" ht="15" customHeight="1">
      <c r="A33" s="8" t="inlineStr">
        <is>
          <t>Option</t>
        </is>
      </c>
      <c r="B33" s="76" t="n"/>
      <c r="C33" s="8" t="inlineStr">
        <is>
          <t>What it means</t>
        </is>
      </c>
      <c r="D33" s="75" t="n"/>
      <c r="E33" s="75" t="n"/>
      <c r="F33" s="75" t="n"/>
      <c r="G33" s="75" t="n"/>
      <c r="H33" s="75" t="n"/>
      <c r="I33" s="75" t="n"/>
      <c r="J33" s="75" t="n"/>
      <c r="K33" s="75" t="n"/>
      <c r="L33" s="75" t="n"/>
      <c r="M33" s="75" t="n"/>
      <c r="N33" s="76" t="n"/>
    </row>
    <row r="34" ht="93" customHeight="1">
      <c r="A34" s="10" t="inlineStr">
        <is>
          <t>Option A · Chief Specialist</t>
        </is>
      </c>
      <c r="B34" s="76" t="n"/>
      <c r="C34" s="12"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D34" s="75" t="n"/>
      <c r="E34" s="75" t="n"/>
      <c r="F34" s="75" t="n"/>
      <c r="G34" s="75" t="n"/>
      <c r="H34" s="75" t="n"/>
      <c r="I34" s="75" t="n"/>
      <c r="J34" s="75" t="n"/>
      <c r="K34" s="75" t="n"/>
      <c r="L34" s="75" t="n"/>
      <c r="M34" s="75" t="n"/>
      <c r="N34" s="76" t="n"/>
    </row>
    <row r="35" ht="67" customHeight="1">
      <c r="A35" s="10" t="inlineStr">
        <is>
          <t>Option B · Distinguished Principal</t>
        </is>
      </c>
      <c r="B35" s="76" t="n"/>
      <c r="C35" s="12"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D35" s="75" t="n"/>
      <c r="E35" s="75" t="n"/>
      <c r="F35" s="75" t="n"/>
      <c r="G35" s="75" t="n"/>
      <c r="H35" s="75" t="n"/>
      <c r="I35" s="75" t="n"/>
      <c r="J35" s="75" t="n"/>
      <c r="K35" s="75" t="n"/>
      <c r="L35" s="75" t="n"/>
      <c r="M35" s="75" t="n"/>
      <c r="N35" s="76" t="n"/>
    </row>
    <row r="36" ht="15" customHeight="1"/>
    <row r="37" ht="28" customHeight="1">
      <c r="A37" s="24"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38" ht="15" customHeight="1"/>
    <row r="39" ht="20" customHeight="1">
      <c r="A39" s="6" t="inlineStr">
        <is>
          <t>4. How a role's level is worked out — in four steps</t>
        </is>
      </c>
    </row>
    <row r="40" ht="28" customHeight="1">
      <c r="A40" s="24" t="inlineStr">
        <is>
          <t>The score measures the size of the role, not how well the person performs, and it is not linked to pay. It uses the same scale as the ladder · A1 = 1, A2 = 2 … B1 = 4 … E2 = 12, so a score reads as a level.</t>
        </is>
      </c>
    </row>
    <row r="41" ht="15" customHeight="1">
      <c r="A41" s="8" t="inlineStr">
        <is>
          <t>Step</t>
        </is>
      </c>
      <c r="B41" s="8" t="inlineStr">
        <is>
          <t>What happens</t>
        </is>
      </c>
      <c r="C41" s="75" t="n"/>
      <c r="D41" s="75" t="n"/>
      <c r="E41" s="75" t="n"/>
      <c r="F41" s="75" t="n"/>
      <c r="G41" s="76" t="n"/>
      <c r="H41" s="8" t="inlineStr">
        <is>
          <t>In plain words</t>
        </is>
      </c>
      <c r="I41" s="75" t="n"/>
      <c r="J41" s="75" t="n"/>
      <c r="K41" s="75" t="n"/>
      <c r="L41" s="75" t="n"/>
      <c r="M41" s="75" t="n"/>
      <c r="N41" s="76" t="n"/>
    </row>
    <row r="42" ht="54" customHeight="1">
      <c r="A42" s="10" t="inlineStr">
        <is>
          <t>1 · Rate</t>
        </is>
      </c>
      <c r="B42" s="12"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42" s="75" t="n"/>
      <c r="D42" s="75" t="n"/>
      <c r="E42" s="75" t="n"/>
      <c r="F42" s="75" t="n"/>
      <c r="G42" s="76" t="n"/>
      <c r="H42" s="12" t="inlineStr">
        <is>
          <t>How hard the work is, how freely the person decides, what the role answers for, how much it leads others, the experience it needs and its impact on the business.</t>
        </is>
      </c>
      <c r="I42" s="75" t="n"/>
      <c r="J42" s="75" t="n"/>
      <c r="K42" s="75" t="n"/>
      <c r="L42" s="75" t="n"/>
      <c r="M42" s="75" t="n"/>
      <c r="N42" s="76" t="n"/>
    </row>
    <row r="43" ht="41" customHeight="1">
      <c r="A43" s="10" t="inlineStr">
        <is>
          <t>2 · Weigh</t>
        </is>
      </c>
      <c r="B43" s="12" t="inlineStr">
        <is>
          <t>Each factor has a weight; the six weights add to 100%. They depend on the band and track and the department's type of work, and leaders can edit them on the Weightage Matrix.</t>
        </is>
      </c>
      <c r="C43" s="75" t="n"/>
      <c r="D43" s="75" t="n"/>
      <c r="E43" s="75" t="n"/>
      <c r="F43" s="75" t="n"/>
      <c r="G43" s="76" t="n"/>
      <c r="H43" s="12" t="inlineStr">
        <is>
          <t>Junior roles count the work itself most · Leadership counts 0% in Band A. Senior roles count accountability, leadership and business impact most. Experience counts little.</t>
        </is>
      </c>
      <c r="I43" s="75" t="n"/>
      <c r="J43" s="75" t="n"/>
      <c r="K43" s="75" t="n"/>
      <c r="L43" s="75" t="n"/>
      <c r="M43" s="75" t="n"/>
      <c r="N43" s="76" t="n"/>
    </row>
    <row r="44" ht="41" customHeight="1">
      <c r="A44" s="10" t="inlineStr">
        <is>
          <t>3 · Score</t>
        </is>
      </c>
      <c r="B44" s="12" t="inlineStr">
        <is>
          <t>Score = the six ratings × their weights, added up. Rounded to the nearest whole number ·.5 rounds up, it gives the indicated level.</t>
        </is>
      </c>
      <c r="C44" s="75" t="n"/>
      <c r="D44" s="75" t="n"/>
      <c r="E44" s="75" t="n"/>
      <c r="F44" s="75" t="n"/>
      <c r="G44" s="76" t="n"/>
      <c r="H44" s="12" t="inlineStr">
        <is>
          <t>A weighted average rating — so 4.73 means 'between B1 and B2, nearer B2', which rounds to B2.</t>
        </is>
      </c>
      <c r="I44" s="75" t="n"/>
      <c r="J44" s="75" t="n"/>
      <c r="K44" s="75" t="n"/>
      <c r="L44" s="75" t="n"/>
      <c r="M44" s="75" t="n"/>
      <c r="N44" s="76" t="n"/>
    </row>
    <row r="45" ht="67" customHeight="1">
      <c r="A45" s="10" t="inlineStr">
        <is>
          <t>4 · Check</t>
        </is>
      </c>
      <c r="B45" s="12"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45" s="75" t="n"/>
      <c r="D45" s="75" t="n"/>
      <c r="E45" s="75" t="n"/>
      <c r="F45" s="75" t="n"/>
      <c r="G45" s="76" t="n"/>
      <c r="H45" s="12" t="inlineStr">
        <is>
          <t>The score proposes; the rules make sure the role really carries that level. Any change is named, with its numbers, on sheet 2 of this workbook.</t>
        </is>
      </c>
      <c r="I45" s="75" t="n"/>
      <c r="J45" s="75" t="n"/>
      <c r="K45" s="75" t="n"/>
      <c r="L45" s="75" t="n"/>
      <c r="M45" s="75" t="n"/>
      <c r="N45" s="76" t="n"/>
    </row>
    <row r="46" ht="15" customHeight="1"/>
    <row r="47" ht="15" customHeight="1">
      <c r="A47" s="25" t="inlineStr">
        <is>
          <t>Worked example · invented numbers — a Band B individual contributor doing technology work:</t>
        </is>
      </c>
    </row>
    <row r="48" ht="15" customHeight="1">
      <c r="A48" s="8" t="inlineStr">
        <is>
          <t>Factor</t>
        </is>
      </c>
      <c r="B48" s="8" t="inlineStr">
        <is>
          <t>Complexity</t>
        </is>
      </c>
      <c r="C48" s="76" t="n"/>
      <c r="D48" s="8" t="inlineStr">
        <is>
          <t>Autonomy</t>
        </is>
      </c>
      <c r="E48" s="76" t="n"/>
      <c r="F48" s="8" t="inlineStr">
        <is>
          <t>Accountability</t>
        </is>
      </c>
      <c r="G48" s="76" t="n"/>
      <c r="H48" s="8" t="inlineStr">
        <is>
          <t>Leadership</t>
        </is>
      </c>
      <c r="I48" s="76" t="n"/>
      <c r="J48" s="8" t="inlineStr">
        <is>
          <t>Experience</t>
        </is>
      </c>
      <c r="K48" s="76" t="n"/>
      <c r="L48" s="8" t="inlineStr">
        <is>
          <t>Bus. Impact</t>
        </is>
      </c>
      <c r="M48" s="76" t="n"/>
      <c r="N48" s="8" t="inlineStr">
        <is>
          <t>Score</t>
        </is>
      </c>
    </row>
    <row r="49" ht="15" customHeight="1">
      <c r="A49" s="10" t="inlineStr">
        <is>
          <t>Rating</t>
        </is>
      </c>
      <c r="B49" s="26" t="inlineStr">
        <is>
          <t>5</t>
        </is>
      </c>
      <c r="C49" s="76" t="n"/>
      <c r="D49" s="26" t="inlineStr">
        <is>
          <t>4</t>
        </is>
      </c>
      <c r="E49" s="76" t="n"/>
      <c r="F49" s="26" t="inlineStr">
        <is>
          <t>5</t>
        </is>
      </c>
      <c r="G49" s="76" t="n"/>
      <c r="H49" s="26" t="inlineStr">
        <is>
          <t>3</t>
        </is>
      </c>
      <c r="I49" s="76" t="n"/>
      <c r="J49" s="26" t="inlineStr">
        <is>
          <t>5</t>
        </is>
      </c>
      <c r="K49" s="76" t="n"/>
      <c r="L49" s="26" t="inlineStr">
        <is>
          <t>5</t>
        </is>
      </c>
      <c r="M49" s="76" t="n"/>
      <c r="N49" s="26" t="inlineStr"/>
    </row>
    <row r="50" ht="15" customHeight="1">
      <c r="A50" s="10" t="inlineStr">
        <is>
          <t>Weight</t>
        </is>
      </c>
      <c r="B50" s="26" t="inlineStr">
        <is>
          <t>56%</t>
        </is>
      </c>
      <c r="C50" s="76" t="n"/>
      <c r="D50" s="26" t="inlineStr">
        <is>
          <t>17%</t>
        </is>
      </c>
      <c r="E50" s="76" t="n"/>
      <c r="F50" s="26" t="inlineStr">
        <is>
          <t>5%</t>
        </is>
      </c>
      <c r="G50" s="76" t="n"/>
      <c r="H50" s="26" t="inlineStr">
        <is>
          <t>5%</t>
        </is>
      </c>
      <c r="I50" s="76" t="n"/>
      <c r="J50" s="26" t="inlineStr">
        <is>
          <t>10%</t>
        </is>
      </c>
      <c r="K50" s="76" t="n"/>
      <c r="L50" s="26" t="inlineStr">
        <is>
          <t>7%</t>
        </is>
      </c>
      <c r="M50" s="76" t="n"/>
      <c r="N50" s="26" t="inlineStr">
        <is>
          <t>100%</t>
        </is>
      </c>
    </row>
    <row r="51" ht="15" customHeight="1">
      <c r="A51" s="10" t="inlineStr">
        <is>
          <t>Rating × weight</t>
        </is>
      </c>
      <c r="B51" s="26" t="inlineStr">
        <is>
          <t>2.80</t>
        </is>
      </c>
      <c r="C51" s="76" t="n"/>
      <c r="D51" s="26" t="inlineStr">
        <is>
          <t>0.68</t>
        </is>
      </c>
      <c r="E51" s="76" t="n"/>
      <c r="F51" s="26" t="inlineStr">
        <is>
          <t>0.25</t>
        </is>
      </c>
      <c r="G51" s="76" t="n"/>
      <c r="H51" s="26" t="inlineStr">
        <is>
          <t>0.15</t>
        </is>
      </c>
      <c r="I51" s="76" t="n"/>
      <c r="J51" s="26" t="inlineStr">
        <is>
          <t>0.50</t>
        </is>
      </c>
      <c r="K51" s="76" t="n"/>
      <c r="L51" s="26" t="inlineStr">
        <is>
          <t>0.35</t>
        </is>
      </c>
      <c r="M51" s="76" t="n"/>
      <c r="N51" s="26" t="inlineStr">
        <is>
          <t>4.73 → B2</t>
        </is>
      </c>
    </row>
    <row r="52" ht="15" customHeight="1"/>
    <row r="53" ht="15" customHeight="1">
      <c r="A53" s="25" t="inlineStr">
        <is>
          <t>What the numbers mean — Consume</t>
        </is>
      </c>
    </row>
    <row r="54" ht="15" customHeight="1">
      <c r="A54" s="8" t="inlineStr">
        <is>
          <t>Term</t>
        </is>
      </c>
      <c r="B54" s="8" t="inlineStr">
        <is>
          <t>Meaning</t>
        </is>
      </c>
      <c r="C54" s="75" t="n"/>
      <c r="D54" s="75" t="n"/>
      <c r="E54" s="75" t="n"/>
      <c r="F54" s="75" t="n"/>
      <c r="G54" s="75" t="n"/>
      <c r="H54" s="75" t="n"/>
      <c r="I54" s="75" t="n"/>
      <c r="J54" s="75" t="n"/>
      <c r="K54" s="75" t="n"/>
      <c r="L54" s="76" t="n"/>
      <c r="M54" s="8" t="inlineStr">
        <is>
          <t>People</t>
        </is>
      </c>
      <c r="N54" s="76" t="n"/>
    </row>
    <row r="55" ht="15" customHeight="1">
      <c r="A55" s="10" t="inlineStr">
        <is>
          <t>Score</t>
        </is>
      </c>
      <c r="B55" s="12" t="inlineStr">
        <is>
          <t>The size of the role in level units. Not performance, not pay.</t>
        </is>
      </c>
      <c r="C55" s="75" t="n"/>
      <c r="D55" s="75" t="n"/>
      <c r="E55" s="75" t="n"/>
      <c r="F55" s="75" t="n"/>
      <c r="G55" s="75" t="n"/>
      <c r="H55" s="75" t="n"/>
      <c r="I55" s="75" t="n"/>
      <c r="J55" s="75" t="n"/>
      <c r="K55" s="75" t="n"/>
      <c r="L55" s="76" t="n"/>
      <c r="M55" s="26" t="n">
        <v>23</v>
      </c>
      <c r="N55" s="76" t="n"/>
    </row>
    <row r="56" ht="15" customHeight="1">
      <c r="A56" s="10" t="inlineStr">
        <is>
          <t>Indicated level</t>
        </is>
      </c>
      <c r="B56" s="12" t="inlineStr">
        <is>
          <t>The score rounded to the nearest level.</t>
        </is>
      </c>
      <c r="C56" s="75" t="n"/>
      <c r="D56" s="75" t="n"/>
      <c r="E56" s="75" t="n"/>
      <c r="F56" s="75" t="n"/>
      <c r="G56" s="75" t="n"/>
      <c r="H56" s="75" t="n"/>
      <c r="I56" s="75" t="n"/>
      <c r="J56" s="75" t="n"/>
      <c r="K56" s="75" t="n"/>
      <c r="L56" s="76" t="n"/>
      <c r="M56" s="26" t="n">
        <v>23</v>
      </c>
      <c r="N56" s="76" t="n"/>
    </row>
    <row r="57" ht="15" customHeight="1">
      <c r="A57" s="10" t="inlineStr">
        <is>
          <t>Final level</t>
        </is>
      </c>
      <c r="B57" s="12" t="inlineStr">
        <is>
          <t>The level after the rules. Where it differs from the indicated level, a rule moved it and the reason is recorded.</t>
        </is>
      </c>
      <c r="C57" s="75" t="n"/>
      <c r="D57" s="75" t="n"/>
      <c r="E57" s="75" t="n"/>
      <c r="F57" s="75" t="n"/>
      <c r="G57" s="75" t="n"/>
      <c r="H57" s="75" t="n"/>
      <c r="I57" s="75" t="n"/>
      <c r="J57" s="75" t="n"/>
      <c r="K57" s="75" t="n"/>
      <c r="L57" s="76" t="n"/>
      <c r="M57" s="26" t="inlineStr">
        <is>
          <t>5 differ</t>
        </is>
      </c>
      <c r="N57" s="76" t="n"/>
    </row>
    <row r="58" ht="15" customHeight="1">
      <c r="A58" s="10" t="inlineStr">
        <is>
          <t>Close call</t>
        </is>
      </c>
      <c r="B58" s="12" t="inlineStr">
        <is>
          <t>The score decided the level and sits within ±0.05 of a rounding point. Sent to the calibration panel.</t>
        </is>
      </c>
      <c r="C58" s="75" t="n"/>
      <c r="D58" s="75" t="n"/>
      <c r="E58" s="75" t="n"/>
      <c r="F58" s="75" t="n"/>
      <c r="G58" s="75" t="n"/>
      <c r="H58" s="75" t="n"/>
      <c r="I58" s="75" t="n"/>
      <c r="J58" s="75" t="n"/>
      <c r="K58" s="75" t="n"/>
      <c r="L58" s="76" t="n"/>
      <c r="M58" s="26" t="n">
        <v>2</v>
      </c>
      <c r="N58" s="76" t="n"/>
    </row>
    <row r="59" ht="28" customHeight="1">
      <c r="A59" s="10" t="inlineStr">
        <is>
          <t>Near a gate</t>
        </is>
      </c>
      <c r="B59" s="12" t="inlineStr">
        <is>
          <t>A rule set the level, and the number behind that rule is within a quarter-point of flipping it. Sent to the calibration panel.</t>
        </is>
      </c>
      <c r="C59" s="75" t="n"/>
      <c r="D59" s="75" t="n"/>
      <c r="E59" s="75" t="n"/>
      <c r="F59" s="75" t="n"/>
      <c r="G59" s="75" t="n"/>
      <c r="H59" s="75" t="n"/>
      <c r="I59" s="75" t="n"/>
      <c r="J59" s="75" t="n"/>
      <c r="K59" s="75" t="n"/>
      <c r="L59" s="76" t="n"/>
      <c r="M59" s="26" t="n">
        <v>1</v>
      </c>
      <c r="N59" s="76" t="n"/>
    </row>
    <row r="60" ht="15" customHeight="1">
      <c r="A60" s="10" t="inlineStr">
        <is>
          <t>Not scored</t>
        </is>
      </c>
      <c r="B60" s="12" t="inlineStr">
        <is>
          <t>Interns and first-year trainees, consultants and anyone with incomplete ratings are placed by rule.</t>
        </is>
      </c>
      <c r="C60" s="75" t="n"/>
      <c r="D60" s="75" t="n"/>
      <c r="E60" s="75" t="n"/>
      <c r="F60" s="75" t="n"/>
      <c r="G60" s="75" t="n"/>
      <c r="H60" s="75" t="n"/>
      <c r="I60" s="75" t="n"/>
      <c r="J60" s="75" t="n"/>
      <c r="K60" s="75" t="n"/>
      <c r="L60" s="76" t="n"/>
      <c r="M60" s="26" t="n">
        <v>0</v>
      </c>
      <c r="N60" s="76" t="n"/>
    </row>
    <row r="61" ht="15" customHeight="1"/>
    <row r="62" ht="80" customHeight="1">
      <c r="A62" s="24" t="inlineStr">
        <is>
          <r>
            <rPr>
              <rFont val="Calibri"/>
              <b val="1"/>
              <i val="1"/>
              <color rgb="00595959"/>
              <sz val="10"/>
            </rPr>
            <t>Where the weights come from:</t>
          </r>
          <r>
            <rPr>
              <rFont val="Calibri"/>
              <i val="1"/>
              <color rgb="00595959"/>
              <sz val="10"/>
            </rPr>
            <t xml:space="preserve"> each role group's default is the average of Korn Ferry Hay, Mercer IPE and five public point-factor plans.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63" ht="20" customHeight="1">
      <c r="A63" s="6" t="inlineStr">
        <is>
          <t>5. The ten rules, in plain English</t>
        </is>
      </c>
    </row>
    <row r="64" ht="15" customHeight="1">
      <c r="A64" s="8" t="inlineStr">
        <is>
          <t>Rule</t>
        </is>
      </c>
      <c r="B64" s="75" t="n"/>
      <c r="C64" s="76" t="n"/>
      <c r="D64" s="8" t="inlineStr">
        <is>
          <t>What it says</t>
        </is>
      </c>
      <c r="E64" s="75" t="n"/>
      <c r="F64" s="75" t="n"/>
      <c r="G64" s="75" t="n"/>
      <c r="H64" s="75" t="n"/>
      <c r="I64" s="75" t="n"/>
      <c r="J64" s="75" t="n"/>
      <c r="K64" s="75" t="n"/>
      <c r="L64" s="75" t="n"/>
      <c r="M64" s="75" t="n"/>
      <c r="N64" s="76" t="n"/>
    </row>
    <row r="65" ht="15" customHeight="1">
      <c r="A65" s="10" t="inlineStr">
        <is>
          <t>R1 · Category</t>
        </is>
      </c>
      <c r="B65" s="75" t="n"/>
      <c r="C65" s="76" t="n"/>
      <c r="D65" s="12" t="inlineStr">
        <is>
          <t>Interns and first-year trainees start at A1; consultants sit outside the ladder at X1–X3.</t>
        </is>
      </c>
      <c r="E65" s="75" t="n"/>
      <c r="F65" s="75" t="n"/>
      <c r="G65" s="75" t="n"/>
      <c r="H65" s="75" t="n"/>
      <c r="I65" s="75" t="n"/>
      <c r="J65" s="75" t="n"/>
      <c r="K65" s="75" t="n"/>
      <c r="L65" s="75" t="n"/>
      <c r="M65" s="75" t="n"/>
      <c r="N65" s="76" t="n"/>
    </row>
    <row r="66" ht="15" customHeight="1">
      <c r="A66" s="10" t="inlineStr">
        <is>
          <t>R2 · Provisional</t>
        </is>
      </c>
      <c r="B66" s="75" t="n"/>
      <c r="C66" s="76" t="n"/>
      <c r="D66" s="12" t="inlineStr">
        <is>
          <t>Where the experience record looks incomplete, the level is kept until HR confirms it.</t>
        </is>
      </c>
      <c r="E66" s="75" t="n"/>
      <c r="F66" s="75" t="n"/>
      <c r="G66" s="75" t="n"/>
      <c r="H66" s="75" t="n"/>
      <c r="I66" s="75" t="n"/>
      <c r="J66" s="75" t="n"/>
      <c r="K66" s="75" t="n"/>
      <c r="L66" s="75" t="n"/>
      <c r="M66" s="75" t="n"/>
      <c r="N66" s="76" t="n"/>
    </row>
    <row r="67" ht="28" customHeight="1">
      <c r="A67" s="10" t="inlineStr">
        <is>
          <t>R3 · Score</t>
        </is>
      </c>
      <c r="B67" s="75" t="n"/>
      <c r="C67" s="76" t="n"/>
      <c r="D67" s="12" t="inlineStr">
        <is>
          <t>The weighted score points to a level; each band is checked on its own weights and the person sits in the highest band where it holds.</t>
        </is>
      </c>
      <c r="E67" s="75" t="n"/>
      <c r="F67" s="75" t="n"/>
      <c r="G67" s="75" t="n"/>
      <c r="H67" s="75" t="n"/>
      <c r="I67" s="75" t="n"/>
      <c r="J67" s="75" t="n"/>
      <c r="K67" s="75" t="n"/>
      <c r="L67" s="75" t="n"/>
      <c r="M67" s="75" t="n"/>
      <c r="N67" s="76" t="n"/>
    </row>
    <row r="68" ht="28" customHeight="1">
      <c r="A68" s="10" t="inlineStr">
        <is>
          <t>R4 · Role substance</t>
        </is>
      </c>
      <c r="B68" s="75" t="n"/>
      <c r="C68" s="76" t="n"/>
      <c r="D68" s="12" t="inlineStr">
        <is>
          <t>For individual contributors, the level can be at most one above what the complexity and accountability of the work show.</t>
        </is>
      </c>
      <c r="E68" s="75" t="n"/>
      <c r="F68" s="75" t="n"/>
      <c r="G68" s="75" t="n"/>
      <c r="H68" s="75" t="n"/>
      <c r="I68" s="75" t="n"/>
      <c r="J68" s="75" t="n"/>
      <c r="K68" s="75" t="n"/>
      <c r="L68" s="75" t="n"/>
      <c r="M68" s="75" t="n"/>
      <c r="N68" s="76" t="n"/>
    </row>
    <row r="69" ht="28" customHeight="1">
      <c r="A69" s="10" t="inlineStr">
        <is>
          <t>R5 · Structure</t>
        </is>
      </c>
      <c r="B69" s="75" t="n"/>
      <c r="C69" s="76" t="n"/>
      <c r="D69" s="12" t="inlineStr">
        <is>
          <t>C1 and above need the matching structure in the org chart · a sub-function, a function, a business line; a B3 manager needs team leads or 10+ people.</t>
        </is>
      </c>
      <c r="E69" s="75" t="n"/>
      <c r="F69" s="75" t="n"/>
      <c r="G69" s="75" t="n"/>
      <c r="H69" s="75" t="n"/>
      <c r="I69" s="75" t="n"/>
      <c r="J69" s="75" t="n"/>
      <c r="K69" s="75" t="n"/>
      <c r="L69" s="75" t="n"/>
      <c r="M69" s="75" t="n"/>
      <c r="N69" s="76" t="n"/>
    </row>
    <row r="70" ht="15" customHeight="1">
      <c r="A70" s="10" t="inlineStr">
        <is>
          <t>R6 · Top of band</t>
        </is>
      </c>
      <c r="B70" s="75" t="n"/>
      <c r="C70" s="76" t="n"/>
      <c r="D70" s="12" t="inlineStr">
        <is>
          <t>To enter the next band the score must reach its entry point on that band's own weights.</t>
        </is>
      </c>
      <c r="E70" s="75" t="n"/>
      <c r="F70" s="75" t="n"/>
      <c r="G70" s="75" t="n"/>
      <c r="H70" s="75" t="n"/>
      <c r="I70" s="75" t="n"/>
      <c r="J70" s="75" t="n"/>
      <c r="K70" s="75" t="n"/>
      <c r="L70" s="75" t="n"/>
      <c r="M70" s="75" t="n"/>
      <c r="N70" s="76" t="n"/>
    </row>
    <row r="71" ht="15" customHeight="1">
      <c r="A71" s="10" t="inlineStr">
        <is>
          <t>R7 · Band A experience</t>
        </is>
      </c>
      <c r="B71" s="75" t="n"/>
      <c r="C71" s="76" t="n"/>
      <c r="D71" s="12" t="inlineStr">
        <is>
          <r>
            <rPr>
              <rFont val="Calibri"/>
              <b val="1"/>
              <sz val="10"/>
            </rPr>
            <t>Under 1 year:</t>
          </r>
          <r>
            <rPr>
              <rFont val="Calibri"/>
              <sz val="10"/>
            </rPr>
            <t xml:space="preserve"> A2 at most; 2+ years: A3.</t>
          </r>
        </is>
      </c>
      <c r="E71" s="75" t="n"/>
      <c r="F71" s="75" t="n"/>
      <c r="G71" s="75" t="n"/>
      <c r="H71" s="75" t="n"/>
      <c r="I71" s="75" t="n"/>
      <c r="J71" s="75" t="n"/>
      <c r="K71" s="75" t="n"/>
      <c r="L71" s="75" t="n"/>
      <c r="M71" s="75" t="n"/>
      <c r="N71" s="76" t="n"/>
    </row>
    <row r="72" ht="15" customHeight="1">
      <c r="A72" s="10" t="inlineStr">
        <is>
          <t>R8 · Experience limit</t>
        </is>
      </c>
      <c r="B72" s="75" t="n"/>
      <c r="C72" s="76" t="n"/>
      <c r="D72" s="12" t="inlineStr">
        <is>
          <t>In Bands A–B a role sits at most one level above the level its experience fits · managers exempt.</t>
        </is>
      </c>
      <c r="E72" s="75" t="n"/>
      <c r="F72" s="75" t="n"/>
      <c r="G72" s="75" t="n"/>
      <c r="H72" s="75" t="n"/>
      <c r="I72" s="75" t="n"/>
      <c r="J72" s="75" t="n"/>
      <c r="K72" s="75" t="n"/>
      <c r="L72" s="75" t="n"/>
      <c r="M72" s="75" t="n"/>
      <c r="N72" s="76" t="n"/>
    </row>
    <row r="73" ht="15" customHeight="1">
      <c r="A73" s="10" t="inlineStr">
        <is>
          <t>R9 · Track minimum</t>
        </is>
      </c>
      <c r="B73" s="75" t="n"/>
      <c r="C73" s="76" t="n"/>
      <c r="D73" s="12" t="inlineStr">
        <is>
          <t>POD Leads and People Managers start at B1.</t>
        </is>
      </c>
      <c r="E73" s="75" t="n"/>
      <c r="F73" s="75" t="n"/>
      <c r="G73" s="75" t="n"/>
      <c r="H73" s="75" t="n"/>
      <c r="I73" s="75" t="n"/>
      <c r="J73" s="75" t="n"/>
      <c r="K73" s="75" t="n"/>
      <c r="L73" s="75" t="n"/>
      <c r="M73" s="75" t="n"/>
      <c r="N73" s="76" t="n"/>
    </row>
    <row r="74" ht="28" customHeight="1">
      <c r="A74" s="10" t="inlineStr">
        <is>
          <t>R10 · Player-Coach</t>
        </is>
      </c>
      <c r="B74" s="75" t="n"/>
      <c r="C74" s="76" t="n"/>
      <c r="D74" s="12" t="inlineStr">
        <is>
          <t>At B3 or C2, someone who leads people and still does hands-on work moves to the step above · B+ or C+ if the Player-Coach score and the substance reach the threshold; a shortfall of up to 0.15 is accepted and confirmed in calibration.</t>
        </is>
      </c>
      <c r="E74" s="75" t="n"/>
      <c r="F74" s="75" t="n"/>
      <c r="G74" s="75" t="n"/>
      <c r="H74" s="75" t="n"/>
      <c r="I74" s="75" t="n"/>
      <c r="J74" s="75" t="n"/>
      <c r="K74" s="75" t="n"/>
      <c r="L74" s="75" t="n"/>
      <c r="M74" s="75" t="n"/>
      <c r="N74" s="76" t="n"/>
    </row>
    <row r="75" ht="15" customHeight="1"/>
    <row r="76" ht="20" customHeight="1">
      <c r="A76" s="6" t="inlineStr">
        <is>
          <t>6. Colours and terms</t>
        </is>
      </c>
    </row>
    <row r="77" ht="15" customHeight="1">
      <c r="A77" s="27" t="inlineStr">
        <is>
          <t>Changed vs current · designation or level</t>
        </is>
      </c>
      <c r="B77" s="75" t="n"/>
      <c r="C77" s="75" t="n"/>
      <c r="D77" s="75" t="n"/>
      <c r="E77" s="75" t="n"/>
      <c r="F77" s="75" t="n"/>
      <c r="G77" s="75" t="n"/>
      <c r="H77" s="75" t="n"/>
      <c r="I77" s="75" t="n"/>
      <c r="J77" s="75" t="n"/>
      <c r="K77" s="75" t="n"/>
      <c r="L77" s="75" t="n"/>
      <c r="M77" s="75" t="n"/>
      <c r="N77" s="76" t="n"/>
    </row>
    <row r="78" ht="15" customHeight="1">
      <c r="A78" s="29" t="inlineStr">
        <is>
          <t>Level up</t>
        </is>
      </c>
      <c r="B78" s="75" t="n"/>
      <c r="C78" s="75" t="n"/>
      <c r="D78" s="75" t="n"/>
      <c r="E78" s="75" t="n"/>
      <c r="F78" s="75" t="n"/>
      <c r="G78" s="75" t="n"/>
      <c r="H78" s="75" t="n"/>
      <c r="I78" s="75" t="n"/>
      <c r="J78" s="75" t="n"/>
      <c r="K78" s="75" t="n"/>
      <c r="L78" s="75" t="n"/>
      <c r="M78" s="75" t="n"/>
      <c r="N78" s="76" t="n"/>
    </row>
    <row r="79" ht="15" customHeight="1">
      <c r="A79" s="31" t="inlineStr">
        <is>
          <t>Level down — pay &amp; title protected</t>
        </is>
      </c>
      <c r="B79" s="75" t="n"/>
      <c r="C79" s="75" t="n"/>
      <c r="D79" s="75" t="n"/>
      <c r="E79" s="75" t="n"/>
      <c r="F79" s="75" t="n"/>
      <c r="G79" s="75" t="n"/>
      <c r="H79" s="75" t="n"/>
      <c r="I79" s="75" t="n"/>
      <c r="J79" s="75" t="n"/>
      <c r="K79" s="75" t="n"/>
      <c r="L79" s="75" t="n"/>
      <c r="M79" s="75" t="n"/>
      <c r="N79" s="76" t="n"/>
    </row>
    <row r="80" ht="15" customHeight="1">
      <c r="A80" s="33" t="inlineStr">
        <is>
          <t>Newly mapped</t>
        </is>
      </c>
      <c r="B80" s="75" t="n"/>
      <c r="C80" s="75" t="n"/>
      <c r="D80" s="75" t="n"/>
      <c r="E80" s="75" t="n"/>
      <c r="F80" s="75" t="n"/>
      <c r="G80" s="75" t="n"/>
      <c r="H80" s="75" t="n"/>
      <c r="I80" s="75" t="n"/>
      <c r="J80" s="75" t="n"/>
      <c r="K80" s="75" t="n"/>
      <c r="L80" s="75" t="n"/>
      <c r="M80" s="75" t="n"/>
      <c r="N80" s="76" t="n"/>
    </row>
    <row r="81" ht="15" customHeight="1">
      <c r="A81" s="34" t="inlineStr">
        <is>
          <t>Player-Coach · B+ · C+</t>
        </is>
      </c>
      <c r="B81" s="75" t="n"/>
      <c r="C81" s="75" t="n"/>
      <c r="D81" s="75" t="n"/>
      <c r="E81" s="75" t="n"/>
      <c r="F81" s="75" t="n"/>
      <c r="G81" s="75" t="n"/>
      <c r="H81" s="75" t="n"/>
      <c r="I81" s="75" t="n"/>
      <c r="J81" s="75" t="n"/>
      <c r="K81" s="75" t="n"/>
      <c r="L81" s="75" t="n"/>
      <c r="M81" s="75" t="n"/>
      <c r="N81" s="76" t="n"/>
    </row>
    <row r="82" ht="15" customHeight="1">
      <c r="A82" s="36" t="inlineStr">
        <is>
          <t>RED = critical input needed · could change or confirm the level</t>
        </is>
      </c>
      <c r="B82" s="75" t="n"/>
      <c r="C82" s="75" t="n"/>
      <c r="D82" s="75" t="n"/>
      <c r="E82" s="75" t="n"/>
      <c r="F82" s="75" t="n"/>
      <c r="G82" s="75" t="n"/>
      <c r="H82" s="75" t="n"/>
      <c r="I82" s="75" t="n"/>
      <c r="J82" s="75" t="n"/>
      <c r="K82" s="75" t="n"/>
      <c r="L82" s="75" t="n"/>
      <c r="M82" s="75" t="n"/>
      <c r="N82" s="76" t="n"/>
    </row>
    <row r="83" ht="15" customHeight="1">
      <c r="A83" s="38" t="inlineStr">
        <is>
          <t>YELLOW = to complete in validation</t>
        </is>
      </c>
      <c r="B83" s="75" t="n"/>
      <c r="C83" s="75" t="n"/>
      <c r="D83" s="75" t="n"/>
      <c r="E83" s="75" t="n"/>
      <c r="F83" s="75" t="n"/>
      <c r="G83" s="75" t="n"/>
      <c r="H83" s="75" t="n"/>
      <c r="I83" s="75" t="n"/>
      <c r="J83" s="75" t="n"/>
      <c r="K83" s="75" t="n"/>
      <c r="L83" s="75" t="n"/>
      <c r="M83" s="75" t="n"/>
      <c r="N83" s="76" t="n"/>
    </row>
    <row r="84" ht="15" customHeight="1"/>
    <row r="85" ht="15" customHeight="1">
      <c r="A85" s="8" t="inlineStr">
        <is>
          <t>Term</t>
        </is>
      </c>
      <c r="B85" s="75" t="n"/>
      <c r="C85" s="76" t="n"/>
      <c r="D85" s="8" t="inlineStr">
        <is>
          <t>Meaning</t>
        </is>
      </c>
      <c r="E85" s="75" t="n"/>
      <c r="F85" s="75" t="n"/>
      <c r="G85" s="75" t="n"/>
      <c r="H85" s="75" t="n"/>
      <c r="I85" s="75" t="n"/>
      <c r="J85" s="75" t="n"/>
      <c r="K85" s="75" t="n"/>
      <c r="L85" s="75" t="n"/>
      <c r="M85" s="75" t="n"/>
      <c r="N85" s="76" t="n"/>
    </row>
    <row r="86" ht="15" customHeight="1">
      <c r="A86" s="10" t="inlineStr">
        <is>
          <t>Job family / sub-family</t>
        </is>
      </c>
      <c r="B86" s="75" t="n"/>
      <c r="C86" s="76" t="n"/>
      <c r="D86" s="12" t="inlineStr">
        <is>
          <t>The discipline, and the actual work done inside it</t>
        </is>
      </c>
      <c r="E86" s="75" t="n"/>
      <c r="F86" s="75" t="n"/>
      <c r="G86" s="75" t="n"/>
      <c r="H86" s="75" t="n"/>
      <c r="I86" s="75" t="n"/>
      <c r="J86" s="75" t="n"/>
      <c r="K86" s="75" t="n"/>
      <c r="L86" s="75" t="n"/>
      <c r="M86" s="75" t="n"/>
      <c r="N86" s="76" t="n"/>
    </row>
    <row r="87" ht="15" customHeight="1">
      <c r="A87" s="10" t="inlineStr">
        <is>
          <t>Track</t>
        </is>
      </c>
      <c r="B87" s="75" t="n"/>
      <c r="C87" s="76" t="n"/>
      <c r="D87" s="12" t="inlineStr">
        <is>
          <t>Individual contributor · IC, POD Lead · leads 1–3 while mainly IC, People Manager, Player-Coach, Consultant</t>
        </is>
      </c>
      <c r="E87" s="75" t="n"/>
      <c r="F87" s="75" t="n"/>
      <c r="G87" s="75" t="n"/>
      <c r="H87" s="75" t="n"/>
      <c r="I87" s="75" t="n"/>
      <c r="J87" s="75" t="n"/>
      <c r="K87" s="75" t="n"/>
      <c r="L87" s="75" t="n"/>
      <c r="M87" s="75" t="n"/>
      <c r="N87" s="76" t="n"/>
    </row>
    <row r="88" ht="15" customHeight="1">
      <c r="A88" s="10" t="inlineStr">
        <is>
          <t>Weights</t>
        </is>
      </c>
      <c r="B88" s="75" t="n"/>
      <c r="C88" s="76" t="n"/>
      <c r="D88" s="12" t="inlineStr">
        <is>
          <t>How much each of the six factors counts for this kind of role; they always add up to 100%. Edit them on sheet 6</t>
        </is>
      </c>
      <c r="E88" s="75" t="n"/>
      <c r="F88" s="75" t="n"/>
      <c r="G88" s="75" t="n"/>
      <c r="H88" s="75" t="n"/>
      <c r="I88" s="75" t="n"/>
      <c r="J88" s="75" t="n"/>
      <c r="K88" s="75" t="n"/>
      <c r="L88" s="75" t="n"/>
      <c r="M88" s="75" t="n"/>
      <c r="N88" s="76" t="n"/>
    </row>
    <row r="89" ht="15" customHeight="1">
      <c r="A89" s="10" t="inlineStr">
        <is>
          <t>Score / indicated level</t>
        </is>
      </c>
      <c r="B89" s="75" t="n"/>
      <c r="C89" s="76" t="n"/>
      <c r="D89" s="12" t="inlineStr">
        <is>
          <t>The weighted average of the six ratings on the ladder scale, and the level it rounds to</t>
        </is>
      </c>
      <c r="E89" s="75" t="n"/>
      <c r="F89" s="75" t="n"/>
      <c r="G89" s="75" t="n"/>
      <c r="H89" s="75" t="n"/>
      <c r="I89" s="75" t="n"/>
      <c r="J89" s="75" t="n"/>
      <c r="K89" s="75" t="n"/>
      <c r="L89" s="75" t="n"/>
      <c r="M89" s="75" t="n"/>
      <c r="N89" s="76" t="n"/>
    </row>
    <row r="90" ht="15" customHeight="1">
      <c r="A90" s="10" t="inlineStr">
        <is>
          <t>Close call</t>
        </is>
      </c>
      <c r="B90" s="75" t="n"/>
      <c r="C90" s="76" t="n"/>
      <c r="D90" s="12" t="inlineStr">
        <is>
          <t>The score decided the level and is within 0.05 of a rounding point</t>
        </is>
      </c>
      <c r="E90" s="75" t="n"/>
      <c r="F90" s="75" t="n"/>
      <c r="G90" s="75" t="n"/>
      <c r="H90" s="75" t="n"/>
      <c r="I90" s="75" t="n"/>
      <c r="J90" s="75" t="n"/>
      <c r="K90" s="75" t="n"/>
      <c r="L90" s="75" t="n"/>
      <c r="M90" s="75" t="n"/>
      <c r="N90" s="76" t="n"/>
    </row>
    <row r="91" ht="15" customHeight="1">
      <c r="A91" s="10" t="inlineStr">
        <is>
          <t>Near a gate</t>
        </is>
      </c>
      <c r="B91" s="75" t="n"/>
      <c r="C91" s="76" t="n"/>
      <c r="D91" s="12" t="inlineStr">
        <is>
          <t>A rule set the level and the number behind it is within a quarter-point of changing it</t>
        </is>
      </c>
      <c r="E91" s="75" t="n"/>
      <c r="F91" s="75" t="n"/>
      <c r="G91" s="75" t="n"/>
      <c r="H91" s="75" t="n"/>
      <c r="I91" s="75" t="n"/>
      <c r="J91" s="75" t="n"/>
      <c r="K91" s="75" t="n"/>
      <c r="L91" s="75" t="n"/>
      <c r="M91" s="75" t="n"/>
      <c r="N91" s="76" t="n"/>
    </row>
    <row r="92" ht="15" customHeight="1">
      <c r="A92" s="10" t="inlineStr">
        <is>
          <t>Provisional</t>
        </is>
      </c>
      <c r="B92" s="75" t="n"/>
      <c r="C92" s="76" t="n"/>
      <c r="D92" s="12" t="inlineStr">
        <is>
          <t>The level is kept until HR confirms the experience record</t>
        </is>
      </c>
      <c r="E92" s="75" t="n"/>
      <c r="F92" s="75" t="n"/>
      <c r="G92" s="75" t="n"/>
      <c r="H92" s="75" t="n"/>
      <c r="I92" s="75" t="n"/>
      <c r="J92" s="75" t="n"/>
      <c r="K92" s="75" t="n"/>
      <c r="L92" s="75" t="n"/>
      <c r="M92" s="75" t="n"/>
      <c r="N92" s="76" t="n"/>
    </row>
    <row r="93" ht="15" customHeight="1">
      <c r="A93" s="10" t="inlineStr">
        <is>
          <t>Protected</t>
        </is>
      </c>
      <c r="B93" s="75" t="n"/>
      <c r="C93" s="76" t="n"/>
      <c r="D93" s="12" t="inlineStr">
        <is>
          <t>A move down keeps current pay and title for one cycle, with a review date</t>
        </is>
      </c>
      <c r="E93" s="75" t="n"/>
      <c r="F93" s="75" t="n"/>
      <c r="G93" s="75" t="n"/>
      <c r="H93" s="75" t="n"/>
      <c r="I93" s="75" t="n"/>
      <c r="J93" s="75" t="n"/>
      <c r="K93" s="75" t="n"/>
      <c r="L93" s="75" t="n"/>
      <c r="M93" s="75" t="n"/>
      <c r="N93" s="76" t="n"/>
    </row>
    <row r="94" ht="15" customHeight="1">
      <c r="A94" s="10" t="inlineStr">
        <is>
          <t>Radford / Mercer code</t>
        </is>
      </c>
      <c r="B94" s="75" t="n"/>
      <c r="C94" s="76" t="n"/>
      <c r="D94" s="12" t="inlineStr">
        <is>
          <t>The market survey level used to price the role once pay data is bought</t>
        </is>
      </c>
      <c r="E94" s="75" t="n"/>
      <c r="F94" s="75" t="n"/>
      <c r="G94" s="75" t="n"/>
      <c r="H94" s="75" t="n"/>
      <c r="I94" s="75" t="n"/>
      <c r="J94" s="75" t="n"/>
      <c r="K94" s="75" t="n"/>
      <c r="L94" s="75" t="n"/>
      <c r="M94" s="75" t="n"/>
      <c r="N94" s="76" t="n"/>
    </row>
    <row r="95"/>
    <row r="96" ht="20" customHeight="1">
      <c r="A96" s="6" t="inlineStr">
        <is>
          <t>5. Charts — the shape of this population</t>
        </is>
      </c>
    </row>
    <row r="97">
      <c r="A97" s="24" t="inlineStr">
        <is>
          <t>People at each level, and how levels moved from the current structure. Built from the tables beside them.</t>
        </is>
      </c>
    </row>
    <row r="98">
      <c r="A98" s="8" t="inlineStr">
        <is>
          <t>Level</t>
        </is>
      </c>
      <c r="B98" s="8" t="inlineStr">
        <is>
          <t>People</t>
        </is>
      </c>
    </row>
    <row r="99">
      <c r="A99" s="10" t="inlineStr">
        <is>
          <t>A2</t>
        </is>
      </c>
      <c r="B99" s="26" t="n">
        <v>1</v>
      </c>
    </row>
    <row r="100">
      <c r="A100" s="10" t="inlineStr">
        <is>
          <t>A3</t>
        </is>
      </c>
      <c r="B100" s="26" t="n">
        <v>15</v>
      </c>
    </row>
    <row r="101">
      <c r="A101" s="10" t="inlineStr">
        <is>
          <t>B1</t>
        </is>
      </c>
      <c r="B101" s="26" t="n">
        <v>3</v>
      </c>
    </row>
    <row r="102">
      <c r="A102" s="10" t="inlineStr">
        <is>
          <t>B2</t>
        </is>
      </c>
      <c r="B102" s="26" t="n">
        <v>3</v>
      </c>
    </row>
    <row r="103">
      <c r="A103" s="10" t="inlineStr">
        <is>
          <t>B3</t>
        </is>
      </c>
      <c r="B103" s="26" t="n">
        <v>1</v>
      </c>
    </row>
    <row r="104"/>
    <row r="105"/>
    <row r="106"/>
    <row r="107"/>
    <row r="108"/>
    <row r="109"/>
    <row r="110"/>
    <row r="111"/>
    <row r="112"/>
    <row r="113"/>
    <row r="114"/>
    <row r="115"/>
    <row r="116"/>
    <row r="117">
      <c r="A117" s="8" t="inlineStr">
        <is>
          <t>Current ↓ / New →</t>
        </is>
      </c>
      <c r="B117" s="8" t="inlineStr">
        <is>
          <t>A2</t>
        </is>
      </c>
      <c r="C117" s="8" t="inlineStr">
        <is>
          <t>A3</t>
        </is>
      </c>
      <c r="D117" s="8" t="inlineStr">
        <is>
          <t>B1</t>
        </is>
      </c>
      <c r="E117" s="8" t="inlineStr">
        <is>
          <t>B2</t>
        </is>
      </c>
      <c r="F117" s="8" t="inlineStr">
        <is>
          <t>B3</t>
        </is>
      </c>
      <c r="G117" s="8" t="inlineStr">
        <is>
          <t>Total</t>
        </is>
      </c>
    </row>
    <row r="118">
      <c r="A118" s="10" t="inlineStr">
        <is>
          <t>L3</t>
        </is>
      </c>
      <c r="B118" s="26" t="n">
        <v>1</v>
      </c>
      <c r="C118" s="26" t="n">
        <v>13</v>
      </c>
      <c r="D118" s="26" t="n">
        <v>1</v>
      </c>
      <c r="E118" s="26" t="n">
        <v>1</v>
      </c>
      <c r="F118" s="26" t="n"/>
      <c r="G118" s="26" t="n">
        <v>16</v>
      </c>
    </row>
    <row r="119">
      <c r="A119" s="10" t="inlineStr">
        <is>
          <t>L4</t>
        </is>
      </c>
      <c r="B119" s="26" t="n"/>
      <c r="C119" s="26" t="n">
        <v>2</v>
      </c>
      <c r="D119" s="26" t="n">
        <v>1</v>
      </c>
      <c r="E119" s="26" t="n"/>
      <c r="F119" s="26" t="n"/>
      <c r="G119" s="26" t="n">
        <v>3</v>
      </c>
    </row>
    <row r="120">
      <c r="A120" s="10" t="inlineStr">
        <is>
          <t>L5</t>
        </is>
      </c>
      <c r="B120" s="26" t="n"/>
      <c r="C120" s="26" t="n"/>
      <c r="D120" s="26" t="n">
        <v>1</v>
      </c>
      <c r="E120" s="26" t="n">
        <v>2</v>
      </c>
      <c r="F120" s="26" t="n">
        <v>1</v>
      </c>
      <c r="G120" s="26" t="n">
        <v>4</v>
      </c>
    </row>
    <row r="121">
      <c r="A121" s="77" t="inlineStr">
        <is>
          <t>Total</t>
        </is>
      </c>
      <c r="B121" s="78" t="n">
        <v>1</v>
      </c>
      <c r="C121" s="78" t="n">
        <v>15</v>
      </c>
      <c r="D121" s="78" t="n">
        <v>3</v>
      </c>
      <c r="E121" s="78" t="n">
        <v>3</v>
      </c>
      <c r="F121" s="78" t="n">
        <v>1</v>
      </c>
      <c r="G121" s="78" t="n">
        <v>23</v>
      </c>
    </row>
  </sheetData>
  <mergeCells count="194">
    <mergeCell ref="A39:N39"/>
    <mergeCell ref="M59:N59"/>
    <mergeCell ref="A89:C89"/>
    <mergeCell ref="F26:K26"/>
    <mergeCell ref="B22:C22"/>
    <mergeCell ref="K7:N7"/>
    <mergeCell ref="D22:E22"/>
    <mergeCell ref="A79:N79"/>
    <mergeCell ref="M60:N60"/>
    <mergeCell ref="A71:C71"/>
    <mergeCell ref="I16:J16"/>
    <mergeCell ref="D86:N86"/>
    <mergeCell ref="M54:N54"/>
    <mergeCell ref="F27:K27"/>
    <mergeCell ref="D10:J10"/>
    <mergeCell ref="H43:N43"/>
    <mergeCell ref="A91:C91"/>
    <mergeCell ref="G18:H18"/>
    <mergeCell ref="A37:N37"/>
    <mergeCell ref="D48:E48"/>
    <mergeCell ref="I18:J18"/>
    <mergeCell ref="D70:N70"/>
    <mergeCell ref="M16:N16"/>
    <mergeCell ref="H41:N41"/>
    <mergeCell ref="A93:C93"/>
    <mergeCell ref="A33:B33"/>
    <mergeCell ref="B45:G45"/>
    <mergeCell ref="D72:N72"/>
    <mergeCell ref="D87:N87"/>
    <mergeCell ref="A17:B17"/>
    <mergeCell ref="D11:J11"/>
    <mergeCell ref="C17:D17"/>
    <mergeCell ref="B49:C49"/>
    <mergeCell ref="D71:N71"/>
    <mergeCell ref="C34:N34"/>
    <mergeCell ref="M17:N17"/>
    <mergeCell ref="A35:B35"/>
    <mergeCell ref="B24:C24"/>
    <mergeCell ref="F25:K25"/>
    <mergeCell ref="D24:E24"/>
    <mergeCell ref="A19:B19"/>
    <mergeCell ref="B51:C51"/>
    <mergeCell ref="D64:N64"/>
    <mergeCell ref="C19:D19"/>
    <mergeCell ref="D51:E51"/>
    <mergeCell ref="D73:N73"/>
    <mergeCell ref="A63:N63"/>
    <mergeCell ref="B26:C26"/>
    <mergeCell ref="A69:C69"/>
    <mergeCell ref="D26:E26"/>
    <mergeCell ref="F24:K24"/>
    <mergeCell ref="A66:C66"/>
    <mergeCell ref="A77:N77"/>
    <mergeCell ref="A83:N83"/>
    <mergeCell ref="B25:C25"/>
    <mergeCell ref="D9:J9"/>
    <mergeCell ref="D90:N90"/>
    <mergeCell ref="H50:I50"/>
    <mergeCell ref="A12:C12"/>
    <mergeCell ref="B27:C27"/>
    <mergeCell ref="A1:N1"/>
    <mergeCell ref="K13:N13"/>
    <mergeCell ref="F23:K23"/>
    <mergeCell ref="A78:N78"/>
    <mergeCell ref="H49:I49"/>
    <mergeCell ref="J49:K49"/>
    <mergeCell ref="A80:N80"/>
    <mergeCell ref="A3:N3"/>
    <mergeCell ref="A13:C13"/>
    <mergeCell ref="A21:N21"/>
    <mergeCell ref="B41:G41"/>
    <mergeCell ref="A67:C67"/>
    <mergeCell ref="A5:N5"/>
    <mergeCell ref="A32:N32"/>
    <mergeCell ref="I17:J17"/>
    <mergeCell ref="L22:M22"/>
    <mergeCell ref="A73:C73"/>
    <mergeCell ref="K17:L17"/>
    <mergeCell ref="A97:N97"/>
    <mergeCell ref="E16:F16"/>
    <mergeCell ref="F48:G48"/>
    <mergeCell ref="C33:N33"/>
    <mergeCell ref="G16:H16"/>
    <mergeCell ref="H48:I48"/>
    <mergeCell ref="A96:N96"/>
    <mergeCell ref="B55:L55"/>
    <mergeCell ref="I19:J19"/>
    <mergeCell ref="D23:E23"/>
    <mergeCell ref="J51:K51"/>
    <mergeCell ref="K19:L19"/>
    <mergeCell ref="C18:D18"/>
    <mergeCell ref="D89:N89"/>
    <mergeCell ref="A7:C7"/>
    <mergeCell ref="E18:F18"/>
    <mergeCell ref="C35:N35"/>
    <mergeCell ref="J48:K48"/>
    <mergeCell ref="A34:B34"/>
    <mergeCell ref="K16:L16"/>
    <mergeCell ref="A40:N40"/>
    <mergeCell ref="L48:M48"/>
    <mergeCell ref="D88:N88"/>
    <mergeCell ref="B54:L54"/>
    <mergeCell ref="M55:N55"/>
    <mergeCell ref="D12:J12"/>
    <mergeCell ref="A82:N82"/>
    <mergeCell ref="K10:N10"/>
    <mergeCell ref="H42:N42"/>
    <mergeCell ref="B56:L56"/>
    <mergeCell ref="A86:C86"/>
    <mergeCell ref="D65:N65"/>
    <mergeCell ref="B58:L58"/>
    <mergeCell ref="A6:N6"/>
    <mergeCell ref="D49:E49"/>
    <mergeCell ref="L24:M24"/>
    <mergeCell ref="D27:E27"/>
    <mergeCell ref="F50:G50"/>
    <mergeCell ref="B60:L60"/>
    <mergeCell ref="K9:N9"/>
    <mergeCell ref="B57:L57"/>
    <mergeCell ref="A72:C72"/>
    <mergeCell ref="L26:M26"/>
    <mergeCell ref="D91:N91"/>
    <mergeCell ref="D66:N66"/>
    <mergeCell ref="H44:N44"/>
    <mergeCell ref="A2:N2"/>
    <mergeCell ref="K11:N11"/>
    <mergeCell ref="L50:M50"/>
    <mergeCell ref="L25:M25"/>
    <mergeCell ref="A47:N47"/>
    <mergeCell ref="D93:N93"/>
    <mergeCell ref="A64:C64"/>
    <mergeCell ref="D25:E25"/>
    <mergeCell ref="J50:K50"/>
    <mergeCell ref="D92:N92"/>
    <mergeCell ref="D7:J7"/>
    <mergeCell ref="A29:N29"/>
    <mergeCell ref="A88:C88"/>
    <mergeCell ref="F49:G49"/>
    <mergeCell ref="D67:N67"/>
    <mergeCell ref="H45:N45"/>
    <mergeCell ref="K8:N8"/>
    <mergeCell ref="B43:G43"/>
    <mergeCell ref="A70:C70"/>
    <mergeCell ref="A81:N81"/>
    <mergeCell ref="D85:N85"/>
    <mergeCell ref="K18:L18"/>
    <mergeCell ref="D94:N94"/>
    <mergeCell ref="M58:N58"/>
    <mergeCell ref="A31:N31"/>
    <mergeCell ref="A90:C90"/>
    <mergeCell ref="B42:G42"/>
    <mergeCell ref="D69:N69"/>
    <mergeCell ref="D8:J8"/>
    <mergeCell ref="A15:N15"/>
    <mergeCell ref="B59:L59"/>
    <mergeCell ref="A74:C74"/>
    <mergeCell ref="E17:F17"/>
    <mergeCell ref="B44:G44"/>
    <mergeCell ref="G17:H17"/>
    <mergeCell ref="A16:B16"/>
    <mergeCell ref="B48:C48"/>
    <mergeCell ref="C16:D16"/>
    <mergeCell ref="A85:C85"/>
    <mergeCell ref="A87:C87"/>
    <mergeCell ref="F22:K22"/>
    <mergeCell ref="A8:C8"/>
    <mergeCell ref="E19:F19"/>
    <mergeCell ref="F51:G51"/>
    <mergeCell ref="G19:H19"/>
    <mergeCell ref="B23:C23"/>
    <mergeCell ref="H51:I51"/>
    <mergeCell ref="L23:M23"/>
    <mergeCell ref="A18:B18"/>
    <mergeCell ref="A10:C10"/>
    <mergeCell ref="A68:C68"/>
    <mergeCell ref="L51:M51"/>
    <mergeCell ref="A9:C9"/>
    <mergeCell ref="A76:N76"/>
    <mergeCell ref="A92:C92"/>
    <mergeCell ref="D13:J13"/>
    <mergeCell ref="M57:N57"/>
    <mergeCell ref="A11:C11"/>
    <mergeCell ref="A53:N53"/>
    <mergeCell ref="D74:N74"/>
    <mergeCell ref="A94:C94"/>
    <mergeCell ref="A62:N62"/>
    <mergeCell ref="D68:N68"/>
    <mergeCell ref="K12:N12"/>
    <mergeCell ref="L49:M49"/>
    <mergeCell ref="L27:M27"/>
    <mergeCell ref="B50:C50"/>
    <mergeCell ref="D50:E50"/>
    <mergeCell ref="A65:C65"/>
    <mergeCell ref="M56:N56"/>
  </mergeCells>
  <conditionalFormatting sqref="B118:F120">
    <cfRule type="colorScale" priority="1">
      <colorScale>
        <cfvo type="num" val="0"/>
        <cfvo type="max"/>
        <color rgb="00FFFFFF"/>
        <color rgb="002E75B6"/>
      </colorScale>
    </cfRule>
  </conditionalFormatting>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6"/>
</worksheet>
</file>

<file path=xl/worksheets/sheet3.xml><?xml version="1.0" encoding="utf-8"?>
<worksheet xmlns="http://schemas.openxmlformats.org/spreadsheetml/2006/main">
  <sheetPr>
    <tabColor rgb="002E75B6"/>
    <outlinePr summaryBelow="1" summaryRight="1"/>
    <pageSetUpPr fitToPage="1"/>
  </sheetPr>
  <dimension ref="A1:AG29"/>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6" customWidth="1" min="3" max="3"/>
    <col width="22" customWidth="1" min="4" max="4"/>
    <col width="26" customWidth="1" min="5" max="5"/>
    <col width="18" customWidth="1" min="6" max="6"/>
    <col width="22" customWidth="1" min="7" max="7"/>
    <col width="11" customWidth="1" min="8" max="8"/>
    <col width="11" customWidth="1" min="9" max="9"/>
    <col width="8" customWidth="1" min="10" max="10"/>
    <col width="16" customWidth="1" min="11" max="11"/>
    <col width="12" customWidth="1" min="12" max="12"/>
    <col width="2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62" customWidth="1" min="22" max="22"/>
    <col width="74" customWidth="1" min="23" max="23"/>
    <col width="42" customWidth="1" min="24" max="24"/>
    <col width="36" customWidth="1" min="25" max="25"/>
    <col width="42" customWidth="1" min="26" max="26"/>
    <col width="34" customWidth="1" min="27" max="27"/>
    <col width="40" customWidth="1" min="28" max="28"/>
    <col width="12" customWidth="1" min="29" max="29"/>
    <col width="34" customWidth="1" min="30" max="30"/>
    <col width="36" customWidth="1" min="31" max="31"/>
    <col hidden="1" width="6" customWidth="1" min="32" max="32"/>
    <col width="13" customWidth="1" min="33" max="33"/>
  </cols>
  <sheetData>
    <row r="1" ht="34" customHeight="1">
      <c r="A1" s="1" t="inlineStr">
        <is>
          <t>People &amp; Levels — every placement, with its full reasoning</t>
        </is>
      </c>
      <c r="AG1" s="86" t="inlineStr">
        <is>
          <t>◂ Start Here</t>
        </is>
      </c>
    </row>
    <row r="2" ht="30" customHeight="1">
      <c r="A2" s="3" t="inlineStr">
        <is>
          <r>
            <rPr>
              <rFont val="Calibri"/>
              <b val="1"/>
              <i val="1"/>
              <color rgb="00404040"/>
              <sz val="10"/>
            </rPr>
            <t>Sheet 2 · Read left to right:</t>
          </r>
          <r>
            <rPr>
              <rFont val="Calibri"/>
              <i val="1"/>
              <color rgb="00404040"/>
              <sz val="10"/>
            </rPr>
            <t xml:space="preserve"> the person → role before and after → six ratings and the score, live from the Weightage Matrix → why this level · the weights, the rules applied, each factor's rating with its starting point and evidence → the market comparison → the data behind it, points for attention and inputs still needed → your validation · yellow.</t>
          </r>
        </is>
      </c>
    </row>
    <row r="3">
      <c r="A3" s="4" t="inlineStr">
        <is>
          <t>IRIS · Job Architecture &amp; Job Design · Final v1.12 · October 2026 · Internal — Confidential</t>
        </is>
      </c>
    </row>
    <row r="4" ht="30" customHeight="1">
      <c r="A4" s="40" t="inlineStr">
        <is>
          <t>Section colours: each column group has its own header colour and a matching light tint</t>
        </is>
      </c>
      <c r="E4" s="41" t="inlineStr">
        <is>
          <t>Changed vs current · designation or level</t>
        </is>
      </c>
      <c r="F4" s="42" t="inlineStr">
        <is>
          <t>Level up</t>
        </is>
      </c>
      <c r="G4" s="43" t="inlineStr">
        <is>
          <t>Level down — pay &amp; title protected</t>
        </is>
      </c>
      <c r="H4" s="44" t="inlineStr">
        <is>
          <t>Newly mapped</t>
        </is>
      </c>
      <c r="J4" s="46" t="inlineStr">
        <is>
          <t>Player-Coach · B+ · C+</t>
        </is>
      </c>
      <c r="L4" s="48" t="inlineStr">
        <is>
          <t>RED = critical input needed · could change or confirm the level</t>
        </is>
      </c>
      <c r="N4" s="50" t="inlineStr">
        <is>
          <t>YELLOW = to complete in validation</t>
        </is>
      </c>
    </row>
    <row r="5" ht="30" customHeight="1">
      <c r="A5" s="52" t="inlineStr">
        <is>
          <t>PERSON</t>
        </is>
      </c>
      <c r="D5" s="53" t="inlineStr">
        <is>
          <t>ROLE — BEFORE → AFTER</t>
        </is>
      </c>
      <c r="M5" s="54" t="inlineStr">
        <is>
          <t>WEIGHTAGE — six ratings × the Weightage Matrix = the score, live</t>
        </is>
      </c>
      <c r="V5" s="55" t="inlineStr">
        <is>
          <t>WHY THIS LEVEL — the full reasoning</t>
        </is>
      </c>
      <c r="Y5" s="56" t="inlineStr">
        <is>
          <t>EVIDENCE, FLAGS &amp; INPUTS</t>
        </is>
      </c>
      <c r="AC5" s="57" t="inlineStr">
        <is>
          <t>YOUR VALIDATION</t>
        </is>
      </c>
    </row>
    <row r="6" ht="44" customHeight="1">
      <c r="A6" s="58" t="inlineStr">
        <is>
          <t>Emp ID</t>
        </is>
      </c>
      <c r="B6" s="58" t="inlineStr">
        <is>
          <t>Employee name</t>
        </is>
      </c>
      <c r="C6" s="58" t="inlineStr">
        <is>
          <t>Department</t>
        </is>
      </c>
      <c r="D6" s="8" t="inlineStr">
        <is>
          <t>Current designation</t>
        </is>
      </c>
      <c r="E6" s="8" t="inlineStr">
        <is>
          <t>New designation</t>
        </is>
      </c>
      <c r="F6" s="8" t="inlineStr">
        <is>
          <t>Job family</t>
        </is>
      </c>
      <c r="G6" s="8" t="inlineStr">
        <is>
          <t>Sub-family</t>
        </is>
      </c>
      <c r="H6" s="8" t="inlineStr">
        <is>
          <t>Track</t>
        </is>
      </c>
      <c r="I6" s="8" t="inlineStr">
        <is>
          <t>Current level</t>
        </is>
      </c>
      <c r="J6" s="8" t="inlineStr">
        <is>
          <t>NEW LEVEL</t>
        </is>
      </c>
      <c r="K6" s="8" t="inlineStr">
        <is>
          <t>Level title</t>
        </is>
      </c>
      <c r="L6" s="8" t="inlineStr">
        <is>
          <t>Change vs current</t>
        </is>
      </c>
      <c r="M6" s="59" t="inlineStr">
        <is>
          <t>Weight row — Weightage Matrix</t>
        </is>
      </c>
      <c r="N6" s="59" t="inlineStr">
        <is>
          <t>Complexity rating</t>
        </is>
      </c>
      <c r="O6" s="59" t="inlineStr">
        <is>
          <t>Autonomy rating</t>
        </is>
      </c>
      <c r="P6" s="59" t="inlineStr">
        <is>
          <t>Accountab. rating</t>
        </is>
      </c>
      <c r="Q6" s="59" t="inlineStr">
        <is>
          <t>Leadership rating</t>
        </is>
      </c>
      <c r="R6" s="59" t="inlineStr">
        <is>
          <t>Exp + Qual rating</t>
        </is>
      </c>
      <c r="S6" s="59" t="inlineStr">
        <is>
          <t>Bus. Impact rating</t>
        </is>
      </c>
      <c r="T6" s="59" t="inlineStr">
        <is>
          <t>Score</t>
        </is>
      </c>
      <c r="U6" s="59" t="inlineStr">
        <is>
          <t>Level the score indicates</t>
        </is>
      </c>
      <c r="V6" s="60" t="inlineStr">
        <is>
          <t>Why this level</t>
        </is>
      </c>
      <c r="W6" s="60" t="inlineStr">
        <is>
          <t>How each factor was rated · rating of 12 — starting point and evidence</t>
        </is>
      </c>
      <c r="X6" s="60" t="inlineStr">
        <is>
          <t>Market comparison</t>
        </is>
      </c>
      <c r="Y6" s="61" t="inlineStr">
        <is>
          <t>Data behind the placement</t>
        </is>
      </c>
      <c r="Z6" s="61" t="inlineStr">
        <is>
          <t>Points for your attention</t>
        </is>
      </c>
      <c r="AA6" s="61" t="inlineStr">
        <is>
          <t>Input still needed — and who provides it</t>
        </is>
      </c>
      <c r="AB6" s="61" t="inlineStr">
        <is>
          <t>Business impact — from survey and data</t>
        </is>
      </c>
      <c r="AC6" s="62" t="inlineStr">
        <is>
          <t>Your view</t>
        </is>
      </c>
      <c r="AD6" s="62" t="inlineStr">
        <is>
          <t>If change: proposed level / designation, and why</t>
        </is>
      </c>
      <c r="AE6" s="62" t="inlineStr">
        <is>
          <t>Business impact of this person — your view</t>
        </is>
      </c>
      <c r="AF6" s="62" t="inlineStr">
        <is>
          <t>Bus. Impact — model start</t>
        </is>
      </c>
    </row>
    <row r="7" ht="353" customHeight="1">
      <c r="A7" s="12" t="inlineStr">
        <is>
          <t>IRIS0114</t>
        </is>
      </c>
      <c r="B7" s="10" t="inlineStr">
        <is>
          <t>Shraddha Patil</t>
        </is>
      </c>
      <c r="C7" s="12" t="inlineStr">
        <is>
          <t>Digitizing</t>
        </is>
      </c>
      <c r="D7" s="12" t="inlineStr">
        <is>
          <t>Image Processing Specialist</t>
        </is>
      </c>
      <c r="E7" s="63" t="inlineStr">
        <is>
          <t>Digitization Manager</t>
        </is>
      </c>
      <c r="F7" s="12" t="inlineStr">
        <is>
          <t>Data Operations &amp; Digitization</t>
        </is>
      </c>
      <c r="G7" s="12" t="inlineStr">
        <is>
          <t>Document Conversion, Formatting &amp; Web Publishing</t>
        </is>
      </c>
      <c r="H7" s="12" t="inlineStr">
        <is>
          <t>People Manager</t>
        </is>
      </c>
      <c r="I7" s="26" t="inlineStr">
        <is>
          <t>L3 – Professional / Associate</t>
        </is>
      </c>
      <c r="J7" s="20" t="inlineStr">
        <is>
          <t>B2</t>
        </is>
      </c>
      <c r="K7" s="21" t="inlineStr">
        <is>
          <t>Manager</t>
        </is>
      </c>
      <c r="L7" s="64" t="inlineStr">
        <is>
          <t>▲ Up</t>
        </is>
      </c>
      <c r="M7" s="12" t="inlineStr">
        <is>
          <t>Consume · Digitizing · Band B · People Manager</t>
        </is>
      </c>
      <c r="N7" s="26" t="n">
        <v>3.5</v>
      </c>
      <c r="O7" s="26" t="n">
        <v>4.5</v>
      </c>
      <c r="P7" s="26" t="n">
        <v>5</v>
      </c>
      <c r="Q7" s="26" t="n">
        <v>5</v>
      </c>
      <c r="R7" s="26" t="n">
        <v>9.5</v>
      </c>
      <c r="S7" s="65" t="n">
        <v>5.5</v>
      </c>
      <c r="T7" s="66">
        <f>IF(OR($M7="",COUNT(N7,O7,P7,Q7,R7,S7)&lt;6),"",IFERROR(N7*INDEX(WM_C,MATCH($M7,WM_KEY,0))+O7*INDEX(WM_AU,MATCH($M7,WM_KEY,0))+P7*INDEX(WM_AC,MATCH($M7,WM_KEY,0))+Q7*INDEX(WM_L,MATCH($M7,WM_KEY,0))+R7*INDEX(WM_E,MATCH($M7,WM_KEY,0))+S7*INDEX(WM_BI,MATCH($M7,WM_KEY,0)),""))</f>
        <v>4.925</v>
      </c>
      <c r="U7" s="26" t="str">
        <f>IF(T7="","",INDEX({"A1","A2","A3","B1","B2","B3","C1","C2","D1","D2","E1","E2"},MAX(1,MIN(12,ROUND(T7,0)))))</f>
        <v>B2</v>
      </c>
      <c r="V7" s="12" t="inlineStr">
        <is>
          <r>
            <rPr>
              <rFont val="Calibri"/>
              <sz val="10"/>
            </rPr>
            <t xml:space="preserve">New level B2 · Manager. Current level on record: L3 – Professional / Associate. Change: ▲ Up.
Score 4.92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 s="12" t="inlineStr">
        <is>
          <r>
            <rPr>
              <rFont val="Calibri"/>
              <b val="1"/>
              <sz val="10"/>
            </rPr>
            <t>Complexity &amp; Expertise:</t>
          </r>
          <r>
            <rPr>
              <rFont val="Calibri"/>
              <sz val="10"/>
            </rPr>
            <t xml:space="preserve"> 3.5 of 12 · between A3 and B1 — Start: 3.0 · senior practitioner title; Evidence reads like B1: Runs RBI website maintenance delivery: client coordination, root-cause analysis, quality management, release plans → moved up 0.5; KRA: “1. Complete assigned conversion/formatting tasks with &gt;=99% accuracy · zero critical errors. 2. Meet 100% of client publishing deadlines…”
</t>
          </r>
          <r>
            <rPr>
              <rFont val="Calibri"/>
              <b val="1"/>
              <sz val="10"/>
            </rPr>
            <t>Autonomy &amp; Decision:</t>
          </r>
          <r>
            <rPr>
              <rFont val="Calibri"/>
              <sz val="10"/>
            </rPr>
            <t xml:space="preserve"> 4.5 of 12 · between B1 and B2 — Start: 4.0 · senior practitioner title; reporting lines show a bigger role: 8 direct reports; Evidence reads like B2: Decides team workload and major release plans → moved up 0.5
</t>
          </r>
          <r>
            <rPr>
              <rFont val="Calibri"/>
              <b val="1"/>
              <sz val="10"/>
            </rPr>
            <t>Accountability &amp; Impact:</t>
          </r>
          <r>
            <rPr>
              <rFont val="Calibri"/>
              <sz val="10"/>
            </rPr>
            <t xml:space="preserve"> 5 of 12 — Start: 5.0 · senior practitioner title; 8 direct reports; Evidence reads like B2: As team leader, accountable for overall delivery of the Website Maintenance Project → matches the start; KRA: “1. Complete assigned conversion/formatting tasks with &gt;=99% accuracy · zero critical errors. 2. Meet 100% of client publishing deadlines…”
</t>
          </r>
          <r>
            <rPr>
              <rFont val="Calibri"/>
              <b val="1"/>
              <sz val="10"/>
            </rPr>
            <t>Leadership &amp; Strategy:</t>
          </r>
          <r>
            <rPr>
              <rFont val="Calibri"/>
              <sz val="10"/>
            </rPr>
            <t xml:space="preserve"> 5 of 12 — Start: 5.0; Evidence reads like B2: Manages performance and workload of the team; 8 direct reports → matches the start; Team: 8 direct reports · People Manager
</t>
          </r>
          <r>
            <rPr>
              <rFont val="Calibri"/>
              <b val="1"/>
              <sz val="10"/>
            </rPr>
            <t>Experience &amp; Qualification:</t>
          </r>
          <r>
            <rPr>
              <rFont val="Calibri"/>
              <sz val="10"/>
            </rPr>
            <t xml:space="preserve"> 9.5 of 12 · between D1 and D2 — Experience: 19.1 yrs total · 19.1 at IRIS; none recorded before IRIS = 9.5 on the experience scale; Qualification: BA · 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7"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Accenture Operations – L8 Associate Manager · IRIS Vs Competitor Benchmark — operations roles: Operations Manager
</t>
          </r>
          <r>
            <rPr>
              <rFont val="Calibri"/>
              <b val="1"/>
              <sz val="10"/>
            </rPr>
            <t>Typical experience:</t>
          </r>
          <r>
            <rPr>
              <rFont val="Calibri"/>
              <sz val="10"/>
            </rPr>
            <t xml:space="preserve"> 6–10 yrs · IRIS guide 6–9
</t>
          </r>
          <r>
            <rPr>
              <rFont val="Calibri"/>
              <b val="1"/>
              <sz val="10"/>
            </rPr>
            <t>Standard:</t>
          </r>
          <r>
            <rPr>
              <rFont val="Calibri"/>
              <sz val="10"/>
            </rPr>
            <t xml:space="preserve"> COPC CX Standard; ISO 9001</t>
          </r>
        </is>
      </c>
      <c r="Y7" s="12" t="inlineStr">
        <is>
          <r>
            <rPr>
              <rFont val="Calibri"/>
              <sz val="10"/>
            </rPr>
            <t xml:space="preserve">✓ HRIS: 19.1 yrs, BA, 8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7" s="12" t="inlineStr">
        <is>
          <t>—</t>
        </is>
      </c>
      <c r="AA7" s="67" t="inlineStr">
        <is>
          <t>• Confirm the reporting line — Manager</t>
        </is>
      </c>
      <c r="AB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8 direct reports.
From the survey and manager mapping — critical role: yes; successor named: no.
</t>
          </r>
          <r>
            <rPr>
              <rFont val="Calibri"/>
              <b val="1"/>
              <sz val="10"/>
            </rPr>
            <t>If the work is missed · role-holders' themes:</t>
          </r>
          <r>
            <rPr>
              <rFont val="Calibri"/>
              <sz val="10"/>
            </rPr>
            <t xml:space="preserve"> rework · delays · errors · quality · incorrect.
Manager talent mapping — Latest rating: 5 · Potential: High · 9-Box Grid placement: Core Contributor.</t>
          </r>
        </is>
      </c>
      <c r="AC7" s="68" t="n"/>
      <c r="AD7" s="68" t="n"/>
      <c r="AE7" s="68" t="n"/>
      <c r="AF7" s="12" t="n">
        <v>5.5</v>
      </c>
    </row>
    <row r="8" ht="353" customHeight="1">
      <c r="A8" s="12" t="inlineStr">
        <is>
          <t>IRIS0167</t>
        </is>
      </c>
      <c r="B8" s="10" t="inlineStr">
        <is>
          <t>Nitin Bhoir</t>
        </is>
      </c>
      <c r="C8" s="12" t="inlineStr">
        <is>
          <t>Digitizing</t>
        </is>
      </c>
      <c r="D8" s="12" t="inlineStr">
        <is>
          <t>Image Processing Specialist</t>
        </is>
      </c>
      <c r="E8" s="63" t="inlineStr">
        <is>
          <t>Digitization Specialist</t>
        </is>
      </c>
      <c r="F8" s="12" t="inlineStr">
        <is>
          <t>Data Operations &amp; Digitization</t>
        </is>
      </c>
      <c r="G8" s="12" t="inlineStr">
        <is>
          <t>Document Conversion, Formatting &amp; Web Publishing</t>
        </is>
      </c>
      <c r="H8" s="12" t="inlineStr">
        <is>
          <t>IC</t>
        </is>
      </c>
      <c r="I8" s="26" t="inlineStr">
        <is>
          <t>L3 – Professional / Associate</t>
        </is>
      </c>
      <c r="J8" s="20" t="inlineStr">
        <is>
          <t>B1</t>
        </is>
      </c>
      <c r="K8" s="21" t="inlineStr">
        <is>
          <t>Specialist</t>
        </is>
      </c>
      <c r="L8" s="64" t="inlineStr">
        <is>
          <t>▲ Up</t>
        </is>
      </c>
      <c r="M8" s="12" t="inlineStr">
        <is>
          <t>Consume · Digitizing · Band B · Expert / POD Lead</t>
        </is>
      </c>
      <c r="N8" s="26" t="n">
        <v>3</v>
      </c>
      <c r="O8" s="26" t="n">
        <v>2.5</v>
      </c>
      <c r="P8" s="26" t="n">
        <v>3</v>
      </c>
      <c r="Q8" s="26" t="n">
        <v>2</v>
      </c>
      <c r="R8" s="26" t="n">
        <v>9.5</v>
      </c>
      <c r="S8" s="65" t="n">
        <v>3.5</v>
      </c>
      <c r="T8" s="66">
        <f>IF(OR($M8="",COUNT(N8,O8,P8,Q8,R8,S8)&lt;6),"",IFERROR(N8*INDEX(WM_C,MATCH($M8,WM_KEY,0))+O8*INDEX(WM_AU,MATCH($M8,WM_KEY,0))+P8*INDEX(WM_AC,MATCH($M8,WM_KEY,0))+Q8*INDEX(WM_L,MATCH($M8,WM_KEY,0))+R8*INDEX(WM_E,MATCH($M8,WM_KEY,0))+S8*INDEX(WM_BI,MATCH($M8,WM_KEY,0)),""))</f>
        <v>3.55</v>
      </c>
      <c r="U8" s="26" t="str">
        <f>IF(T8="","",INDEX({"A1","A2","A3","B1","B2","B3","C1","C2","D1","D2","E1","E2"},MAX(1,MIN(12,ROUND(T8,0)))))</f>
        <v>B1</v>
      </c>
      <c r="V8" s="12" t="inlineStr">
        <is>
          <r>
            <rPr>
              <rFont val="Calibri"/>
              <sz val="10"/>
            </rPr>
            <t xml:space="preserve">New level B1 · Specialist. Current level on record: L3 – Professional / Associate. Change: ▲ Up.
Score 3.55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 s="12" t="inlineStr">
        <is>
          <r>
            <rPr>
              <rFont val="Calibri"/>
              <b val="1"/>
              <sz val="10"/>
            </rPr>
            <t>Complexity &amp; Expertise:</t>
          </r>
          <r>
            <rPr>
              <rFont val="Calibri"/>
              <sz val="10"/>
            </rPr>
            <t xml:space="preserve"> 3 of 12 — Start: 3.0 · senior practitioner title; Evidence reads like A3: QCs HTML files, fixes syntax errors in Dreamweaver, resolves team and client RBI queries → matches the start; KRA: “1. Complete assigned conversion/formatting tasks with &gt;=99% accuracy · zero critical errors. 2. Meet 100% of client publishing deadlines…”
</t>
          </r>
          <r>
            <rPr>
              <rFont val="Calibri"/>
              <b val="1"/>
              <sz val="10"/>
            </rPr>
            <t>Autonomy &amp; Decision:</t>
          </r>
          <r>
            <rPr>
              <rFont val="Calibri"/>
              <sz val="10"/>
            </rPr>
            <t xml:space="preserve"> 2.5 of 12 · between A2 and A3 — Start: 3.0 · senior practitioner title; Evidence reads like A2: Independently corrects document syntax; nothing broader stated → moved down 0.5
</t>
          </r>
          <r>
            <rPr>
              <rFont val="Calibri"/>
              <b val="1"/>
              <sz val="10"/>
            </rPr>
            <t>Accountability &amp; Impact:</t>
          </r>
          <r>
            <rPr>
              <rFont val="Calibri"/>
              <sz val="10"/>
            </rPr>
            <t xml:space="preserve"> 3 of 12 — Start: 3.0 · senior practitioner title; Evidence reads like A3: Accuracy and timeliness of updates published on RBI's live site before effective dates → matches the start; KRA: “1. Complete assigned conversion/formatting tasks with &gt;=99% accuracy · zero critical errors. 2. Meet 100% of client publishing deadlines…”
</t>
          </r>
          <r>
            <rPr>
              <rFont val="Calibri"/>
              <b val="1"/>
              <sz val="10"/>
            </rPr>
            <t>Leadership &amp; Strategy:</t>
          </r>
          <r>
            <rPr>
              <rFont val="Calibri"/>
              <sz val="10"/>
            </rPr>
            <t xml:space="preserve"> 2 of 12 — Start: 2.0 · individual contributor, so influence only; Evidence reads like A2: Resolves queries from team members; no formal guidance role described → matches the start; Team: 0 direct reports · IC
</t>
          </r>
          <r>
            <rPr>
              <rFont val="Calibri"/>
              <b val="1"/>
              <sz val="10"/>
            </rPr>
            <t>Experience &amp; Qualification:</t>
          </r>
          <r>
            <rPr>
              <rFont val="Calibri"/>
              <sz val="10"/>
            </rPr>
            <t xml:space="preserve"> 9.5 of 12 · between D1 and D2 — Experience: 18.9 yrs total · 0.2 before IRIS + 18.7 at IRIS = 9.4 on the experience scale; Qualification: BA · 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8" s="12"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Y8" s="12" t="inlineStr">
        <is>
          <r>
            <rPr>
              <rFont val="Calibri"/>
              <sz val="10"/>
            </rPr>
            <t xml:space="preserve">✓ HRIS: 18.9 yrs, BA,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8" s="12" t="inlineStr">
        <is>
          <t>—</t>
        </is>
      </c>
      <c r="AA8" s="12" t="inlineStr">
        <is>
          <t>Nothing outstanding</t>
        </is>
      </c>
      <c r="AB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3 · Potential: Medium · 9-Box Grid placement: Core Contributor.</t>
          </r>
        </is>
      </c>
      <c r="AC8" s="68" t="n"/>
      <c r="AD8" s="68" t="n"/>
      <c r="AE8" s="68" t="n"/>
      <c r="AF8" s="12" t="n">
        <v>3.5</v>
      </c>
    </row>
    <row r="9" ht="353" customHeight="1">
      <c r="A9" s="12" t="inlineStr">
        <is>
          <t>IRIS0110</t>
        </is>
      </c>
      <c r="B9" s="10" t="inlineStr">
        <is>
          <t>Aniket Manval</t>
        </is>
      </c>
      <c r="C9" s="12" t="inlineStr">
        <is>
          <t>Digitizing</t>
        </is>
      </c>
      <c r="D9" s="12" t="inlineStr">
        <is>
          <t>Image Processing Specialist</t>
        </is>
      </c>
      <c r="E9" s="63" t="inlineStr">
        <is>
          <t>Senior Digitization Associate</t>
        </is>
      </c>
      <c r="F9" s="12" t="inlineStr">
        <is>
          <t>Data Operations &amp; Digitization</t>
        </is>
      </c>
      <c r="G9" s="12" t="inlineStr">
        <is>
          <t>Document Conversion, Formatting &amp; Web Publishing</t>
        </is>
      </c>
      <c r="H9" s="12" t="inlineStr">
        <is>
          <t>IC</t>
        </is>
      </c>
      <c r="I9" s="26" t="inlineStr">
        <is>
          <t>L3 – Professional / Associate</t>
        </is>
      </c>
      <c r="J9" s="16" t="inlineStr">
        <is>
          <t>A3</t>
        </is>
      </c>
      <c r="K9" s="17" t="inlineStr">
        <is>
          <t>Senior Associate</t>
        </is>
      </c>
      <c r="L9" s="64" t="inlineStr">
        <is>
          <t>▲ Up</t>
        </is>
      </c>
      <c r="M9" s="12" t="inlineStr">
        <is>
          <t>Consume · Digitizing · Band A · Early career</t>
        </is>
      </c>
      <c r="N9" s="26" t="n">
        <v>2.5</v>
      </c>
      <c r="O9" s="26" t="n">
        <v>2.5</v>
      </c>
      <c r="P9" s="26" t="n">
        <v>2.5</v>
      </c>
      <c r="Q9" s="26" t="n">
        <v>1.5</v>
      </c>
      <c r="R9" s="26" t="n">
        <v>9</v>
      </c>
      <c r="S9" s="65" t="n">
        <v>3</v>
      </c>
      <c r="T9" s="66">
        <f>IF(OR($M9="",COUNT(N9,O9,P9,Q9,R9,S9)&lt;6),"",IFERROR(N9*INDEX(WM_C,MATCH($M9,WM_KEY,0))+O9*INDEX(WM_AU,MATCH($M9,WM_KEY,0))+P9*INDEX(WM_AC,MATCH($M9,WM_KEY,0))+Q9*INDEX(WM_L,MATCH($M9,WM_KEY,0))+R9*INDEX(WM_E,MATCH($M9,WM_KEY,0))+S9*INDEX(WM_BI,MATCH($M9,WM_KEY,0)),""))</f>
        <v>3.18</v>
      </c>
      <c r="U9" s="26" t="str">
        <f>IF(T9="","",INDEX({"A1","A2","A3","B1","B2","B3","C1","C2","D1","D2","E1","E2"},MAX(1,MIN(12,ROUND(T9,0)))))</f>
        <v>A3</v>
      </c>
      <c r="V9" s="12" t="inlineStr">
        <is>
          <r>
            <rPr>
              <rFont val="Calibri"/>
              <sz val="10"/>
            </rPr>
            <t xml:space="preserve">New level A3 · Senior Associate. Current level on record: L3 – Professional / Associate. Change: ▲ Up.
Score 3.18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 s="12" t="inlineStr">
        <is>
          <r>
            <rPr>
              <rFont val="Calibri"/>
              <b val="1"/>
              <sz val="10"/>
            </rPr>
            <t>Complexity &amp; Expertise:</t>
          </r>
          <r>
            <rPr>
              <rFont val="Calibri"/>
              <sz val="10"/>
            </rPr>
            <t xml:space="preserve"> 2.5 of 12 · between A2 and A3 — Start: 3.0 · senior practitioner title; Evidence reads like A2: Uploads content to RBI website from client site; routine publishing task → moved down 0.5; KRA: “1. Complete assigned conversion/formatting tasks with &gt;=99% accuracy · zero critical errors. 2. Meet 100% of client publishing deadlines…”
</t>
          </r>
          <r>
            <rPr>
              <rFont val="Calibri"/>
              <b val="1"/>
              <sz val="10"/>
            </rPr>
            <t>Autonomy &amp; Decision:</t>
          </r>
          <r>
            <rPr>
              <rFont val="Calibri"/>
              <sz val="10"/>
            </rPr>
            <t xml:space="preserve"> 2.5 of 12 · between A2 and A3 — Start: 3.0 · senior practitioner title; Evidence reads like A2: Independently uploads content that has already been validated and approved → moved down 0.5
</t>
          </r>
          <r>
            <rPr>
              <rFont val="Calibri"/>
              <b val="1"/>
              <sz val="10"/>
            </rPr>
            <t>Accountability &amp; Impact:</t>
          </r>
          <r>
            <rPr>
              <rFont val="Calibri"/>
              <sz val="10"/>
            </rPr>
            <t xml:space="preserve"> 2.5 of 12 · between A2 and A3 — Start: 3.0 · senior practitioner title; Evidence reads like A2: Own uploads; says errors are 'usually easy to fix' by revising → moved down 0.5; KRA: “1. Complete assigned conversion/formatting tasks with &gt;=99% accuracy · zero critical errors. 2. Meet 100% of client publishing deadlines…”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9 of 12 — Experience: 19.4 yrs total · 0.3 before IRIS + 19.1 at IRIS = 9.5 on the experience scale; Qualification: Undergraduate · below graduate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9" s="12" t="inlineStr">
        <is>
          <r>
            <rPr>
              <rFont val="Calibri"/>
              <sz val="10"/>
            </rPr>
            <t xml:space="preserve">✓ HRIS: 19.4 yrs, Undergraduate,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9" s="12" t="inlineStr">
        <is>
          <t>—</t>
        </is>
      </c>
      <c r="AA9" s="12" t="inlineStr">
        <is>
          <t>Nothing outstanding</t>
        </is>
      </c>
      <c r="AB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4 · Potential: High · 9-Box Grid placement: Core Contributor.</t>
          </r>
        </is>
      </c>
      <c r="AC9" s="68" t="n"/>
      <c r="AD9" s="68" t="n"/>
      <c r="AE9" s="68" t="n"/>
      <c r="AF9" s="12" t="n">
        <v>3</v>
      </c>
    </row>
    <row r="10" ht="379" customHeight="1">
      <c r="A10" s="12" t="inlineStr">
        <is>
          <t>IRIS0170</t>
        </is>
      </c>
      <c r="B10" s="10" t="inlineStr">
        <is>
          <t>Manish Paithankar</t>
        </is>
      </c>
      <c r="C10" s="12" t="inlineStr">
        <is>
          <t>Digitizing</t>
        </is>
      </c>
      <c r="D10" s="12" t="inlineStr">
        <is>
          <t>Image Processing Specialist</t>
        </is>
      </c>
      <c r="E10" s="63" t="inlineStr">
        <is>
          <t>Senior Digitization Associate</t>
        </is>
      </c>
      <c r="F10" s="12" t="inlineStr">
        <is>
          <t>Data Operations &amp; Digitization</t>
        </is>
      </c>
      <c r="G10" s="12" t="inlineStr">
        <is>
          <t>Document Conversion, Formatting &amp; Web Publishing</t>
        </is>
      </c>
      <c r="H10" s="12" t="inlineStr">
        <is>
          <t>IC</t>
        </is>
      </c>
      <c r="I10" s="26" t="inlineStr">
        <is>
          <t>L3 – Professional / Associate</t>
        </is>
      </c>
      <c r="J10" s="16" t="inlineStr">
        <is>
          <t>A3</t>
        </is>
      </c>
      <c r="K10" s="17" t="inlineStr">
        <is>
          <t>Senior Associate</t>
        </is>
      </c>
      <c r="L10" s="64" t="inlineStr">
        <is>
          <t>▲ Up</t>
        </is>
      </c>
      <c r="M10" s="12" t="inlineStr">
        <is>
          <t>Consume · Digitizing · Band A · Early career</t>
        </is>
      </c>
      <c r="N10" s="26" t="n">
        <v>3</v>
      </c>
      <c r="O10" s="26" t="n">
        <v>3</v>
      </c>
      <c r="P10" s="26" t="n">
        <v>2.5</v>
      </c>
      <c r="Q10" s="26" t="n">
        <v>1.5</v>
      </c>
      <c r="R10" s="26" t="n">
        <v>9.5</v>
      </c>
      <c r="S10" s="65" t="n">
        <v>3</v>
      </c>
      <c r="T10" s="66">
        <f>IF(OR($M10="",COUNT(N10,O10,P10,Q10,R10,S10)&lt;6),"",IFERROR(N10*INDEX(WM_C,MATCH($M10,WM_KEY,0))+O10*INDEX(WM_AU,MATCH($M10,WM_KEY,0))+P10*INDEX(WM_AC,MATCH($M10,WM_KEY,0))+Q10*INDEX(WM_L,MATCH($M10,WM_KEY,0))+R10*INDEX(WM_E,MATCH($M10,WM_KEY,0))+S10*INDEX(WM_BI,MATCH($M10,WM_KEY,0)),""))</f>
        <v>3.58</v>
      </c>
      <c r="U10" s="26" t="str">
        <f>IF(T10="","",INDEX({"A1","A2","A3","B1","B2","B3","C1","C2","D1","D2","E1","E2"},MAX(1,MIN(12,ROUND(T10,0)))))</f>
        <v>B1</v>
      </c>
      <c r="V10" s="12" t="inlineStr">
        <is>
          <r>
            <rPr>
              <rFont val="Calibri"/>
              <sz val="10"/>
            </rPr>
            <t xml:space="preserve">New level A3 · Senior Associate. Current level on record: L3 – Professional / Associate. Change: ▲ Up.
Score 3.58 on the ladder scale → indicated level B1.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Lowered from B1 to A3:</t>
          </r>
          <r>
            <rPr>
              <rFont val="Calibri"/>
              <sz val="10"/>
            </rPr>
            <t xml:space="preserve"> the work itself · complexity 3, accountability 2.5, average 2.75 supports at most A3.
</t>
          </r>
          <r>
            <rPr>
              <rFont val="Calibri"/>
              <b val="1"/>
              <sz val="10"/>
            </rPr>
            <t>Final level:</t>
          </r>
          <r>
            <rPr>
              <rFont val="Calibri"/>
              <sz val="10"/>
            </rPr>
            <t xml:space="preserve"> A3.</t>
          </r>
        </is>
      </c>
      <c r="W10" s="12" t="inlineStr">
        <is>
          <r>
            <rPr>
              <rFont val="Calibri"/>
              <b val="1"/>
              <sz val="10"/>
            </rPr>
            <t>Complexity &amp; Expertise:</t>
          </r>
          <r>
            <rPr>
              <rFont val="Calibri"/>
              <sz val="10"/>
            </rPr>
            <t xml:space="preserve"> 3 of 12 —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t>
          </r>
          <r>
            <rPr>
              <rFont val="Calibri"/>
              <b val="1"/>
              <sz val="10"/>
            </rPr>
            <t>Autonomy &amp; Decision:</t>
          </r>
          <r>
            <rPr>
              <rFont val="Calibri"/>
              <sz val="10"/>
            </rPr>
            <t xml:space="preserve"> 3 of 12 — Start: 3.0 · senior practitioner title; Evidence: rated like 8 colleagues in the same role and department · own answers too general to rate → no change
</t>
          </r>
          <r>
            <rPr>
              <rFont val="Calibri"/>
              <b val="1"/>
              <sz val="10"/>
            </rPr>
            <t>Accountability &amp; Impact:</t>
          </r>
          <r>
            <rPr>
              <rFont val="Calibri"/>
              <sz val="10"/>
            </rPr>
            <t xml:space="preserve"> 2.5 of 12 · between A2 and A3 — Start: 3.0 · senior practitioner title; Evidence: rated like 8 colleagues in the same role and department · own answers too general to rate → moved −0.5; KRA: “1. Complete assigned conversion/formatting tasks with &gt;=99% accuracy · zero critical errors. 2. Meet 100% of client publishing deadlines…”
</t>
          </r>
          <r>
            <rPr>
              <rFont val="Calibri"/>
              <b val="1"/>
              <sz val="10"/>
            </rPr>
            <t>Leadership &amp; Strategy:</t>
          </r>
          <r>
            <rPr>
              <rFont val="Calibri"/>
              <sz val="10"/>
            </rPr>
            <t xml:space="preserve"> 1.5 of 12 · between A1 and A2 — not counted: the weight is 0% at this level — Start: 2.0 · individual contributor, so influence only; Evidence: rated like 8 colleagues in the same role and department · own answers too general to rate → moved −0.5; Team: 0 direct reports · IC
</t>
          </r>
          <r>
            <rPr>
              <rFont val="Calibri"/>
              <b val="1"/>
              <sz val="10"/>
            </rPr>
            <t>Experience &amp; Qualification:</t>
          </r>
          <r>
            <rPr>
              <rFont val="Calibri"/>
              <sz val="10"/>
            </rPr>
            <t xml:space="preserve"> 9.5 of 12 · between D1 and D2 — Experience: 18.7 yrs total · 18.7 at IRIS; none recorded before IRIS = 9.3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0" s="12" t="inlineStr">
        <is>
          <r>
            <rPr>
              <rFont val="Calibri"/>
              <sz val="10"/>
            </rPr>
            <t xml:space="preserve">✓ HRIS: 18.7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0" s="69" t="inlineStr">
        <is>
          <r>
            <rPr>
              <rFont val="Calibri"/>
              <color rgb="009C5700"/>
              <sz val="10"/>
            </rPr>
            <t xml:space="preserve">• </t>
          </r>
          <r>
            <rPr>
              <rFont val="Calibri"/>
              <b val="1"/>
              <color rgb="009C5700"/>
              <sz val="10"/>
            </rPr>
            <t>Near a gate:</t>
          </r>
          <r>
            <rPr>
              <rFont val="Calibri"/>
              <color rgb="009C5700"/>
              <sz val="10"/>
            </rPr>
            <t xml:space="preserve"> role substance: complexity–accountability average 2.75 is 0.25 short of 3, which would lift the limit by one level</t>
          </r>
        </is>
      </c>
      <c r="AA10" s="12" t="inlineStr">
        <is>
          <t>Nothing outstanding</t>
        </is>
      </c>
      <c r="AB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10" s="68" t="n"/>
      <c r="AD10" s="68" t="n"/>
      <c r="AE10" s="68" t="n"/>
      <c r="AF10" s="12" t="n">
        <v>3</v>
      </c>
    </row>
    <row r="11" ht="379" customHeight="1">
      <c r="A11" s="12" t="inlineStr">
        <is>
          <t>IRIS1211</t>
        </is>
      </c>
      <c r="B11" s="10" t="inlineStr">
        <is>
          <t>Manoj Ravidas</t>
        </is>
      </c>
      <c r="C11" s="12" t="inlineStr">
        <is>
          <t>Digitizing</t>
        </is>
      </c>
      <c r="D11" s="12" t="inlineStr">
        <is>
          <t>Image Processing Specialist</t>
        </is>
      </c>
      <c r="E11" s="63" t="inlineStr">
        <is>
          <t>Senior Digitization Associate</t>
        </is>
      </c>
      <c r="F11" s="12" t="inlineStr">
        <is>
          <t>Data Operations &amp; Digitization</t>
        </is>
      </c>
      <c r="G11" s="12" t="inlineStr">
        <is>
          <t>Document Conversion, Formatting &amp; Web Publishing</t>
        </is>
      </c>
      <c r="H11" s="12" t="inlineStr">
        <is>
          <t>IC</t>
        </is>
      </c>
      <c r="I11" s="26" t="inlineStr">
        <is>
          <t>L3 – Professional / Associate</t>
        </is>
      </c>
      <c r="J11" s="16" t="inlineStr">
        <is>
          <t>A3</t>
        </is>
      </c>
      <c r="K11" s="17" t="inlineStr">
        <is>
          <t>Senior Associate</t>
        </is>
      </c>
      <c r="L11" s="64" t="inlineStr">
        <is>
          <t>▲ Up</t>
        </is>
      </c>
      <c r="M11" s="12" t="inlineStr">
        <is>
          <t>Consume · Digitizing · Band A · Early career</t>
        </is>
      </c>
      <c r="N11" s="26" t="n">
        <v>3</v>
      </c>
      <c r="O11" s="26" t="n">
        <v>3</v>
      </c>
      <c r="P11" s="26" t="n">
        <v>2.5</v>
      </c>
      <c r="Q11" s="26" t="n">
        <v>1.5</v>
      </c>
      <c r="R11" s="26" t="n">
        <v>8.5</v>
      </c>
      <c r="S11" s="65" t="n">
        <v>3</v>
      </c>
      <c r="T11" s="66">
        <f>IF(OR($M11="",COUNT(N11,O11,P11,Q11,R11,S11)&lt;6),"",IFERROR(N11*INDEX(WM_C,MATCH($M11,WM_KEY,0))+O11*INDEX(WM_AU,MATCH($M11,WM_KEY,0))+P11*INDEX(WM_AC,MATCH($M11,WM_KEY,0))+Q11*INDEX(WM_L,MATCH($M11,WM_KEY,0))+R11*INDEX(WM_E,MATCH($M11,WM_KEY,0))+S11*INDEX(WM_BI,MATCH($M11,WM_KEY,0)),""))</f>
        <v>3.48</v>
      </c>
      <c r="U11" s="26" t="str">
        <f>IF(T11="","",INDEX({"A1","A2","A3","B1","B2","B3","C1","C2","D1","D2","E1","E2"},MAX(1,MIN(12,ROUND(T11,0)))))</f>
        <v>A3</v>
      </c>
      <c r="V11" s="12" t="inlineStr">
        <is>
          <r>
            <rPr>
              <rFont val="Calibri"/>
              <sz val="10"/>
            </rPr>
            <t xml:space="preserve">New level A3 · Senior Associate. Current level on record: L3 – Professional / Associate. Change: ▲ Up.
Score 3.48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 s="12" t="inlineStr">
        <is>
          <r>
            <rPr>
              <rFont val="Calibri"/>
              <b val="1"/>
              <sz val="10"/>
            </rPr>
            <t>Complexity &amp; Expertise:</t>
          </r>
          <r>
            <rPr>
              <rFont val="Calibri"/>
              <sz val="10"/>
            </rPr>
            <t xml:space="preserve"> 3 of 12 — Start: 3.0 · senior practitioner title; Evidence: rated like 8 colleagues in the same role and department · own answers too general to rate → no change; KRA: “1. Complete assigned conversion/formatting tasks with &gt;=99% accuracy · zero critical errors. 2. Meet 100% of client publishing deadlines…”
</t>
          </r>
          <r>
            <rPr>
              <rFont val="Calibri"/>
              <b val="1"/>
              <sz val="10"/>
            </rPr>
            <t>Autonomy &amp; Decision:</t>
          </r>
          <r>
            <rPr>
              <rFont val="Calibri"/>
              <sz val="10"/>
            </rPr>
            <t xml:space="preserve"> 3 of 12 — Start: 3.0 · senior practitioner title; Evidence: rated like 8 colleagues in the same role and department · own answers too general to rate → no change
</t>
          </r>
          <r>
            <rPr>
              <rFont val="Calibri"/>
              <b val="1"/>
              <sz val="10"/>
            </rPr>
            <t>Accountability &amp; Impact:</t>
          </r>
          <r>
            <rPr>
              <rFont val="Calibri"/>
              <sz val="10"/>
            </rPr>
            <t xml:space="preserve"> 2.5 of 12 · between A2 and A3 — Start: 3.0 · senior practitioner title; Evidence: rated like 8 colleagues in the same role and department · own answers too general to rate → moved −0.5; KRA: “1. Complete assigned conversion/formatting tasks with &gt;=99% accuracy · zero critical errors. 2. Meet 100% of client publishing deadlines…”
</t>
          </r>
          <r>
            <rPr>
              <rFont val="Calibri"/>
              <b val="1"/>
              <sz val="10"/>
            </rPr>
            <t>Leadership &amp; Strategy:</t>
          </r>
          <r>
            <rPr>
              <rFont val="Calibri"/>
              <sz val="10"/>
            </rPr>
            <t xml:space="preserve"> 1.5 of 12 · between A1 and A2 — not counted: the weight is 0% at this level — Start: 2.0 · individual contributor, so influence only; Evidence: rated like 8 colleagues in the same role and department · own answers too general to rate → moved −0.5; Team: 0 direct reports · IC
</t>
          </r>
          <r>
            <rPr>
              <rFont val="Calibri"/>
              <b val="1"/>
              <sz val="10"/>
            </rPr>
            <t>Experience &amp; Qualification:</t>
          </r>
          <r>
            <rPr>
              <rFont val="Calibri"/>
              <sz val="10"/>
            </rPr>
            <t xml:space="preserve"> 8.5 of 12 · between C2 and D1 — Experience: 16.3 yrs total · 16.3 at IRIS; none recorded before IRIS = 8.6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1"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1" s="12" t="inlineStr">
        <is>
          <r>
            <rPr>
              <rFont val="Calibri"/>
              <sz val="10"/>
            </rPr>
            <t xml:space="preserve">✓ HRIS: 16.3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1" s="69" t="inlineStr">
        <is>
          <r>
            <rPr>
              <rFont val="Calibri"/>
              <color rgb="009C5700"/>
              <sz val="10"/>
            </rPr>
            <t xml:space="preserve">• </t>
          </r>
          <r>
            <rPr>
              <rFont val="Calibri"/>
              <b val="1"/>
              <color rgb="009C5700"/>
              <sz val="10"/>
            </rPr>
            <t>Close call:</t>
          </r>
          <r>
            <rPr>
              <rFont val="Calibri"/>
              <color rgb="009C5700"/>
              <sz val="10"/>
            </rPr>
            <t xml:space="preserve"> score 3.48 is within 0.05 of a rounding point</t>
          </r>
        </is>
      </c>
      <c r="AA11" s="12" t="inlineStr">
        <is>
          <t>Nothing outstanding</t>
        </is>
      </c>
      <c r="AB1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4 · Potential: High · 9-Box Grid placement: Core Contributor.</t>
          </r>
        </is>
      </c>
      <c r="AC11" s="68" t="n"/>
      <c r="AD11" s="68" t="n"/>
      <c r="AE11" s="68" t="n"/>
      <c r="AF11" s="12" t="n">
        <v>3</v>
      </c>
    </row>
    <row r="12" ht="379" customHeight="1">
      <c r="A12" s="12" t="inlineStr">
        <is>
          <t>IRIS1213</t>
        </is>
      </c>
      <c r="B12" s="10" t="inlineStr">
        <is>
          <t>Manoj Tiwari</t>
        </is>
      </c>
      <c r="C12" s="12" t="inlineStr">
        <is>
          <t>Digitizing</t>
        </is>
      </c>
      <c r="D12" s="12" t="inlineStr">
        <is>
          <t>Image Processing Specialist</t>
        </is>
      </c>
      <c r="E12" s="63" t="inlineStr">
        <is>
          <t>Senior Digitization Associate</t>
        </is>
      </c>
      <c r="F12" s="12" t="inlineStr">
        <is>
          <t>Data Operations &amp; Digitization</t>
        </is>
      </c>
      <c r="G12" s="12" t="inlineStr">
        <is>
          <t>Document Conversion, Formatting &amp; Web Publishing</t>
        </is>
      </c>
      <c r="H12" s="12" t="inlineStr">
        <is>
          <t>IC</t>
        </is>
      </c>
      <c r="I12" s="26" t="inlineStr">
        <is>
          <t>L3 – Professional / Associate</t>
        </is>
      </c>
      <c r="J12" s="16" t="inlineStr">
        <is>
          <t>A3</t>
        </is>
      </c>
      <c r="K12" s="17" t="inlineStr">
        <is>
          <t>Senior Associate</t>
        </is>
      </c>
      <c r="L12" s="64" t="inlineStr">
        <is>
          <t>▲ Up</t>
        </is>
      </c>
      <c r="M12" s="12" t="inlineStr">
        <is>
          <t>Consume · Digitizing · Band A · Early career</t>
        </is>
      </c>
      <c r="N12" s="26" t="n">
        <v>2.5</v>
      </c>
      <c r="O12" s="26" t="n">
        <v>2.5</v>
      </c>
      <c r="P12" s="26" t="n">
        <v>3</v>
      </c>
      <c r="Q12" s="26" t="n">
        <v>1.5</v>
      </c>
      <c r="R12" s="26" t="n">
        <v>8.5</v>
      </c>
      <c r="S12" s="65" t="n">
        <v>3.5</v>
      </c>
      <c r="T12" s="66">
        <f>IF(OR($M12="",COUNT(N12,O12,P12,Q12,R12,S12)&lt;6),"",IFERROR(N12*INDEX(WM_C,MATCH($M12,WM_KEY,0))+O12*INDEX(WM_AU,MATCH($M12,WM_KEY,0))+P12*INDEX(WM_AC,MATCH($M12,WM_KEY,0))+Q12*INDEX(WM_L,MATCH($M12,WM_KEY,0))+R12*INDEX(WM_E,MATCH($M12,WM_KEY,0))+S12*INDEX(WM_BI,MATCH($M12,WM_KEY,0)),""))</f>
        <v>3.23</v>
      </c>
      <c r="U12" s="26" t="str">
        <f>IF(T12="","",INDEX({"A1","A2","A3","B1","B2","B3","C1","C2","D1","D2","E1","E2"},MAX(1,MIN(12,ROUND(T12,0)))))</f>
        <v>A3</v>
      </c>
      <c r="V12" s="12" t="inlineStr">
        <is>
          <r>
            <rPr>
              <rFont val="Calibri"/>
              <sz val="10"/>
            </rPr>
            <t xml:space="preserve">New level A3 · Senior Associate. Current level on record: L3 – Professional / Associate. Change: ▲ Up.
Score 3.23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 s="12" t="inlineStr">
        <is>
          <r>
            <rPr>
              <rFont val="Calibri"/>
              <b val="1"/>
              <sz val="10"/>
            </rPr>
            <t>Complexity &amp; Expertise:</t>
          </r>
          <r>
            <rPr>
              <rFont val="Calibri"/>
              <sz val="10"/>
            </rPr>
            <t xml:space="preserve"> 2.5 of 12 · between A2 and A3 — Start: 3.0 · senior practitioner title; Evidence reads like A2: Data QC, HTML validation, upload and post-upload verification to a defined process → moved down 0.5; KRA: “1. Complete assigned conversion/formatting tasks with &gt;=99% accuracy · zero critical errors. 2. Meet 100% of client publishing deadlines…”
</t>
          </r>
          <r>
            <rPr>
              <rFont val="Calibri"/>
              <b val="1"/>
              <sz val="10"/>
            </rPr>
            <t>Autonomy &amp; Decision:</t>
          </r>
          <r>
            <rPr>
              <rFont val="Calibri"/>
              <sz val="10"/>
            </rPr>
            <t xml:space="preserve"> 2.5 of 12 · between A2 and A3 — Start: 3.0 · senior practitioner title; Evidence reads like A2: Verifies and validates content, then uploads approved data; no wider decisions → moved down 0.5
</t>
          </r>
          <r>
            <rPr>
              <rFont val="Calibri"/>
              <b val="1"/>
              <sz val="10"/>
            </rPr>
            <t>Accountability &amp; Impact:</t>
          </r>
          <r>
            <rPr>
              <rFont val="Calibri"/>
              <sz val="10"/>
            </rPr>
            <t xml:space="preserve"> 3 of 12 — Start: 3.0 · senior practitioner title; Evidence reads like A3: Own uploads go live on RBI's public website; owns and corrects resulting errors → matches the start; KRA: “1. Complete assigned conversion/formatting tasks with &gt;=99% accuracy · zero critical errors. 2. Meet 100% of client publishing deadlines…”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8.5 of 12 · between C2 and D1 — Experience: 16.7 yrs total · 1.0 before IRIS + 15.7 at IRIS = 8.7 on the experience scale; Qualification: B.Com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2" s="12" t="inlineStr">
        <is>
          <r>
            <rPr>
              <rFont val="Calibri"/>
              <sz val="10"/>
            </rPr>
            <t xml:space="preserve">✓ HRIS: 16.7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 s="12" t="inlineStr">
        <is>
          <t>—</t>
        </is>
      </c>
      <c r="AA12" s="12" t="inlineStr">
        <is>
          <t>Nothing outstanding</t>
        </is>
      </c>
      <c r="AB1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4 · Potential: Medium · 9-Box Grid placement: Core Contributor.</t>
          </r>
        </is>
      </c>
      <c r="AC12" s="68" t="n"/>
      <c r="AD12" s="68" t="n"/>
      <c r="AE12" s="68" t="n"/>
      <c r="AF12" s="12" t="n">
        <v>3.5</v>
      </c>
    </row>
    <row r="13" ht="379" customHeight="1">
      <c r="A13" s="12" t="inlineStr">
        <is>
          <t>IRISC283</t>
        </is>
      </c>
      <c r="B13" s="10" t="inlineStr">
        <is>
          <t>Saurav Kamtekar</t>
        </is>
      </c>
      <c r="C13" s="12" t="inlineStr">
        <is>
          <t>Digitizing</t>
        </is>
      </c>
      <c r="D13" s="12" t="inlineStr">
        <is>
          <t>Consultant</t>
        </is>
      </c>
      <c r="E13" s="63" t="inlineStr">
        <is>
          <t>Senior Digitization Associate</t>
        </is>
      </c>
      <c r="F13" s="12" t="inlineStr">
        <is>
          <t>Data Operations &amp; Digitization</t>
        </is>
      </c>
      <c r="G13" s="12" t="inlineStr">
        <is>
          <t>Document Conversion, Formatting &amp; Web Publishing</t>
        </is>
      </c>
      <c r="H13" s="12" t="inlineStr">
        <is>
          <t>IC</t>
        </is>
      </c>
      <c r="I13" s="26" t="inlineStr">
        <is>
          <t>L3 – Professional / Associate</t>
        </is>
      </c>
      <c r="J13" s="16" t="inlineStr">
        <is>
          <t>A3</t>
        </is>
      </c>
      <c r="K13" s="17" t="inlineStr">
        <is>
          <t>Senior Associate</t>
        </is>
      </c>
      <c r="L13" s="64" t="inlineStr">
        <is>
          <t>▲ Up</t>
        </is>
      </c>
      <c r="M13" s="12" t="inlineStr">
        <is>
          <t>Consume · Digitizing · Band A · Early career</t>
        </is>
      </c>
      <c r="N13" s="26" t="n">
        <v>2</v>
      </c>
      <c r="O13" s="26" t="n">
        <v>2</v>
      </c>
      <c r="P13" s="26" t="n">
        <v>2</v>
      </c>
      <c r="Q13" s="26" t="n">
        <v>1</v>
      </c>
      <c r="R13" s="26" t="n">
        <v>2.5</v>
      </c>
      <c r="S13" s="65" t="n">
        <v>2.5</v>
      </c>
      <c r="T13" s="66">
        <f>IF(OR($M13="",COUNT(N13,O13,P13,Q13,R13,S13)&lt;6),"",IFERROR(N13*INDEX(WM_C,MATCH($M13,WM_KEY,0))+O13*INDEX(WM_AU,MATCH($M13,WM_KEY,0))+P13*INDEX(WM_AC,MATCH($M13,WM_KEY,0))+Q13*INDEX(WM_L,MATCH($M13,WM_KEY,0))+R13*INDEX(WM_E,MATCH($M13,WM_KEY,0))+S13*INDEX(WM_BI,MATCH($M13,WM_KEY,0)),""))</f>
        <v>2.08</v>
      </c>
      <c r="U13" s="26" t="str">
        <f>IF(T13="","",INDEX({"A1","A2","A3","B1","B2","B3","C1","C2","D1","D2","E1","E2"},MAX(1,MIN(12,ROUND(T13,0)))))</f>
        <v>A2</v>
      </c>
      <c r="V13" s="12" t="inlineStr">
        <is>
          <r>
            <rPr>
              <rFont val="Calibri"/>
              <sz val="10"/>
            </rPr>
            <t xml:space="preserve">New level A3 · Senior Associate. Current level on record: L3 – Professional / Associate. Change: ▲ Up.
Score 2.08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2.6 years' experience is 2 years or more.
</t>
          </r>
          <r>
            <rPr>
              <rFont val="Calibri"/>
              <b val="1"/>
              <sz val="10"/>
            </rPr>
            <t>Final level:</t>
          </r>
          <r>
            <rPr>
              <rFont val="Calibri"/>
              <sz val="10"/>
            </rPr>
            <t xml:space="preserve"> A3.</t>
          </r>
        </is>
      </c>
      <c r="W13" s="12" t="inlineStr">
        <is>
          <r>
            <rPr>
              <rFont val="Calibri"/>
              <b val="1"/>
              <sz val="10"/>
            </rPr>
            <t>Complexity &amp; Expertise:</t>
          </r>
          <r>
            <rPr>
              <rFont val="Calibri"/>
              <sz val="10"/>
            </rPr>
            <t xml:space="preserve"> 2 of 12 — Start: 2.0 · practitioner title; Evidence reads like A2: Validates RBI website content against sources and flags errors; converts press releases, tenders → matches the start; KRA: “1. Complete assigned conversion/formatting tasks with &gt;=99% accuracy · zero critical errors. 2. Meet 100% of client publishing deadlines…”
</t>
          </r>
          <r>
            <rPr>
              <rFont val="Calibri"/>
              <b val="1"/>
              <sz val="10"/>
            </rPr>
            <t>Autonomy &amp; Decision:</t>
          </r>
          <r>
            <rPr>
              <rFont val="Calibri"/>
              <sz val="10"/>
            </rPr>
            <t xml:space="preserve"> 2 of 12 — Start: 2.0 · practitioner title; Evidence reads like A2: Validates and flags errors; no authority beyond flagging → matches the start
</t>
          </r>
          <r>
            <rPr>
              <rFont val="Calibri"/>
              <b val="1"/>
              <sz val="10"/>
            </rPr>
            <t>Accountability &amp; Impact:</t>
          </r>
          <r>
            <rPr>
              <rFont val="Calibri"/>
              <sz val="10"/>
            </rPr>
            <t xml:space="preserve"> 2 of 12 — Start: 2.0 · practitioner title; Evidence reads like A2: Accuracy of own validation; errors affect RBI website credibility → matches the start; KRA: “1. Complete assigned conversion/formatting tasks with &gt;=99% accuracy · zero critical errors. 2. Meet 100% of client publishing deadlines…”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2.5 of 12 · between A2 and A3 — Experience: 2.6 yrs total · 2.6 at IRIS; none recorded before IRIS = 2.8 on the experience scale; Qualification: Undergraduate · below graduate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3" s="12" t="inlineStr">
        <is>
          <r>
            <rPr>
              <rFont val="Calibri"/>
              <sz val="10"/>
            </rPr>
            <t xml:space="preserve">✓ HRIS: 2.6 yrs, Undergraduate,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3" s="12" t="inlineStr">
        <is>
          <t>—</t>
        </is>
      </c>
      <c r="AA13" s="12" t="inlineStr">
        <is>
          <t>Nothing outstanding</t>
        </is>
      </c>
      <c r="AB1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13" s="68" t="n"/>
      <c r="AD13" s="68" t="n"/>
      <c r="AE13" s="68" t="n"/>
      <c r="AF13" s="12" t="n">
        <v>2.5</v>
      </c>
    </row>
    <row r="14" ht="379" customHeight="1">
      <c r="A14" s="12" t="inlineStr">
        <is>
          <t>IRISC338</t>
        </is>
      </c>
      <c r="B14" s="10" t="inlineStr">
        <is>
          <t>Snehal Bhavesh Farad</t>
        </is>
      </c>
      <c r="C14" s="12" t="inlineStr">
        <is>
          <t>Digitizing</t>
        </is>
      </c>
      <c r="D14" s="12" t="inlineStr">
        <is>
          <t>Consultant</t>
        </is>
      </c>
      <c r="E14" s="63" t="inlineStr">
        <is>
          <t>Senior Digitization Associate</t>
        </is>
      </c>
      <c r="F14" s="12" t="inlineStr">
        <is>
          <t>Data Operations &amp; Digitization</t>
        </is>
      </c>
      <c r="G14" s="12" t="inlineStr">
        <is>
          <t>Document Conversion, Formatting &amp; Web Publishing</t>
        </is>
      </c>
      <c r="H14" s="12" t="inlineStr">
        <is>
          <t>IC</t>
        </is>
      </c>
      <c r="I14" s="26" t="inlineStr">
        <is>
          <t>L3 – Professional / Associate</t>
        </is>
      </c>
      <c r="J14" s="16" t="inlineStr">
        <is>
          <t>A3</t>
        </is>
      </c>
      <c r="K14" s="17" t="inlineStr">
        <is>
          <t>Senior Associate</t>
        </is>
      </c>
      <c r="L14" s="64" t="inlineStr">
        <is>
          <t>▲ Up</t>
        </is>
      </c>
      <c r="M14" s="12" t="inlineStr">
        <is>
          <t>Consume · Digitizing · Band A · Early career</t>
        </is>
      </c>
      <c r="N14" s="26" t="n">
        <v>2</v>
      </c>
      <c r="O14" s="26" t="n">
        <v>1.5</v>
      </c>
      <c r="P14" s="26" t="n">
        <v>2</v>
      </c>
      <c r="Q14" s="26" t="n">
        <v>1</v>
      </c>
      <c r="R14" s="26" t="n">
        <v>4</v>
      </c>
      <c r="S14" s="65" t="n">
        <v>2.5</v>
      </c>
      <c r="T14" s="66">
        <f>IF(OR($M14="",COUNT(N14,O14,P14,Q14,R14,S14)&lt;6),"",IFERROR(N14*INDEX(WM_C,MATCH($M14,WM_KEY,0))+O14*INDEX(WM_AU,MATCH($M14,WM_KEY,0))+P14*INDEX(WM_AC,MATCH($M14,WM_KEY,0))+Q14*INDEX(WM_L,MATCH($M14,WM_KEY,0))+R14*INDEX(WM_E,MATCH($M14,WM_KEY,0))+S14*INDEX(WM_BI,MATCH($M14,WM_KEY,0)),""))</f>
        <v>2.15</v>
      </c>
      <c r="U14" s="26" t="str">
        <f>IF(T14="","",INDEX({"A1","A2","A3","B1","B2","B3","C1","C2","D1","D2","E1","E2"},MAX(1,MIN(12,ROUND(T14,0)))))</f>
        <v>A2</v>
      </c>
      <c r="V14"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5.1 years' experience is 2 years or more.
</t>
          </r>
          <r>
            <rPr>
              <rFont val="Calibri"/>
              <b val="1"/>
              <sz val="10"/>
            </rPr>
            <t>Final level:</t>
          </r>
          <r>
            <rPr>
              <rFont val="Calibri"/>
              <sz val="10"/>
            </rPr>
            <t xml:space="preserve"> A3.</t>
          </r>
        </is>
      </c>
      <c r="W14" s="12" t="inlineStr">
        <is>
          <r>
            <rPr>
              <rFont val="Calibri"/>
              <b val="1"/>
              <sz val="10"/>
            </rPr>
            <t>Complexity &amp; Expertise:</t>
          </r>
          <r>
            <rPr>
              <rFont val="Calibri"/>
              <sz val="10"/>
            </rPr>
            <t xml:space="preserve"> 2 of 12 — Start: 2.0 · practitioner title; Evidence reads like A2: Daily upload of security rates and HTML conversion of press releases, tenders → matches the start; KRA: “1. Complete assigned conversion/formatting tasks with &gt;=99% accuracy · zero critical errors. 2. Meet 100% of client publishing deadlines…”
</t>
          </r>
          <r>
            <rPr>
              <rFont val="Calibri"/>
              <b val="1"/>
              <sz val="10"/>
            </rPr>
            <t>Autonomy &amp; Decision:</t>
          </r>
          <r>
            <rPr>
              <rFont val="Calibri"/>
              <sz val="10"/>
            </rPr>
            <t xml:space="preserve"> 1.5 of 12 · between A1 and A2 — Start: 2.0 · practitioner title; Evidence reads like A1: Says 'Nothing' is decided independently → moved down 0.5
</t>
          </r>
          <r>
            <rPr>
              <rFont val="Calibri"/>
              <b val="1"/>
              <sz val="10"/>
            </rPr>
            <t>Accountability &amp; Impact:</t>
          </r>
          <r>
            <rPr>
              <rFont val="Calibri"/>
              <sz val="10"/>
            </rPr>
            <t xml:space="preserve"> 2 of 12 — Start: 2.0 · practitioner title; Evidence reads like A2: Own conversions and uploads; manager note cites wrong upload on client site → matches the start; KRA: “1. Complete assigned conversion/formatting tasks with &gt;=99% accuracy · zero critical errors. 2. Meet 100% of client publishing deadlines…”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4 of 12 — Experience: 5.1 yrs total · 4.4 before IRIS + 0.7 at IRIS = 3.8 on the experience scale; Note: the record looks incomplete, so this is a minimum · HR to confirm; Qualification: BA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4" s="12" t="inlineStr">
        <is>
          <r>
            <rPr>
              <rFont val="Calibri"/>
              <sz val="10"/>
            </rPr>
            <t xml:space="preserve">✓ HRIS: 5.1 yrs, BA, 0 direct reports
✓ Survey: 17 of 20 questions answered
✓ KRAs: submitted, reported deliverables
✓ Manager mapping: rating, potential, 9-box
✗ Job description: not on file
</t>
          </r>
          <r>
            <rPr>
              <rFont val="Calibri"/>
              <b val="1"/>
              <sz val="10"/>
            </rPr>
            <t>Confidence:</t>
          </r>
          <r>
            <rPr>
              <rFont val="Calibri"/>
              <sz val="10"/>
            </rPr>
            <t xml:space="preserve"> Low</t>
          </r>
        </is>
      </c>
      <c r="Z14" s="12" t="inlineStr">
        <is>
          <t>—</t>
        </is>
      </c>
      <c r="AA14" s="67" t="inlineStr">
        <is>
          <t>• Correct the experience record — HR</t>
        </is>
      </c>
      <c r="AB1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14" s="68" t="n"/>
      <c r="AD14" s="68" t="n"/>
      <c r="AE14" s="68" t="n"/>
      <c r="AF14" s="12" t="n">
        <v>2.5</v>
      </c>
    </row>
    <row r="15" ht="379" customHeight="1">
      <c r="A15" s="12" t="inlineStr">
        <is>
          <t>IRISC337</t>
        </is>
      </c>
      <c r="B15" s="10" t="inlineStr">
        <is>
          <t>Siddhesh Harishchandra Mali</t>
        </is>
      </c>
      <c r="C15" s="12" t="inlineStr">
        <is>
          <t>Digitizing</t>
        </is>
      </c>
      <c r="D15" s="12" t="inlineStr">
        <is>
          <t>Consultant</t>
        </is>
      </c>
      <c r="E15" s="63" t="inlineStr">
        <is>
          <t>Digitization Associate</t>
        </is>
      </c>
      <c r="F15" s="12" t="inlineStr">
        <is>
          <t>Data Operations &amp; Digitization</t>
        </is>
      </c>
      <c r="G15" s="12" t="inlineStr">
        <is>
          <t>Document Conversion, Formatting &amp; Web Publishing</t>
        </is>
      </c>
      <c r="H15" s="12" t="inlineStr">
        <is>
          <t>IC</t>
        </is>
      </c>
      <c r="I15" s="26" t="inlineStr">
        <is>
          <t>L3 – Professional / Associate</t>
        </is>
      </c>
      <c r="J15" s="16" t="inlineStr">
        <is>
          <t>A2</t>
        </is>
      </c>
      <c r="K15" s="17" t="inlineStr">
        <is>
          <t>Associate</t>
        </is>
      </c>
      <c r="L15" s="70" t="inlineStr">
        <is>
          <t>• Same level</t>
        </is>
      </c>
      <c r="M15" s="12" t="inlineStr">
        <is>
          <t>Consume · Digitizing · Band A · Early career</t>
        </is>
      </c>
      <c r="N15" s="26" t="n">
        <v>2</v>
      </c>
      <c r="O15" s="26" t="n">
        <v>2</v>
      </c>
      <c r="P15" s="26" t="n">
        <v>2</v>
      </c>
      <c r="Q15" s="26" t="n">
        <v>1</v>
      </c>
      <c r="R15" s="26" t="n">
        <v>2</v>
      </c>
      <c r="S15" s="65" t="n">
        <v>2.5</v>
      </c>
      <c r="T15" s="66">
        <f>IF(OR($M15="",COUNT(N15,O15,P15,Q15,R15,S15)&lt;6),"",IFERROR(N15*INDEX(WM_C,MATCH($M15,WM_KEY,0))+O15*INDEX(WM_AU,MATCH($M15,WM_KEY,0))+P15*INDEX(WM_AC,MATCH($M15,WM_KEY,0))+Q15*INDEX(WM_L,MATCH($M15,WM_KEY,0))+R15*INDEX(WM_E,MATCH($M15,WM_KEY,0))+S15*INDEX(WM_BI,MATCH($M15,WM_KEY,0)),""))</f>
        <v>2.03</v>
      </c>
      <c r="U15" s="26" t="str">
        <f>IF(T15="","",INDEX({"A1","A2","A3","B1","B2","B3","C1","C2","D1","D2","E1","E2"},MAX(1,MIN(12,ROUND(T15,0)))))</f>
        <v>A2</v>
      </c>
      <c r="V15" s="12" t="inlineStr">
        <is>
          <r>
            <rPr>
              <rFont val="Calibri"/>
              <sz val="10"/>
            </rPr>
            <t xml:space="preserve">New level A2 · Associate. Current level on record: L3 – Professional / Associate. Change: • Same level.
Score 2.03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 s="12" t="inlineStr">
        <is>
          <r>
            <rPr>
              <rFont val="Calibri"/>
              <b val="1"/>
              <sz val="10"/>
            </rPr>
            <t>Complexity &amp; Expertise:</t>
          </r>
          <r>
            <rPr>
              <rFont val="Calibri"/>
              <sz val="10"/>
            </rPr>
            <t xml:space="preserve"> 2 of 12 — Start: 2.0 · practitioner title; Evidence reads like A2: Converts Word / PDF to HTML in Dreamweaver via a structured process → matches the start; KRA: “1. Complete assigned conversion/formatting tasks with &gt;=99% accuracy · zero critical errors. 2. Meet 100% of client publishing deadlines…”
</t>
          </r>
          <r>
            <rPr>
              <rFont val="Calibri"/>
              <b val="1"/>
              <sz val="10"/>
            </rPr>
            <t>Autonomy &amp; Decision:</t>
          </r>
          <r>
            <rPr>
              <rFont val="Calibri"/>
              <sz val="10"/>
            </rPr>
            <t xml:space="preserve"> 2 of 12 — Start: 2.0 · practitioner title; Evidence reads like A2: Decides HTML formatting structure and edits → matches the start
</t>
          </r>
          <r>
            <rPr>
              <rFont val="Calibri"/>
              <b val="1"/>
              <sz val="10"/>
            </rPr>
            <t>Accountability &amp; Impact:</t>
          </r>
          <r>
            <rPr>
              <rFont val="Calibri"/>
              <sz val="10"/>
            </rPr>
            <t xml:space="preserve"> 2 of 12 — Start: 2.0 · practitioner title; Evidence reads like A2: Accurate, complete HTML ready for RBI website publication → matches the start; KRA: “1. Complete assigned conversion/formatting tasks with &gt;=99% accuracy · zero critical errors. 2. Meet 100% of client publishing deadlines…”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0.8 yrs total · 0.1 before IRIS + 0.7 at IRIS = 1.8 on the experience scale; Qualification: B.Sc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5"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Y15" s="12" t="inlineStr">
        <is>
          <r>
            <rPr>
              <rFont val="Calibri"/>
              <sz val="10"/>
            </rPr>
            <t xml:space="preserve">✓ HRIS: 0.8 yrs, B.Sc,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5" s="12" t="inlineStr">
        <is>
          <t>—</t>
        </is>
      </c>
      <c r="AA15" s="12" t="inlineStr">
        <is>
          <t>Nothing outstanding</t>
        </is>
      </c>
      <c r="AB15"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AC15" s="68" t="n"/>
      <c r="AD15" s="68" t="n"/>
      <c r="AE15" s="68" t="n"/>
      <c r="AF15" s="12" t="n">
        <v>2.5</v>
      </c>
    </row>
    <row r="16" ht="379" customHeight="1">
      <c r="A16" s="12" t="inlineStr">
        <is>
          <t>IRIS0007</t>
        </is>
      </c>
      <c r="B16" s="10" t="inlineStr">
        <is>
          <t>Gopal Krishna Sahu</t>
        </is>
      </c>
      <c r="C16" s="12" t="inlineStr">
        <is>
          <t>India Content</t>
        </is>
      </c>
      <c r="D16" s="12" t="inlineStr">
        <is>
          <t>Data Analyst Manager</t>
        </is>
      </c>
      <c r="E16" s="63" t="inlineStr">
        <is>
          <t>Data Operations Manager</t>
        </is>
      </c>
      <c r="F16" s="12" t="inlineStr">
        <is>
          <t>Data &amp; Analytics</t>
        </is>
      </c>
      <c r="G16" s="12" t="inlineStr">
        <is>
          <t>Financial Data Processing</t>
        </is>
      </c>
      <c r="H16" s="12" t="inlineStr">
        <is>
          <t>People Manager</t>
        </is>
      </c>
      <c r="I16" s="26" t="inlineStr">
        <is>
          <t>L5 – Manager</t>
        </is>
      </c>
      <c r="J16" s="20" t="inlineStr">
        <is>
          <t>B2</t>
        </is>
      </c>
      <c r="K16" s="21" t="inlineStr">
        <is>
          <t>Manager</t>
        </is>
      </c>
      <c r="L16" s="70" t="inlineStr">
        <is>
          <t>• Same level</t>
        </is>
      </c>
      <c r="M16" s="12" t="inlineStr">
        <is>
          <t>Consume · India Content · Band B · People Manager</t>
        </is>
      </c>
      <c r="N16" s="26" t="n">
        <v>5</v>
      </c>
      <c r="O16" s="26" t="n">
        <v>5</v>
      </c>
      <c r="P16" s="26" t="n">
        <v>5</v>
      </c>
      <c r="Q16" s="26" t="n">
        <v>5</v>
      </c>
      <c r="R16" s="26" t="n">
        <v>12</v>
      </c>
      <c r="S16" s="65" t="n">
        <v>5</v>
      </c>
      <c r="T16" s="66">
        <f>IF(OR($M16="",COUNT(N16,O16,P16,Q16,R16,S16)&lt;6),"",IFERROR(N16*INDEX(WM_C,MATCH($M16,WM_KEY,0))+O16*INDEX(WM_AU,MATCH($M16,WM_KEY,0))+P16*INDEX(WM_AC,MATCH($M16,WM_KEY,0))+Q16*INDEX(WM_L,MATCH($M16,WM_KEY,0))+R16*INDEX(WM_E,MATCH($M16,WM_KEY,0))+S16*INDEX(WM_BI,MATCH($M16,WM_KEY,0)),""))</f>
        <v>5.7</v>
      </c>
      <c r="U16" s="26" t="str">
        <f>IF(T16="","",INDEX({"A1","A2","A3","B1","B2","B3","C1","C2","D1","D2","E1","E2"},MAX(1,MIN(12,ROUND(T16,0)))))</f>
        <v>B3</v>
      </c>
      <c r="V16" s="12" t="inlineStr">
        <is>
          <r>
            <rPr>
              <rFont val="Calibri"/>
              <sz val="10"/>
            </rPr>
            <t xml:space="preserve">New level B2 · Manager. Current level on record: L5 – Manager. Change: • Same level.
Score 5.70 on the ladder scale → indicated level B3.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B2 instead of B3:</t>
          </r>
          <r>
            <rPr>
              <rFont val="Calibri"/>
              <sz val="10"/>
            </rPr>
            <t xml:space="preserve"> a B3 manager needs team leads reporting in, or 10+ people in the team, and the org chart does not show this yet.
</t>
          </r>
          <r>
            <rPr>
              <rFont val="Calibri"/>
              <b val="1"/>
              <sz val="10"/>
            </rPr>
            <t>Final level:</t>
          </r>
          <r>
            <rPr>
              <rFont val="Calibri"/>
              <sz val="10"/>
            </rPr>
            <t xml:space="preserve"> B2.</t>
          </r>
        </is>
      </c>
      <c r="W16" s="12" t="inlineStr">
        <is>
          <r>
            <rPr>
              <rFont val="Calibri"/>
              <b val="1"/>
              <sz val="10"/>
            </rPr>
            <t>Complexity &amp; Expertise:</t>
          </r>
          <r>
            <rPr>
              <rFont val="Calibri"/>
              <sz val="10"/>
            </rPr>
            <t xml:space="preserve"> 5 of 12 — Start: 5.0 · manager / senior specialist title; Evidence reads like B2: Solves all issues the team faces; answers client product queries; equity and mutual fund domain → matches the start; KRA: “1. Ensure team delivers 100% of client filings within regulatory deadlines 2. Keep team accuracy &gt;=99% with critical errors trending to…”
</t>
          </r>
          <r>
            <rPr>
              <rFont val="Calibri"/>
              <b val="1"/>
              <sz val="10"/>
            </rPr>
            <t>Autonomy &amp; Decision:</t>
          </r>
          <r>
            <rPr>
              <rFont val="Calibri"/>
              <sz val="10"/>
            </rPr>
            <t xml:space="preserve"> 5 of 12 — Start: 5.0 · manager / senior specialist title; Evidence reads like B2: Manages team and workload · KRA, handles client escalations and RCAs, decides product matters → matches the start
</t>
          </r>
          <r>
            <rPr>
              <rFont val="Calibri"/>
              <b val="1"/>
              <sz val="10"/>
            </rPr>
            <t>Accountability &amp; Impact:</t>
          </r>
          <r>
            <rPr>
              <rFont val="Calibri"/>
              <sz val="10"/>
            </rPr>
            <t xml:space="preserve"> 5 of 12 — Start: 5.0 · manager / senior specialist title; 8 direct reports; Evidence reads like B2: Team's client files; escalations and billing penalties; client invoices; new business → matches the start; KRA: “1. Ensure team delivers 100% of client filings within regulatory deadlines 2. Keep team accuracy &gt;=99% with critical errors trending to…”
</t>
          </r>
          <r>
            <rPr>
              <rFont val="Calibri"/>
              <b val="1"/>
              <sz val="10"/>
            </rPr>
            <t>Leadership &amp; Strategy:</t>
          </r>
          <r>
            <rPr>
              <rFont val="Calibri"/>
              <sz val="10"/>
            </rPr>
            <t xml:space="preserve"> 5 of 12 — Start: 5.0; Evidence reads like B2: Manages and trains the team; 8 direct reports → matches the start; Team: 8 direct reports · People Manager
</t>
          </r>
          <r>
            <rPr>
              <rFont val="Calibri"/>
              <b val="1"/>
              <sz val="10"/>
            </rPr>
            <t>Experience &amp; Qualification:</t>
          </r>
          <r>
            <rPr>
              <rFont val="Calibri"/>
              <sz val="10"/>
            </rPr>
            <t xml:space="preserve"> 12 of 12 — Experience: 35.2 yrs; qualification: MBA. 33.0 yrs used · the 35.2 yrs on record looks too high for the record — HR to check sits at 12.0 on the experience scale · the range it fits: E1–E2; qualification MBA · postgraduate, relevant to the work: +0.5.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16"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Atlassian company-wide P-levels – P50 Senior Analyst · IRIS Vs Competitor Benchmark — data analyst ladder: Lead Data Analyst
</t>
          </r>
          <r>
            <rPr>
              <rFont val="Calibri"/>
              <b val="1"/>
              <sz val="10"/>
            </rPr>
            <t>Typical experience:</t>
          </r>
          <r>
            <rPr>
              <rFont val="Calibri"/>
              <sz val="10"/>
            </rPr>
            <t xml:space="preserve"> 6–10 yrs · IRIS guide 6–9
</t>
          </r>
          <r>
            <rPr>
              <rFont val="Calibri"/>
              <b val="1"/>
              <sz val="10"/>
            </rPr>
            <t>Standard:</t>
          </r>
          <r>
            <rPr>
              <rFont val="Calibri"/>
              <sz val="10"/>
            </rPr>
            <t xml:space="preserve"> DAMA-DMBOK</t>
          </r>
        </is>
      </c>
      <c r="Y16" s="12" t="inlineStr">
        <is>
          <r>
            <rPr>
              <rFont val="Calibri"/>
              <sz val="10"/>
            </rPr>
            <t xml:space="preserve">✓ HRIS: 35.2 yrs, MBA, 8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16" s="69" t="inlineStr">
        <is>
          <r>
            <rPr>
              <rFont val="Calibri"/>
              <color rgb="009C5700"/>
              <sz val="10"/>
            </rPr>
            <t xml:space="preserve">• </t>
          </r>
          <r>
            <rPr>
              <rFont val="Calibri"/>
              <b val="1"/>
              <color rgb="009C5700"/>
              <sz val="10"/>
            </rPr>
            <t>Senior title held at this level by the structural gate:</t>
          </r>
          <r>
            <rPr>
              <rFont val="Calibri"/>
              <color rgb="009C5700"/>
              <sz val="10"/>
            </rPr>
            <t xml:space="preserve"> confirm the scope</t>
          </r>
        </is>
      </c>
      <c r="AA16" s="67" t="inlineStr">
        <is>
          <t>• Confirm structure behind the senior title · org chart — Business head
• Correct the experience record — HR</t>
        </is>
      </c>
      <c r="AB1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8 direct reports.
</t>
          </r>
          <r>
            <rPr>
              <rFont val="Calibri"/>
              <b val="1"/>
              <sz val="10"/>
            </rPr>
            <t>If the work is missed · role-holders' themes:</t>
          </r>
          <r>
            <rPr>
              <rFont val="Calibri"/>
              <sz val="10"/>
            </rPr>
            <t xml:space="preserve"> client · impacts · process · incorrect.
Manager talent mapping — Latest rating: 4 · Potential: Medium · 9-Box Grid placement: Emerging Talent.</t>
          </r>
        </is>
      </c>
      <c r="AC16" s="68" t="n"/>
      <c r="AD16" s="68" t="n"/>
      <c r="AE16" s="68" t="n"/>
      <c r="AF16" s="12" t="n">
        <v>5</v>
      </c>
    </row>
    <row r="17" ht="379" customHeight="1">
      <c r="A17" s="12" t="inlineStr">
        <is>
          <t>IRIS0015</t>
        </is>
      </c>
      <c r="B17" s="10" t="inlineStr">
        <is>
          <t>Virendra Borkar</t>
        </is>
      </c>
      <c r="C17" s="12" t="inlineStr">
        <is>
          <t>India Content</t>
        </is>
      </c>
      <c r="D17" s="12" t="inlineStr">
        <is>
          <t>Data Analyst Lead</t>
        </is>
      </c>
      <c r="E17" s="63" t="inlineStr">
        <is>
          <t>Data Specialist</t>
        </is>
      </c>
      <c r="F17" s="12" t="inlineStr">
        <is>
          <t>Data &amp; Analytics</t>
        </is>
      </c>
      <c r="G17" s="12" t="inlineStr">
        <is>
          <t>Financial Data Processing</t>
        </is>
      </c>
      <c r="H17" s="12" t="inlineStr">
        <is>
          <t>IC</t>
        </is>
      </c>
      <c r="I17" s="26" t="inlineStr">
        <is>
          <t>L5 – Lead · IC</t>
        </is>
      </c>
      <c r="J17" s="20" t="inlineStr">
        <is>
          <t>B1</t>
        </is>
      </c>
      <c r="K17" s="21" t="inlineStr">
        <is>
          <t>Specialist</t>
        </is>
      </c>
      <c r="L17" s="71" t="inlineStr">
        <is>
          <t>▼ Down · pay &amp; title protected</t>
        </is>
      </c>
      <c r="M17" s="12" t="inlineStr">
        <is>
          <t>Consume · India Content · Band B · Expert / POD Lead</t>
        </is>
      </c>
      <c r="N17" s="26" t="n">
        <v>3.5</v>
      </c>
      <c r="O17" s="26" t="n">
        <v>3.5</v>
      </c>
      <c r="P17" s="26" t="n">
        <v>3.5</v>
      </c>
      <c r="Q17" s="26" t="n">
        <v>2.5</v>
      </c>
      <c r="R17" s="26" t="n">
        <v>10.5</v>
      </c>
      <c r="S17" s="65" t="n">
        <v>4</v>
      </c>
      <c r="T17" s="66">
        <f>IF(OR($M17="",COUNT(N17,O17,P17,Q17,R17,S17)&lt;6),"",IFERROR(N17*INDEX(WM_C,MATCH($M17,WM_KEY,0))+O17*INDEX(WM_AU,MATCH($M17,WM_KEY,0))+P17*INDEX(WM_AC,MATCH($M17,WM_KEY,0))+Q17*INDEX(WM_L,MATCH($M17,WM_KEY,0))+R17*INDEX(WM_E,MATCH($M17,WM_KEY,0))+S17*INDEX(WM_BI,MATCH($M17,WM_KEY,0)),""))</f>
        <v>4.185</v>
      </c>
      <c r="U17" s="26" t="str">
        <f>IF(T17="","",INDEX({"A1","A2","A3","B1","B2","B3","C1","C2","D1","D2","E1","E2"},MAX(1,MIN(12,ROUND(T17,0)))))</f>
        <v>B1</v>
      </c>
      <c r="V17" s="12" t="inlineStr">
        <is>
          <r>
            <rPr>
              <rFont val="Calibri"/>
              <sz val="10"/>
            </rPr>
            <t xml:space="preserve">New level B1 · Specialist. Current level on record: L5 – Lead · IC. Change: ▼ Down · pay &amp; title protected.
Score 4.19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7" s="12" t="inlineStr">
        <is>
          <r>
            <rPr>
              <rFont val="Calibri"/>
              <b val="1"/>
              <sz val="10"/>
            </rPr>
            <t>Complexity &amp; Expertise:</t>
          </r>
          <r>
            <rPr>
              <rFont val="Calibri"/>
              <sz val="10"/>
            </rPr>
            <t xml:space="preserve"> 3.5 of 12 · between A3 and B1 — Start: 4.0 · lead / specialist title; Evidence reads like A2: Maintains client master and price data with Access queries; daily tasks and reports → moved down 0.5; KRA: “1. Complete assigned tasks with 99.99% accuracy. 2. Do all the client delivery on time with 100% accuracy. 3. Maintain all log files for…”
</t>
          </r>
          <r>
            <rPr>
              <rFont val="Calibri"/>
              <b val="1"/>
              <sz val="10"/>
            </rPr>
            <t>Autonomy &amp; Decision:</t>
          </r>
          <r>
            <rPr>
              <rFont val="Calibri"/>
              <sz val="10"/>
            </rPr>
            <t xml:space="preserve"> 3.5 of 12 · between A3 and B1 — Start: 4.0 · lead / specialist title; Evidence reads like A2: Names only client work and new updates; no team or method decisions → moved down 0.5
</t>
          </r>
          <r>
            <rPr>
              <rFont val="Calibri"/>
              <b val="1"/>
              <sz val="10"/>
            </rPr>
            <t>Accountability &amp; Impact:</t>
          </r>
          <r>
            <rPr>
              <rFont val="Calibri"/>
              <sz val="10"/>
            </rPr>
            <t xml:space="preserve"> 3.5 of 12 · between A3 and B1 — Start: 4.0 · lead / specialist title; Evidence reads like A2: Accuracy of master data sent to clients; own daily reports → moved down 0.5; KRA: “1. Complete assigned tasks with 99.99% accuracy. 2. Do all the client delivery on time with 100% accuracy. 3. Maintain all log files for…”
</t>
          </r>
          <r>
            <rPr>
              <rFont val="Calibri"/>
              <b val="1"/>
              <sz val="10"/>
            </rPr>
            <t>Leadership &amp; Strategy:</t>
          </r>
          <r>
            <rPr>
              <rFont val="Calibri"/>
              <sz val="10"/>
            </rPr>
            <t xml:space="preserve"> 2.5 of 12 · between A2 and A3 — Start: 3.0 · individual contributor, so influence only; Evidence reads like A1: No leading, reviewing or guiding described; 0 direct reports → moved down 0.5; Team: 0 direct reports · IC
</t>
          </r>
          <r>
            <rPr>
              <rFont val="Calibri"/>
              <b val="1"/>
              <sz val="10"/>
            </rPr>
            <t>Experience &amp; Qualification:</t>
          </r>
          <r>
            <rPr>
              <rFont val="Calibri"/>
              <sz val="10"/>
            </rPr>
            <t xml:space="preserve"> 10.5 of 12 · between D2 and E1 — Experience: 22.3 yrs total · 0.4 before IRIS + 21.9 at IRIS = 10.4 on the experience scale; Qualification: B.Com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Data Analyst
</t>
          </r>
          <r>
            <rPr>
              <rFont val="Calibri"/>
              <b val="1"/>
              <sz val="10"/>
            </rPr>
            <t>At peers:</t>
          </r>
          <r>
            <rPr>
              <rFont val="Calibri"/>
              <sz val="10"/>
            </rPr>
            <t xml:space="preserve"> Atlassian company-wide P-levels – P40 · IRIS Vs Competitor Benchmark — data analyst ladder: Senior Data Analyst
</t>
          </r>
          <r>
            <rPr>
              <rFont val="Calibri"/>
              <b val="1"/>
              <sz val="10"/>
            </rPr>
            <t>Typical experience:</t>
          </r>
          <r>
            <rPr>
              <rFont val="Calibri"/>
              <sz val="10"/>
            </rPr>
            <t xml:space="preserve"> 4–8 yrs · IRIS guide 4–7
</t>
          </r>
          <r>
            <rPr>
              <rFont val="Calibri"/>
              <b val="1"/>
              <sz val="10"/>
            </rPr>
            <t>Standard:</t>
          </r>
          <r>
            <rPr>
              <rFont val="Calibri"/>
              <sz val="10"/>
            </rPr>
            <t xml:space="preserve"> DAMA-DMBOK</t>
          </r>
        </is>
      </c>
      <c r="Y17" s="12" t="inlineStr">
        <is>
          <r>
            <rPr>
              <rFont val="Calibri"/>
              <sz val="10"/>
            </rPr>
            <t xml:space="preserve">✓ HRIS: 22.3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7" s="69" t="inlineStr">
        <is>
          <r>
            <rPr>
              <rFont val="Calibri"/>
              <color rgb="009C5700"/>
              <sz val="10"/>
            </rPr>
            <t xml:space="preserve">• </t>
          </r>
          <r>
            <rPr>
              <rFont val="Calibri"/>
              <b val="1"/>
              <color rgb="009C5700"/>
              <sz val="10"/>
            </rPr>
            <t>Moves down:</t>
          </r>
          <r>
            <rPr>
              <rFont val="Calibri"/>
              <color rgb="009C5700"/>
              <sz val="10"/>
            </rPr>
            <t xml:space="preserve"> protected for one cycle</t>
          </r>
        </is>
      </c>
      <c r="AA17" s="12" t="inlineStr">
        <is>
          <t>Nothing outstanding</t>
        </is>
      </c>
      <c r="AB1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yes.
</t>
          </r>
          <r>
            <rPr>
              <rFont val="Calibri"/>
              <b val="1"/>
              <sz val="10"/>
            </rPr>
            <t>If the work is missed · role-holders' themes:</t>
          </r>
          <r>
            <rPr>
              <rFont val="Calibri"/>
              <sz val="10"/>
            </rPr>
            <t xml:space="preserve"> client · impacts · process · incorrect.
Manager talent mapping — Latest rating: 3 · Potential: Medium · 9-Box Grid placement: Future Leader.</t>
          </r>
        </is>
      </c>
      <c r="AC17" s="68" t="n"/>
      <c r="AD17" s="68" t="n"/>
      <c r="AE17" s="68" t="n"/>
      <c r="AF17" s="12" t="n">
        <v>4</v>
      </c>
    </row>
    <row r="18" ht="379" customHeight="1">
      <c r="A18" s="12" t="inlineStr">
        <is>
          <t>IRIS1743</t>
        </is>
      </c>
      <c r="B18" s="10" t="inlineStr">
        <is>
          <t>Akash Dubey</t>
        </is>
      </c>
      <c r="C18" s="12" t="inlineStr">
        <is>
          <t>India Content</t>
        </is>
      </c>
      <c r="D18" s="12" t="inlineStr">
        <is>
          <t>Data Analyst</t>
        </is>
      </c>
      <c r="E18" s="63" t="inlineStr">
        <is>
          <t>Senior Data Analyst</t>
        </is>
      </c>
      <c r="F18" s="12" t="inlineStr">
        <is>
          <t>Data &amp; Analytics</t>
        </is>
      </c>
      <c r="G18" s="12" t="inlineStr">
        <is>
          <t>Financial Data Processing</t>
        </is>
      </c>
      <c r="H18" s="12" t="inlineStr">
        <is>
          <t>IC</t>
        </is>
      </c>
      <c r="I18" s="26" t="inlineStr">
        <is>
          <t>L3 – Professional / Associate</t>
        </is>
      </c>
      <c r="J18" s="16" t="inlineStr">
        <is>
          <t>A3</t>
        </is>
      </c>
      <c r="K18" s="17" t="inlineStr">
        <is>
          <t>Senior Associate</t>
        </is>
      </c>
      <c r="L18" s="64" t="inlineStr">
        <is>
          <t>▲ Up</t>
        </is>
      </c>
      <c r="M18" s="12" t="inlineStr">
        <is>
          <t>Consume · India Content · Band A · Early career</t>
        </is>
      </c>
      <c r="N18" s="26" t="n">
        <v>2</v>
      </c>
      <c r="O18" s="26" t="n">
        <v>2</v>
      </c>
      <c r="P18" s="26" t="n">
        <v>2</v>
      </c>
      <c r="Q18" s="26" t="n">
        <v>1</v>
      </c>
      <c r="R18" s="26" t="n">
        <v>5.5</v>
      </c>
      <c r="S18" s="65" t="n">
        <v>2.5</v>
      </c>
      <c r="T18" s="66">
        <f>IF(OR($M18="",COUNT(N18,O18,P18,Q18,R18,S18)&lt;6),"",IFERROR(N18*INDEX(WM_C,MATCH($M18,WM_KEY,0))+O18*INDEX(WM_AU,MATCH($M18,WM_KEY,0))+P18*INDEX(WM_AC,MATCH($M18,WM_KEY,0))+Q18*INDEX(WM_L,MATCH($M18,WM_KEY,0))+R18*INDEX(WM_E,MATCH($M18,WM_KEY,0))+S18*INDEX(WM_BI,MATCH($M18,WM_KEY,0)),""))</f>
        <v>2.38</v>
      </c>
      <c r="U18" s="26" t="str">
        <f>IF(T18="","",INDEX({"A1","A2","A3","B1","B2","B3","C1","C2","D1","D2","E1","E2"},MAX(1,MIN(12,ROUND(T18,0)))))</f>
        <v>A2</v>
      </c>
      <c r="V18" s="12" t="inlineStr">
        <is>
          <r>
            <rPr>
              <rFont val="Calibri"/>
              <sz val="10"/>
            </rPr>
            <t xml:space="preserve">New level A3 · Senior Associate. Current level on record: L3 – Professional / Associate. Change: ▲ Up.
Score 2.38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8.1 years' experience is 2 years or more.
</t>
          </r>
          <r>
            <rPr>
              <rFont val="Calibri"/>
              <b val="1"/>
              <sz val="10"/>
            </rPr>
            <t>Final level:</t>
          </r>
          <r>
            <rPr>
              <rFont val="Calibri"/>
              <sz val="10"/>
            </rPr>
            <t xml:space="preserve"> A3.</t>
          </r>
        </is>
      </c>
      <c r="W18" s="12" t="inlineStr">
        <is>
          <r>
            <rPr>
              <rFont val="Calibri"/>
              <b val="1"/>
              <sz val="10"/>
            </rPr>
            <t>Complexity &amp; Expertise:</t>
          </r>
          <r>
            <rPr>
              <rFont val="Calibri"/>
              <sz val="10"/>
            </rPr>
            <t xml:space="preserve"> 2 of 12 — Start: 2.0 · practitioner title; Evidence reads like A2: Collects and validates mutual fund data from several sources; prepares client-specific NAV/returns reports → matches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reads like A2: Independently collects data per requirements and process; KRA says escalate discrepancies to seniors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5.5 of 12 · between B2 and B3 — Experience: 8.1 yrs total · 8.1 at IRIS; none recorded before IRIS = 5.2 on the experience scale; Qualification: M.Com · postgraduate, relevant to the work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8"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18" s="12" t="inlineStr">
        <is>
          <r>
            <rPr>
              <rFont val="Calibri"/>
              <sz val="10"/>
            </rPr>
            <t xml:space="preserve">✓ HRIS: 8.1 yrs, M.Com,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18" s="12" t="inlineStr">
        <is>
          <t>—</t>
        </is>
      </c>
      <c r="AA18" s="12" t="inlineStr">
        <is>
          <t>Nothing outstanding</t>
        </is>
      </c>
      <c r="AB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Trusted Professional.</t>
          </r>
        </is>
      </c>
      <c r="AC18" s="68" t="n"/>
      <c r="AD18" s="68" t="n"/>
      <c r="AE18" s="68" t="n"/>
      <c r="AF18" s="12" t="n">
        <v>2.5</v>
      </c>
    </row>
    <row r="19" ht="379" customHeight="1">
      <c r="A19" s="12" t="inlineStr">
        <is>
          <t>IRIS1710</t>
        </is>
      </c>
      <c r="B19" s="10" t="inlineStr">
        <is>
          <t>John Mariakulandai</t>
        </is>
      </c>
      <c r="C19" s="12" t="inlineStr">
        <is>
          <t>India Content</t>
        </is>
      </c>
      <c r="D19" s="12" t="inlineStr">
        <is>
          <t>Data Analyst</t>
        </is>
      </c>
      <c r="E19" s="63" t="inlineStr">
        <is>
          <t>Senior Data Analyst</t>
        </is>
      </c>
      <c r="F19" s="12" t="inlineStr">
        <is>
          <t>Data &amp; Analytics</t>
        </is>
      </c>
      <c r="G19" s="12" t="inlineStr">
        <is>
          <t>Financial Data Processing</t>
        </is>
      </c>
      <c r="H19" s="12" t="inlineStr">
        <is>
          <t>IC</t>
        </is>
      </c>
      <c r="I19" s="26" t="inlineStr">
        <is>
          <t>L3 – Professional / Associate</t>
        </is>
      </c>
      <c r="J19" s="16" t="inlineStr">
        <is>
          <t>A3</t>
        </is>
      </c>
      <c r="K19" s="17" t="inlineStr">
        <is>
          <t>Senior Associate</t>
        </is>
      </c>
      <c r="L19" s="64" t="inlineStr">
        <is>
          <t>▲ Up</t>
        </is>
      </c>
      <c r="M19" s="12" t="inlineStr">
        <is>
          <t>Consume · India Content · Band A · Early career</t>
        </is>
      </c>
      <c r="N19" s="26" t="n">
        <v>2</v>
      </c>
      <c r="O19" s="26" t="n">
        <v>2</v>
      </c>
      <c r="P19" s="26" t="n">
        <v>2</v>
      </c>
      <c r="Q19" s="26" t="n">
        <v>1</v>
      </c>
      <c r="R19" s="26" t="n">
        <v>9</v>
      </c>
      <c r="S19" s="65" t="n">
        <v>3</v>
      </c>
      <c r="T19" s="66">
        <f>IF(OR($M19="",COUNT(N19,O19,P19,Q19,R19,S19)&lt;6),"",IFERROR(N19*INDEX(WM_C,MATCH($M19,WM_KEY,0))+O19*INDEX(WM_AU,MATCH($M19,WM_KEY,0))+P19*INDEX(WM_AC,MATCH($M19,WM_KEY,0))+Q19*INDEX(WM_L,MATCH($M19,WM_KEY,0))+R19*INDEX(WM_E,MATCH($M19,WM_KEY,0))+S19*INDEX(WM_BI,MATCH($M19,WM_KEY,0)),""))</f>
        <v>2.76</v>
      </c>
      <c r="U19" s="26" t="str">
        <f>IF(T19="","",INDEX({"A1","A2","A3","B1","B2","B3","C1","C2","D1","D2","E1","E2"},MAX(1,MIN(12,ROUND(T19,0)))))</f>
        <v>A3</v>
      </c>
      <c r="V19" s="12" t="inlineStr">
        <is>
          <r>
            <rPr>
              <rFont val="Calibri"/>
              <sz val="10"/>
            </rPr>
            <t xml:space="preserve">New level A3 · Senior Associate. Current level on record: L3 – Professional / Associate. Change: ▲ Up.
Score 2.76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 s="12" t="inlineStr">
        <is>
          <r>
            <rPr>
              <rFont val="Calibri"/>
              <b val="1"/>
              <sz val="10"/>
            </rPr>
            <t>Complexity &amp; Expertise:</t>
          </r>
          <r>
            <rPr>
              <rFont val="Calibri"/>
              <sz val="10"/>
            </rPr>
            <t xml:space="preserve"> 2 of 12 — Start: 2.0 · practitioner title; Evidence reads like A2: Updates mutual fund scheme details daily and sends the feed to the client → matches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reads like A2: Only 'mutual fund data' named; KRA requires escalating discrepancies to seniors → matches the start
</t>
          </r>
          <r>
            <rPr>
              <rFont val="Calibri"/>
              <b val="1"/>
              <sz val="10"/>
            </rPr>
            <t>Accountability &amp; Impact:</t>
          </r>
          <r>
            <rPr>
              <rFont val="Calibri"/>
              <sz val="10"/>
            </rPr>
            <t xml:space="preserve"> 2 of 12 — Start: 2.0 · practitioner title; Evidence reads like A2: Accurate own data to client, who loads it to a portal for transactions → matches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9 of 12 — Experience: 17.4 yrs total · 8.8 before IRIS + 8.6 at IRIS = 9.0 on the experience scale; Qualification: B.Com · graduate, relevant to the work → no change
</t>
          </r>
          <r>
            <rPr>
              <rFont val="Calibri"/>
              <b val="1"/>
              <sz val="10"/>
            </rPr>
            <t>Business Impact:</t>
          </r>
          <r>
            <rPr>
              <rFont val="Calibri"/>
              <sz val="10"/>
            </rPr>
            <t xml:space="preserve"> 3 of 12 — a starting estimate. — Start: 2,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A3 = A process or client deliverable depends on this work</t>
          </r>
        </is>
      </c>
      <c r="X19"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19" s="12" t="inlineStr">
        <is>
          <r>
            <rPr>
              <rFont val="Calibri"/>
              <sz val="10"/>
            </rPr>
            <t xml:space="preserve">✓ HRIS: 17.4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19" s="12" t="inlineStr">
        <is>
          <t>—</t>
        </is>
      </c>
      <c r="AA19" s="12" t="inlineStr">
        <is>
          <t>Nothing outstanding</t>
        </is>
      </c>
      <c r="AB1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work only this person does: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High Impact / Growth Talent.</t>
          </r>
        </is>
      </c>
      <c r="AC19" s="68" t="n"/>
      <c r="AD19" s="68" t="n"/>
      <c r="AE19" s="68" t="n"/>
      <c r="AF19" s="12" t="n">
        <v>3</v>
      </c>
    </row>
    <row r="20" ht="379" customHeight="1">
      <c r="A20" s="12" t="inlineStr">
        <is>
          <t>IRIS0091</t>
        </is>
      </c>
      <c r="B20" s="10" t="inlineStr">
        <is>
          <t>Neelam Kadam</t>
        </is>
      </c>
      <c r="C20" s="12" t="inlineStr">
        <is>
          <t>India Content</t>
        </is>
      </c>
      <c r="D20" s="12" t="inlineStr">
        <is>
          <t>Data Analyst</t>
        </is>
      </c>
      <c r="E20" s="63" t="inlineStr">
        <is>
          <t>Senior Data Analyst</t>
        </is>
      </c>
      <c r="F20" s="12" t="inlineStr">
        <is>
          <t>Data &amp; Analytics</t>
        </is>
      </c>
      <c r="G20" s="12" t="inlineStr">
        <is>
          <t>Financial Data Processing</t>
        </is>
      </c>
      <c r="H20" s="12" t="inlineStr">
        <is>
          <t>IC</t>
        </is>
      </c>
      <c r="I20" s="26" t="inlineStr">
        <is>
          <t>L3 – Professional / Associate</t>
        </is>
      </c>
      <c r="J20" s="16" t="inlineStr">
        <is>
          <t>A3</t>
        </is>
      </c>
      <c r="K20" s="17" t="inlineStr">
        <is>
          <t>Senior Associate</t>
        </is>
      </c>
      <c r="L20" s="64" t="inlineStr">
        <is>
          <t>▲ Up</t>
        </is>
      </c>
      <c r="M20" s="12" t="inlineStr">
        <is>
          <t>Consume · India Content · Band A · Early career</t>
        </is>
      </c>
      <c r="N20" s="26" t="n">
        <v>2</v>
      </c>
      <c r="O20" s="26" t="n">
        <v>2</v>
      </c>
      <c r="P20" s="26" t="n">
        <v>2</v>
      </c>
      <c r="Q20" s="26" t="n">
        <v>1</v>
      </c>
      <c r="R20" s="26" t="n">
        <v>9.5</v>
      </c>
      <c r="S20" s="65" t="n">
        <v>2.5</v>
      </c>
      <c r="T20" s="66">
        <f>IF(OR($M20="",COUNT(N20,O20,P20,Q20,R20,S20)&lt;6),"",IFERROR(N20*INDEX(WM_C,MATCH($M20,WM_KEY,0))+O20*INDEX(WM_AU,MATCH($M20,WM_KEY,0))+P20*INDEX(WM_AC,MATCH($M20,WM_KEY,0))+Q20*INDEX(WM_L,MATCH($M20,WM_KEY,0))+R20*INDEX(WM_E,MATCH($M20,WM_KEY,0))+S20*INDEX(WM_BI,MATCH($M20,WM_KEY,0)),""))</f>
        <v>2.78</v>
      </c>
      <c r="U20" s="26" t="str">
        <f>IF(T20="","",INDEX({"A1","A2","A3","B1","B2","B3","C1","C2","D1","D2","E1","E2"},MAX(1,MIN(12,ROUND(T20,0)))))</f>
        <v>A3</v>
      </c>
      <c r="V20"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 s="12" t="inlineStr">
        <is>
          <r>
            <rPr>
              <rFont val="Calibri"/>
              <b val="1"/>
              <sz val="10"/>
            </rPr>
            <t>Complexity &amp; Expertise:</t>
          </r>
          <r>
            <rPr>
              <rFont val="Calibri"/>
              <sz val="10"/>
            </rPr>
            <t xml:space="preserve"> 2 of 12 — Start: 2.0 · practitioner title; Evidence: no survey answers or KRAs on file → rating stays at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9.5 of 12 · between D1 and D2 — Experience: 19.4 yrs total · 19.4 at IRIS; none recorded before IRIS = 9.5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0"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20" s="12" t="inlineStr">
        <is>
          <r>
            <rPr>
              <rFont val="Calibri"/>
              <sz val="10"/>
            </rPr>
            <t xml:space="preserve">✓ HRIS: 19.4 yrs, B.Com, 0 direct reports
✓ Survey: 19 of 20 questions answered
✓ KRAs: self, manager-set, quarterly
✓ Manager mapping: rating, potential, 9-box
✗ Job description: not on file
</t>
          </r>
          <r>
            <rPr>
              <rFont val="Calibri"/>
              <b val="1"/>
              <sz val="10"/>
            </rPr>
            <t>Confidence:</t>
          </r>
          <r>
            <rPr>
              <rFont val="Calibri"/>
              <sz val="10"/>
            </rPr>
            <t xml:space="preserve"> Low</t>
          </r>
        </is>
      </c>
      <c r="Z20" s="12" t="inlineStr">
        <is>
          <t>—</t>
        </is>
      </c>
      <c r="AA20" s="12" t="inlineStr">
        <is>
          <t>Nothing outstanding</t>
        </is>
      </c>
      <c r="AB2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work only this person does: no;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2 · Potential: Medium · 9-Box Grid placement: Trusted Professional.</t>
          </r>
        </is>
      </c>
      <c r="AC20" s="68" t="n"/>
      <c r="AD20" s="68" t="n"/>
      <c r="AE20" s="68" t="n"/>
      <c r="AF20" s="12" t="n">
        <v>2.5</v>
      </c>
    </row>
    <row r="21" ht="379" customHeight="1">
      <c r="A21" s="12" t="inlineStr">
        <is>
          <t>IRIS0065</t>
        </is>
      </c>
      <c r="B21" s="10" t="inlineStr">
        <is>
          <t>Nishikant Mhatre</t>
        </is>
      </c>
      <c r="C21" s="12" t="inlineStr">
        <is>
          <t>India Content</t>
        </is>
      </c>
      <c r="D21" s="12" t="inlineStr">
        <is>
          <t>Data Analyst</t>
        </is>
      </c>
      <c r="E21" s="63" t="inlineStr">
        <is>
          <t>Senior Data Analyst</t>
        </is>
      </c>
      <c r="F21" s="12" t="inlineStr">
        <is>
          <t>Data &amp; Analytics</t>
        </is>
      </c>
      <c r="G21" s="12" t="inlineStr">
        <is>
          <t>Financial Data Processing</t>
        </is>
      </c>
      <c r="H21" s="12" t="inlineStr">
        <is>
          <t>IC</t>
        </is>
      </c>
      <c r="I21" s="26" t="inlineStr">
        <is>
          <t>L3 – Professional / Associate</t>
        </is>
      </c>
      <c r="J21" s="16" t="inlineStr">
        <is>
          <t>A3</t>
        </is>
      </c>
      <c r="K21" s="17" t="inlineStr">
        <is>
          <t>Senior Associate</t>
        </is>
      </c>
      <c r="L21" s="64" t="inlineStr">
        <is>
          <t>▲ Up</t>
        </is>
      </c>
      <c r="M21" s="12" t="inlineStr">
        <is>
          <t>Consume · India Content · Band A · Early career</t>
        </is>
      </c>
      <c r="N21" s="26" t="n">
        <v>2</v>
      </c>
      <c r="O21" s="26" t="n">
        <v>2</v>
      </c>
      <c r="P21" s="26" t="n">
        <v>2</v>
      </c>
      <c r="Q21" s="26" t="n">
        <v>1</v>
      </c>
      <c r="R21" s="26" t="n">
        <v>12</v>
      </c>
      <c r="S21" s="65" t="n">
        <v>2.5</v>
      </c>
      <c r="T21" s="66">
        <f>IF(OR($M21="",COUNT(N21,O21,P21,Q21,R21,S21)&lt;6),"",IFERROR(N21*INDEX(WM_C,MATCH($M21,WM_KEY,0))+O21*INDEX(WM_AU,MATCH($M21,WM_KEY,0))+P21*INDEX(WM_AC,MATCH($M21,WM_KEY,0))+Q21*INDEX(WM_L,MATCH($M21,WM_KEY,0))+R21*INDEX(WM_E,MATCH($M21,WM_KEY,0))+S21*INDEX(WM_BI,MATCH($M21,WM_KEY,0)),""))</f>
        <v>3.03</v>
      </c>
      <c r="U21" s="26" t="str">
        <f>IF(T21="","",INDEX({"A1","A2","A3","B1","B2","B3","C1","C2","D1","D2","E1","E2"},MAX(1,MIN(12,ROUND(T21,0)))))</f>
        <v>A3</v>
      </c>
      <c r="V21" s="12" t="inlineStr">
        <is>
          <r>
            <rPr>
              <rFont val="Calibri"/>
              <sz val="10"/>
            </rPr>
            <t xml:space="preserve">New level A3 · Senior Associate. Current level on record: L3 – Professional / Associate. Change: ▲ Up.
Score 3.03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 s="12" t="inlineStr">
        <is>
          <r>
            <rPr>
              <rFont val="Calibri"/>
              <b val="1"/>
              <sz val="10"/>
            </rPr>
            <t>Complexity &amp; Expertise:</t>
          </r>
          <r>
            <rPr>
              <rFont val="Calibri"/>
              <sz val="10"/>
            </rPr>
            <t xml:space="preserve"> 2 of 12 — Start: 2.0 · practitioner title; Evidence: no survey answers or KRAs on file → rating stays at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12 of 12 — Experience: 30.7 yrs total · 11.0 before IRIS + 19.7 at IRIS = 12.0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1"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21" s="12" t="inlineStr">
        <is>
          <r>
            <rPr>
              <rFont val="Calibri"/>
              <sz val="10"/>
            </rPr>
            <t xml:space="preserve">✓ HRIS: 30.7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Low</t>
          </r>
        </is>
      </c>
      <c r="Z21" s="12" t="inlineStr">
        <is>
          <t>—</t>
        </is>
      </c>
      <c r="AA21" s="12" t="inlineStr">
        <is>
          <t>Nothing outstanding</t>
        </is>
      </c>
      <c r="AB2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Trusted Professional.</t>
          </r>
        </is>
      </c>
      <c r="AC21" s="68" t="n"/>
      <c r="AD21" s="68" t="n"/>
      <c r="AE21" s="68" t="n"/>
      <c r="AF21" s="12" t="n">
        <v>2.5</v>
      </c>
    </row>
    <row r="22" ht="379" customHeight="1">
      <c r="A22" s="12" t="inlineStr">
        <is>
          <t>IRIS0292</t>
        </is>
      </c>
      <c r="B22" s="10" t="inlineStr">
        <is>
          <t>Palanikumar Mooppanar</t>
        </is>
      </c>
      <c r="C22" s="12" t="inlineStr">
        <is>
          <t>India Content</t>
        </is>
      </c>
      <c r="D22" s="12" t="inlineStr">
        <is>
          <t>Data Analyst</t>
        </is>
      </c>
      <c r="E22" s="63" t="inlineStr">
        <is>
          <t>Senior Data Analyst</t>
        </is>
      </c>
      <c r="F22" s="12" t="inlineStr">
        <is>
          <t>Data &amp; Analytics</t>
        </is>
      </c>
      <c r="G22" s="12" t="inlineStr">
        <is>
          <t>Financial Data Processing</t>
        </is>
      </c>
      <c r="H22" s="12" t="inlineStr">
        <is>
          <t>IC</t>
        </is>
      </c>
      <c r="I22" s="26" t="inlineStr">
        <is>
          <t>L3 – Professional / Associate</t>
        </is>
      </c>
      <c r="J22" s="16" t="inlineStr">
        <is>
          <t>A3</t>
        </is>
      </c>
      <c r="K22" s="17" t="inlineStr">
        <is>
          <t>Senior Associate</t>
        </is>
      </c>
      <c r="L22" s="64" t="inlineStr">
        <is>
          <t>▲ Up</t>
        </is>
      </c>
      <c r="M22" s="12" t="inlineStr">
        <is>
          <t>Consume · India Content · Band A · Early career</t>
        </is>
      </c>
      <c r="N22" s="26" t="n">
        <v>2</v>
      </c>
      <c r="O22" s="26" t="n">
        <v>2</v>
      </c>
      <c r="P22" s="26" t="n">
        <v>2</v>
      </c>
      <c r="Q22" s="26" t="n">
        <v>1</v>
      </c>
      <c r="R22" s="26" t="n">
        <v>9.5</v>
      </c>
      <c r="S22" s="65" t="n">
        <v>2.5</v>
      </c>
      <c r="T22" s="66">
        <f>IF(OR($M22="",COUNT(N22,O22,P22,Q22,R22,S22)&lt;6),"",IFERROR(N22*INDEX(WM_C,MATCH($M22,WM_KEY,0))+O22*INDEX(WM_AU,MATCH($M22,WM_KEY,0))+P22*INDEX(WM_AC,MATCH($M22,WM_KEY,0))+Q22*INDEX(WM_L,MATCH($M22,WM_KEY,0))+R22*INDEX(WM_E,MATCH($M22,WM_KEY,0))+S22*INDEX(WM_BI,MATCH($M22,WM_KEY,0)),""))</f>
        <v>2.78</v>
      </c>
      <c r="U22" s="26" t="str">
        <f>IF(T22="","",INDEX({"A1","A2","A3","B1","B2","B3","C1","C2","D1","D2","E1","E2"},MAX(1,MIN(12,ROUND(T22,0)))))</f>
        <v>A3</v>
      </c>
      <c r="V22"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2" s="12" t="inlineStr">
        <is>
          <r>
            <rPr>
              <rFont val="Calibri"/>
              <b val="1"/>
              <sz val="10"/>
            </rPr>
            <t>Complexity &amp; Expertise:</t>
          </r>
          <r>
            <rPr>
              <rFont val="Calibri"/>
              <sz val="10"/>
            </rPr>
            <t xml:space="preserve"> 2 of 12 — Start: 2.0 · practitioner title; Evidence reads like A2: Maintains mutual fund scheme master and NFO scheme data in Access/SQL; validates, resolves errors → matches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reads like A2: Checks and corrects data on own updates; nothing wider described → matches the start
</t>
          </r>
          <r>
            <rPr>
              <rFont val="Calibri"/>
              <b val="1"/>
              <sz val="10"/>
            </rPr>
            <t>Accountability &amp; Impact:</t>
          </r>
          <r>
            <rPr>
              <rFont val="Calibri"/>
              <sz val="10"/>
            </rPr>
            <t xml:space="preserve"> 2 of 12 — Start: 2.0 · practitioner title; Evidence reads like A2: Accuracy and timely delivery of scheme master updates before the effective date → matches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9.5 of 12 · between D1 and D2 — Experience: 18.5 yrs total · 1.5 before IRIS + 17.0 at IRIS = 9.3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2"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22" s="12" t="inlineStr">
        <is>
          <r>
            <rPr>
              <rFont val="Calibri"/>
              <sz val="10"/>
            </rPr>
            <t xml:space="preserve">✓ HRIS: 18.5 yrs, B.Com, 0 direct reports
✓ Survey: 20 of 20 questions answered
✓ KRAs: self, manager-set, quarterly
✓ Manager mapping: rating, potential, 9-box
✗ Job description: not on file
</t>
          </r>
          <r>
            <rPr>
              <rFont val="Calibri"/>
              <b val="1"/>
              <sz val="10"/>
            </rPr>
            <t>Confidence:</t>
          </r>
          <r>
            <rPr>
              <rFont val="Calibri"/>
              <sz val="10"/>
            </rPr>
            <t xml:space="preserve"> High</t>
          </r>
        </is>
      </c>
      <c r="Z22" s="12" t="inlineStr">
        <is>
          <t>—</t>
        </is>
      </c>
      <c r="AA22" s="12" t="inlineStr">
        <is>
          <t>Nothing outstanding</t>
        </is>
      </c>
      <c r="AB2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4 · Potential: High · 9-Box Grid placement: Future Leader.</t>
          </r>
        </is>
      </c>
      <c r="AC22" s="68" t="n"/>
      <c r="AD22" s="68" t="n"/>
      <c r="AE22" s="68" t="n"/>
      <c r="AF22" s="12" t="n">
        <v>2.5</v>
      </c>
    </row>
    <row r="23" ht="379" customHeight="1">
      <c r="A23" s="12" t="inlineStr">
        <is>
          <t>IRIS0009</t>
        </is>
      </c>
      <c r="B23" s="10" t="inlineStr">
        <is>
          <t>Prashant Shelar</t>
        </is>
      </c>
      <c r="C23" s="12" t="inlineStr">
        <is>
          <t>India Content</t>
        </is>
      </c>
      <c r="D23" s="12" t="inlineStr">
        <is>
          <t>Data Analyst</t>
        </is>
      </c>
      <c r="E23" s="63" t="inlineStr">
        <is>
          <t>Senior Data Analyst</t>
        </is>
      </c>
      <c r="F23" s="12" t="inlineStr">
        <is>
          <t>Data &amp; Analytics</t>
        </is>
      </c>
      <c r="G23" s="12" t="inlineStr">
        <is>
          <t>Financial Data Processing</t>
        </is>
      </c>
      <c r="H23" s="12" t="inlineStr">
        <is>
          <t>IC</t>
        </is>
      </c>
      <c r="I23" s="26" t="inlineStr">
        <is>
          <t>L3 – Professional / Associate</t>
        </is>
      </c>
      <c r="J23" s="16" t="inlineStr">
        <is>
          <t>A3</t>
        </is>
      </c>
      <c r="K23" s="17" t="inlineStr">
        <is>
          <t>Senior Associate</t>
        </is>
      </c>
      <c r="L23" s="64" t="inlineStr">
        <is>
          <t>▲ Up</t>
        </is>
      </c>
      <c r="M23" s="12" t="inlineStr">
        <is>
          <t>Consume · India Content · Band A · Early career</t>
        </is>
      </c>
      <c r="N23" s="26" t="n">
        <v>2</v>
      </c>
      <c r="O23" s="26" t="n">
        <v>2</v>
      </c>
      <c r="P23" s="26" t="n">
        <v>2</v>
      </c>
      <c r="Q23" s="26" t="n">
        <v>1</v>
      </c>
      <c r="R23" s="26" t="n">
        <v>11</v>
      </c>
      <c r="S23" s="65" t="n">
        <v>2.5</v>
      </c>
      <c r="T23" s="66">
        <f>IF(OR($M23="",COUNT(N23,O23,P23,Q23,R23,S23)&lt;6),"",IFERROR(N23*INDEX(WM_C,MATCH($M23,WM_KEY,0))+O23*INDEX(WM_AU,MATCH($M23,WM_KEY,0))+P23*INDEX(WM_AC,MATCH($M23,WM_KEY,0))+Q23*INDEX(WM_L,MATCH($M23,WM_KEY,0))+R23*INDEX(WM_E,MATCH($M23,WM_KEY,0))+S23*INDEX(WM_BI,MATCH($M23,WM_KEY,0)),""))</f>
        <v>2.93</v>
      </c>
      <c r="U23" s="26" t="str">
        <f>IF(T23="","",INDEX({"A1","A2","A3","B1","B2","B3","C1","C2","D1","D2","E1","E2"},MAX(1,MIN(12,ROUND(T23,0)))))</f>
        <v>A3</v>
      </c>
      <c r="V23" s="12" t="inlineStr">
        <is>
          <r>
            <rPr>
              <rFont val="Calibri"/>
              <sz val="10"/>
            </rPr>
            <t xml:space="preserve">New level A3 · Senior Associate. Current level on record: L3 – Professional / Associate. Change: ▲ Up.
Score 2.93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3" s="12" t="inlineStr">
        <is>
          <r>
            <rPr>
              <rFont val="Calibri"/>
              <b val="1"/>
              <sz val="10"/>
            </rPr>
            <t>Complexity &amp; Expertise:</t>
          </r>
          <r>
            <rPr>
              <rFont val="Calibri"/>
              <sz val="10"/>
            </rPr>
            <t xml:space="preserve"> 2 of 12 — Start: 2.0 · practitioner title; Evidence reads like A2: Daily data updates from BSE/NSE websites; bond and mutual fund data; client delivery → matches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reads like A2: Tries to solve problems first, otherwise asks a senior → matches the start
</t>
          </r>
          <r>
            <rPr>
              <rFont val="Calibri"/>
              <b val="1"/>
              <sz val="10"/>
            </rPr>
            <t>Accountability &amp; Impact:</t>
          </r>
          <r>
            <rPr>
              <rFont val="Calibri"/>
              <sz val="10"/>
            </rPr>
            <t xml:space="preserve"> 2 of 12 — Start: 2.0 · practitioner title; Evidence reads like A2: Own data updates and client delivery on time → matches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11 of 12 — Experience: 22.5 yrs total · 0.4 before IRIS + 22.1 at IRIS = 10.5 on the experience scale; Qualification: MBA · postgraduate, relevant to the work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3"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23" s="12" t="inlineStr">
        <is>
          <r>
            <rPr>
              <rFont val="Calibri"/>
              <sz val="10"/>
            </rPr>
            <t xml:space="preserve">✓ HRIS: 22.5 yrs, MBA, 0 direct reports
✓ Survey: 20 of 20 questions answered
✓ KRAs: self, manager-set, quarterly
✓ Manager mapping: rating, potential, 9-box
✗ Job description: not on file
</t>
          </r>
          <r>
            <rPr>
              <rFont val="Calibri"/>
              <b val="1"/>
              <sz val="10"/>
            </rPr>
            <t>Confidence:</t>
          </r>
          <r>
            <rPr>
              <rFont val="Calibri"/>
              <sz val="10"/>
            </rPr>
            <t xml:space="preserve"> Medium</t>
          </r>
        </is>
      </c>
      <c r="Z23" s="12" t="inlineStr">
        <is>
          <t>—</t>
        </is>
      </c>
      <c r="AA23" s="12" t="inlineStr">
        <is>
          <t>Nothing outstanding</t>
        </is>
      </c>
      <c r="AB2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1 · Potential: Low · 9-Box Grid placement: Misplaced Talent / Enigma.</t>
          </r>
        </is>
      </c>
      <c r="AC23" s="68" t="n"/>
      <c r="AD23" s="68" t="n"/>
      <c r="AE23" s="68" t="n"/>
      <c r="AF23" s="12" t="n">
        <v>2.5</v>
      </c>
    </row>
    <row r="24" ht="379" customHeight="1">
      <c r="A24" s="12" t="inlineStr">
        <is>
          <t>IRIS0030</t>
        </is>
      </c>
      <c r="B24" s="10" t="inlineStr">
        <is>
          <t>Swapnil Katrat</t>
        </is>
      </c>
      <c r="C24" s="12" t="inlineStr">
        <is>
          <t>India Content</t>
        </is>
      </c>
      <c r="D24" s="12" t="inlineStr">
        <is>
          <t>Data Analyst</t>
        </is>
      </c>
      <c r="E24" s="63" t="inlineStr">
        <is>
          <t>Senior Data Analyst</t>
        </is>
      </c>
      <c r="F24" s="12" t="inlineStr">
        <is>
          <t>Data &amp; Analytics</t>
        </is>
      </c>
      <c r="G24" s="12" t="inlineStr">
        <is>
          <t>Financial Data Processing</t>
        </is>
      </c>
      <c r="H24" s="12" t="inlineStr">
        <is>
          <t>IC</t>
        </is>
      </c>
      <c r="I24" s="26" t="inlineStr">
        <is>
          <t>L3 – Professional / Associate</t>
        </is>
      </c>
      <c r="J24" s="16" t="inlineStr">
        <is>
          <t>A3</t>
        </is>
      </c>
      <c r="K24" s="17" t="inlineStr">
        <is>
          <t>Senior Associate</t>
        </is>
      </c>
      <c r="L24" s="64" t="inlineStr">
        <is>
          <t>▲ Up</t>
        </is>
      </c>
      <c r="M24" s="12" t="inlineStr">
        <is>
          <t>Consume · India Content · Band A · Early career</t>
        </is>
      </c>
      <c r="N24" s="26" t="n">
        <v>2</v>
      </c>
      <c r="O24" s="26" t="n">
        <v>2</v>
      </c>
      <c r="P24" s="26" t="n">
        <v>2</v>
      </c>
      <c r="Q24" s="26" t="n">
        <v>1</v>
      </c>
      <c r="R24" s="26" t="n">
        <v>10</v>
      </c>
      <c r="S24" s="65" t="n">
        <v>2.5</v>
      </c>
      <c r="T24" s="66">
        <f>IF(OR($M24="",COUNT(N24,O24,P24,Q24,R24,S24)&lt;6),"",IFERROR(N24*INDEX(WM_C,MATCH($M24,WM_KEY,0))+O24*INDEX(WM_AU,MATCH($M24,WM_KEY,0))+P24*INDEX(WM_AC,MATCH($M24,WM_KEY,0))+Q24*INDEX(WM_L,MATCH($M24,WM_KEY,0))+R24*INDEX(WM_E,MATCH($M24,WM_KEY,0))+S24*INDEX(WM_BI,MATCH($M24,WM_KEY,0)),""))</f>
        <v>2.83</v>
      </c>
      <c r="U24" s="26" t="str">
        <f>IF(T24="","",INDEX({"A1","A2","A3","B1","B2","B3","C1","C2","D1","D2","E1","E2"},MAX(1,MIN(12,ROUND(T24,0)))))</f>
        <v>A3</v>
      </c>
      <c r="V24" s="12" t="inlineStr">
        <is>
          <r>
            <rPr>
              <rFont val="Calibri"/>
              <sz val="10"/>
            </rPr>
            <t xml:space="preserve">New level A3 · Senior Associate. Current level on record: L3 – Professional / Associate. Change: ▲ Up.
Score 2.83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4" s="12" t="inlineStr">
        <is>
          <r>
            <rPr>
              <rFont val="Calibri"/>
              <b val="1"/>
              <sz val="10"/>
            </rPr>
            <t>Complexity &amp; Expertise:</t>
          </r>
          <r>
            <rPr>
              <rFont val="Calibri"/>
              <sz val="10"/>
            </rPr>
            <t xml:space="preserve"> 2 of 12 — Start: 2.0 · practitioner title; Evidence reads like A2: Updates EOD market data, IPO entries, portfolios, benchmarks and indices → matches the start; KRA: “1. Complete assigned tasks with 99.99% accuracy. 2. Do all the client delivery on time with 100% accuracy. 3. Maintain all log files for…”
</t>
          </r>
          <r>
            <rPr>
              <rFont val="Calibri"/>
              <b val="1"/>
              <sz val="10"/>
            </rPr>
            <t>Autonomy &amp; Decision:</t>
          </r>
          <r>
            <rPr>
              <rFont val="Calibri"/>
              <sz val="10"/>
            </rPr>
            <t xml:space="preserve"> 2 of 12 — Start: 2.0 · practitioner title; Evidence reads like A2: Only decision named is sending a revised mail → matches the start
</t>
          </r>
          <r>
            <rPr>
              <rFont val="Calibri"/>
              <b val="1"/>
              <sz val="10"/>
            </rPr>
            <t>Accountability &amp; Impact:</t>
          </r>
          <r>
            <rPr>
              <rFont val="Calibri"/>
              <sz val="10"/>
            </rPr>
            <t xml:space="preserve"> 2 of 12 — Start: 2.0 · practitioner title; Evidence reads like A2: Client delivery of own updated data → matches the start; KRA: “1. Complete assigned tasks with 99.99% accuracy. 2. Do all the client delivery on time with 100% accuracy. 3. Maintain all log files for…”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10 of 12 — Experience: 21.1 yrs total · 21.1 at IRIS; none recorded before IRIS = 10.0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4" s="12" t="inlineStr">
        <is>
          <r>
            <rPr>
              <rFont val="Calibri"/>
              <b val="1"/>
              <sz val="10"/>
            </rPr>
            <t>Market level:</t>
          </r>
          <r>
            <rPr>
              <rFont val="Calibri"/>
              <sz val="10"/>
            </rPr>
            <t xml:space="preserve"> P2 · SFIA 3 Apply
</t>
          </r>
          <r>
            <rPr>
              <rFont val="Calibri"/>
              <b val="1"/>
              <sz val="10"/>
            </rPr>
            <t>Typical title:</t>
          </r>
          <r>
            <rPr>
              <rFont val="Calibri"/>
              <sz val="10"/>
            </rPr>
            <t xml:space="preserve">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24" s="12" t="inlineStr">
        <is>
          <r>
            <rPr>
              <rFont val="Calibri"/>
              <sz val="10"/>
            </rPr>
            <t xml:space="preserve">✓ HRIS: 21.1 yrs, B.Com, 0 direct reports
✓ Survey: 7 of 20 questions answered
✓ KRAs: self, manager-set, quarterly
✓ Manager mapping: rating, potential, 9-box
✗ Job description: not on file
</t>
          </r>
          <r>
            <rPr>
              <rFont val="Calibri"/>
              <b val="1"/>
              <sz val="10"/>
            </rPr>
            <t>Confidence:</t>
          </r>
          <r>
            <rPr>
              <rFont val="Calibri"/>
              <sz val="10"/>
            </rPr>
            <t xml:space="preserve"> Medium</t>
          </r>
        </is>
      </c>
      <c r="Z24" s="12" t="inlineStr">
        <is>
          <t>—</t>
        </is>
      </c>
      <c r="AA24" s="12" t="inlineStr">
        <is>
          <t>Nothing outstanding</t>
        </is>
      </c>
      <c r="AB2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yes.
</t>
          </r>
          <r>
            <rPr>
              <rFont val="Calibri"/>
              <b val="1"/>
              <sz val="10"/>
            </rPr>
            <t>If the work is missed · role-holders' themes:</t>
          </r>
          <r>
            <rPr>
              <rFont val="Calibri"/>
              <sz val="10"/>
            </rPr>
            <t xml:space="preserve"> incorrect · client · missing · impacts.
</t>
          </r>
          <r>
            <rPr>
              <rFont val="Calibri"/>
              <b val="1"/>
              <sz val="10"/>
            </rPr>
            <t>Measured on · manager-set KRA themes:</t>
          </r>
          <r>
            <rPr>
              <rFont val="Calibri"/>
              <sz val="10"/>
            </rPr>
            <t xml:space="preserve"> business-day response · manual · contribute · delivery time · provide solutions · complete assigned.
Manager talent mapping — Latest rating: 3 · Potential: Medium · 9-Box Grid placement: Trusted Professional.</t>
          </r>
        </is>
      </c>
      <c r="AC24" s="68" t="n"/>
      <c r="AD24" s="68" t="n"/>
      <c r="AE24" s="68" t="n"/>
      <c r="AF24" s="12" t="n">
        <v>2.5</v>
      </c>
    </row>
    <row r="25" ht="379" customHeight="1">
      <c r="A25" s="12" t="inlineStr">
        <is>
          <t>IRIS0724</t>
        </is>
      </c>
      <c r="B25" s="10" t="inlineStr">
        <is>
          <t>Nishant Kohakade</t>
        </is>
      </c>
      <c r="C25" s="12" t="inlineStr">
        <is>
          <t>Technology</t>
        </is>
      </c>
      <c r="D25" s="12" t="inlineStr">
        <is>
          <t>Lead Software Engineer</t>
        </is>
      </c>
      <c r="E25" s="12" t="inlineStr">
        <is>
          <t>Lead Software Engineer</t>
        </is>
      </c>
      <c r="F25" s="12" t="inlineStr">
        <is>
          <t>Engineering &amp; Development</t>
        </is>
      </c>
      <c r="G25" s="12" t="inlineStr">
        <is>
          <t>Application Maintenance &amp; Production Support</t>
        </is>
      </c>
      <c r="H25" s="12" t="inlineStr">
        <is>
          <t>IC</t>
        </is>
      </c>
      <c r="I25" s="26" t="inlineStr">
        <is>
          <t>L5 – Lead · IC</t>
        </is>
      </c>
      <c r="J25" s="20" t="inlineStr">
        <is>
          <t>B3</t>
        </is>
      </c>
      <c r="K25" s="21" t="inlineStr">
        <is>
          <t>Lead Specialist</t>
        </is>
      </c>
      <c r="L25" s="70" t="inlineStr">
        <is>
          <t>• Same level</t>
        </is>
      </c>
      <c r="M25" s="12" t="inlineStr">
        <is>
          <t>Consume · Technology · Band B · Expert / POD Lead</t>
        </is>
      </c>
      <c r="N25" s="26" t="n">
        <v>5.5</v>
      </c>
      <c r="O25" s="26" t="n">
        <v>5.5</v>
      </c>
      <c r="P25" s="26" t="n">
        <v>5.5</v>
      </c>
      <c r="Q25" s="26" t="n">
        <v>4.5</v>
      </c>
      <c r="R25" s="26" t="n">
        <v>9.5</v>
      </c>
      <c r="S25" s="65" t="n">
        <v>6</v>
      </c>
      <c r="T25" s="66">
        <f>IF(OR($M25="",COUNT(N25,O25,P25,Q25,R25,S25)&lt;6),"",IFERROR(N25*INDEX(WM_C,MATCH($M25,WM_KEY,0))+O25*INDEX(WM_AU,MATCH($M25,WM_KEY,0))+P25*INDEX(WM_AC,MATCH($M25,WM_KEY,0))+Q25*INDEX(WM_L,MATCH($M25,WM_KEY,0))+R25*INDEX(WM_E,MATCH($M25,WM_KEY,0))+S25*INDEX(WM_BI,MATCH($M25,WM_KEY,0)),""))</f>
        <v>5.885</v>
      </c>
      <c r="U25" s="26" t="str">
        <f>IF(T25="","",INDEX({"A1","A2","A3","B1","B2","B3","C1","C2","D1","D2","E1","E2"},MAX(1,MIN(12,ROUND(T25,0)))))</f>
        <v>B3</v>
      </c>
      <c r="V25" s="12" t="inlineStr">
        <is>
          <r>
            <rPr>
              <rFont val="Calibri"/>
              <sz val="10"/>
            </rPr>
            <t xml:space="preserve">New level B3 · Lead Specialist. Current level on record: L5 – Lead · IC. Change: • Same level.
Score 5.89 on the ladder scale → indicated level B3.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5" s="12" t="inlineStr">
        <is>
          <r>
            <rPr>
              <rFont val="Calibri"/>
              <b val="1"/>
              <sz val="10"/>
            </rPr>
            <t>Complexity &amp; Expertise:</t>
          </r>
          <r>
            <rPr>
              <rFont val="Calibri"/>
              <sz val="10"/>
            </rPr>
            <t xml:space="preserve"> 5.5 of 12 · between B2 and B3 — Start: 6.0 · senior manager / lead specialist title; Evidence reads like B2: Runs RBI portals at client datacenter: CRs, VAPT/CSRA mitigation, STQC/IAAP, infra incidents, DR drills, billing → moved down 0.5; KRA: “1. Deliver committed sprint stories with &gt;=90% sprint commitment adherence across the year 2. Maintain code quality: defect leakage to…”
</t>
          </r>
          <r>
            <rPr>
              <rFont val="Calibri"/>
              <b val="1"/>
              <sz val="10"/>
            </rPr>
            <t>Autonomy &amp; Decision:</t>
          </r>
          <r>
            <rPr>
              <rFont val="Calibri"/>
              <sz val="10"/>
            </rPr>
            <t xml:space="preserve"> 5.5 of 12 · between B2 and B3 — Start: 6.0 · senior manager / lead specialist title; Evidence reads like B2: Makes technical calls on availability issues, commits development timelines to client, allocates tasks to developers → moved down 0.5
</t>
          </r>
          <r>
            <rPr>
              <rFont val="Calibri"/>
              <b val="1"/>
              <sz val="10"/>
            </rPr>
            <t>Accountability &amp; Impact:</t>
          </r>
          <r>
            <rPr>
              <rFont val="Calibri"/>
              <sz val="10"/>
            </rPr>
            <t xml:space="preserve"> 5.5 of 12 · between B2 and B3 — Start: 6.0 · senior manager / lead specialist title; Evidence reads like B2: Anything on RBI portals: unavailability, security incidents, content errors; gives RCA to client → moved down 0.5; KRA: “1. Deliver committed sprint stories with &gt;=90% sprint commitment adherence across the year 2. Maintain code quality: defect leakage to…”
</t>
          </r>
          <r>
            <rPr>
              <rFont val="Calibri"/>
              <b val="1"/>
              <sz val="10"/>
            </rPr>
            <t>Leadership &amp; Strategy:</t>
          </r>
          <r>
            <rPr>
              <rFont val="Calibri"/>
              <sz val="10"/>
            </rPr>
            <t xml:space="preserve"> 4.5 of 12 · between B1 and B2 — Start: 5.0 · individual contributor, so influence only; Evidence reads like B1: Allocates tasks and helps the on-site development team; 0 formal reports → moved down 0.5; Team: 0 direct reports · IC
</t>
          </r>
          <r>
            <rPr>
              <rFont val="Calibri"/>
              <b val="1"/>
              <sz val="10"/>
            </rPr>
            <t>Experience &amp; Qualification:</t>
          </r>
          <r>
            <rPr>
              <rFont val="Calibri"/>
              <sz val="10"/>
            </rPr>
            <t xml:space="preserve"> 9.5 of 12 · between D1 and D2 — Experience: 19.5 yrs total · 3.0 before IRIS + 16.5 at IRIS = 9.6 on the experience scale; Qualification: B.E · graduate, relevant to the work → no change
</t>
          </r>
          <r>
            <rPr>
              <rFont val="Calibri"/>
              <b val="1"/>
              <sz val="10"/>
            </rPr>
            <t>Business Impact:</t>
          </r>
          <r>
            <rPr>
              <rFont val="Calibri"/>
              <sz val="10"/>
            </rPr>
            <t xml:space="preserve"> 6 of 12 — a starting estimate. —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r>
        </is>
      </c>
      <c r="X25"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Principal Engineer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Y25" s="12" t="inlineStr">
        <is>
          <r>
            <rPr>
              <rFont val="Calibri"/>
              <sz val="10"/>
            </rPr>
            <t xml:space="preserve">✓ HRIS: 19.5 yrs, B.E, 0 direct reports
✓ Survey: 19 of 20 questions answered
✓ KRAs: manager-set, quarterly
✓ Manager mapping: rating, potential, 9-box
✗ Job description: not on file
</t>
          </r>
          <r>
            <rPr>
              <rFont val="Calibri"/>
              <b val="1"/>
              <sz val="10"/>
            </rPr>
            <t>Confidence:</t>
          </r>
          <r>
            <rPr>
              <rFont val="Calibri"/>
              <sz val="10"/>
            </rPr>
            <t xml:space="preserve"> High</t>
          </r>
        </is>
      </c>
      <c r="Z25" s="12" t="inlineStr">
        <is>
          <t>—</t>
        </is>
      </c>
      <c r="AA25" s="67" t="inlineStr">
        <is>
          <t>• Confirm the reporting line — Manager</t>
        </is>
      </c>
      <c r="AB25"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critical role: yes; successor named: no.
</t>
          </r>
          <r>
            <rPr>
              <rFont val="Calibri"/>
              <b val="1"/>
              <sz val="10"/>
            </rPr>
            <t>If the work is missed · role-holders' themes:</t>
          </r>
          <r>
            <rPr>
              <rFont val="Calibri"/>
              <sz val="10"/>
            </rPr>
            <t xml:space="preserve"> delays · lead · issues · poor.
Manager talent mapping — Latest rating: 5 · Potential: High · 9-Box Grid placement: Future Leader.</t>
          </r>
        </is>
      </c>
      <c r="AC25" s="68" t="n"/>
      <c r="AD25" s="68" t="n"/>
      <c r="AE25" s="68" t="n"/>
      <c r="AF25" s="12" t="n">
        <v>6</v>
      </c>
    </row>
    <row r="26" ht="379" customHeight="1">
      <c r="A26" s="12" t="inlineStr">
        <is>
          <t>IRIS1952</t>
        </is>
      </c>
      <c r="B26" s="10" t="inlineStr">
        <is>
          <t>Zakiruddin Shaikh</t>
        </is>
      </c>
      <c r="C26" s="12" t="inlineStr">
        <is>
          <t>Technology</t>
        </is>
      </c>
      <c r="D26" s="12" t="inlineStr">
        <is>
          <t>Project Manager</t>
        </is>
      </c>
      <c r="E26" s="12" t="inlineStr">
        <is>
          <t>Project Manager</t>
        </is>
      </c>
      <c r="F26" s="12" t="inlineStr">
        <is>
          <t>Project &amp; Program Management</t>
        </is>
      </c>
      <c r="G26" s="12" t="inlineStr">
        <is>
          <t>Project &amp; Program Delivery</t>
        </is>
      </c>
      <c r="H26" s="12" t="inlineStr">
        <is>
          <t>People Manager</t>
        </is>
      </c>
      <c r="I26" s="26" t="inlineStr">
        <is>
          <t>L5 – Manager</t>
        </is>
      </c>
      <c r="J26" s="20" t="inlineStr">
        <is>
          <t>B2</t>
        </is>
      </c>
      <c r="K26" s="21" t="inlineStr">
        <is>
          <t>Manager</t>
        </is>
      </c>
      <c r="L26" s="70" t="inlineStr">
        <is>
          <t>• Same level</t>
        </is>
      </c>
      <c r="M26" s="12" t="inlineStr">
        <is>
          <t>Consume · Technology · Band B · People Manager</t>
        </is>
      </c>
      <c r="N26" s="26" t="n">
        <v>4.5</v>
      </c>
      <c r="O26" s="26" t="n">
        <v>5</v>
      </c>
      <c r="P26" s="26" t="n">
        <v>5</v>
      </c>
      <c r="Q26" s="26" t="n">
        <v>4</v>
      </c>
      <c r="R26" s="26" t="n">
        <v>6.5</v>
      </c>
      <c r="S26" s="65" t="n">
        <v>5.5</v>
      </c>
      <c r="T26" s="66">
        <f>IF(OR($M26="",COUNT(N26,O26,P26,Q26,R26,S26)&lt;6),"",IFERROR(N26*INDEX(WM_C,MATCH($M26,WM_KEY,0))+O26*INDEX(WM_AU,MATCH($M26,WM_KEY,0))+P26*INDEX(WM_AC,MATCH($M26,WM_KEY,0))+Q26*INDEX(WM_L,MATCH($M26,WM_KEY,0))+R26*INDEX(WM_E,MATCH($M26,WM_KEY,0))+S26*INDEX(WM_BI,MATCH($M26,WM_KEY,0)),""))</f>
        <v>4.835</v>
      </c>
      <c r="U26" s="26" t="str">
        <f>IF(T26="","",INDEX({"A1","A2","A3","B1","B2","B3","C1","C2","D1","D2","E1","E2"},MAX(1,MIN(12,ROUND(T26,0)))))</f>
        <v>B2</v>
      </c>
      <c r="V26" s="12" t="inlineStr">
        <is>
          <r>
            <rPr>
              <rFont val="Calibri"/>
              <sz val="10"/>
            </rPr>
            <t xml:space="preserve">New level B2 · Manager. Current level on record: L5 – Manager. Change: • Same level.
Score 4.83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6" s="12" t="inlineStr">
        <is>
          <r>
            <rPr>
              <rFont val="Calibri"/>
              <b val="1"/>
              <sz val="10"/>
            </rPr>
            <t>Complexity &amp; Expertise:</t>
          </r>
          <r>
            <rPr>
              <rFont val="Calibri"/>
              <sz val="10"/>
            </rPr>
            <t xml:space="preserve"> 4.5 of 12 · between B1 and B2 — Start: 5.0 · manager / senior specialist title; Evidence reads like B1: RBI Portal: multiple portals, production support, compliance, security and commercial activities → moved down 0.5; KRA: “1. Deliver &gt;=90% of project milestones on schedule and within agreed scope 2. Keep project budget / effort variance within +/-10% of plan…”
</t>
          </r>
          <r>
            <rPr>
              <rFont val="Calibri"/>
              <b val="1"/>
              <sz val="10"/>
            </rPr>
            <t>Autonomy &amp; Decision:</t>
          </r>
          <r>
            <rPr>
              <rFont val="Calibri"/>
              <sz val="10"/>
            </rPr>
            <t xml:space="preserve"> 5 of 12 — Start: 5.0 · manager / senior specialist title; Evidence reads like B2: Prioritises tasks, allocates team resources, makes daily delivery and operational decisions → matches the start
</t>
          </r>
          <r>
            <rPr>
              <rFont val="Calibri"/>
              <b val="1"/>
              <sz val="10"/>
            </rPr>
            <t>Accountability &amp; Impact:</t>
          </r>
          <r>
            <rPr>
              <rFont val="Calibri"/>
              <sz val="10"/>
            </rPr>
            <t xml:space="preserve"> 5 of 12 — Start: 4.5 · manager / senior specialist title; 4 direct reports; Evidence reads like B2: End-to-end project delivery: timelines, scope, client commitments, production support, commercials → moved up 0.5; KRA: “1. Deliver &gt;=90% of project milestones on schedule and within agreed scope 2. Keep project budget / effort variance within +/-10% of plan…”
</t>
          </r>
          <r>
            <rPr>
              <rFont val="Calibri"/>
              <b val="1"/>
              <sz val="10"/>
            </rPr>
            <t>Leadership &amp; Strategy:</t>
          </r>
          <r>
            <rPr>
              <rFont val="Calibri"/>
              <sz val="10"/>
            </rPr>
            <t xml:space="preserve"> 4 of 12 — Start: 4.0; Evidence reads like B1: Manages team and resources; 4 direct reports; cross-functional coordination → matches the start; Team: 4 direct reports · People Manager
</t>
          </r>
          <r>
            <rPr>
              <rFont val="Calibri"/>
              <b val="1"/>
              <sz val="10"/>
            </rPr>
            <t>Experience &amp; Qualification:</t>
          </r>
          <r>
            <rPr>
              <rFont val="Calibri"/>
              <sz val="10"/>
            </rPr>
            <t xml:space="preserve"> 6.5 of 12 · between B3 and C1 — Experience: 11.1 yrs total · 6.1 before IRIS + 5.0 at IRIS = 6.5 on the experience scale; Qualification: MMS · postgraduate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26"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26" s="12" t="inlineStr">
        <is>
          <r>
            <rPr>
              <rFont val="Calibri"/>
              <sz val="10"/>
            </rPr>
            <t xml:space="preserve">✓ HRIS: 11.1 yrs, MMS, 4 direct reports
✓ Survey: 20 of 20 questions answered
✓ KRAs: manager-set, quarterly
✓ Manager mapping: rating, potential, 9-box
✗ Job description: not on file
</t>
          </r>
          <r>
            <rPr>
              <rFont val="Calibri"/>
              <b val="1"/>
              <sz val="10"/>
            </rPr>
            <t>Confidence:</t>
          </r>
          <r>
            <rPr>
              <rFont val="Calibri"/>
              <sz val="10"/>
            </rPr>
            <t xml:space="preserve"> High</t>
          </r>
        </is>
      </c>
      <c r="Z26" s="12" t="inlineStr">
        <is>
          <t>—</t>
        </is>
      </c>
      <c r="AA26" s="12" t="inlineStr">
        <is>
          <t>Nothing outstanding</t>
        </is>
      </c>
      <c r="AB2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4 direct reports.
From the survey and manager mapping — critical role: yes; successor named: no.
</t>
          </r>
          <r>
            <rPr>
              <rFont val="Calibri"/>
              <b val="1"/>
              <sz val="10"/>
            </rPr>
            <t>If the work is missed · role-holders' themes:</t>
          </r>
          <r>
            <rPr>
              <rFont val="Calibri"/>
              <sz val="10"/>
            </rPr>
            <t xml:space="preserve"> client · rework · deliverables · delays.
</t>
          </r>
          <r>
            <rPr>
              <rFont val="Calibri"/>
              <b val="1"/>
              <sz val="10"/>
            </rPr>
            <t>Measured on · manager-set KRA themes:</t>
          </r>
          <r>
            <rPr>
              <rFont val="Calibri"/>
              <sz val="10"/>
            </rPr>
            <t xml:space="preserve"> project · management · level · support · scope · client.
Manager talent mapping — Latest rating: 5 · Potential: High · 9-Box Grid placement: Future Leader.</t>
          </r>
        </is>
      </c>
      <c r="AC26" s="68" t="n"/>
      <c r="AD26" s="68" t="n"/>
      <c r="AE26" s="68" t="n"/>
      <c r="AF26" s="12" t="n">
        <v>5.5</v>
      </c>
    </row>
    <row r="27" ht="379" customHeight="1">
      <c r="A27" s="12" t="inlineStr">
        <is>
          <t>IRIS0538</t>
        </is>
      </c>
      <c r="B27" s="10" t="inlineStr">
        <is>
          <t>Waqar Tarique</t>
        </is>
      </c>
      <c r="C27" s="12" t="inlineStr">
        <is>
          <t>Technology</t>
        </is>
      </c>
      <c r="D27" s="12" t="inlineStr">
        <is>
          <t>Senior Software Engineer</t>
        </is>
      </c>
      <c r="E27" s="63" t="inlineStr">
        <is>
          <t>Technical Specialist</t>
        </is>
      </c>
      <c r="F27" s="12" t="inlineStr">
        <is>
          <t>Engineering &amp; Development</t>
        </is>
      </c>
      <c r="G27" s="12" t="inlineStr">
        <is>
          <t>Application Maintenance &amp; Production Support</t>
        </is>
      </c>
      <c r="H27" s="12" t="inlineStr">
        <is>
          <t>IC</t>
        </is>
      </c>
      <c r="I27" s="26" t="inlineStr">
        <is>
          <t>L4 – Senior</t>
        </is>
      </c>
      <c r="J27" s="20" t="inlineStr">
        <is>
          <t>B1</t>
        </is>
      </c>
      <c r="K27" s="21" t="inlineStr">
        <is>
          <t>Specialist</t>
        </is>
      </c>
      <c r="L27" s="64" t="inlineStr">
        <is>
          <t>▲ Up</t>
        </is>
      </c>
      <c r="M27" s="12" t="inlineStr">
        <is>
          <t>Consume · Technology · Band B · Expert / POD Lead</t>
        </is>
      </c>
      <c r="N27" s="26" t="n">
        <v>3</v>
      </c>
      <c r="O27" s="26" t="n">
        <v>2.5</v>
      </c>
      <c r="P27" s="26" t="n">
        <v>3</v>
      </c>
      <c r="Q27" s="26" t="n">
        <v>2.5</v>
      </c>
      <c r="R27" s="26" t="n">
        <v>9</v>
      </c>
      <c r="S27" s="65" t="n">
        <v>3.5</v>
      </c>
      <c r="T27" s="66">
        <f>IF(OR($M27="",COUNT(N27,O27,P27,Q27,R27,S27)&lt;6),"",IFERROR(N27*INDEX(WM_C,MATCH($M27,WM_KEY,0))+O27*INDEX(WM_AU,MATCH($M27,WM_KEY,0))+P27*INDEX(WM_AC,MATCH($M27,WM_KEY,0))+Q27*INDEX(WM_L,MATCH($M27,WM_KEY,0))+R27*INDEX(WM_E,MATCH($M27,WM_KEY,0))+S27*INDEX(WM_BI,MATCH($M27,WM_KEY,0)),""))</f>
        <v>3.525</v>
      </c>
      <c r="U27" s="26" t="str">
        <f>IF(T27="","",INDEX({"A1","A2","A3","B1","B2","B3","C1","C2","D1","D2","E1","E2"},MAX(1,MIN(12,ROUND(T27,0)))))</f>
        <v>B1</v>
      </c>
      <c r="V27" s="12" t="inlineStr">
        <is>
          <r>
            <rPr>
              <rFont val="Calibri"/>
              <sz val="10"/>
            </rPr>
            <t xml:space="preserve">New level B1 · Specialist. Current level on record: L4 – Senior. Change: ▲ Up.
Score 3.53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7" s="12" t="inlineStr">
        <is>
          <r>
            <rPr>
              <rFont val="Calibri"/>
              <b val="1"/>
              <sz val="10"/>
            </rPr>
            <t>Complexity &amp; Expertise:</t>
          </r>
          <r>
            <rPr>
              <rFont val="Calibri"/>
              <sz val="10"/>
            </rPr>
            <t xml:space="preserve"> 3 of 12 — Start: 3.0 · senior practitioner title; Evidence reads like A3: Develops and maintains the RBI website, administers its database and reviews others' code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2.5 of 12 · between A2 and A3 — Start: 3.0 · senior practitioner title; Evidence reads like A2: Says nothing is decided without approval; every change needs UAT and VAPT/CSRA sign-off → moved down 0.5
</t>
          </r>
          <r>
            <rPr>
              <rFont val="Calibri"/>
              <b val="1"/>
              <sz val="10"/>
            </rPr>
            <t>Accountability &amp; Impact:</t>
          </r>
          <r>
            <rPr>
              <rFont val="Calibri"/>
              <sz val="10"/>
            </rPr>
            <t xml:space="preserve"> 3 of 12 — Start: 3.0 · senior practitioner title; Evidence reads like A3: Answers for RBI website uptime and business continuity; an outage triggers management escalation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2.5 of 12 · between A2 and A3 — Start: 2.0 · individual contributor, so influence only; Evidence reads like A3: Lists code review and mentoring/monitoring as standing duties; no team size given → moved up 0.5; Team: 0 direct reports · IC
</t>
          </r>
          <r>
            <rPr>
              <rFont val="Calibri"/>
              <b val="1"/>
              <sz val="10"/>
            </rPr>
            <t>Experience &amp; Qualification:</t>
          </r>
          <r>
            <rPr>
              <rFont val="Calibri"/>
              <sz val="10"/>
            </rPr>
            <t xml:space="preserve"> 9 of 12 — Experience: 16.4 yrs total · 0.8 before IRIS + 15.6 at IRIS = 8.6 on the experience scale; Qualification: MSc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2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27" s="12" t="inlineStr">
        <is>
          <r>
            <rPr>
              <rFont val="Calibri"/>
              <sz val="10"/>
            </rPr>
            <t xml:space="preserve">✓ HRIS: 16.4 yrs, MSc, 0 direct reports
✓ Survey: 18 of 20 questions answered
✓ KRAs: manager-set, quarterly
✓ Manager mapping: rating, potential, 9-box
✗ Job description: not on file
</t>
          </r>
          <r>
            <rPr>
              <rFont val="Calibri"/>
              <b val="1"/>
              <sz val="10"/>
            </rPr>
            <t>Confidence:</t>
          </r>
          <r>
            <rPr>
              <rFont val="Calibri"/>
              <sz val="10"/>
            </rPr>
            <t xml:space="preserve"> High</t>
          </r>
        </is>
      </c>
      <c r="Z27" s="69" t="inlineStr">
        <is>
          <r>
            <rPr>
              <rFont val="Calibri"/>
              <color rgb="009C5700"/>
              <sz val="10"/>
            </rPr>
            <t xml:space="preserve">• </t>
          </r>
          <r>
            <rPr>
              <rFont val="Calibri"/>
              <b val="1"/>
              <color rgb="009C5700"/>
              <sz val="10"/>
            </rPr>
            <t>Close call:</t>
          </r>
          <r>
            <rPr>
              <rFont val="Calibri"/>
              <color rgb="009C5700"/>
              <sz val="10"/>
            </rPr>
            <t xml:space="preserve"> score 3.53 is within 0.05 of a rounding point</t>
          </r>
        </is>
      </c>
      <c r="AA27" s="12" t="inlineStr">
        <is>
          <t>Nothing outstanding</t>
        </is>
      </c>
      <c r="AB2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lead · issues · poor.
Manager talent mapping — Latest rating: 4 · Potential: High · 9-Box Grid placement: Core Contributor.</t>
          </r>
        </is>
      </c>
      <c r="AC27" s="68" t="n"/>
      <c r="AD27" s="68" t="n"/>
      <c r="AE27" s="68" t="n"/>
      <c r="AF27" s="12" t="n">
        <v>3.5</v>
      </c>
    </row>
    <row r="28" ht="379" customHeight="1">
      <c r="A28" s="12" t="inlineStr">
        <is>
          <t>IRIS2485</t>
        </is>
      </c>
      <c r="B28" s="10" t="inlineStr">
        <is>
          <t>Safal Gupta</t>
        </is>
      </c>
      <c r="C28" s="12" t="inlineStr">
        <is>
          <t>Technology</t>
        </is>
      </c>
      <c r="D28" s="12" t="inlineStr">
        <is>
          <t>Senior Software Engineer</t>
        </is>
      </c>
      <c r="E28" s="12" t="inlineStr">
        <is>
          <t>Senior Software Engineer</t>
        </is>
      </c>
      <c r="F28" s="12" t="inlineStr">
        <is>
          <t>Engineering &amp; Development</t>
        </is>
      </c>
      <c r="G28" s="12" t="inlineStr">
        <is>
          <t>Application Maintenance &amp; Production Support</t>
        </is>
      </c>
      <c r="H28" s="12" t="inlineStr">
        <is>
          <t>IC</t>
        </is>
      </c>
      <c r="I28" s="26" t="inlineStr">
        <is>
          <t>L4 – Senior</t>
        </is>
      </c>
      <c r="J28" s="16" t="inlineStr">
        <is>
          <t>A3</t>
        </is>
      </c>
      <c r="K28" s="17" t="inlineStr">
        <is>
          <t>Senior Associate</t>
        </is>
      </c>
      <c r="L28" s="70" t="inlineStr">
        <is>
          <t>• Same level</t>
        </is>
      </c>
      <c r="M28" s="12" t="inlineStr">
        <is>
          <t>Consume · Technology · Band A · Early career</t>
        </is>
      </c>
      <c r="N28" s="26" t="n">
        <v>3</v>
      </c>
      <c r="O28" s="26" t="n">
        <v>3</v>
      </c>
      <c r="P28" s="26" t="n">
        <v>3</v>
      </c>
      <c r="Q28" s="26" t="n">
        <v>1.5</v>
      </c>
      <c r="R28" s="26" t="n">
        <v>4</v>
      </c>
      <c r="S28" s="65" t="n">
        <v>3.5</v>
      </c>
      <c r="T28" s="66">
        <f>IF(OR($M28="",COUNT(N28,O28,P28,Q28,R28,S28)&lt;6),"",IFERROR(N28*INDEX(WM_C,MATCH($M28,WM_KEY,0))+O28*INDEX(WM_AU,MATCH($M28,WM_KEY,0))+P28*INDEX(WM_AC,MATCH($M28,WM_KEY,0))+Q28*INDEX(WM_L,MATCH($M28,WM_KEY,0))+R28*INDEX(WM_E,MATCH($M28,WM_KEY,0))+S28*INDEX(WM_BI,MATCH($M28,WM_KEY,0)),""))</f>
        <v>3.13</v>
      </c>
      <c r="U28" s="26" t="str">
        <f>IF(T28="","",INDEX({"A1","A2","A3","B1","B2","B3","C1","C2","D1","D2","E1","E2"},MAX(1,MIN(12,ROUND(T28,0)))))</f>
        <v>A3</v>
      </c>
      <c r="V28" s="12" t="inlineStr">
        <is>
          <r>
            <rPr>
              <rFont val="Calibri"/>
              <sz val="10"/>
            </rPr>
            <t xml:space="preserve">New level A3 · Senior Associate. Current level on record: L4 – Senior. Change: • Same level.
Score 3.13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8" s="12" t="inlineStr">
        <is>
          <r>
            <rPr>
              <rFont val="Calibri"/>
              <b val="1"/>
              <sz val="10"/>
            </rPr>
            <t>Complexity &amp; Expertise:</t>
          </r>
          <r>
            <rPr>
              <rFont val="Calibri"/>
              <sz val="10"/>
            </rPr>
            <t xml:space="preserve"> 3 of 12 — Start: 3.0 · senior practitioner title; Evidence reads like A3: Develops and supports RBI web portals; security remediation · VAPT, performance tuning, database work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reads like A3: Decides code implementation, debugging, optimisation and technical fixes → matches the start
</t>
          </r>
          <r>
            <rPr>
              <rFont val="Calibri"/>
              <b val="1"/>
              <sz val="10"/>
            </rPr>
            <t>Accountability &amp; Impact:</t>
          </r>
          <r>
            <rPr>
              <rFont val="Calibri"/>
              <sz val="10"/>
            </rPr>
            <t xml:space="preserve"> 3 of 12 — Start: 3.0 · senior practitioner title; Evidence reads like A3: Development, security fixes and production support on critical government portals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4 of 12 — Experience: 5.8 yrs total · 5.2 before IRIS + 0.6 at IRIS = 4.2 on the experience scale; Qualification: B.E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2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8" s="12" t="inlineStr">
        <is>
          <r>
            <rPr>
              <rFont val="Calibri"/>
              <sz val="10"/>
            </rPr>
            <t xml:space="preserve">✓ HRIS: 5.8 yrs, B.E, 0 direct reports
✓ Survey: 20 of 20 questions answered
✓ KRAs: manager-set, quarterly
✓ Manager mapping: rating, 9-box
✗ Job description: not on file
</t>
          </r>
          <r>
            <rPr>
              <rFont val="Calibri"/>
              <b val="1"/>
              <sz val="10"/>
            </rPr>
            <t>Confidence:</t>
          </r>
          <r>
            <rPr>
              <rFont val="Calibri"/>
              <sz val="10"/>
            </rPr>
            <t xml:space="preserve"> High</t>
          </r>
        </is>
      </c>
      <c r="Z28" s="12" t="inlineStr">
        <is>
          <t>—</t>
        </is>
      </c>
      <c r="AA28" s="12" t="inlineStr">
        <is>
          <t>Nothing outstanding</t>
        </is>
      </c>
      <c r="AB2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4 · 9-Box Grid placement: Emerging Talent.</t>
          </r>
        </is>
      </c>
      <c r="AC28" s="68" t="n"/>
      <c r="AD28" s="68" t="n"/>
      <c r="AE28" s="68" t="n"/>
      <c r="AF28" s="12" t="n">
        <v>3.5</v>
      </c>
    </row>
    <row r="29" ht="379" customHeight="1">
      <c r="A29" s="12" t="inlineStr">
        <is>
          <t>IRIS1901</t>
        </is>
      </c>
      <c r="B29" s="10" t="inlineStr">
        <is>
          <t>Sharad Mane</t>
        </is>
      </c>
      <c r="C29" s="12" t="inlineStr">
        <is>
          <t>Technology</t>
        </is>
      </c>
      <c r="D29" s="12" t="inlineStr">
        <is>
          <t>Senior Software Engineer</t>
        </is>
      </c>
      <c r="E29" s="63" t="inlineStr">
        <is>
          <t>Technical Specialist</t>
        </is>
      </c>
      <c r="F29" s="12" t="inlineStr">
        <is>
          <t>Engineering &amp; Development</t>
        </is>
      </c>
      <c r="G29" s="12" t="inlineStr">
        <is>
          <t>Application Maintenance &amp; Production Support</t>
        </is>
      </c>
      <c r="H29" s="12" t="inlineStr">
        <is>
          <t>IC</t>
        </is>
      </c>
      <c r="I29" s="26" t="inlineStr">
        <is>
          <t>L4 – Senior</t>
        </is>
      </c>
      <c r="J29" s="16" t="inlineStr">
        <is>
          <t>A3</t>
        </is>
      </c>
      <c r="K29" s="17" t="inlineStr">
        <is>
          <t>Senior Associate</t>
        </is>
      </c>
      <c r="L29" s="64" t="inlineStr">
        <is>
          <t>▲ Up</t>
        </is>
      </c>
      <c r="M29" s="12" t="inlineStr">
        <is>
          <t>Consume · Technology · Band A · Early career</t>
        </is>
      </c>
      <c r="N29" s="26" t="n">
        <v>3</v>
      </c>
      <c r="O29" s="26" t="n">
        <v>3</v>
      </c>
      <c r="P29" s="26" t="n">
        <v>3</v>
      </c>
      <c r="Q29" s="26" t="n">
        <v>1.5</v>
      </c>
      <c r="R29" s="26" t="n">
        <v>6.5</v>
      </c>
      <c r="S29" s="65" t="n">
        <v>3</v>
      </c>
      <c r="T29" s="66">
        <f>IF(OR($M29="",COUNT(N29,O29,P29,Q29,R29,S29)&lt;6),"",IFERROR(N29*INDEX(WM_C,MATCH($M29,WM_KEY,0))+O29*INDEX(WM_AU,MATCH($M29,WM_KEY,0))+P29*INDEX(WM_AC,MATCH($M29,WM_KEY,0))+Q29*INDEX(WM_L,MATCH($M29,WM_KEY,0))+R29*INDEX(WM_E,MATCH($M29,WM_KEY,0))+S29*INDEX(WM_BI,MATCH($M29,WM_KEY,0)),""))</f>
        <v>3.35</v>
      </c>
      <c r="U29" s="26" t="str">
        <f>IF(T29="","",INDEX({"A1","A2","A3","B1","B2","B3","C1","C2","D1","D2","E1","E2"},MAX(1,MIN(12,ROUND(T29,0)))))</f>
        <v>A3</v>
      </c>
      <c r="V29" s="12" t="inlineStr">
        <is>
          <r>
            <rPr>
              <rFont val="Calibri"/>
              <sz val="10"/>
            </rPr>
            <t xml:space="preserve">New level A3 · Senior Associate. Current level on record: L4 – Senior. Change: ▲ Up.
Score 3.35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9" s="12" t="inlineStr">
        <is>
          <r>
            <rPr>
              <rFont val="Calibri"/>
              <b val="1"/>
              <sz val="10"/>
            </rPr>
            <t>Complexity &amp; Expertise:</t>
          </r>
          <r>
            <rPr>
              <rFont val="Calibri"/>
              <sz val="10"/>
            </rPr>
            <t xml:space="preserve"> 3 of 12 — Start: 3.0 · senior practitioner title; Evidence reads like A3: Develops, tests and deploys.NET changes on RBI application; handles client data requests → matches the start; KRA: “1. Deliver committed sprint stories with &gt;=90% sprint commitment adherence across the year 2. Maintain code quality: defect leakage to…”
</t>
          </r>
          <r>
            <rPr>
              <rFont val="Calibri"/>
              <b val="1"/>
              <sz val="10"/>
            </rPr>
            <t>Autonomy &amp; Decision:</t>
          </r>
          <r>
            <rPr>
              <rFont val="Calibri"/>
              <sz val="10"/>
            </rPr>
            <t xml:space="preserve"> 3 of 12 — Start: 3.0 · senior practitioner title; Evidence reads like A3: Decides coding changes, bug fixes and deployment activity; weighs change impact → matches the start
</t>
          </r>
          <r>
            <rPr>
              <rFont val="Calibri"/>
              <b val="1"/>
              <sz val="10"/>
            </rPr>
            <t>Accountability &amp; Impact:</t>
          </r>
          <r>
            <rPr>
              <rFont val="Calibri"/>
              <sz val="10"/>
            </rPr>
            <t xml:space="preserve"> 3 of 12 — Start: 3.0 · senior practitioner title; Evidence reads like A3: Own changes through testing to production deployment on a critical RBI application → matches the start; KRA: “1. Deliver committed sprint stories with &gt;=90% sprint commitment adherence across the year 2. Maintain code quality: defect leakage to…”
</t>
          </r>
          <r>
            <rPr>
              <rFont val="Calibri"/>
              <b val="1"/>
              <sz val="10"/>
            </rPr>
            <t>Leadership &amp; Strategy:</t>
          </r>
          <r>
            <rPr>
              <rFont val="Calibri"/>
              <sz val="10"/>
            </rPr>
            <t xml:space="preserve"> 1.5 of 12 · between A1 and A2 — not counted: the weight is 0% at this level — Start: 2.0 · individual contributor, so influence only; Evidence reads like A1: None described → moved down 0.5; Team: 0 direct reports · IC
</t>
          </r>
          <r>
            <rPr>
              <rFont val="Calibri"/>
              <b val="1"/>
              <sz val="10"/>
            </rPr>
            <t>Experience &amp; Qualification:</t>
          </r>
          <r>
            <rPr>
              <rFont val="Calibri"/>
              <sz val="10"/>
            </rPr>
            <t xml:space="preserve"> 6.5 of 12 · between B3 and C1 — Experience: 11.4 yrs total · 5.8 before IRIS + 5.6 at IRIS = 6.7 on the experience scale; Qualification: B.E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9" s="12" t="inlineStr">
        <is>
          <r>
            <rPr>
              <rFont val="Calibri"/>
              <b val="1"/>
              <sz val="10"/>
            </rPr>
            <t>Market level:</t>
          </r>
          <r>
            <rPr>
              <rFont val="Calibri"/>
              <sz val="10"/>
            </rPr>
            <t xml:space="preserve"> P2 · SFIA 3 Apply
</t>
          </r>
          <r>
            <rPr>
              <rFont val="Calibri"/>
              <b val="1"/>
              <sz val="10"/>
            </rPr>
            <t>Typical title:</t>
          </r>
          <r>
            <rPr>
              <rFont val="Calibri"/>
              <sz val="10"/>
            </rPr>
            <t xml:space="preserve"> Senior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9" s="12" t="inlineStr">
        <is>
          <r>
            <rPr>
              <rFont val="Calibri"/>
              <sz val="10"/>
            </rPr>
            <t xml:space="preserve">✓ HRIS: 11.4 yrs, B.E, 0 direct reports
✓ Survey: 20 of 20 questions answered
✓ KRAs: manager-set, quarterly
✓ Manager mapping: rating, potential, 9-box
✗ Job description: not on file
</t>
          </r>
          <r>
            <rPr>
              <rFont val="Calibri"/>
              <b val="1"/>
              <sz val="10"/>
            </rPr>
            <t>Confidence:</t>
          </r>
          <r>
            <rPr>
              <rFont val="Calibri"/>
              <sz val="10"/>
            </rPr>
            <t xml:space="preserve"> Medium</t>
          </r>
        </is>
      </c>
      <c r="Z29" s="69"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29" s="12" t="inlineStr">
        <is>
          <t>Nothing outstanding</t>
        </is>
      </c>
      <c r="AB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4 · Potential: High · 9-Box Grid placement: Core Contributor.</t>
          </r>
        </is>
      </c>
      <c r="AC29" s="68" t="n"/>
      <c r="AD29" s="68" t="n"/>
      <c r="AE29" s="68" t="n"/>
      <c r="AF29" s="12" t="n">
        <v>3</v>
      </c>
    </row>
  </sheetData>
  <mergeCells count="14">
    <mergeCell ref="AC5:AF5"/>
    <mergeCell ref="J4:K4"/>
    <mergeCell ref="L4:M4"/>
    <mergeCell ref="A5:C5"/>
    <mergeCell ref="D5:L5"/>
    <mergeCell ref="V5:X5"/>
    <mergeCell ref="A1:AF1"/>
    <mergeCell ref="A4:D4"/>
    <mergeCell ref="M5:U5"/>
    <mergeCell ref="A3:AF3"/>
    <mergeCell ref="H4:I4"/>
    <mergeCell ref="N4:P4"/>
    <mergeCell ref="Y5:AB5"/>
    <mergeCell ref="A2:AF2"/>
  </mergeCells>
  <dataValidations count="2">
    <dataValidation sqref="AC7:AC29" showDropDown="0" showInputMessage="0" showErrorMessage="0" allowBlank="1" type="list">
      <formula1>"Agree,Change,Discuss"</formula1>
    </dataValidation>
    <dataValidation sqref="S7:S29"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C55A11"/>
    <outlinePr summaryBelow="1" summaryRight="1"/>
    <pageSetUpPr fitToPage="1"/>
  </sheetPr>
  <dimension ref="A1:W21"/>
  <sheetViews>
    <sheetView showGridLines="0" zoomScale="85"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0" customWidth="1" min="3" max="3"/>
    <col width="6" customWidth="1" min="4" max="4"/>
    <col width="14" customWidth="1" min="5" max="5"/>
    <col width="8" customWidth="1" min="6" max="6"/>
    <col width="24" customWidth="1" min="7" max="7"/>
    <col width="24" customWidth="1" min="8" max="8"/>
    <col width="16" customWidth="1" min="9" max="9"/>
    <col width="42" customWidth="1" min="10" max="10"/>
    <col width="42" customWidth="1" min="11" max="11"/>
    <col width="28" customWidth="1" min="12" max="12"/>
    <col width="32" customWidth="1" min="13" max="13"/>
    <col width="30" customWidth="1" min="14" max="14"/>
    <col width="46" customWidth="1" min="15" max="15"/>
    <col width="24" customWidth="1" min="16" max="16"/>
    <col width="34" customWidth="1" min="17" max="17"/>
    <col width="30" customWidth="1" min="18" max="18"/>
    <col width="40" customWidth="1" min="19" max="19"/>
    <col width="32" customWidth="1" min="20" max="20"/>
    <col width="26" customWidth="1" min="21" max="21"/>
    <col width="22" customWidth="1" min="22" max="22"/>
    <col width="13" customWidth="1" min="23" max="23"/>
  </cols>
  <sheetData>
    <row r="1" ht="34" customHeight="1">
      <c r="A1" s="1" t="inlineStr">
        <is>
          <t>Roles — every role held here, as defined once for all of IRIS</t>
        </is>
      </c>
      <c r="W1" s="86" t="inlineStr">
        <is>
          <t>◂ Start Here</t>
        </is>
      </c>
    </row>
    <row r="2" ht="30" customHeight="1">
      <c r="A2" s="3" t="inlineStr">
        <is>
          <t>Sheet 3 · One row per role · job family × sub-family × level × track. Purpose and responsibilities are written in catalogue language · the sub-family definition and the level standard, followed by the common themes in the role-holders' own answers where 3+ answered · the role, else its sub-family — 'Evidence basis' says which. The level requirements are the framework's, the same for every role at that level.</t>
        </is>
      </c>
    </row>
    <row r="3">
      <c r="A3" s="4" t="inlineStr">
        <is>
          <t>IRIS · Job Architecture &amp; Job Design · Final v1.12 · October 2026 · Internal — Confidential</t>
        </is>
      </c>
    </row>
    <row r="4"/>
    <row r="5" ht="30" customHeight="1">
      <c r="A5" s="52" t="inlineStr">
        <is>
          <t>ROLE</t>
        </is>
      </c>
      <c r="J5" s="53" t="inlineStr">
        <is>
          <t>WHAT THE ROLE IS FOR AND DOES</t>
        </is>
      </c>
      <c r="O5" s="54" t="inlineStr">
        <is>
          <t>WHAT THE LEVEL REQUIRES</t>
        </is>
      </c>
      <c r="R5" s="55" t="inlineStr">
        <is>
          <t>DISCIPLINE DETAIL · Career Architecture V2</t>
        </is>
      </c>
      <c r="T5" s="56" t="inlineStr">
        <is>
          <t>MARKET &amp; CAREER</t>
        </is>
      </c>
      <c r="V5" s="57" t="inlineStr">
        <is>
          <t>EVIDENCE</t>
        </is>
      </c>
    </row>
    <row r="6" ht="44" customHeight="1">
      <c r="A6" s="58" t="inlineStr">
        <is>
          <t>Catalogue ID</t>
        </is>
      </c>
      <c r="B6" s="58" t="inlineStr">
        <is>
          <t>Job family</t>
        </is>
      </c>
      <c r="C6" s="58" t="inlineStr">
        <is>
          <t>Sub-family</t>
        </is>
      </c>
      <c r="D6" s="58" t="inlineStr">
        <is>
          <t>Level</t>
        </is>
      </c>
      <c r="E6" s="58" t="inlineStr">
        <is>
          <t>Level title</t>
        </is>
      </c>
      <c r="F6" s="58" t="inlineStr">
        <is>
          <t>Track</t>
        </is>
      </c>
      <c r="G6" s="58" t="inlineStr">
        <is>
          <t>Designations used</t>
        </is>
      </c>
      <c r="H6" s="58" t="inlineStr">
        <is>
          <t>Held here by</t>
        </is>
      </c>
      <c r="I6" s="58" t="inlineStr">
        <is>
          <t>Department · s</t>
        </is>
      </c>
      <c r="J6" s="8" t="inlineStr">
        <is>
          <t>Purpose</t>
        </is>
      </c>
      <c r="K6" s="8" t="inlineStr">
        <is>
          <t>Key responsibilities</t>
        </is>
      </c>
      <c r="L6" s="8" t="inlineStr">
        <is>
          <t>Decision rights</t>
        </is>
      </c>
      <c r="M6" s="8" t="inlineStr">
        <is>
          <t>Manager-set KRAs · common themes</t>
        </is>
      </c>
      <c r="N6" s="8" t="inlineStr">
        <is>
          <t>Skills &amp; tools · counts</t>
        </is>
      </c>
      <c r="O6" s="59" t="inlineStr">
        <is>
          <t>Expectations at this level</t>
        </is>
      </c>
      <c r="P6" s="59" t="inlineStr">
        <is>
          <t>Experience &amp; education</t>
        </is>
      </c>
      <c r="Q6" s="59" t="inlineStr">
        <is>
          <t>Must-have competencies &amp; proficiency</t>
        </is>
      </c>
      <c r="R6" s="60" t="inlineStr">
        <is>
          <t>Family boundary</t>
        </is>
      </c>
      <c r="S6" s="60" t="inlineStr">
        <is>
          <t>Discipline expectation, readiness and work sample</t>
        </is>
      </c>
      <c r="T6" s="61" t="inlineStr">
        <is>
          <t>Market equivalent</t>
        </is>
      </c>
      <c r="U6" s="61" t="inlineStr">
        <is>
          <t>Next step</t>
        </is>
      </c>
      <c r="V6" s="62" t="inlineStr">
        <is>
          <t>Evidence basis</t>
        </is>
      </c>
    </row>
    <row r="7">
      <c r="A7" s="72" t="inlineStr">
        <is>
          <t>Data &amp; Analytics</t>
        </is>
      </c>
    </row>
    <row r="8" ht="119" customHeight="1">
      <c r="A8" s="73" t="inlineStr">
        <is>
          <t>RC-040</t>
        </is>
      </c>
      <c r="B8" s="12" t="inlineStr">
        <is>
          <t>Data &amp; Analytics</t>
        </is>
      </c>
      <c r="C8" s="12" t="inlineStr">
        <is>
          <t>Financial Data Processing</t>
        </is>
      </c>
      <c r="D8" s="16" t="inlineStr">
        <is>
          <t>A3</t>
        </is>
      </c>
      <c r="E8" s="17" t="inlineStr">
        <is>
          <t>Senior Associate</t>
        </is>
      </c>
      <c r="F8" s="12" t="inlineStr">
        <is>
          <t>IC</t>
        </is>
      </c>
      <c r="G8" s="12" t="inlineStr">
        <is>
          <t>Senior Data Analyst</t>
        </is>
      </c>
      <c r="H8" s="12" t="inlineStr">
        <is>
          <t>Akash Dubey, John Mariakulandai, Neelam Kadam, Nishikant Mhatre, Palanikumar Mooppanar, Prashant Shelar, Swapnil Katrat</t>
        </is>
      </c>
      <c r="I8" s="12" t="inlineStr">
        <is>
          <t>India Content</t>
        </is>
      </c>
      <c r="J8" s="12" t="inlineStr">
        <is>
          <r>
            <rPr>
              <rFont val="Calibri"/>
              <sz val="10"/>
            </rPr>
            <t xml:space="preserve">Processes and delivers mutual-fund, scheme and capital-market data feeds and reports. At A3: varied work; reviews juniors; go-to for a process.
</t>
          </r>
          <r>
            <rPr>
              <rFont val="Calibri"/>
              <b val="1"/>
              <sz val="10"/>
            </rPr>
            <t>Common themes in role-holders' answers:</t>
          </r>
          <r>
            <rPr>
              <rFont val="Calibri"/>
              <sz val="10"/>
            </rPr>
            <t xml:space="preserve"> data · mutual fund · update · analyzing · responsible · accurate</t>
          </r>
        </is>
      </c>
      <c r="K8" s="12" t="inlineStr">
        <is>
          <r>
            <rPr>
              <rFont val="Calibri"/>
              <sz val="10"/>
            </rPr>
            <t xml:space="preserve">Processes and delivers mutual-fund, scheme and capital-market data feeds and reports; Varied and non-standard work; handles exceptions; A module / process, or work with client or regulatory consequences
</t>
          </r>
          <r>
            <rPr>
              <rFont val="Calibri"/>
              <b val="1"/>
              <sz val="10"/>
            </rPr>
            <t>Common themes in role-holders' answers:</t>
          </r>
          <r>
            <rPr>
              <rFont val="Calibri"/>
              <sz val="10"/>
            </rPr>
            <t xml:space="preserve"> data · client · accuracy · delivery · time · market</t>
          </r>
        </is>
      </c>
      <c r="L8" s="12" t="inlineStr">
        <is>
          <r>
            <rPr>
              <rFont val="Calibri"/>
              <sz val="10"/>
            </rPr>
            <t xml:space="preserve">Technical / QC / client calls on own work
</t>
          </r>
          <r>
            <rPr>
              <rFont val="Calibri"/>
              <b val="1"/>
              <sz val="10"/>
            </rPr>
            <t>Common themes in role-holders' answers:</t>
          </r>
          <r>
            <rPr>
              <rFont val="Calibri"/>
              <sz val="10"/>
            </rPr>
            <t xml:space="preserve"> data · independently</t>
          </r>
        </is>
      </c>
      <c r="M8" s="12" t="inlineStr">
        <is>
          <r>
            <rPr>
              <rFont val="Calibri"/>
              <b val="1"/>
              <sz val="10"/>
            </rPr>
            <t>Common themes in manager-set KRAs:</t>
          </r>
          <r>
            <rPr>
              <rFont val="Calibri"/>
              <sz val="10"/>
            </rPr>
            <t xml:space="preserve"> business-day response · manual · contribute · delivery time · provide solutions · complete assigned</t>
          </r>
        </is>
      </c>
      <c r="N8" s="12" t="inlineStr">
        <is>
          <r>
            <rPr>
              <rFont val="Calibri"/>
              <b val="1"/>
              <sz val="10"/>
            </rPr>
            <t>Skills:</t>
          </r>
          <r>
            <rPr>
              <rFont val="Calibri"/>
              <sz val="10"/>
            </rPr>
            <t xml:space="preserve"> Data Processing · Data validation
</t>
          </r>
          <r>
            <rPr>
              <rFont val="Calibri"/>
              <b val="1"/>
              <sz val="10"/>
            </rPr>
            <t>Tools:</t>
          </r>
          <r>
            <rPr>
              <rFont val="Calibri"/>
              <sz val="10"/>
            </rPr>
            <t xml:space="preserve"> Microsoft Excel · MS access</t>
          </r>
        </is>
      </c>
      <c r="O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8" s="12" t="inlineStr">
        <is>
          <t>2–4 yrs
Graduate; relevant certification preferred</t>
        </is>
      </c>
      <c r="Q8" s="12" t="inlineStr">
        <is>
          <t>Core 2 · Future-ready 2 · Functional 3 · Leadership —
★ Data Analytics, BI &amp; Visualisation · Database, SQL &amp; Data Engineering</t>
        </is>
      </c>
      <c r="R8" s="12" t="inlineStr">
        <is>
          <t>Turn data into defensible decisions and models. Includes: BI, decision analysis and data science. Excludes: Financial-data production; software engineering of pipelines.</t>
        </is>
      </c>
      <c r="S8" s="12" t="inlineStr">
        <is>
          <r>
            <rPr>
              <rFont val="Calibri"/>
              <b val="1"/>
              <sz val="10"/>
            </rPr>
            <t>Comparable stage:</t>
          </r>
          <r>
            <rPr>
              <rFont val="Calibri"/>
              <sz val="10"/>
            </rPr>
            <t xml:space="preserve"> OPS02-2 · Financial Data Analyst
Source and reconcile financial records using controlled definitions.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financial dataset reconciled to source disclosures with documented exceptions and lineage</t>
          </r>
        </is>
      </c>
      <c r="T8" s="12" t="inlineStr">
        <is>
          <r>
            <rPr>
              <rFont val="Calibri"/>
              <sz val="10"/>
            </rPr>
            <t xml:space="preserve">Radford / Mercer P2 · SFIA 3 Apply
</t>
          </r>
          <r>
            <rPr>
              <rFont val="Calibri"/>
              <b val="1"/>
              <sz val="10"/>
            </rPr>
            <t>Atlassian company-wide P-levels:</t>
          </r>
          <r>
            <rPr>
              <rFont val="Calibri"/>
              <sz val="10"/>
            </rPr>
            <t xml:space="preserve"> P40 Analyst · IRIS Vs Competitor Benchmark — data analyst ladder: Data Analyst II</t>
          </r>
        </is>
      </c>
      <c r="U8" s="12" t="inlineStr">
        <is>
          <t>B1 · Specialist</t>
        </is>
      </c>
      <c r="V8" s="12" t="inlineStr">
        <is>
          <t>Framework + role-holders' themes · 3+ answered</t>
        </is>
      </c>
    </row>
    <row r="9" ht="119" customHeight="1">
      <c r="A9" s="73" t="inlineStr">
        <is>
          <t>RC-041</t>
        </is>
      </c>
      <c r="B9" s="12" t="inlineStr">
        <is>
          <t>Data &amp; Analytics</t>
        </is>
      </c>
      <c r="C9" s="12" t="inlineStr">
        <is>
          <t>Financial Data Processing</t>
        </is>
      </c>
      <c r="D9" s="20" t="inlineStr">
        <is>
          <t>B1</t>
        </is>
      </c>
      <c r="E9" s="21" t="inlineStr">
        <is>
          <t>Specialist</t>
        </is>
      </c>
      <c r="F9" s="12" t="inlineStr">
        <is>
          <t>IC</t>
        </is>
      </c>
      <c r="G9" s="12" t="inlineStr">
        <is>
          <t>Data Specialist</t>
        </is>
      </c>
      <c r="H9" s="12" t="inlineStr">
        <is>
          <t>Virendra Borkar</t>
        </is>
      </c>
      <c r="I9" s="12" t="inlineStr">
        <is>
          <t>India Content</t>
        </is>
      </c>
      <c r="J9" s="12" t="inlineStr">
        <is>
          <r>
            <rPr>
              <rFont val="Calibri"/>
              <sz val="10"/>
            </rPr>
            <t xml:space="preserve">Processes and delivers mutual-fund, scheme and capital-market data feeds and reports. At B1: a domain / module, or a small team.
</t>
          </r>
          <r>
            <rPr>
              <rFont val="Calibri"/>
              <b val="1"/>
              <sz val="10"/>
            </rPr>
            <t>Common themes in sub-family holders, all levels' answers:</t>
          </r>
          <r>
            <rPr>
              <rFont val="Calibri"/>
              <sz val="10"/>
            </rPr>
            <t xml:space="preserve"> data · mutual fund · accurate · update · client · analyzing</t>
          </r>
        </is>
      </c>
      <c r="K9" s="12" t="inlineStr">
        <is>
          <r>
            <rPr>
              <rFont val="Calibri"/>
              <sz val="10"/>
            </rPr>
            <t xml:space="preserve">Processes and delivers mutual-fund, scheme and capital-market data feeds and reports; Domain specialist work; A domain or a small team
</t>
          </r>
          <r>
            <rPr>
              <rFont val="Calibri"/>
              <b val="1"/>
              <sz val="10"/>
            </rPr>
            <t>Common themes in sub-family holders, all levels' answers:</t>
          </r>
          <r>
            <rPr>
              <rFont val="Calibri"/>
              <sz val="10"/>
            </rPr>
            <t xml:space="preserve"> data · client · timely · accuracy · delivery · market</t>
          </r>
        </is>
      </c>
      <c r="L9" s="12" t="inlineStr">
        <is>
          <r>
            <rPr>
              <rFont val="Calibri"/>
              <sz val="10"/>
            </rPr>
            <t xml:space="preserve">Technical / QC / client calls for the domain
</t>
          </r>
          <r>
            <rPr>
              <rFont val="Calibri"/>
              <b val="1"/>
              <sz val="10"/>
            </rPr>
            <t>Common themes in sub-family holders, all levels' answers:</t>
          </r>
          <r>
            <rPr>
              <rFont val="Calibri"/>
              <sz val="10"/>
            </rPr>
            <t xml:space="preserve"> update · data · independently</t>
          </r>
        </is>
      </c>
      <c r="M9" s="12" t="inlineStr">
        <is>
          <t>—</t>
        </is>
      </c>
      <c r="N9" s="12" t="inlineStr">
        <is>
          <r>
            <rPr>
              <rFont val="Calibri"/>
              <b val="1"/>
              <sz val="10"/>
            </rPr>
            <t>Skills:</t>
          </r>
          <r>
            <rPr>
              <rFont val="Calibri"/>
              <sz val="10"/>
            </rPr>
            <t xml:space="preserve"> Data processing · Mutual fund · Data validation
</t>
          </r>
          <r>
            <rPr>
              <rFont val="Calibri"/>
              <b val="1"/>
              <sz val="10"/>
            </rPr>
            <t>Tools:</t>
          </r>
          <r>
            <rPr>
              <rFont val="Calibri"/>
              <sz val="10"/>
            </rPr>
            <t xml:space="preserve"> Microsoft Excel · MS access</t>
          </r>
        </is>
      </c>
      <c r="O9"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9" s="12" t="inlineStr">
        <is>
          <t>4–7 yrs
Graduate + relevant qualification or certification preferred</t>
        </is>
      </c>
      <c r="Q9" s="12" t="inlineStr">
        <is>
          <t>Core 3 · Future-ready 3 · Functional 3 · Leadership 1
★ Data Analytics, BI &amp; Visualisation · Database, SQL &amp; Data Engineering</t>
        </is>
      </c>
      <c r="R9" s="12" t="inlineStr">
        <is>
          <t>Turn data into defensible decisions and models. Includes: BI, decision analysis and data science. Excludes: Financial-data production; software engineering of pipelines.</t>
        </is>
      </c>
      <c r="S9" s="12" t="inlineStr">
        <is>
          <r>
            <rPr>
              <rFont val="Calibri"/>
              <b val="1"/>
              <sz val="10"/>
            </rPr>
            <t>Comparable stage:</t>
          </r>
          <r>
            <rPr>
              <rFont val="Calibri"/>
              <sz val="10"/>
            </rPr>
            <t xml:space="preserve"> OPS02-3 · Senior Financial Data Analyst
Resolve accounting-data exceptions and review difficult cases.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financial dataset reconciled to source disclosures with documented exceptions and lineage</t>
          </r>
        </is>
      </c>
      <c r="T9" s="12" t="inlineStr">
        <is>
          <r>
            <rPr>
              <rFont val="Calibri"/>
              <sz val="10"/>
            </rPr>
            <t xml:space="preserve">Radford / Mercer P3 / M2 · SFIA 4 Enable
</t>
          </r>
          <r>
            <rPr>
              <rFont val="Calibri"/>
              <b val="1"/>
              <sz val="10"/>
            </rPr>
            <t>Atlassian company-wide P-levels:</t>
          </r>
          <r>
            <rPr>
              <rFont val="Calibri"/>
              <sz val="10"/>
            </rPr>
            <t xml:space="preserve"> P40 · IRIS Vs Competitor Benchmark — data analyst ladder: Senior Data Analyst</t>
          </r>
        </is>
      </c>
      <c r="U9" s="12" t="inlineStr">
        <is>
          <t>B2 · Senior Specialist</t>
        </is>
      </c>
      <c r="V9" s="12" t="inlineStr">
        <is>
          <t>Framework + sub-family themes · 3+ answered</t>
        </is>
      </c>
    </row>
    <row r="10" ht="93" customHeight="1">
      <c r="A10" s="73" t="inlineStr">
        <is>
          <t>RC-042</t>
        </is>
      </c>
      <c r="B10" s="12" t="inlineStr">
        <is>
          <t>Data &amp; Analytics</t>
        </is>
      </c>
      <c r="C10" s="12" t="inlineStr">
        <is>
          <t>Financial Data Processing</t>
        </is>
      </c>
      <c r="D10" s="20" t="inlineStr">
        <is>
          <t>B2</t>
        </is>
      </c>
      <c r="E10" s="21" t="inlineStr">
        <is>
          <t>Manager</t>
        </is>
      </c>
      <c r="F10" s="12" t="inlineStr">
        <is>
          <t>Manager</t>
        </is>
      </c>
      <c r="G10" s="12" t="inlineStr">
        <is>
          <t>Data Operations Manager</t>
        </is>
      </c>
      <c r="H10" s="12" t="inlineStr">
        <is>
          <t>Gopal Krishna Sahu</t>
        </is>
      </c>
      <c r="I10" s="12" t="inlineStr">
        <is>
          <t>India Content</t>
        </is>
      </c>
      <c r="J10" s="12" t="inlineStr">
        <is>
          <r>
            <rPr>
              <rFont val="Calibri"/>
              <sz val="10"/>
            </rPr>
            <t xml:space="preserve">Processes and delivers mutual-fund, scheme and capital-market data feeds and reports. At B2: deep domain expertise, or one team.
</t>
          </r>
          <r>
            <rPr>
              <rFont val="Calibri"/>
              <b val="1"/>
              <sz val="10"/>
            </rPr>
            <t>Common themes in sub-family holders, all levels' answers:</t>
          </r>
          <r>
            <rPr>
              <rFont val="Calibri"/>
              <sz val="10"/>
            </rPr>
            <t xml:space="preserve"> data · mutual fund · accurate · update · client · analyzing</t>
          </r>
        </is>
      </c>
      <c r="K10" s="12" t="inlineStr">
        <is>
          <r>
            <rPr>
              <rFont val="Calibri"/>
              <sz val="10"/>
            </rPr>
            <t xml:space="preserve">Processes and delivers mutual-fund, scheme and capital-market data feeds and reports; Hardest problems in the domain; One team or a client portfolio
</t>
          </r>
          <r>
            <rPr>
              <rFont val="Calibri"/>
              <b val="1"/>
              <sz val="10"/>
            </rPr>
            <t>Common themes in sub-family holders, all levels' answers:</t>
          </r>
          <r>
            <rPr>
              <rFont val="Calibri"/>
              <sz val="10"/>
            </rPr>
            <t xml:space="preserve"> data · client · timely · accuracy · delivery · market</t>
          </r>
        </is>
      </c>
      <c r="L10" s="12" t="inlineStr">
        <is>
          <r>
            <rPr>
              <rFont val="Calibri"/>
              <sz val="10"/>
            </rPr>
            <t xml:space="preserve">Allocates people and sets team priorities
</t>
          </r>
          <r>
            <rPr>
              <rFont val="Calibri"/>
              <b val="1"/>
              <sz val="10"/>
            </rPr>
            <t>Common themes in sub-family holders, all levels' answers:</t>
          </r>
          <r>
            <rPr>
              <rFont val="Calibri"/>
              <sz val="10"/>
            </rPr>
            <t xml:space="preserve"> update · data · independently</t>
          </r>
        </is>
      </c>
      <c r="M10" s="12" t="inlineStr">
        <is>
          <t>—</t>
        </is>
      </c>
      <c r="N10" s="12" t="inlineStr">
        <is>
          <r>
            <rPr>
              <rFont val="Calibri"/>
              <b val="1"/>
              <sz val="10"/>
            </rPr>
            <t>Skills:</t>
          </r>
          <r>
            <rPr>
              <rFont val="Calibri"/>
              <sz val="10"/>
            </rPr>
            <t xml:space="preserve"> Data processing · Mutual fund · Data validation
</t>
          </r>
          <r>
            <rPr>
              <rFont val="Calibri"/>
              <b val="1"/>
              <sz val="10"/>
            </rPr>
            <t>Tools:</t>
          </r>
          <r>
            <rPr>
              <rFont val="Calibri"/>
              <sz val="10"/>
            </rPr>
            <t xml:space="preserve"> Microsoft Excel · MS access</t>
          </r>
        </is>
      </c>
      <c r="O10"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0" s="12" t="inlineStr">
        <is>
          <t>6–9 yrs
Graduate or postgraduate; professional qualification preferred</t>
        </is>
      </c>
      <c r="Q10" s="12" t="inlineStr">
        <is>
          <t>Core 3 · Future-ready 3 · Functional 4 · Leadership 3
★ Data Analytics, BI &amp; Visualisation · Database, SQL &amp; Data Engineering</t>
        </is>
      </c>
      <c r="R10" s="12" t="inlineStr">
        <is>
          <t>Turn data into defensible decisions and models. Includes: BI, decision analysis and data science. Excludes: Financial-data production; software engineering of pipelines.</t>
        </is>
      </c>
      <c r="S10" s="12" t="inlineStr">
        <is>
          <r>
            <rPr>
              <rFont val="Calibri"/>
              <b val="1"/>
              <sz val="10"/>
            </rPr>
            <t>Comparable stage:</t>
          </r>
          <r>
            <rPr>
              <rFont val="Calibri"/>
              <sz val="10"/>
            </rPr>
            <t xml:space="preserve"> LD08-1 · Data Operations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0" s="12" t="inlineStr">
        <is>
          <r>
            <rPr>
              <rFont val="Calibri"/>
              <sz val="10"/>
            </rPr>
            <t xml:space="preserve">Radford / Mercer P4 / M3 · SFIA 4–5
</t>
          </r>
          <r>
            <rPr>
              <rFont val="Calibri"/>
              <b val="1"/>
              <sz val="10"/>
            </rPr>
            <t>Atlassian company-wide P-levels:</t>
          </r>
          <r>
            <rPr>
              <rFont val="Calibri"/>
              <sz val="10"/>
            </rPr>
            <t xml:space="preserve"> P50 Senior Analyst · IRIS Vs Competitor Benchmark — data analyst ladder: Lead Data Analyst</t>
          </r>
        </is>
      </c>
      <c r="U10" s="12" t="inlineStr">
        <is>
          <t>B3 · Lead Specialist</t>
        </is>
      </c>
      <c r="V10" s="12" t="inlineStr">
        <is>
          <t>Framework + sub-family themes · 3+ answered</t>
        </is>
      </c>
    </row>
    <row r="11">
      <c r="A11" s="72" t="inlineStr">
        <is>
          <t>Data Operations &amp; Digitization</t>
        </is>
      </c>
    </row>
    <row r="12" ht="119" customHeight="1">
      <c r="A12" s="73" t="inlineStr">
        <is>
          <t>RC-046</t>
        </is>
      </c>
      <c r="B12" s="12" t="inlineStr">
        <is>
          <t>Data Operations &amp; Digitization</t>
        </is>
      </c>
      <c r="C12" s="12" t="inlineStr">
        <is>
          <t>Document Conversion, Formatting &amp; Web Publishing</t>
        </is>
      </c>
      <c r="D12" s="16" t="inlineStr">
        <is>
          <t>A2</t>
        </is>
      </c>
      <c r="E12" s="17" t="inlineStr">
        <is>
          <t>Associate</t>
        </is>
      </c>
      <c r="F12" s="12" t="inlineStr">
        <is>
          <t>IC</t>
        </is>
      </c>
      <c r="G12" s="12" t="inlineStr">
        <is>
          <t>Digitization Associate</t>
        </is>
      </c>
      <c r="H12" s="12" t="inlineStr">
        <is>
          <t>Siddhesh Harishchandra Mali</t>
        </is>
      </c>
      <c r="I12" s="12" t="inlineStr">
        <is>
          <t>Digitizing</t>
        </is>
      </c>
      <c r="J12" s="12" t="inlineStr">
        <is>
          <r>
            <rPr>
              <rFont val="Calibri"/>
              <sz val="10"/>
            </rPr>
            <t xml:space="preserve">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t>
          </r>
        </is>
      </c>
      <c r="K12" s="12" t="inlineStr">
        <is>
          <r>
            <rPr>
              <rFont val="Calibri"/>
              <sz val="10"/>
            </rPr>
            <t xml:space="preserve">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t>
          </r>
        </is>
      </c>
      <c r="L12" s="12" t="inlineStr">
        <is>
          <t>Chooses own approach within standards</t>
        </is>
      </c>
      <c r="M12" s="12" t="inlineStr">
        <is>
          <t>—</t>
        </is>
      </c>
      <c r="N12" s="12" t="inlineStr">
        <is>
          <r>
            <rPr>
              <rFont val="Calibri"/>
              <b val="1"/>
              <sz val="10"/>
            </rPr>
            <t>Skills:</t>
          </r>
          <r>
            <rPr>
              <rFont val="Calibri"/>
              <sz val="10"/>
            </rPr>
            <t xml:space="preserve"> OCR/Image procesing
</t>
          </r>
          <r>
            <rPr>
              <rFont val="Calibri"/>
              <b val="1"/>
              <sz val="10"/>
            </rPr>
            <t>Tools:</t>
          </r>
          <r>
            <rPr>
              <rFont val="Calibri"/>
              <sz val="10"/>
            </rPr>
            <t xml:space="preserve"> Office 365 word · Excel</t>
          </r>
        </is>
      </c>
      <c r="O12"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2" s="12" t="inlineStr">
        <is>
          <t>0–2 yrs
Graduate · or diploma with experience</t>
        </is>
      </c>
      <c r="Q12" s="12" t="inlineStr">
        <is>
          <t>Core 2 · Future-ready 2 · Functional 2 · Leadership —
★ Advanced Excel &amp; Productivity Tools · Process Improvement &amp; Quality Mindset</t>
        </is>
      </c>
      <c r="R12" s="12" t="inlineStr">
        <is>
          <t>Produce trustworthy structured content and data. Includes: Document production, financial-data sourcing, validation and stewardship. Excludes: Corporate reporting; BI insight; software data-pipeline engineering.</t>
        </is>
      </c>
      <c r="S12" s="12" t="inlineStr">
        <is>
          <r>
            <rPr>
              <rFont val="Calibri"/>
              <b val="1"/>
              <sz val="10"/>
            </rPr>
            <t>Comparable stage:</t>
          </r>
          <r>
            <rPr>
              <rFont val="Calibri"/>
              <sz val="10"/>
            </rPr>
            <t xml:space="preserve"> OPS01-1 · Associate Document Specialist
</t>
          </r>
          <r>
            <rPr>
              <rFont val="Calibri"/>
              <b val="1"/>
              <sz val="10"/>
            </rPr>
            <t>Complete defined parts under review:</t>
          </r>
          <r>
            <rPr>
              <rFont val="Calibri"/>
              <sz val="10"/>
            </rPr>
            <t xml:space="preserve"> convert and publish documents with layout and source checks.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controlled conversion with source reconciliation, rendering checks and publishing approval</t>
          </r>
        </is>
      </c>
      <c r="T12" s="12" t="inlineStr">
        <is>
          <r>
            <rPr>
              <rFont val="Calibri"/>
              <sz val="10"/>
            </rPr>
            <t xml:space="preserve">Radford / Mercer P1–P2 · SFIA 2 Assist
</t>
          </r>
          <r>
            <rPr>
              <rFont val="Calibri"/>
              <b val="1"/>
              <sz val="10"/>
            </rPr>
            <t>DataTracks:</t>
          </r>
          <r>
            <rPr>
              <rFont val="Calibri"/>
              <sz val="10"/>
            </rPr>
            <t xml:space="preserve"> Associate · Accenture Operations: L11 Analyst · IRIS Vs Competitor Benchmark — operations roles: Processor / Agent</t>
          </r>
        </is>
      </c>
      <c r="U12" s="12" t="inlineStr">
        <is>
          <t>A3 · Senior Associate</t>
        </is>
      </c>
      <c r="V12" s="12" t="inlineStr">
        <is>
          <t>Framework + role-holders' themes · 3+ answered</t>
        </is>
      </c>
    </row>
    <row r="13" ht="119" customHeight="1">
      <c r="A13" s="73" t="inlineStr">
        <is>
          <t>RC-047</t>
        </is>
      </c>
      <c r="B13" s="12" t="inlineStr">
        <is>
          <t>Data Operations &amp; Digitization</t>
        </is>
      </c>
      <c r="C13" s="12" t="inlineStr">
        <is>
          <t>Document Conversion, Formatting &amp; Web Publishing</t>
        </is>
      </c>
      <c r="D13" s="16" t="inlineStr">
        <is>
          <t>A3</t>
        </is>
      </c>
      <c r="E13" s="17" t="inlineStr">
        <is>
          <t>Senior Associate</t>
        </is>
      </c>
      <c r="F13" s="12" t="inlineStr">
        <is>
          <t>IC</t>
        </is>
      </c>
      <c r="G13" s="12" t="inlineStr">
        <is>
          <t>Senior Digitization Associate</t>
        </is>
      </c>
      <c r="H13" s="12" t="inlineStr">
        <is>
          <t>Aniket Manval, Manish Paithankar, Manoj Ravidas, Manoj Tiwari, Saurav Kamtekar, Snehal Bhavesh Farad</t>
        </is>
      </c>
      <c r="I13" s="12" t="inlineStr">
        <is>
          <t>Digitizing</t>
        </is>
      </c>
      <c r="J13" s="12" t="inlineStr">
        <is>
          <r>
            <rPr>
              <rFont val="Calibri"/>
              <sz val="10"/>
            </rPr>
            <t xml:space="preserve">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t>
          </r>
        </is>
      </c>
      <c r="K13" s="12" t="inlineStr">
        <is>
          <r>
            <rPr>
              <rFont val="Calibri"/>
              <sz val="10"/>
            </rPr>
            <t xml:space="preserve">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t>
          </r>
        </is>
      </c>
      <c r="L13" s="12" t="inlineStr">
        <is>
          <r>
            <rPr>
              <rFont val="Calibri"/>
              <sz val="10"/>
            </rPr>
            <t xml:space="preserve">Technical / QC / client calls on own work
</t>
          </r>
          <r>
            <rPr>
              <rFont val="Calibri"/>
              <b val="1"/>
              <sz val="10"/>
            </rPr>
            <t>Common themes in role-holders' answers:</t>
          </r>
          <r>
            <rPr>
              <rFont val="Calibri"/>
              <sz val="10"/>
            </rPr>
            <t xml:space="preserve"> formatting · validate · check · handle · independently · html</t>
          </r>
        </is>
      </c>
      <c r="M13" s="12" t="inlineStr">
        <is>
          <t>—</t>
        </is>
      </c>
      <c r="N13" s="12" t="inlineStr">
        <is>
          <r>
            <rPr>
              <rFont val="Calibri"/>
              <b val="1"/>
              <sz val="10"/>
            </rPr>
            <t>Skills: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t>
          </r>
        </is>
      </c>
      <c r="O13"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3" s="12" t="inlineStr">
        <is>
          <t>2–4 yrs
Graduate; relevant certification preferred</t>
        </is>
      </c>
      <c r="Q13" s="12" t="inlineStr">
        <is>
          <t>Core 2 · Future-ready 2 · Functional 3 · Leadership —
★ Advanced Excel &amp; Productivity Tools · Process Improvement &amp; Quality Mindset</t>
        </is>
      </c>
      <c r="R13" s="12" t="inlineStr">
        <is>
          <t>Produce trustworthy structured content and data. Includes: Document production, financial-data sourcing, validation and stewardship. Excludes: Corporate reporting; BI insight; software data-pipeline engineering.</t>
        </is>
      </c>
      <c r="S13" s="12" t="inlineStr">
        <is>
          <r>
            <rPr>
              <rFont val="Calibri"/>
              <b val="1"/>
              <sz val="10"/>
            </rPr>
            <t>Comparable stage:</t>
          </r>
          <r>
            <rPr>
              <rFont val="Calibri"/>
              <sz val="10"/>
            </rPr>
            <t xml:space="preserve"> OPS01-2 · Document Specialist
Convert and publish documents with layout and source checks.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controlled conversion with source reconciliation, rendering checks and publishing approval</t>
          </r>
        </is>
      </c>
      <c r="T13" s="12" t="inlineStr">
        <is>
          <r>
            <rPr>
              <rFont val="Calibri"/>
              <sz val="10"/>
            </rPr>
            <t xml:space="preserve">Radford / Mercer P2 · SFIA 3 Apply
</t>
          </r>
          <r>
            <rPr>
              <rFont val="Calibri"/>
              <b val="1"/>
              <sz val="10"/>
            </rPr>
            <t>DataTracks:</t>
          </r>
          <r>
            <rPr>
              <rFont val="Calibri"/>
              <sz val="10"/>
            </rPr>
            <t xml:space="preserve"> Senior Associate · 2–5 yrs · Accenture Operations: L10 Senior Analyst · IRIS Vs Competitor Benchmark — operations roles: Senior Processor / QC</t>
          </r>
        </is>
      </c>
      <c r="U13" s="12" t="inlineStr">
        <is>
          <t>B1 · Specialist</t>
        </is>
      </c>
      <c r="V13" s="12" t="inlineStr">
        <is>
          <t>Framework + role-holders' themes · 3+ answered</t>
        </is>
      </c>
    </row>
    <row r="14" ht="119" customHeight="1">
      <c r="A14" s="73" t="inlineStr">
        <is>
          <t>RC-048</t>
        </is>
      </c>
      <c r="B14" s="12" t="inlineStr">
        <is>
          <t>Data Operations &amp; Digitization</t>
        </is>
      </c>
      <c r="C14" s="12" t="inlineStr">
        <is>
          <t>Document Conversion, Formatting &amp; Web Publishing</t>
        </is>
      </c>
      <c r="D14" s="20" t="inlineStr">
        <is>
          <t>B1</t>
        </is>
      </c>
      <c r="E14" s="21" t="inlineStr">
        <is>
          <t>Specialist</t>
        </is>
      </c>
      <c r="F14" s="12" t="inlineStr">
        <is>
          <t>IC</t>
        </is>
      </c>
      <c r="G14" s="12" t="inlineStr">
        <is>
          <t>Digitization Specialist – POD Lead · Digitization Specialist</t>
        </is>
      </c>
      <c r="H14" s="12" t="inlineStr">
        <is>
          <t>Nitin Bhoir</t>
        </is>
      </c>
      <c r="I14" s="12" t="inlineStr">
        <is>
          <t>Digitizing</t>
        </is>
      </c>
      <c r="J14" s="12"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t>
          </r>
        </is>
      </c>
      <c r="K14" s="12"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t>
          </r>
        </is>
      </c>
      <c r="L14" s="12" t="inlineStr">
        <is>
          <t>Technical / QC / client calls for the domain</t>
        </is>
      </c>
      <c r="M14" s="12" t="inlineStr">
        <is>
          <t>—</t>
        </is>
      </c>
      <c r="N14" s="12" t="inlineStr">
        <is>
          <r>
            <rPr>
              <rFont val="Calibri"/>
              <b val="1"/>
              <sz val="10"/>
            </rPr>
            <t>Skills:</t>
          </r>
          <r>
            <rPr>
              <rFont val="Calibri"/>
              <sz val="10"/>
            </rPr>
            <t xml:space="preserve"> OCR/Image procesing
</t>
          </r>
          <r>
            <rPr>
              <rFont val="Calibri"/>
              <b val="1"/>
              <sz val="10"/>
            </rPr>
            <t>Tools:</t>
          </r>
          <r>
            <rPr>
              <rFont val="Calibri"/>
              <sz val="10"/>
            </rPr>
            <t xml:space="preserve"> Carbon applications · Office 365 word · Excel · Abby FineReader · Web Expression HTML Editor</t>
          </r>
        </is>
      </c>
      <c r="O14"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4" s="12" t="inlineStr">
        <is>
          <t>4–7 yrs
Graduate + relevant qualification or certification preferred</t>
        </is>
      </c>
      <c r="Q14" s="12" t="inlineStr">
        <is>
          <t>Core 3 · Future-ready 3 · Functional 3 · Leadership 1
★ Advanced Excel &amp; Productivity Tools · Process Improvement &amp; Quality Mindset</t>
        </is>
      </c>
      <c r="R14" s="12" t="inlineStr">
        <is>
          <t>Produce trustworthy structured content and data. Includes: Document production, financial-data sourcing, validation and stewardship. Excludes: Corporate reporting; BI insight; software data-pipeline engineering.</t>
        </is>
      </c>
      <c r="S14" s="12" t="inlineStr">
        <is>
          <r>
            <rPr>
              <rFont val="Calibri"/>
              <b val="1"/>
              <sz val="10"/>
            </rPr>
            <t>Comparable stage:</t>
          </r>
          <r>
            <rPr>
              <rFont val="Calibri"/>
              <sz val="10"/>
            </rPr>
            <t xml:space="preserve"> OPS01-3 · Senior Associate Document Specialist
Resolve complex production defects and review critical releases.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controlled conversion with source reconciliation, rendering checks and publishing approval</t>
          </r>
        </is>
      </c>
      <c r="T14" s="12" t="inlineStr">
        <is>
          <r>
            <rPr>
              <rFont val="Calibri"/>
              <sz val="10"/>
            </rPr>
            <t xml:space="preserve">Radford / Mercer P3 / M2 · SFIA 4 Enable
</t>
          </r>
          <r>
            <rPr>
              <rFont val="Calibri"/>
              <b val="1"/>
              <sz val="10"/>
            </rPr>
            <t>Accenture Operations:</t>
          </r>
          <r>
            <rPr>
              <rFont val="Calibri"/>
              <sz val="10"/>
            </rPr>
            <t xml:space="preserve"> L9 Team Lead · IRIS Vs Competitor Benchmark — operations roles: Team Lead / Quality Lead</t>
          </r>
        </is>
      </c>
      <c r="U14" s="12" t="inlineStr">
        <is>
          <t>B2 · Senior Specialist</t>
        </is>
      </c>
      <c r="V14" s="12" t="inlineStr">
        <is>
          <t>Framework + role-holders' themes · 3+ answered</t>
        </is>
      </c>
    </row>
    <row r="15" ht="132" customHeight="1">
      <c r="A15" s="73" t="inlineStr">
        <is>
          <t>RC-050</t>
        </is>
      </c>
      <c r="B15" s="12" t="inlineStr">
        <is>
          <t>Data Operations &amp; Digitization</t>
        </is>
      </c>
      <c r="C15" s="12" t="inlineStr">
        <is>
          <t>Document Conversion, Formatting &amp; Web Publishing</t>
        </is>
      </c>
      <c r="D15" s="20" t="inlineStr">
        <is>
          <t>B2</t>
        </is>
      </c>
      <c r="E15" s="21" t="inlineStr">
        <is>
          <t>Manager</t>
        </is>
      </c>
      <c r="F15" s="12" t="inlineStr">
        <is>
          <t>Manager</t>
        </is>
      </c>
      <c r="G15" s="12" t="inlineStr">
        <is>
          <t>Digitization Manager</t>
        </is>
      </c>
      <c r="H15" s="12" t="inlineStr">
        <is>
          <t>Shraddha Patil</t>
        </is>
      </c>
      <c r="I15" s="12" t="inlineStr">
        <is>
          <t>Digitizing</t>
        </is>
      </c>
      <c r="J15" s="12" t="inlineStr">
        <is>
          <r>
            <rPr>
              <rFont val="Calibri"/>
              <sz val="10"/>
            </rPr>
            <t xml:space="preserve">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t>
          </r>
        </is>
      </c>
      <c r="K15" s="12" t="inlineStr">
        <is>
          <r>
            <rPr>
              <rFont val="Calibri"/>
              <sz val="10"/>
            </rPr>
            <t xml:space="preserve">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t>
          </r>
        </is>
      </c>
      <c r="L15" s="12" t="inlineStr">
        <is>
          <r>
            <rPr>
              <rFont val="Calibri"/>
              <sz val="10"/>
            </rPr>
            <t xml:space="preserve">Allocates people and sets team priorities
</t>
          </r>
          <r>
            <rPr>
              <rFont val="Calibri"/>
              <b val="1"/>
              <sz val="10"/>
            </rPr>
            <t>Common themes in sub-family holders, all levels' answers:</t>
          </r>
          <r>
            <rPr>
              <rFont val="Calibri"/>
              <sz val="10"/>
            </rPr>
            <t xml:space="preserve"> formatting · independently · html · validate · allocate · cipc</t>
          </r>
        </is>
      </c>
      <c r="M15" s="12" t="inlineStr">
        <is>
          <t>—</t>
        </is>
      </c>
      <c r="N15" s="12" t="inlineStr">
        <is>
          <r>
            <rPr>
              <rFont val="Calibri"/>
              <b val="1"/>
              <sz val="10"/>
            </rPr>
            <t>Skills:</t>
          </r>
          <r>
            <rPr>
              <rFont val="Calibri"/>
              <sz val="10"/>
            </rPr>
            <t xml:space="preserve"> OCR/Image procesing · attention to detail · quality checking · Excel · timely delivery · HTML · Word · ABYYY Fine Reader
</t>
          </r>
          <r>
            <rPr>
              <rFont val="Calibri"/>
              <b val="1"/>
              <sz val="10"/>
            </rPr>
            <t>Tools:</t>
          </r>
          <r>
            <rPr>
              <rFont val="Calibri"/>
              <sz val="10"/>
            </rPr>
            <t xml:space="preserve"> Excel · Office 365 word · Carbon applications · Abby FineReader · Web Expression HTML editor · DM · HTML Editor · US DM - Carbon</t>
          </r>
        </is>
      </c>
      <c r="O15"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5" s="12" t="inlineStr">
        <is>
          <t>6–9 yrs
Graduate or postgraduate; professional qualification preferred</t>
        </is>
      </c>
      <c r="Q15" s="12" t="inlineStr">
        <is>
          <t>Core 3 · Future-ready 3 · Functional 4 · Leadership 3
★ Advanced Excel &amp; Productivity Tools · Process Improvement &amp; Quality Mindset</t>
        </is>
      </c>
      <c r="R15" s="12" t="inlineStr">
        <is>
          <t>Produce trustworthy structured content and data. Includes: Document production, financial-data sourcing, validation and stewardship. Excludes: Corporate reporting; BI insight; software data-pipeline engineering.</t>
        </is>
      </c>
      <c r="S15" s="12" t="inlineStr">
        <is>
          <r>
            <rPr>
              <rFont val="Calibri"/>
              <b val="1"/>
              <sz val="10"/>
            </rPr>
            <t>Comparable stage:</t>
          </r>
          <r>
            <rPr>
              <rFont val="Calibri"/>
              <sz val="10"/>
            </rPr>
            <t xml:space="preserve"> LD08-1 · Data Operations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5" s="12" t="inlineStr">
        <is>
          <r>
            <rPr>
              <rFont val="Calibri"/>
              <sz val="10"/>
            </rPr>
            <t xml:space="preserve">Radford / Mercer P4 / M3 · SFIA 4–5
</t>
          </r>
          <r>
            <rPr>
              <rFont val="Calibri"/>
              <b val="1"/>
              <sz val="10"/>
            </rPr>
            <t>Accenture Operations:</t>
          </r>
          <r>
            <rPr>
              <rFont val="Calibri"/>
              <sz val="10"/>
            </rPr>
            <t xml:space="preserve"> L8 Associate Manager · IRIS Vs Competitor Benchmark — operations roles: Operations Manager</t>
          </r>
        </is>
      </c>
      <c r="U15" s="12" t="inlineStr">
        <is>
          <t>B3 · Lead Specialist</t>
        </is>
      </c>
      <c r="V15" s="12" t="inlineStr">
        <is>
          <t>Framework + sub-family themes · 3+ answered</t>
        </is>
      </c>
    </row>
    <row r="16">
      <c r="A16" s="72" t="inlineStr">
        <is>
          <t>Engineering &amp; Development</t>
        </is>
      </c>
    </row>
    <row r="17" ht="106" customHeight="1">
      <c r="A17" s="73" t="inlineStr">
        <is>
          <t>RC-062</t>
        </is>
      </c>
      <c r="B17" s="12" t="inlineStr">
        <is>
          <t>Engineering &amp; Development</t>
        </is>
      </c>
      <c r="C17" s="12" t="inlineStr">
        <is>
          <t>Application Maintenance &amp; Production Support</t>
        </is>
      </c>
      <c r="D17" s="16" t="inlineStr">
        <is>
          <t>A3</t>
        </is>
      </c>
      <c r="E17" s="17" t="inlineStr">
        <is>
          <t>Senior Associate</t>
        </is>
      </c>
      <c r="F17" s="12" t="inlineStr">
        <is>
          <t>IC</t>
        </is>
      </c>
      <c r="G17" s="12" t="inlineStr">
        <is>
          <t>Senior Software Engineer · Technical Specialist</t>
        </is>
      </c>
      <c r="H17" s="12" t="inlineStr">
        <is>
          <t>Safal Gupta, Sharad Mane</t>
        </is>
      </c>
      <c r="I17" s="12" t="inlineStr">
        <is>
          <t>Technology</t>
        </is>
      </c>
      <c r="J17" s="12" t="inlineStr">
        <is>
          <r>
            <rPr>
              <rFont val="Calibri"/>
              <sz val="10"/>
            </rPr>
            <t xml:space="preserve">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t>
          </r>
        </is>
      </c>
      <c r="K17" s="12" t="inlineStr">
        <is>
          <r>
            <rPr>
              <rFont val="Calibri"/>
              <sz val="10"/>
            </rPr>
            <t xml:space="preserve">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t>
          </r>
        </is>
      </c>
      <c r="L17" s="12" t="inlineStr">
        <is>
          <r>
            <rPr>
              <rFont val="Calibri"/>
              <sz val="10"/>
            </rPr>
            <t xml:space="preserve">Technical / QC / client calls on own work
</t>
          </r>
          <r>
            <rPr>
              <rFont val="Calibri"/>
              <b val="1"/>
              <sz val="10"/>
            </rPr>
            <t>Common themes in role-holders' answers:</t>
          </r>
          <r>
            <rPr>
              <rFont val="Calibri"/>
              <sz val="10"/>
            </rPr>
            <t xml:space="preserve"> code · fixes · implementation · technical</t>
          </r>
        </is>
      </c>
      <c r="M17" s="12" t="inlineStr">
        <is>
          <r>
            <rPr>
              <rFont val="Calibri"/>
              <b val="1"/>
              <sz val="10"/>
            </rPr>
            <t>Common themes in manager-set KRAs:</t>
          </r>
          <r>
            <rPr>
              <rFont val="Calibri"/>
              <sz val="10"/>
            </rPr>
            <t xml:space="preserve"> considering critical · stories considering · leakage qa/uat · production support · live production · responsibilities</t>
          </r>
        </is>
      </c>
      <c r="N17" s="12" t="inlineStr">
        <is>
          <r>
            <rPr>
              <rFont val="Calibri"/>
              <b val="1"/>
              <sz val="10"/>
            </rPr>
            <t>Skills:</t>
          </r>
          <r>
            <rPr>
              <rFont val="Calibri"/>
              <sz val="10"/>
            </rPr>
            <t xml:space="preserve"> NET MVC
</t>
          </r>
          <r>
            <rPr>
              <rFont val="Calibri"/>
              <b val="1"/>
              <sz val="10"/>
            </rPr>
            <t>Tools:</t>
          </r>
          <r>
            <rPr>
              <rFont val="Calibri"/>
              <sz val="10"/>
            </rPr>
            <t xml:space="preserve"> Postman · IIS</t>
          </r>
        </is>
      </c>
      <c r="O17"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7" s="12" t="inlineStr">
        <is>
          <t>2–4 yrs
Graduate; relevant certification preferred</t>
        </is>
      </c>
      <c r="Q17" s="12" t="inlineStr">
        <is>
          <t>Core 2 · Future-ready 2 · Functional 3 · Leadership —
★ Programming &amp; Tech-Stack Depth · System Design &amp; Architecture</t>
        </is>
      </c>
      <c r="R17" s="12" t="inlineStr">
        <is>
          <t>Build and operate software capabilities. Includes: Application code, data/ML engineering and product reliability. Excludes: Product investment decisions; internal IT service desk.</t>
        </is>
      </c>
      <c r="S17" s="12" t="inlineStr">
        <is>
          <r>
            <rPr>
              <rFont val="Calibri"/>
              <b val="1"/>
              <sz val="10"/>
            </rPr>
            <t>Comparable stage:</t>
          </r>
          <r>
            <rPr>
              <rFont val="Calibri"/>
              <sz val="10"/>
            </rPr>
            <t xml:space="preserve"> ENG06-2 · Application Maintenance Engineer
Resolve defects with regression evidence and controlled changes.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incident diagnosis and permanent remediation with rollback and recurrence measures</t>
          </r>
        </is>
      </c>
      <c r="T17"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17" s="12" t="inlineStr">
        <is>
          <t>B1 · Specialist</t>
        </is>
      </c>
      <c r="V17" s="12" t="inlineStr">
        <is>
          <t>Framework + role-holders' themes · 3+ answered</t>
        </is>
      </c>
    </row>
    <row r="18" ht="106" customHeight="1">
      <c r="A18" s="73" t="inlineStr">
        <is>
          <t>RC-063</t>
        </is>
      </c>
      <c r="B18" s="12" t="inlineStr">
        <is>
          <t>Engineering &amp; Development</t>
        </is>
      </c>
      <c r="C18" s="12" t="inlineStr">
        <is>
          <t>Application Maintenance &amp; Production Support</t>
        </is>
      </c>
      <c r="D18" s="20" t="inlineStr">
        <is>
          <t>B1</t>
        </is>
      </c>
      <c r="E18" s="21" t="inlineStr">
        <is>
          <t>Specialist</t>
        </is>
      </c>
      <c r="F18" s="12" t="inlineStr">
        <is>
          <t>IC</t>
        </is>
      </c>
      <c r="G18" s="12" t="inlineStr">
        <is>
          <t>Technical Specialist</t>
        </is>
      </c>
      <c r="H18" s="12" t="inlineStr">
        <is>
          <t>Waqar Tarique</t>
        </is>
      </c>
      <c r="I18" s="12" t="inlineStr">
        <is>
          <t>Technology</t>
        </is>
      </c>
      <c r="J18" s="12" t="inlineStr">
        <is>
          <r>
            <rPr>
              <rFont val="Calibri"/>
              <sz val="10"/>
            </rPr>
            <t xml:space="preserve">Keeps live applications/portals running — production fixes, patches, small enhancements, CRs. At B1: a domain / module, or a small team.
</t>
          </r>
          <r>
            <rPr>
              <rFont val="Calibri"/>
              <b val="1"/>
              <sz val="10"/>
            </rPr>
            <t>Common themes in sub-family holders, all levels' answers:</t>
          </r>
          <r>
            <rPr>
              <rFont val="Calibri"/>
              <sz val="10"/>
            </rPr>
            <t xml:space="preserve"> maintain · reliable · business · requirements · developer · rbi</t>
          </r>
        </is>
      </c>
      <c r="K18" s="12" t="inlineStr">
        <is>
          <r>
            <rPr>
              <rFont val="Calibri"/>
              <sz val="10"/>
            </rPr>
            <t xml:space="preserve">Keeps live applications/portals running — production fixes, patches, small enhancements, CRs; Domain specialist work; A domain or a small team
</t>
          </r>
          <r>
            <rPr>
              <rFont val="Calibri"/>
              <b val="1"/>
              <sz val="10"/>
            </rPr>
            <t>Common themes in sub-family holders, all levels' answers:</t>
          </r>
          <r>
            <rPr>
              <rFont val="Calibri"/>
              <sz val="10"/>
            </rPr>
            <t xml:space="preserve"> development · support · maintenance · code · bug fixing · feature</t>
          </r>
        </is>
      </c>
      <c r="L18" s="12" t="inlineStr">
        <is>
          <r>
            <rPr>
              <rFont val="Calibri"/>
              <sz val="10"/>
            </rPr>
            <t xml:space="preserve">Technical / QC / client calls for the domain
</t>
          </r>
          <r>
            <rPr>
              <rFont val="Calibri"/>
              <b val="1"/>
              <sz val="10"/>
            </rPr>
            <t>Common themes in sub-family holders, all levels' answers:</t>
          </r>
          <r>
            <rPr>
              <rFont val="Calibri"/>
              <sz val="10"/>
            </rPr>
            <t xml:space="preserve"> code · technical · fixes · implementation · issues</t>
          </r>
        </is>
      </c>
      <c r="M18" s="12" t="inlineStr">
        <is>
          <t>—</t>
        </is>
      </c>
      <c r="N18" s="12" t="inlineStr">
        <is>
          <r>
            <rPr>
              <rFont val="Calibri"/>
              <b val="1"/>
              <sz val="10"/>
            </rPr>
            <t>Skills:</t>
          </r>
          <r>
            <rPr>
              <rFont val="Calibri"/>
              <sz val="10"/>
            </rPr>
            <t xml:space="preserve"> NET MVC
</t>
          </r>
          <r>
            <rPr>
              <rFont val="Calibri"/>
              <b val="1"/>
              <sz val="10"/>
            </rPr>
            <t>Tools:</t>
          </r>
          <r>
            <rPr>
              <rFont val="Calibri"/>
              <sz val="10"/>
            </rPr>
            <t xml:space="preserve"> Postman · IIS</t>
          </r>
        </is>
      </c>
      <c r="O18"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8" s="12" t="inlineStr">
        <is>
          <t>4–7 yrs
Graduate + relevant qualification or certification preferred</t>
        </is>
      </c>
      <c r="Q18" s="12" t="inlineStr">
        <is>
          <t>Core 3 · Future-ready 3 · Functional 3 · Leadership 1
★ Programming &amp; Tech-Stack Depth · System Design &amp; Architecture</t>
        </is>
      </c>
      <c r="R18" s="12" t="inlineStr">
        <is>
          <t>Build and operate software capabilities. Includes: Application code, data/ML engineering and product reliability. Excludes: Product investment decisions; internal IT service desk.</t>
        </is>
      </c>
      <c r="S18" s="12" t="inlineStr">
        <is>
          <r>
            <rPr>
              <rFont val="Calibri"/>
              <b val="1"/>
              <sz val="10"/>
            </rPr>
            <t>Comparable stage:</t>
          </r>
          <r>
            <rPr>
              <rFont val="Calibri"/>
              <sz val="10"/>
            </rPr>
            <t xml:space="preserve"> ENG06-3 · Senior Application Maintenance Engineer
Own root-cause removal and safe modernisation of a legacy component.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incident diagnosis and permanent remediation with rollback and recurrence measures</t>
          </r>
        </is>
      </c>
      <c r="T18"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18" s="12" t="inlineStr">
        <is>
          <t>B2 · Senior Specialist</t>
        </is>
      </c>
      <c r="V18" s="12" t="inlineStr">
        <is>
          <t>Framework + sub-family themes · 3+ answered</t>
        </is>
      </c>
    </row>
    <row r="19" ht="106" customHeight="1">
      <c r="A19" s="73" t="inlineStr">
        <is>
          <t>RC-064</t>
        </is>
      </c>
      <c r="B19" s="12" t="inlineStr">
        <is>
          <t>Engineering &amp; Development</t>
        </is>
      </c>
      <c r="C19" s="12" t="inlineStr">
        <is>
          <t>Application Maintenance &amp; Production Support</t>
        </is>
      </c>
      <c r="D19" s="20" t="inlineStr">
        <is>
          <t>B3</t>
        </is>
      </c>
      <c r="E19" s="21" t="inlineStr">
        <is>
          <t>Lead Specialist</t>
        </is>
      </c>
      <c r="F19" s="12" t="inlineStr">
        <is>
          <t>IC</t>
        </is>
      </c>
      <c r="G19" s="12" t="inlineStr">
        <is>
          <t>Lead Software Engineer</t>
        </is>
      </c>
      <c r="H19" s="12" t="inlineStr">
        <is>
          <t>Nishant Kohakade</t>
        </is>
      </c>
      <c r="I19" s="12" t="inlineStr">
        <is>
          <t>Technology</t>
        </is>
      </c>
      <c r="J19" s="12" t="inlineStr">
        <is>
          <r>
            <rPr>
              <rFont val="Calibri"/>
              <sz val="10"/>
            </rPr>
            <t xml:space="preserve">Keeps live applications/portals running — production fixes, patches, small enhancements, CRs. At B3: a practice, or several teams through team leads.
</t>
          </r>
          <r>
            <rPr>
              <rFont val="Calibri"/>
              <b val="1"/>
              <sz val="10"/>
            </rPr>
            <t>Common themes in sub-family holders, all levels' answers:</t>
          </r>
          <r>
            <rPr>
              <rFont val="Calibri"/>
              <sz val="10"/>
            </rPr>
            <t xml:space="preserve"> maintain · reliable · business · requirements · developer · rbi</t>
          </r>
        </is>
      </c>
      <c r="K19" s="12" t="inlineStr">
        <is>
          <r>
            <rPr>
              <rFont val="Calibri"/>
              <sz val="10"/>
            </rPr>
            <t xml:space="preserve">Keeps live applications/portals running — production fixes, patches, small enhancements, CRs; Sets standards for a practice; cross-team problems; Several teams or a practice
</t>
          </r>
          <r>
            <rPr>
              <rFont val="Calibri"/>
              <b val="1"/>
              <sz val="10"/>
            </rPr>
            <t>Common themes in sub-family holders, all levels' answers:</t>
          </r>
          <r>
            <rPr>
              <rFont val="Calibri"/>
              <sz val="10"/>
            </rPr>
            <t xml:space="preserve"> development · support · maintenance · code · bug fixing · feature</t>
          </r>
        </is>
      </c>
      <c r="L19" s="12" t="inlineStr">
        <is>
          <r>
            <rPr>
              <rFont val="Calibri"/>
              <sz val="10"/>
            </rPr>
            <t xml:space="preserve">Commercial / strategic calls for the unit
</t>
          </r>
          <r>
            <rPr>
              <rFont val="Calibri"/>
              <b val="1"/>
              <sz val="10"/>
            </rPr>
            <t>Common themes in sub-family holders, all levels' answers:</t>
          </r>
          <r>
            <rPr>
              <rFont val="Calibri"/>
              <sz val="10"/>
            </rPr>
            <t xml:space="preserve"> code · technical · fixes · implementation · issues</t>
          </r>
        </is>
      </c>
      <c r="M19" s="12" t="inlineStr">
        <is>
          <t>—</t>
        </is>
      </c>
      <c r="N19" s="12" t="inlineStr">
        <is>
          <r>
            <rPr>
              <rFont val="Calibri"/>
              <b val="1"/>
              <sz val="10"/>
            </rPr>
            <t>Skills:</t>
          </r>
          <r>
            <rPr>
              <rFont val="Calibri"/>
              <sz val="10"/>
            </rPr>
            <t xml:space="preserve"> NET MVC
</t>
          </r>
          <r>
            <rPr>
              <rFont val="Calibri"/>
              <b val="1"/>
              <sz val="10"/>
            </rPr>
            <t>Tools:</t>
          </r>
          <r>
            <rPr>
              <rFont val="Calibri"/>
              <sz val="10"/>
            </rPr>
            <t xml:space="preserve"> Postman · IIS</t>
          </r>
        </is>
      </c>
      <c r="O19"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19" s="12" t="inlineStr">
        <is>
          <t>8–12 yrs
Postgraduate or professional qualification preferred</t>
        </is>
      </c>
      <c r="Q19" s="12" t="inlineStr">
        <is>
          <t>Core 4 · Future-ready 3 · Functional 4 · Leadership 3
★ Programming &amp; Tech-Stack Depth · System Design &amp; Architecture</t>
        </is>
      </c>
      <c r="R19" s="12" t="inlineStr">
        <is>
          <t>Build and operate software capabilities. Includes: Application code, data/ML engineering and product reliability. Excludes: Product investment decisions; internal IT service desk.</t>
        </is>
      </c>
      <c r="S19" s="12" t="inlineStr">
        <is>
          <r>
            <rPr>
              <rFont val="Calibri"/>
              <b val="1"/>
              <sz val="10"/>
            </rPr>
            <t>Comparable stage:</t>
          </r>
          <r>
            <rPr>
              <rFont val="Calibri"/>
              <sz val="10"/>
            </rPr>
            <t xml:space="preserve"> ENG06-4 · Application Modernisation Lead
Plan a multi-system modernisation path balancing compatibility and risk.
</t>
          </r>
          <r>
            <rPr>
              <rFont val="Calibri"/>
              <b val="1"/>
              <sz val="10"/>
            </rPr>
            <t>Ready when:</t>
          </r>
          <r>
            <rPr>
              <rFont val="Calibri"/>
              <sz val="10"/>
            </rPr>
            <t xml:space="preserve"> Adoption beyond own work; recurring authority and measurable wider outcomes.
</t>
          </r>
          <r>
            <rPr>
              <rFont val="Calibri"/>
              <b val="1"/>
              <sz val="10"/>
            </rPr>
            <t>Work sample:</t>
          </r>
          <r>
            <rPr>
              <rFont val="Calibri"/>
              <sz val="10"/>
            </rPr>
            <t xml:space="preserve"> An incident diagnosis and permanent remediation with rollback and recurrence measures</t>
          </r>
        </is>
      </c>
      <c r="T19" s="12" t="inlineStr">
        <is>
          <r>
            <rPr>
              <rFont val="Calibri"/>
              <sz val="10"/>
            </rPr>
            <t xml:space="preserve">Radford / Mercer P5 / M4 · SFIA 5 Ensure, advise
</t>
          </r>
          <r>
            <rPr>
              <rFont val="Calibri"/>
              <b val="1"/>
              <sz val="10"/>
            </rPr>
            <t>Workiva:</t>
          </r>
          <r>
            <rPr>
              <rFont val="Calibri"/>
              <sz val="10"/>
            </rPr>
            <t xml:space="preserve"> Staff SE · Broadridge India: Senior Lead SE · Nasdaq / AxiomSL: Lead SE · Salesforce: LMTS</t>
          </r>
        </is>
      </c>
      <c r="U19" s="12" t="inlineStr">
        <is>
          <t>C1 · Principal · or B+ · Player-Coach transition step if leading people hands-on</t>
        </is>
      </c>
      <c r="V19" s="12" t="inlineStr">
        <is>
          <t>Framework + sub-family themes · 3+ answered</t>
        </is>
      </c>
    </row>
    <row r="20">
      <c r="A20" s="72" t="inlineStr">
        <is>
          <t>Project &amp; Program Management</t>
        </is>
      </c>
    </row>
    <row r="21" ht="93" customHeight="1">
      <c r="A21" s="73" t="inlineStr">
        <is>
          <t>RC-136</t>
        </is>
      </c>
      <c r="B21" s="12" t="inlineStr">
        <is>
          <t>Project &amp; Program Management</t>
        </is>
      </c>
      <c r="C21" s="12" t="inlineStr">
        <is>
          <t>Project &amp; Program Delivery</t>
        </is>
      </c>
      <c r="D21" s="20" t="inlineStr">
        <is>
          <t>B2</t>
        </is>
      </c>
      <c r="E21" s="21" t="inlineStr">
        <is>
          <t>Manager</t>
        </is>
      </c>
      <c r="F21" s="12" t="inlineStr">
        <is>
          <t>Manager</t>
        </is>
      </c>
      <c r="G21" s="12" t="inlineStr">
        <is>
          <t>Delivery Manager · Project Manager</t>
        </is>
      </c>
      <c r="H21" s="12" t="inlineStr">
        <is>
          <t>Zakiruddin Shaikh</t>
        </is>
      </c>
      <c r="I21" s="12" t="inlineStr">
        <is>
          <t>Technology</t>
        </is>
      </c>
      <c r="J21" s="12" t="inlineStr">
        <is>
          <r>
            <rPr>
              <rFont val="Calibri"/>
              <sz val="10"/>
            </rPr>
            <t xml:space="preserve">Plans and delivers projects/programmes to scope, time and cost; manages CRs, risks and stakeholders. At B2: deep domain expertise, or one team.
</t>
          </r>
          <r>
            <rPr>
              <rFont val="Calibri"/>
              <b val="1"/>
              <sz val="10"/>
            </rPr>
            <t>Common themes in role-holders' answers:</t>
          </r>
          <r>
            <rPr>
              <rFont val="Calibri"/>
              <sz val="10"/>
            </rPr>
            <t xml:space="preserve"> project · management · support · business · stakeholder · client</t>
          </r>
        </is>
      </c>
      <c r="K21" s="12"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role-holders' answers:</t>
          </r>
          <r>
            <rPr>
              <rFont val="Calibri"/>
              <sz val="10"/>
            </rPr>
            <t xml:space="preserve"> client · management · project · delivery · documentation</t>
          </r>
        </is>
      </c>
      <c r="L21" s="12" t="inlineStr">
        <is>
          <r>
            <rPr>
              <rFont val="Calibri"/>
              <sz val="10"/>
            </rPr>
            <t xml:space="preserve">Allocates people and sets team priorities
</t>
          </r>
          <r>
            <rPr>
              <rFont val="Calibri"/>
              <b val="1"/>
              <sz val="10"/>
            </rPr>
            <t>Common themes in role-holders' answers:</t>
          </r>
          <r>
            <rPr>
              <rFont val="Calibri"/>
              <sz val="10"/>
            </rPr>
            <t xml:space="preserve"> project · issue</t>
          </r>
        </is>
      </c>
      <c r="M21" s="12" t="inlineStr">
        <is>
          <r>
            <rPr>
              <rFont val="Calibri"/>
              <b val="1"/>
              <sz val="10"/>
            </rPr>
            <t>Common themes in manager-set KRAs:</t>
          </r>
          <r>
            <rPr>
              <rFont val="Calibri"/>
              <sz val="10"/>
            </rPr>
            <t xml:space="preserve"> project · management · level · support · scope · client</t>
          </r>
        </is>
      </c>
      <c r="N21" s="12" t="inlineStr">
        <is>
          <r>
            <rPr>
              <rFont val="Calibri"/>
              <b val="1"/>
              <sz val="10"/>
            </rPr>
            <t>Skills:</t>
          </r>
          <r>
            <rPr>
              <rFont val="Calibri"/>
              <sz val="10"/>
            </rPr>
            <t xml:space="preserve"> Project Management · Stakeholder management
</t>
          </r>
          <r>
            <rPr>
              <rFont val="Calibri"/>
              <b val="1"/>
              <sz val="10"/>
            </rPr>
            <t>Tools:</t>
          </r>
          <r>
            <rPr>
              <rFont val="Calibri"/>
              <sz val="10"/>
            </rPr>
            <t xml:space="preserve"> Claude</t>
          </r>
        </is>
      </c>
      <c r="O2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1" s="12" t="inlineStr">
        <is>
          <t>6–9 yrs
Graduate or postgraduate; professional qualification preferred</t>
        </is>
      </c>
      <c r="Q21" s="12" t="inlineStr">
        <is>
          <t>Core 3 · Future-ready 3 · Functional 4 · Leadership 3
★ Project, Program &amp; Agile Management · Stakeholder &amp; Client Management</t>
        </is>
      </c>
      <c r="R21" s="12" t="inlineStr">
        <is>
          <t>Deliver change and govern investment execution. Includes: Project, programme, portfolio and PMO work with distinct mandates. Excludes: Ongoing product strategy; routine service operations.</t>
        </is>
      </c>
      <c r="S21" s="12" t="inlineStr">
        <is>
          <r>
            <rPr>
              <rFont val="Calibri"/>
              <b val="1"/>
              <sz val="10"/>
            </rPr>
            <t>Comparable stage:</t>
          </r>
          <r>
            <rPr>
              <rFont val="Calibri"/>
              <sz val="10"/>
            </rPr>
            <t xml:space="preserve"> LD11-1 · Delivery / PMO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21" s="12" t="inlineStr">
        <is>
          <t>Radford / Mercer P4 / M3 · SFIA 4–5
IRIS Vs Competitor Benchmark — PMI pathway + SaaS delivery ladder: Senior PM</t>
        </is>
      </c>
      <c r="U21" s="12" t="inlineStr">
        <is>
          <t>B3 · Lead Specialist</t>
        </is>
      </c>
      <c r="V21" s="12" t="inlineStr">
        <is>
          <t>Framework + role-holders' themes · 3+ answered</t>
        </is>
      </c>
    </row>
  </sheetData>
  <autoFilter ref="A6:V21"/>
  <mergeCells count="13">
    <mergeCell ref="A2:V2"/>
    <mergeCell ref="A16:V16"/>
    <mergeCell ref="O5:Q5"/>
    <mergeCell ref="A11:V11"/>
    <mergeCell ref="A5:I5"/>
    <mergeCell ref="A1:V1"/>
    <mergeCell ref="J5:N5"/>
    <mergeCell ref="T5:U5"/>
    <mergeCell ref="A3:V3"/>
    <mergeCell ref="R5:S5"/>
    <mergeCell ref="A7:V7"/>
    <mergeCell ref="A20:V20"/>
    <mergeCell ref="V5"/>
  </mergeCells>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66"/>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0" customWidth="1" min="5" max="5"/>
    <col width="66" customWidth="1" min="6" max="6"/>
    <col width="13" customWidth="1" min="7" max="7"/>
  </cols>
  <sheetData>
    <row r="1" ht="34" customHeight="1">
      <c r="A1" s="1" t="inlineStr">
        <is>
          <t>Decisions &amp; Actions — what needs a decision, who must supply what, and what happens next</t>
        </is>
      </c>
      <c r="G1" s="86" t="inlineStr">
        <is>
          <t>◂ Start Here</t>
        </is>
      </c>
    </row>
    <row r="2" ht="30" customHeight="1">
      <c r="A2" s="3" t="inlineStr">
        <is>
          <t>Sheet 4 · Each case gives the person, the level, the score and the reason in full, so it can be decided from this page. Red = an input or decision is needed.</t>
        </is>
      </c>
    </row>
    <row r="3">
      <c r="A3" s="4" t="inlineStr">
        <is>
          <t>IRIS · Job Architecture &amp; Job Design · Final v1.12 · October 2026 · Internal — Confidential</t>
        </is>
      </c>
    </row>
    <row r="4" ht="15" customHeight="1"/>
    <row r="5" ht="15" customHeight="1">
      <c r="A5" s="25" t="inlineStr">
        <is>
          <t>A · DECISIONS FOR YOU AND THE CALIBRATION PANEL</t>
        </is>
      </c>
    </row>
    <row r="6" ht="20" customHeight="1">
      <c r="A6" s="6" t="inlineStr">
        <is>
          <t>A1. Player-Coach placements — 0</t>
        </is>
      </c>
    </row>
    <row r="7" ht="15" customHeight="1">
      <c r="A7" s="24" t="inlineStr">
        <is>
          <t>Confirm the person still spends a real share of time on hands-on work, and that the team size is right.</t>
        </is>
      </c>
    </row>
    <row r="8" ht="15" customHeight="1">
      <c r="A8" s="24" t="inlineStr">
        <is>
          <t>None.</t>
        </is>
      </c>
    </row>
    <row r="9" ht="20" customHeight="1">
      <c r="A9" s="6" t="inlineStr">
        <is>
          <t>A2. Player-Coach candidates and watch list — 0</t>
        </is>
      </c>
    </row>
    <row r="10" ht="15" customHeight="1">
      <c r="A10" s="24" t="inlineStr">
        <is>
          <t>Candidates qualify on the numbers but have no evidence yet of their own hands-on work: confirm it, or leave them where they are.</t>
        </is>
      </c>
    </row>
    <row r="11" ht="15" customHeight="1">
      <c r="A11" s="24" t="inlineStr">
        <is>
          <t>None.</t>
        </is>
      </c>
    </row>
    <row r="12" ht="20" customHeight="1">
      <c r="A12" s="6" t="inlineStr">
        <is>
          <t>A3. Close calls — 2</t>
        </is>
      </c>
    </row>
    <row r="13" ht="15" customHeight="1">
      <c r="A13" s="24" t="inlineStr">
        <is>
          <t>The score decided the level and sits within 0.05 of a rounding point: compare with peers before confirming.</t>
        </is>
      </c>
    </row>
    <row r="14" ht="15" customHeight="1">
      <c r="A14" s="8" t="inlineStr">
        <is>
          <t>Person</t>
        </is>
      </c>
      <c r="B14" s="8" t="inlineStr">
        <is>
          <t>Department</t>
        </is>
      </c>
      <c r="C14" s="8" t="inlineStr">
        <is>
          <t>Level</t>
        </is>
      </c>
      <c r="D14" s="8" t="inlineStr">
        <is>
          <t>Score</t>
        </is>
      </c>
      <c r="E14" s="8" t="inlineStr">
        <is>
          <t>Designation</t>
        </is>
      </c>
      <c r="F14" s="8" t="inlineStr">
        <is>
          <t>What to decide, and why</t>
        </is>
      </c>
    </row>
    <row r="15" ht="41" customHeight="1">
      <c r="A15" s="10" t="inlineStr">
        <is>
          <t>Manoj Ravidas</t>
        </is>
      </c>
      <c r="B15" s="12" t="inlineStr">
        <is>
          <t>Digitizing</t>
        </is>
      </c>
      <c r="C15" s="26" t="inlineStr">
        <is>
          <t>A3</t>
        </is>
      </c>
      <c r="D15" s="26" t="n">
        <v>3.48</v>
      </c>
      <c r="E15" s="12" t="inlineStr">
        <is>
          <t>Senior Digitization Associate</t>
        </is>
      </c>
      <c r="F15" s="67" t="inlineStr">
        <is>
          <t>Score 3.48 is 0.02 below the 3.5 rounding point between A3 and B1, and no rule moved it: confirm A3 against peers in similar roles, or place at B1.</t>
        </is>
      </c>
    </row>
    <row r="16" ht="41" customHeight="1">
      <c r="A16" s="10" t="inlineStr">
        <is>
          <t>Waqar Tarique</t>
        </is>
      </c>
      <c r="B16" s="12" t="inlineStr">
        <is>
          <t>Technology</t>
        </is>
      </c>
      <c r="C16" s="26" t="inlineStr">
        <is>
          <t>B1</t>
        </is>
      </c>
      <c r="D16" s="26" t="n">
        <v>3.53</v>
      </c>
      <c r="E16" s="12" t="inlineStr">
        <is>
          <t>Technical Specialist</t>
        </is>
      </c>
      <c r="F16" s="67" t="inlineStr">
        <is>
          <t>Score 3.53 is 0.03 above the 3.5 rounding point between A3 and B1, and no rule moved it: confirm B1 against peers in similar roles, or place at A3.</t>
        </is>
      </c>
    </row>
    <row r="17" ht="15" customHeight="1"/>
    <row r="18" ht="20" customHeight="1">
      <c r="A18" s="6" t="inlineStr">
        <is>
          <t>A4. Near a gate — 1</t>
        </is>
      </c>
    </row>
    <row r="19" ht="15" customHeight="1">
      <c r="A19" s="24" t="inlineStr">
        <is>
          <t>A rule set the level, and the number behind it is within a quarter-point of changing it: a small change in one rating would move the person.</t>
        </is>
      </c>
    </row>
    <row r="20" ht="15" customHeight="1">
      <c r="A20" s="8" t="inlineStr">
        <is>
          <t>Person</t>
        </is>
      </c>
      <c r="B20" s="8" t="inlineStr">
        <is>
          <t>Department</t>
        </is>
      </c>
      <c r="C20" s="8" t="inlineStr">
        <is>
          <t>Level</t>
        </is>
      </c>
      <c r="D20" s="8" t="inlineStr">
        <is>
          <t>Score</t>
        </is>
      </c>
      <c r="E20" s="8" t="inlineStr">
        <is>
          <t>Designation</t>
        </is>
      </c>
      <c r="F20" s="8" t="inlineStr">
        <is>
          <t>What to decide, and why</t>
        </is>
      </c>
    </row>
    <row r="21" ht="28" customHeight="1">
      <c r="A21" s="10" t="inlineStr">
        <is>
          <t>Manish Paithankar</t>
        </is>
      </c>
      <c r="B21" s="12" t="inlineStr">
        <is>
          <t>Digitizing</t>
        </is>
      </c>
      <c r="C21" s="26" t="inlineStr">
        <is>
          <t>A3</t>
        </is>
      </c>
      <c r="D21" s="26" t="n">
        <v>3.58</v>
      </c>
      <c r="E21" s="12" t="inlineStr">
        <is>
          <t>Senior Digitization Associate</t>
        </is>
      </c>
      <c r="F21" s="67" t="inlineStr">
        <is>
          <r>
            <rPr>
              <rFont val="Calibri"/>
              <b val="1"/>
              <color rgb="009C0006"/>
              <sz val="10"/>
            </rPr>
            <t>Role substance:</t>
          </r>
          <r>
            <rPr>
              <rFont val="Calibri"/>
              <color rgb="009C0006"/>
              <sz val="10"/>
            </rPr>
            <t xml:space="preserve"> complexity–accountability average 2.75 is 0.25 short of 3, which would lift the limit by one level.</t>
          </r>
        </is>
      </c>
    </row>
    <row r="22" ht="15" customHeight="1"/>
    <row r="23" ht="20" customHeight="1">
      <c r="A23" s="6" t="inlineStr">
        <is>
          <t>A5. Moves down · pay and title protected for one cycle — 1</t>
        </is>
      </c>
    </row>
    <row r="24" ht="15" customHeight="1">
      <c r="A24" s="24" t="inlineStr">
        <is>
          <t>Confirm the scope of the role and the review date.</t>
        </is>
      </c>
    </row>
    <row r="25" ht="15" customHeight="1">
      <c r="A25" s="8" t="inlineStr">
        <is>
          <t>Person</t>
        </is>
      </c>
      <c r="B25" s="8" t="inlineStr">
        <is>
          <t>Department</t>
        </is>
      </c>
      <c r="C25" s="8" t="inlineStr">
        <is>
          <t>Level</t>
        </is>
      </c>
      <c r="D25" s="8" t="inlineStr">
        <is>
          <t>Score</t>
        </is>
      </c>
      <c r="E25" s="8" t="inlineStr">
        <is>
          <t>Designation</t>
        </is>
      </c>
      <c r="F25" s="8" t="inlineStr">
        <is>
          <t>What to decide, and why</t>
        </is>
      </c>
    </row>
    <row r="26" ht="28" customHeight="1">
      <c r="A26" s="10" t="inlineStr">
        <is>
          <t>Virendra Borkar</t>
        </is>
      </c>
      <c r="B26" s="12" t="inlineStr">
        <is>
          <t>India Content</t>
        </is>
      </c>
      <c r="C26" s="26" t="inlineStr">
        <is>
          <t>B1</t>
        </is>
      </c>
      <c r="D26" s="26" t="n">
        <v>4.19</v>
      </c>
      <c r="E26" s="12" t="inlineStr">
        <is>
          <t>Data Specialist</t>
        </is>
      </c>
      <c r="F26" s="67" t="inlineStr">
        <is>
          <t>Current L5 – Lead · IC → B1. No rule changed the level: the score decides.</t>
        </is>
      </c>
    </row>
    <row r="27" ht="15" customHeight="1"/>
    <row r="28" ht="20" customHeight="1">
      <c r="A28" s="6" t="inlineStr">
        <is>
          <t>A6. Senior titles held by the structure gate — 1</t>
        </is>
      </c>
    </row>
    <row r="29" ht="15" customHeight="1">
      <c r="A29" s="24" t="inlineStr">
        <is>
          <t>Confirm whether the structure behind the title exists · team leads, a sub-function, a business line.</t>
        </is>
      </c>
    </row>
    <row r="30" ht="15" customHeight="1">
      <c r="A30" s="8" t="inlineStr">
        <is>
          <t>Person</t>
        </is>
      </c>
      <c r="B30" s="8" t="inlineStr">
        <is>
          <t>Department</t>
        </is>
      </c>
      <c r="C30" s="8" t="inlineStr">
        <is>
          <t>Level</t>
        </is>
      </c>
      <c r="D30" s="8" t="inlineStr">
        <is>
          <t>Score</t>
        </is>
      </c>
      <c r="E30" s="8" t="inlineStr">
        <is>
          <t>Designation</t>
        </is>
      </c>
      <c r="F30" s="8" t="inlineStr">
        <is>
          <t>What to decide, and why</t>
        </is>
      </c>
    </row>
    <row r="31" ht="41" customHeight="1">
      <c r="A31" s="10" t="inlineStr">
        <is>
          <t>Gopal Krishna Sahu</t>
        </is>
      </c>
      <c r="B31" s="12" t="inlineStr">
        <is>
          <t>India Content</t>
        </is>
      </c>
      <c r="C31" s="26" t="inlineStr">
        <is>
          <t>B2</t>
        </is>
      </c>
      <c r="D31" s="26" t="n">
        <v>5.7</v>
      </c>
      <c r="E31" s="12" t="inlineStr">
        <is>
          <t>Data Analyst Manager → Data Operations Manager</t>
        </is>
      </c>
      <c r="F31" s="67" t="inlineStr">
        <is>
          <r>
            <rPr>
              <rFont val="Calibri"/>
              <b val="1"/>
              <color rgb="009C0006"/>
              <sz val="10"/>
            </rPr>
            <t>Held at B2 instead of B3:</t>
          </r>
          <r>
            <rPr>
              <rFont val="Calibri"/>
              <color rgb="009C0006"/>
              <sz val="10"/>
            </rPr>
            <t xml:space="preserve"> a B3 manager needs team leads reporting in, or 10+ people in the team, and the org chart does not show this yet.</t>
          </r>
        </is>
      </c>
    </row>
    <row r="32" ht="15" customHeight="1"/>
    <row r="33" ht="20" customHeight="1">
      <c r="A33" s="6" t="inlineStr">
        <is>
          <t>A7. Provisional placements — 0</t>
        </is>
      </c>
    </row>
    <row r="34" ht="15" customHeight="1">
      <c r="A34" s="24" t="inlineStr">
        <is>
          <t>HR to confirm the experience record; the level is kept until then.</t>
        </is>
      </c>
    </row>
    <row r="35" ht="15" customHeight="1">
      <c r="A35" s="24" t="inlineStr">
        <is>
          <t>None.</t>
        </is>
      </c>
    </row>
    <row r="36" ht="15" customHeight="1">
      <c r="A36" s="25" t="inlineStr">
        <is>
          <t>B · INPUTS STILL NEEDED — BY OWNER · pay is needed for everyone and is set later</t>
        </is>
      </c>
    </row>
    <row r="37" ht="20" customHeight="1">
      <c r="A37" s="6" t="inlineStr">
        <is>
          <t>B · Manager — 2</t>
        </is>
      </c>
    </row>
    <row r="38" ht="15" customHeight="1">
      <c r="A38" s="8" t="inlineStr">
        <is>
          <t>Person</t>
        </is>
      </c>
      <c r="B38" s="8" t="inlineStr">
        <is>
          <t>Department</t>
        </is>
      </c>
      <c r="C38" s="8" t="inlineStr">
        <is>
          <t>Level</t>
        </is>
      </c>
      <c r="D38" s="8" t="inlineStr">
        <is>
          <t>Score</t>
        </is>
      </c>
      <c r="E38" s="8" t="inlineStr">
        <is>
          <t>Designation</t>
        </is>
      </c>
      <c r="F38" s="8" t="inlineStr">
        <is>
          <t>Input needed</t>
        </is>
      </c>
    </row>
    <row r="39" ht="15" customHeight="1">
      <c r="A39" s="10" t="inlineStr">
        <is>
          <t>Shraddha Patil</t>
        </is>
      </c>
      <c r="B39" s="12" t="inlineStr">
        <is>
          <t>Digitizing</t>
        </is>
      </c>
      <c r="C39" s="26" t="inlineStr">
        <is>
          <t>B2</t>
        </is>
      </c>
      <c r="D39" s="26" t="n">
        <v>4.92</v>
      </c>
      <c r="E39" s="12" t="inlineStr">
        <is>
          <t>Digitization Manager</t>
        </is>
      </c>
      <c r="F39" s="67" t="inlineStr">
        <is>
          <t>Confirm the reporting line</t>
        </is>
      </c>
    </row>
    <row r="40" ht="15" customHeight="1">
      <c r="A40" s="10" t="inlineStr">
        <is>
          <t>Nishant Kohakade</t>
        </is>
      </c>
      <c r="B40" s="12" t="inlineStr">
        <is>
          <t>Technology</t>
        </is>
      </c>
      <c r="C40" s="26" t="inlineStr">
        <is>
          <t>B3</t>
        </is>
      </c>
      <c r="D40" s="26" t="n">
        <v>5.89</v>
      </c>
      <c r="E40" s="12" t="inlineStr">
        <is>
          <t>Lead Software Engineer</t>
        </is>
      </c>
      <c r="F40" s="67" t="inlineStr">
        <is>
          <t>Confirm the reporting line</t>
        </is>
      </c>
    </row>
    <row r="41" ht="15" customHeight="1"/>
    <row r="42" ht="20" customHeight="1">
      <c r="A42" s="6" t="inlineStr">
        <is>
          <t>B · HR — 2</t>
        </is>
      </c>
    </row>
    <row r="43" ht="15" customHeight="1">
      <c r="A43" s="8" t="inlineStr">
        <is>
          <t>Person</t>
        </is>
      </c>
      <c r="B43" s="8" t="inlineStr">
        <is>
          <t>Department</t>
        </is>
      </c>
      <c r="C43" s="8" t="inlineStr">
        <is>
          <t>Level</t>
        </is>
      </c>
      <c r="D43" s="8" t="inlineStr">
        <is>
          <t>Score</t>
        </is>
      </c>
      <c r="E43" s="8" t="inlineStr">
        <is>
          <t>Designation</t>
        </is>
      </c>
      <c r="F43" s="8" t="inlineStr">
        <is>
          <t>Input needed</t>
        </is>
      </c>
    </row>
    <row r="44" ht="15" customHeight="1">
      <c r="A44" s="10" t="inlineStr">
        <is>
          <t>Snehal Bhavesh Farad</t>
        </is>
      </c>
      <c r="B44" s="12" t="inlineStr">
        <is>
          <t>Digitizing</t>
        </is>
      </c>
      <c r="C44" s="26" t="inlineStr">
        <is>
          <t>A3</t>
        </is>
      </c>
      <c r="D44" s="26" t="n">
        <v>2.15</v>
      </c>
      <c r="E44" s="12" t="inlineStr">
        <is>
          <t>Senior Digitization Associate</t>
        </is>
      </c>
      <c r="F44" s="67" t="inlineStr">
        <is>
          <t>Correct the experience record</t>
        </is>
      </c>
    </row>
    <row r="45" ht="15" customHeight="1">
      <c r="A45" s="10" t="inlineStr">
        <is>
          <t>Gopal Krishna Sahu</t>
        </is>
      </c>
      <c r="B45" s="12" t="inlineStr">
        <is>
          <t>India Content</t>
        </is>
      </c>
      <c r="C45" s="26" t="inlineStr">
        <is>
          <t>B2</t>
        </is>
      </c>
      <c r="D45" s="26" t="n">
        <v>5.7</v>
      </c>
      <c r="E45" s="12" t="inlineStr">
        <is>
          <t>Data Operations Manager</t>
        </is>
      </c>
      <c r="F45" s="67" t="inlineStr">
        <is>
          <t>Correct the experience record</t>
        </is>
      </c>
    </row>
    <row r="46" ht="15" customHeight="1"/>
    <row r="47" ht="20" customHeight="1">
      <c r="A47" s="6" t="inlineStr">
        <is>
          <t>B · Business head — 1</t>
        </is>
      </c>
    </row>
    <row r="48" ht="15" customHeight="1">
      <c r="A48" s="8" t="inlineStr">
        <is>
          <t>Person</t>
        </is>
      </c>
      <c r="B48" s="8" t="inlineStr">
        <is>
          <t>Department</t>
        </is>
      </c>
      <c r="C48" s="8" t="inlineStr">
        <is>
          <t>Level</t>
        </is>
      </c>
      <c r="D48" s="8" t="inlineStr">
        <is>
          <t>Score</t>
        </is>
      </c>
      <c r="E48" s="8" t="inlineStr">
        <is>
          <t>Designation</t>
        </is>
      </c>
      <c r="F48" s="8" t="inlineStr">
        <is>
          <t>Input needed</t>
        </is>
      </c>
    </row>
    <row r="49" ht="15" customHeight="1">
      <c r="A49" s="10" t="inlineStr">
        <is>
          <t>Gopal Krishna Sahu</t>
        </is>
      </c>
      <c r="B49" s="12" t="inlineStr">
        <is>
          <t>India Content</t>
        </is>
      </c>
      <c r="C49" s="26" t="inlineStr">
        <is>
          <t>B2</t>
        </is>
      </c>
      <c r="D49" s="26" t="n">
        <v>5.7</v>
      </c>
      <c r="E49" s="12" t="inlineStr">
        <is>
          <t>Data Operations Manager</t>
        </is>
      </c>
      <c r="F49" s="67" t="inlineStr">
        <is>
          <t>Confirm structure behind the senior title · org chart</t>
        </is>
      </c>
    </row>
    <row r="50" ht="15" customHeight="1"/>
    <row r="51" ht="15" customHeight="1">
      <c r="A51" s="25" t="inlineStr">
        <is>
          <t>C · HOW THE STRUCTURE CHANGED IN THIS BUSINESS</t>
        </is>
      </c>
    </row>
    <row r="52" ht="20" customHeight="1">
      <c r="A52" s="6" t="inlineStr">
        <is>
          <t>C. Job families — before → after</t>
        </is>
      </c>
    </row>
    <row r="53" ht="15" customHeight="1">
      <c r="A53" s="8" t="inlineStr">
        <is>
          <t>Job family · now</t>
        </is>
      </c>
      <c r="B53" s="8" t="inlineStr">
        <is>
          <t>People</t>
        </is>
      </c>
      <c r="C53" s="74" t="inlineStr"/>
      <c r="D53" s="74" t="inlineStr"/>
      <c r="E53" s="8" t="inlineStr">
        <is>
          <t>Status</t>
        </is>
      </c>
      <c r="F53" s="8" t="inlineStr">
        <is>
          <t>What happened</t>
        </is>
      </c>
    </row>
    <row r="54" ht="28" customHeight="1">
      <c r="A54" s="10" t="inlineStr">
        <is>
          <t>Data Operations &amp; Digitization</t>
        </is>
      </c>
      <c r="B54" s="26" t="n">
        <v>9</v>
      </c>
      <c r="C54" s="12" t="inlineStr"/>
      <c r="D54" s="12" t="inlineStr"/>
      <c r="E54" s="12" t="inlineStr">
        <is>
          <t>Renamed</t>
        </is>
      </c>
      <c r="F54" s="12" t="inlineStr">
        <is>
          <t>Renamed from Professional Services</t>
        </is>
      </c>
    </row>
    <row r="55" ht="15" customHeight="1">
      <c r="A55" s="10" t="inlineStr">
        <is>
          <t>Data &amp; Analytics</t>
        </is>
      </c>
      <c r="B55" s="26" t="n">
        <v>9</v>
      </c>
      <c r="C55" s="12" t="inlineStr"/>
      <c r="D55" s="12" t="inlineStr"/>
      <c r="E55" s="12" t="inlineStr">
        <is>
          <t>Regrouped</t>
        </is>
      </c>
      <c r="F55" s="12" t="inlineStr">
        <is>
          <t>Kept its name; joined from Consulting &amp; Professional Services ×8</t>
        </is>
      </c>
    </row>
    <row r="56" ht="28" customHeight="1">
      <c r="A56" s="10" t="inlineStr">
        <is>
          <t>Engineering &amp; Development</t>
        </is>
      </c>
      <c r="B56" s="26" t="n">
        <v>4</v>
      </c>
      <c r="C56" s="12" t="inlineStr"/>
      <c r="D56" s="12" t="inlineStr"/>
      <c r="E56" s="12" t="inlineStr">
        <is>
          <t>As is</t>
        </is>
      </c>
      <c r="F56" s="12" t="inlineStr">
        <is>
          <t>Unchanged</t>
        </is>
      </c>
    </row>
    <row r="57" ht="28" customHeight="1">
      <c r="A57" s="10" t="inlineStr">
        <is>
          <t>Project &amp; Program Management</t>
        </is>
      </c>
      <c r="B57" s="26" t="n">
        <v>1</v>
      </c>
      <c r="C57" s="12" t="inlineStr"/>
      <c r="D57" s="12" t="inlineStr"/>
      <c r="E57" s="12" t="inlineStr">
        <is>
          <t>As is</t>
        </is>
      </c>
      <c r="F57" s="12" t="inlineStr">
        <is>
          <t>Unchanged</t>
        </is>
      </c>
    </row>
    <row r="58" ht="15" customHeight="1"/>
    <row r="59" ht="28" customHeight="1">
      <c r="A59" s="24" t="inlineStr">
        <is>
          <r>
            <rPr>
              <rFont val="Calibri"/>
              <b val="1"/>
              <i val="1"/>
              <color rgb="00595959"/>
              <sz val="10"/>
            </rPr>
            <t>Status:</t>
          </r>
          <r>
            <rPr>
              <rFont val="Calibri"/>
              <i val="1"/>
              <color rgb="00595959"/>
              <sz val="10"/>
            </rPr>
            <t xml:space="preserve"> As is = same name and people · Renamed = one old name became one new name · Regrouped = existing name, people joined or left · New = formed from old names.</t>
          </r>
        </is>
      </c>
    </row>
    <row r="60" ht="20" customHeight="1">
      <c r="A60" s="6" t="inlineStr">
        <is>
          <t>D · What happens next</t>
        </is>
      </c>
    </row>
    <row r="61" ht="15" customHeight="1">
      <c r="A61" s="8" t="inlineStr">
        <is>
          <t>Step</t>
        </is>
      </c>
      <c r="B61" s="74" t="inlineStr"/>
      <c r="C61" s="74" t="inlineStr"/>
      <c r="D61" s="74" t="inlineStr"/>
      <c r="E61" s="8" t="inlineStr">
        <is>
          <t>Who</t>
        </is>
      </c>
      <c r="F61" s="8" t="inlineStr">
        <is>
          <t>What</t>
        </is>
      </c>
    </row>
    <row r="62" ht="28" customHeight="1">
      <c r="A62" s="10" t="inlineStr">
        <is>
          <t>1. Validate</t>
        </is>
      </c>
      <c r="B62" s="12" t="inlineStr"/>
      <c r="C62" s="12" t="inlineStr"/>
      <c r="D62" s="12" t="inlineStr"/>
      <c r="E62" s="12" t="inlineStr">
        <is>
          <t>You and your managers</t>
        </is>
      </c>
      <c r="F62" s="12" t="inlineStr">
        <is>
          <t>Mark Agree / Change / Discuss for each person on sheet 2; give the reason for every change</t>
        </is>
      </c>
    </row>
    <row r="63" ht="28" customHeight="1">
      <c r="A63" s="10" t="inlineStr">
        <is>
          <t>2. Supply inputs</t>
        </is>
      </c>
      <c r="B63" s="12" t="inlineStr"/>
      <c r="C63" s="12" t="inlineStr"/>
      <c r="D63" s="12" t="inlineStr"/>
      <c r="E63" s="12" t="inlineStr">
        <is>
          <t>Owners in section B</t>
        </is>
      </c>
      <c r="F63" s="12" t="inlineStr">
        <is>
          <r>
            <rPr>
              <rFont val="Calibri"/>
              <b val="1"/>
              <sz val="10"/>
            </rPr>
            <t>Clear the red cells:</t>
          </r>
          <r>
            <rPr>
              <rFont val="Calibri"/>
              <sz val="10"/>
            </rPr>
            <t xml:space="preserve"> experience records, KRAs, reporting lines, scope confirmations</t>
          </r>
        </is>
      </c>
    </row>
    <row r="64" ht="28" customHeight="1">
      <c r="A64" s="10" t="inlineStr">
        <is>
          <t>3. Calibrate</t>
        </is>
      </c>
      <c r="B64" s="12" t="inlineStr"/>
      <c r="C64" s="12" t="inlineStr"/>
      <c r="D64" s="12" t="inlineStr"/>
      <c r="E64" s="12" t="inlineStr">
        <is>
          <t>Cross-business panel</t>
        </is>
      </c>
      <c r="F64" s="12" t="inlineStr">
        <is>
          <t>Decides section A cases against peers in other businesses, and all C-band and higher placements</t>
        </is>
      </c>
    </row>
    <row r="65" ht="28" customHeight="1">
      <c r="A65" s="10" t="inlineStr">
        <is>
          <t>4. Approve</t>
        </is>
      </c>
      <c r="B65" s="12" t="inlineStr"/>
      <c r="C65" s="12" t="inlineStr"/>
      <c r="D65" s="12" t="inlineStr"/>
      <c r="E65" s="12" t="inlineStr">
        <is>
          <t>HR; CEO for model changes</t>
        </is>
      </c>
      <c r="F65" s="12" t="inlineStr">
        <is>
          <t>HR approves placements; moves down are protected for one cycle; designations take effect</t>
        </is>
      </c>
    </row>
    <row r="66" ht="28" customHeight="1">
      <c r="A66" s="10" t="inlineStr">
        <is>
          <t>5. Price</t>
        </is>
      </c>
      <c r="B66" s="12" t="inlineStr"/>
      <c r="C66" s="12" t="inlineStr"/>
      <c r="D66" s="12" t="inlineStr"/>
      <c r="E66" s="12" t="inlineStr">
        <is>
          <t>HR</t>
        </is>
      </c>
      <c r="F66" s="12" t="inlineStr">
        <is>
          <t>Pay ranges per level from a purchased market survey; nothing changes pay before then</t>
        </is>
      </c>
    </row>
  </sheetData>
  <mergeCells count="29">
    <mergeCell ref="A37:F37"/>
    <mergeCell ref="A12:F12"/>
    <mergeCell ref="A18:F18"/>
    <mergeCell ref="A3:F3"/>
    <mergeCell ref="A2:F2"/>
    <mergeCell ref="A33:F33"/>
    <mergeCell ref="A47:F47"/>
    <mergeCell ref="A42:F42"/>
    <mergeCell ref="A5:F5"/>
    <mergeCell ref="A23:F23"/>
    <mergeCell ref="A8:F8"/>
    <mergeCell ref="A35:F35"/>
    <mergeCell ref="A29:F29"/>
    <mergeCell ref="A52:F52"/>
    <mergeCell ref="A10:F10"/>
    <mergeCell ref="A28:F28"/>
    <mergeCell ref="A13:F13"/>
    <mergeCell ref="A19:F19"/>
    <mergeCell ref="A9:F9"/>
    <mergeCell ref="A34:F34"/>
    <mergeCell ref="A59:F59"/>
    <mergeCell ref="A24:F24"/>
    <mergeCell ref="A11:F11"/>
    <mergeCell ref="A51:F51"/>
    <mergeCell ref="A60:F60"/>
    <mergeCell ref="A36:F36"/>
    <mergeCell ref="A1:F1"/>
    <mergeCell ref="A6:F6"/>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Q18"/>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Consume: department → band → level, competencies and overlaps</t>
        </is>
      </c>
      <c r="Q1" s="86" t="inlineStr">
        <is>
          <t>◂ Start Here</t>
        </is>
      </c>
    </row>
    <row r="2" ht="32" customHeight="1">
      <c r="A2" s="3" t="inlineStr">
        <is>
          <t>Sheet 5 · 23 people in 3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58" t="inlineStr">
        <is>
          <t>Department</t>
        </is>
      </c>
      <c r="B6" s="58" t="inlineStr">
        <is>
          <t>Band</t>
        </is>
      </c>
      <c r="C6" s="58" t="inlineStr">
        <is>
          <t>Level</t>
        </is>
      </c>
      <c r="D6" s="58" t="inlineStr">
        <is>
          <t>Level title</t>
        </is>
      </c>
      <c r="E6" s="58" t="inlineStr">
        <is>
          <t>Job family</t>
        </is>
      </c>
      <c r="F6" s="58" t="inlineStr">
        <is>
          <t>Sub-family</t>
        </is>
      </c>
      <c r="G6" s="58" t="inlineStr">
        <is>
          <t>Designation</t>
        </is>
      </c>
      <c r="H6" s="58" t="inlineStr">
        <is>
          <t>Track</t>
        </is>
      </c>
      <c r="I6" s="58" t="inlineStr">
        <is>
          <t>Holders</t>
        </is>
      </c>
      <c r="J6" s="58" t="inlineStr">
        <is>
          <t>Ladder in this sub-family here · level: designation</t>
        </is>
      </c>
      <c r="K6" s="58" t="inlineStr">
        <is>
          <t>★ Must-have competencies</t>
        </is>
      </c>
      <c r="L6" s="58" t="inlineStr">
        <is>
          <t>Other functional competencies</t>
        </is>
      </c>
      <c r="M6" s="58" t="inlineStr">
        <is>
          <t>Proficiency needed</t>
        </is>
      </c>
      <c r="N6" s="58" t="inlineStr">
        <is>
          <t>Credentials</t>
        </is>
      </c>
      <c r="O6" s="58" t="inlineStr">
        <is>
          <t>Overlap within Consume · same work in other departments</t>
        </is>
      </c>
      <c r="P6" s="58" t="inlineStr">
        <is>
          <t>Overlap across IRIS · same work in other products</t>
        </is>
      </c>
    </row>
    <row r="7" ht="55" customHeight="1">
      <c r="A7" s="12" t="inlineStr">
        <is>
          <t>Digitizing</t>
        </is>
      </c>
      <c r="B7" s="17" t="inlineStr">
        <is>
          <t>A · Practitioner</t>
        </is>
      </c>
      <c r="C7" s="17" t="inlineStr">
        <is>
          <t>A2</t>
        </is>
      </c>
      <c r="D7" s="12" t="inlineStr">
        <is>
          <t>Associate</t>
        </is>
      </c>
      <c r="E7" s="12" t="inlineStr">
        <is>
          <t>Data Operations &amp; Digitization</t>
        </is>
      </c>
      <c r="F7" s="12" t="inlineStr">
        <is>
          <t>Document Conversion, Formatting &amp; Web Publishing</t>
        </is>
      </c>
      <c r="G7" s="12" t="inlineStr">
        <is>
          <t>Digitization Associate</t>
        </is>
      </c>
      <c r="H7" s="12" t="inlineStr">
        <is>
          <t>IC</t>
        </is>
      </c>
      <c r="I7" s="12" t="n">
        <v>1</v>
      </c>
      <c r="J7" s="12" t="inlineStr">
        <is>
          <r>
            <rPr>
              <rFont val="Calibri"/>
              <b val="1"/>
              <sz val="10"/>
            </rPr>
            <t>A2:</t>
          </r>
          <r>
            <rPr>
              <rFont val="Calibri"/>
              <sz val="10"/>
            </rPr>
            <t xml:space="preserve"> Digitization Associate → A3: Senior Digitization Associate → B1: Digitization Specialist → B2: Digitization Manager</t>
          </r>
        </is>
      </c>
      <c r="K7" s="12" t="inlineStr">
        <is>
          <t>Advanced Excel &amp; Productivity Tools · Process Improvement &amp; Quality Mindset</t>
        </is>
      </c>
      <c r="L7" s="12" t="inlineStr">
        <is>
          <t>Regulatory &amp; BFSI Domain · XBRL, iXBRL &amp; Taxonomy · AI, GenAI &amp; Prompt Engineering · Time, Priority &amp; Self-Management</t>
        </is>
      </c>
      <c r="M7" s="12" t="inlineStr">
        <is>
          <t>Core 2 · Future-ready 2 · Functional 2 · Leadership —</t>
        </is>
      </c>
      <c r="N7" s="12" t="inlineStr">
        <is>
          <t>MOS Excel · optional; Lean / Six Sigma · optional</t>
        </is>
      </c>
      <c r="O7" s="12" t="inlineStr">
        <is>
          <t>None — only this department</t>
        </is>
      </c>
      <c r="P7" s="17" t="inlineStr">
        <is>
          <t>CARBON 3
Same title</t>
        </is>
      </c>
    </row>
    <row r="8" ht="55" customHeight="1">
      <c r="A8" s="12" t="inlineStr">
        <is>
          <t>Digitizing</t>
        </is>
      </c>
      <c r="B8" s="17" t="inlineStr">
        <is>
          <t>A · Practitioner</t>
        </is>
      </c>
      <c r="C8" s="17" t="inlineStr">
        <is>
          <t>A3</t>
        </is>
      </c>
      <c r="D8" s="12" t="inlineStr">
        <is>
          <t>Senior Associate</t>
        </is>
      </c>
      <c r="E8" s="12" t="inlineStr">
        <is>
          <t>Data Operations &amp; Digitization</t>
        </is>
      </c>
      <c r="F8" s="12" t="inlineStr">
        <is>
          <t>Document Conversion, Formatting &amp; Web Publishing</t>
        </is>
      </c>
      <c r="G8" s="12" t="inlineStr">
        <is>
          <t>Senior Digitization Associate</t>
        </is>
      </c>
      <c r="H8" s="12" t="inlineStr">
        <is>
          <t>IC</t>
        </is>
      </c>
      <c r="I8" s="12" t="n">
        <v>6</v>
      </c>
      <c r="J8" s="12" t="inlineStr">
        <is>
          <r>
            <rPr>
              <rFont val="Calibri"/>
              <b val="1"/>
              <sz val="10"/>
            </rPr>
            <t>A2:</t>
          </r>
          <r>
            <rPr>
              <rFont val="Calibri"/>
              <sz val="10"/>
            </rPr>
            <t xml:space="preserve"> Digitization Associate → A3: Senior Digitization Associate → B1: Digitization Specialist → B2: Digitization Manager</t>
          </r>
        </is>
      </c>
      <c r="K8" s="12" t="inlineStr">
        <is>
          <t>Advanced Excel &amp; Productivity Tools · Process Improvement &amp; Quality Mindset</t>
        </is>
      </c>
      <c r="L8" s="12" t="inlineStr">
        <is>
          <t>Regulatory &amp; BFSI Domain · XBRL, iXBRL &amp; Taxonomy · AI, GenAI &amp; Prompt Engineering · Time, Priority &amp; Self-Management</t>
        </is>
      </c>
      <c r="M8" s="12" t="inlineStr">
        <is>
          <t>Core 2 · Future-ready 2 · Functional 3 · Leadership —</t>
        </is>
      </c>
      <c r="N8" s="12" t="inlineStr">
        <is>
          <t>MOS Excel · optional; Lean / Six Sigma · optional</t>
        </is>
      </c>
      <c r="O8" s="12" t="inlineStr">
        <is>
          <t>None — only this department</t>
        </is>
      </c>
      <c r="P8" s="17" t="inlineStr">
        <is>
          <t>CARBON 14
Same title</t>
        </is>
      </c>
    </row>
    <row r="9" ht="55" customHeight="1">
      <c r="A9" s="12" t="inlineStr">
        <is>
          <t>Digitizing</t>
        </is>
      </c>
      <c r="B9" s="21" t="inlineStr">
        <is>
          <t>B · Specialist / Manager</t>
        </is>
      </c>
      <c r="C9" s="21" t="inlineStr">
        <is>
          <t>B1</t>
        </is>
      </c>
      <c r="D9" s="12" t="inlineStr">
        <is>
          <t>Specialist</t>
        </is>
      </c>
      <c r="E9" s="12" t="inlineStr">
        <is>
          <t>Data Operations &amp; Digitization</t>
        </is>
      </c>
      <c r="F9" s="12" t="inlineStr">
        <is>
          <t>Document Conversion, Formatting &amp; Web Publishing</t>
        </is>
      </c>
      <c r="G9" s="12" t="inlineStr">
        <is>
          <t>Digitization Specialist</t>
        </is>
      </c>
      <c r="H9" s="12" t="inlineStr">
        <is>
          <t>IC</t>
        </is>
      </c>
      <c r="I9" s="12" t="n">
        <v>1</v>
      </c>
      <c r="J9" s="12" t="inlineStr">
        <is>
          <r>
            <rPr>
              <rFont val="Calibri"/>
              <b val="1"/>
              <sz val="10"/>
            </rPr>
            <t>A2:</t>
          </r>
          <r>
            <rPr>
              <rFont val="Calibri"/>
              <sz val="10"/>
            </rPr>
            <t xml:space="preserve"> Digitization Associate → A3: Senior Digitization Associate → B1: Digitization Specialist → B2: Digitization Manager</t>
          </r>
        </is>
      </c>
      <c r="K9" s="12" t="inlineStr">
        <is>
          <t>Advanced Excel &amp; Productivity Tools · Process Improvement &amp; Quality Mindset</t>
        </is>
      </c>
      <c r="L9" s="12" t="inlineStr">
        <is>
          <t>Regulatory &amp; BFSI Domain · XBRL, iXBRL &amp; Taxonomy · AI, GenAI &amp; Prompt Engineering · Time, Priority &amp; Self-Management</t>
        </is>
      </c>
      <c r="M9" s="12" t="inlineStr">
        <is>
          <t>Core 3 · Future-ready 3 · Functional 3 · Leadership 1</t>
        </is>
      </c>
      <c r="N9" s="12" t="inlineStr">
        <is>
          <t>MOS Excel · optional; Lean / Six Sigma · optional</t>
        </is>
      </c>
      <c r="O9" s="12" t="inlineStr">
        <is>
          <t>None — only this department</t>
        </is>
      </c>
      <c r="P9" s="17" t="inlineStr">
        <is>
          <r>
            <rPr>
              <rFont val="Calibri"/>
              <sz val="10"/>
            </rPr>
            <t xml:space="preserve">CARBON 4
</t>
          </r>
          <r>
            <rPr>
              <rFont val="Calibri"/>
              <b val="1"/>
              <sz val="10"/>
            </rPr>
            <t>Titled there:</t>
          </r>
          <r>
            <rPr>
              <rFont val="Calibri"/>
              <sz val="10"/>
            </rPr>
            <t xml:space="preserve"> Digitization Specialist – POD Lead / Team Lead – Digitization</t>
          </r>
        </is>
      </c>
    </row>
    <row r="10" ht="55" customHeight="1">
      <c r="A10" s="12" t="inlineStr">
        <is>
          <t>Digitizing</t>
        </is>
      </c>
      <c r="B10" s="21" t="inlineStr">
        <is>
          <t>B · Specialist / Manager</t>
        </is>
      </c>
      <c r="C10" s="21" t="inlineStr">
        <is>
          <t>B2</t>
        </is>
      </c>
      <c r="D10" s="12" t="inlineStr">
        <is>
          <t>Manager</t>
        </is>
      </c>
      <c r="E10" s="12" t="inlineStr">
        <is>
          <t>Data Operations &amp; Digitization</t>
        </is>
      </c>
      <c r="F10" s="12" t="inlineStr">
        <is>
          <t>Document Conversion, Formatting &amp; Web Publishing</t>
        </is>
      </c>
      <c r="G10" s="12" t="inlineStr">
        <is>
          <t>Digitization Manager</t>
        </is>
      </c>
      <c r="H10" s="12" t="inlineStr">
        <is>
          <t>People Manager</t>
        </is>
      </c>
      <c r="I10" s="12" t="n">
        <v>1</v>
      </c>
      <c r="J10" s="12" t="inlineStr">
        <is>
          <r>
            <rPr>
              <rFont val="Calibri"/>
              <b val="1"/>
              <sz val="10"/>
            </rPr>
            <t>A2:</t>
          </r>
          <r>
            <rPr>
              <rFont val="Calibri"/>
              <sz val="10"/>
            </rPr>
            <t xml:space="preserve"> Digitization Associate → A3: Senior Digitization Associate → B1: Digitization Specialist → B2: Digitization Manager</t>
          </r>
        </is>
      </c>
      <c r="K10" s="12" t="inlineStr">
        <is>
          <t>Advanced Excel &amp; Productivity Tools · Process Improvement &amp; Quality Mindset</t>
        </is>
      </c>
      <c r="L10" s="12" t="inlineStr">
        <is>
          <t>Regulatory &amp; BFSI Domain · XBRL, iXBRL &amp; Taxonomy · AI, GenAI &amp; Prompt Engineering · Time, Priority &amp; Self-Management</t>
        </is>
      </c>
      <c r="M10" s="12" t="inlineStr">
        <is>
          <t>Core 3 · Future-ready 3 · Functional 4 · Leadership 3</t>
        </is>
      </c>
      <c r="N10" s="12" t="inlineStr">
        <is>
          <t>MOS Excel · optional; Lean / Six Sigma · optional</t>
        </is>
      </c>
      <c r="O10" s="12" t="inlineStr">
        <is>
          <t>None — only this department</t>
        </is>
      </c>
      <c r="P10" s="17" t="inlineStr">
        <is>
          <t>CARBON 1
Same title</t>
        </is>
      </c>
    </row>
    <row r="11" ht="68" customHeight="1">
      <c r="A11" s="12" t="inlineStr">
        <is>
          <t>India Content</t>
        </is>
      </c>
      <c r="B11" s="17" t="inlineStr">
        <is>
          <t>A · Practitioner</t>
        </is>
      </c>
      <c r="C11" s="17" t="inlineStr">
        <is>
          <t>A3</t>
        </is>
      </c>
      <c r="D11" s="12" t="inlineStr">
        <is>
          <t>Senior Associate</t>
        </is>
      </c>
      <c r="E11" s="12" t="inlineStr">
        <is>
          <t>Data &amp; Analytics</t>
        </is>
      </c>
      <c r="F11" s="12" t="inlineStr">
        <is>
          <t>Financial Data Processing</t>
        </is>
      </c>
      <c r="G11" s="12" t="inlineStr">
        <is>
          <t>Senior Data Analyst</t>
        </is>
      </c>
      <c r="H11" s="12" t="inlineStr">
        <is>
          <t>IC</t>
        </is>
      </c>
      <c r="I11" s="12" t="n">
        <v>7</v>
      </c>
      <c r="J11" s="12" t="inlineStr">
        <is>
          <r>
            <rPr>
              <rFont val="Calibri"/>
              <b val="1"/>
              <sz val="10"/>
            </rPr>
            <t>A3:</t>
          </r>
          <r>
            <rPr>
              <rFont val="Calibri"/>
              <sz val="10"/>
            </rPr>
            <t xml:space="preserve"> Senior Data Analyst → B1: Data Specialist → B2: Data Operations Manager</t>
          </r>
        </is>
      </c>
      <c r="K11" s="12" t="inlineStr">
        <is>
          <t>Data Analytics, BI &amp; Visualisation · Database, SQL &amp; Data Engineering</t>
        </is>
      </c>
      <c r="L11" s="12" t="inlineStr">
        <is>
          <t>Advanced Excel &amp; Productivity Tools · Regulatory &amp; BFSI Domain · Process Improvement &amp; Quality Mindset · Accounting &amp; Reporting Standards · IFRS/US GAAP</t>
        </is>
      </c>
      <c r="M11" s="12" t="inlineStr">
        <is>
          <t>Core 2 · Future-ready 2 · Functional 3 · Leadership —</t>
        </is>
      </c>
      <c r="N11" s="12" t="inlineStr">
        <is>
          <t>Power BI / Tableau · optional; Database certifications · optional</t>
        </is>
      </c>
      <c r="O11" s="12" t="inlineStr">
        <is>
          <t>None — only this department</t>
        </is>
      </c>
      <c r="P11" s="12" t="inlineStr">
        <is>
          <t>None — only Consume</t>
        </is>
      </c>
    </row>
    <row r="12" ht="68" customHeight="1">
      <c r="A12" s="12" t="inlineStr">
        <is>
          <t>India Content</t>
        </is>
      </c>
      <c r="B12" s="21" t="inlineStr">
        <is>
          <t>B · Specialist / Manager</t>
        </is>
      </c>
      <c r="C12" s="21" t="inlineStr">
        <is>
          <t>B1</t>
        </is>
      </c>
      <c r="D12" s="12" t="inlineStr">
        <is>
          <t>Specialist</t>
        </is>
      </c>
      <c r="E12" s="12" t="inlineStr">
        <is>
          <t>Data &amp; Analytics</t>
        </is>
      </c>
      <c r="F12" s="12" t="inlineStr">
        <is>
          <t>Financial Data Processing</t>
        </is>
      </c>
      <c r="G12" s="12" t="inlineStr">
        <is>
          <t>Data Specialist</t>
        </is>
      </c>
      <c r="H12" s="12" t="inlineStr">
        <is>
          <t>IC</t>
        </is>
      </c>
      <c r="I12" s="12" t="n">
        <v>1</v>
      </c>
      <c r="J12" s="12" t="inlineStr">
        <is>
          <r>
            <rPr>
              <rFont val="Calibri"/>
              <b val="1"/>
              <sz val="10"/>
            </rPr>
            <t>A3:</t>
          </r>
          <r>
            <rPr>
              <rFont val="Calibri"/>
              <sz val="10"/>
            </rPr>
            <t xml:space="preserve"> Senior Data Analyst → B1: Data Specialist → B2: Data Operations Manager</t>
          </r>
        </is>
      </c>
      <c r="K12" s="12" t="inlineStr">
        <is>
          <t>Data Analytics, BI &amp; Visualisation · Database, SQL &amp; Data Engineering</t>
        </is>
      </c>
      <c r="L12" s="12" t="inlineStr">
        <is>
          <t>Advanced Excel &amp; Productivity Tools · Regulatory &amp; BFSI Domain · Process Improvement &amp; Quality Mindset · Accounting &amp; Reporting Standards · IFRS/US GAAP</t>
        </is>
      </c>
      <c r="M12" s="12" t="inlineStr">
        <is>
          <t>Core 3 · Future-ready 3 · Functional 3 · Leadership 1</t>
        </is>
      </c>
      <c r="N12" s="12" t="inlineStr">
        <is>
          <t>Power BI / Tableau · optional; Database certifications · optional</t>
        </is>
      </c>
      <c r="O12" s="12" t="inlineStr">
        <is>
          <t>None — only this department</t>
        </is>
      </c>
      <c r="P12" s="12" t="inlineStr">
        <is>
          <t>None — only Consume</t>
        </is>
      </c>
    </row>
    <row r="13" ht="68" customHeight="1">
      <c r="A13" s="12" t="inlineStr">
        <is>
          <t>India Content</t>
        </is>
      </c>
      <c r="B13" s="21" t="inlineStr">
        <is>
          <t>B · Specialist / Manager</t>
        </is>
      </c>
      <c r="C13" s="21" t="inlineStr">
        <is>
          <t>B2</t>
        </is>
      </c>
      <c r="D13" s="12" t="inlineStr">
        <is>
          <t>Manager</t>
        </is>
      </c>
      <c r="E13" s="12" t="inlineStr">
        <is>
          <t>Data &amp; Analytics</t>
        </is>
      </c>
      <c r="F13" s="12" t="inlineStr">
        <is>
          <t>Financial Data Processing</t>
        </is>
      </c>
      <c r="G13" s="12" t="inlineStr">
        <is>
          <t>Data Operations Manager</t>
        </is>
      </c>
      <c r="H13" s="12" t="inlineStr">
        <is>
          <t>People Manager</t>
        </is>
      </c>
      <c r="I13" s="12" t="n">
        <v>1</v>
      </c>
      <c r="J13" s="12" t="inlineStr">
        <is>
          <r>
            <rPr>
              <rFont val="Calibri"/>
              <b val="1"/>
              <sz val="10"/>
            </rPr>
            <t>A3:</t>
          </r>
          <r>
            <rPr>
              <rFont val="Calibri"/>
              <sz val="10"/>
            </rPr>
            <t xml:space="preserve"> Senior Data Analyst → B1: Data Specialist → B2: Data Operations Manager</t>
          </r>
        </is>
      </c>
      <c r="K13" s="12" t="inlineStr">
        <is>
          <t>Data Analytics, BI &amp; Visualisation · Database, SQL &amp; Data Engineering</t>
        </is>
      </c>
      <c r="L13" s="12" t="inlineStr">
        <is>
          <t>Advanced Excel &amp; Productivity Tools · Regulatory &amp; BFSI Domain · Process Improvement &amp; Quality Mindset · Accounting &amp; Reporting Standards · IFRS/US GAAP</t>
        </is>
      </c>
      <c r="M13" s="12" t="inlineStr">
        <is>
          <t>Core 3 · Future-ready 3 · Functional 4 · Leadership 3</t>
        </is>
      </c>
      <c r="N13" s="12" t="inlineStr">
        <is>
          <t>Power BI / Tableau · optional; Database certifications · optional</t>
        </is>
      </c>
      <c r="O13" s="12" t="inlineStr">
        <is>
          <t>None — only this department</t>
        </is>
      </c>
      <c r="P13" s="12" t="inlineStr">
        <is>
          <t>None — only Consume</t>
        </is>
      </c>
    </row>
    <row r="14" ht="55" customHeight="1">
      <c r="A14" s="12" t="inlineStr">
        <is>
          <t>Technology</t>
        </is>
      </c>
      <c r="B14" s="17" t="inlineStr">
        <is>
          <t>A · Practitioner</t>
        </is>
      </c>
      <c r="C14" s="17" t="inlineStr">
        <is>
          <t>A3</t>
        </is>
      </c>
      <c r="D14" s="12" t="inlineStr">
        <is>
          <t>Senior Associate</t>
        </is>
      </c>
      <c r="E14" s="12" t="inlineStr">
        <is>
          <t>Engineering &amp; Development</t>
        </is>
      </c>
      <c r="F14" s="12" t="inlineStr">
        <is>
          <t>Application Maintenance &amp; Production Support</t>
        </is>
      </c>
      <c r="G14" s="12" t="inlineStr">
        <is>
          <t>Senior Software Engineer</t>
        </is>
      </c>
      <c r="H14" s="12" t="inlineStr">
        <is>
          <t>IC</t>
        </is>
      </c>
      <c r="I14" s="12" t="n">
        <v>1</v>
      </c>
      <c r="J14" s="12" t="inlineStr">
        <is>
          <r>
            <rPr>
              <rFont val="Calibri"/>
              <b val="1"/>
              <sz val="10"/>
            </rPr>
            <t>A3:</t>
          </r>
          <r>
            <rPr>
              <rFont val="Calibri"/>
              <sz val="10"/>
            </rPr>
            <t xml:space="preserve"> Senior Software Engineer / Technical Specialist → B1: Technical Specialist → B3: Lead Software Engineer</t>
          </r>
        </is>
      </c>
      <c r="K14" s="12" t="inlineStr">
        <is>
          <t>Programming &amp; Tech-Stack Depth · System Design &amp; Architecture</t>
        </is>
      </c>
      <c r="L14" s="12" t="inlineStr">
        <is>
          <t>Database, SQL &amp; Data Engineering · Cloud, DevOps &amp; CI/CD · AI, GenAI &amp; Prompt Engineering · Product, Platform &amp; Domain Knowledge</t>
        </is>
      </c>
      <c r="M14" s="12" t="inlineStr">
        <is>
          <t>Core 2 · Future-ready 2 · Functional 3 · Leadership —</t>
        </is>
      </c>
      <c r="N14" s="12" t="inlineStr">
        <is>
          <t>Cloud / language certifications · optional; AWS / Azure architect · optional</t>
        </is>
      </c>
      <c r="O14" s="12" t="inlineStr">
        <is>
          <t>None — only this department</t>
        </is>
      </c>
      <c r="P14" s="17" t="inlineStr">
        <is>
          <t>CARBON 2
Same title</t>
        </is>
      </c>
    </row>
    <row r="15" ht="55" customHeight="1">
      <c r="A15" s="12" t="inlineStr">
        <is>
          <t>Technology</t>
        </is>
      </c>
      <c r="B15" s="17" t="inlineStr">
        <is>
          <t>A · Practitioner</t>
        </is>
      </c>
      <c r="C15" s="17" t="inlineStr">
        <is>
          <t>A3</t>
        </is>
      </c>
      <c r="D15" s="12" t="inlineStr">
        <is>
          <t>Senior Associate</t>
        </is>
      </c>
      <c r="E15" s="12" t="inlineStr">
        <is>
          <t>Engineering &amp; Development</t>
        </is>
      </c>
      <c r="F15" s="12" t="inlineStr">
        <is>
          <t>Application Maintenance &amp; Production Support</t>
        </is>
      </c>
      <c r="G15" s="12" t="inlineStr">
        <is>
          <t>Technical Specialist</t>
        </is>
      </c>
      <c r="H15" s="12" t="inlineStr">
        <is>
          <t>IC</t>
        </is>
      </c>
      <c r="I15" s="12" t="n">
        <v>1</v>
      </c>
      <c r="J15" s="12" t="inlineStr">
        <is>
          <r>
            <rPr>
              <rFont val="Calibri"/>
              <b val="1"/>
              <sz val="10"/>
            </rPr>
            <t>A3:</t>
          </r>
          <r>
            <rPr>
              <rFont val="Calibri"/>
              <sz val="10"/>
            </rPr>
            <t xml:space="preserve"> Senior Software Engineer / Technical Specialist → B1: Technical Specialist → B3: Lead Software Engineer</t>
          </r>
        </is>
      </c>
      <c r="K15" s="12" t="inlineStr">
        <is>
          <t>Programming &amp; Tech-Stack Depth · System Design &amp; Architecture</t>
        </is>
      </c>
      <c r="L15" s="12" t="inlineStr">
        <is>
          <t>Database, SQL &amp; Data Engineering · Cloud, DevOps &amp; CI/CD · AI, GenAI &amp; Prompt Engineering · Product, Platform &amp; Domain Knowledge</t>
        </is>
      </c>
      <c r="M15" s="12" t="inlineStr">
        <is>
          <t>Core 2 · Future-ready 2 · Functional 3 · Leadership —</t>
        </is>
      </c>
      <c r="N15" s="12" t="inlineStr">
        <is>
          <t>Cloud / language certifications · optional; AWS / Azure architect · optional</t>
        </is>
      </c>
      <c r="O15" s="12" t="inlineStr">
        <is>
          <t>None — only this department</t>
        </is>
      </c>
      <c r="P15" s="17" t="inlineStr">
        <is>
          <r>
            <rPr>
              <rFont val="Calibri"/>
              <sz val="10"/>
            </rPr>
            <t xml:space="preserve">CARBON 2
</t>
          </r>
          <r>
            <rPr>
              <rFont val="Calibri"/>
              <b val="1"/>
              <sz val="10"/>
            </rPr>
            <t>Titled there:</t>
          </r>
          <r>
            <rPr>
              <rFont val="Calibri"/>
              <sz val="10"/>
            </rPr>
            <t xml:space="preserve"> Senior Software Engineer</t>
          </r>
        </is>
      </c>
    </row>
    <row r="16" ht="55" customHeight="1">
      <c r="A16" s="12" t="inlineStr">
        <is>
          <t>Technology</t>
        </is>
      </c>
      <c r="B16" s="21" t="inlineStr">
        <is>
          <t>B · Specialist / Manager</t>
        </is>
      </c>
      <c r="C16" s="21" t="inlineStr">
        <is>
          <t>B1</t>
        </is>
      </c>
      <c r="D16" s="12" t="inlineStr">
        <is>
          <t>Specialist</t>
        </is>
      </c>
      <c r="E16" s="12" t="inlineStr">
        <is>
          <t>Engineering &amp; Development</t>
        </is>
      </c>
      <c r="F16" s="12" t="inlineStr">
        <is>
          <t>Application Maintenance &amp; Production Support</t>
        </is>
      </c>
      <c r="G16" s="12" t="inlineStr">
        <is>
          <t>Technical Specialist</t>
        </is>
      </c>
      <c r="H16" s="12" t="inlineStr">
        <is>
          <t>IC</t>
        </is>
      </c>
      <c r="I16" s="12" t="n">
        <v>1</v>
      </c>
      <c r="J16" s="12" t="inlineStr">
        <is>
          <r>
            <rPr>
              <rFont val="Calibri"/>
              <b val="1"/>
              <sz val="10"/>
            </rPr>
            <t>A3:</t>
          </r>
          <r>
            <rPr>
              <rFont val="Calibri"/>
              <sz val="10"/>
            </rPr>
            <t xml:space="preserve"> Senior Software Engineer / Technical Specialist → B1: Technical Specialist → B3: Lead Software Engineer</t>
          </r>
        </is>
      </c>
      <c r="K16" s="12" t="inlineStr">
        <is>
          <t>Programming &amp; Tech-Stack Depth · System Design &amp; Architecture</t>
        </is>
      </c>
      <c r="L16" s="12" t="inlineStr">
        <is>
          <t>Database, SQL &amp; Data Engineering · Cloud, DevOps &amp; CI/CD · AI, GenAI &amp; Prompt Engineering · Product, Platform &amp; Domain Knowledge</t>
        </is>
      </c>
      <c r="M16" s="12" t="inlineStr">
        <is>
          <t>Core 3 · Future-ready 3 · Functional 3 · Leadership 1</t>
        </is>
      </c>
      <c r="N16" s="12" t="inlineStr">
        <is>
          <t>Cloud / language certifications · optional; AWS / Azure architect · optional</t>
        </is>
      </c>
      <c r="O16" s="12" t="inlineStr">
        <is>
          <t>None — only this department</t>
        </is>
      </c>
      <c r="P16" s="12" t="inlineStr">
        <is>
          <t>None — only Consume</t>
        </is>
      </c>
    </row>
    <row r="17" ht="68" customHeight="1">
      <c r="A17" s="12" t="inlineStr">
        <is>
          <t>Technology</t>
        </is>
      </c>
      <c r="B17" s="21" t="inlineStr">
        <is>
          <t>B · Specialist / Manager</t>
        </is>
      </c>
      <c r="C17" s="21" t="inlineStr">
        <is>
          <t>B2</t>
        </is>
      </c>
      <c r="D17" s="12" t="inlineStr">
        <is>
          <t>Manager</t>
        </is>
      </c>
      <c r="E17" s="12" t="inlineStr">
        <is>
          <t>Project &amp; Program Management</t>
        </is>
      </c>
      <c r="F17" s="12" t="inlineStr">
        <is>
          <t>Project &amp; Program Delivery</t>
        </is>
      </c>
      <c r="G17" s="12" t="inlineStr">
        <is>
          <t>Project Manager</t>
        </is>
      </c>
      <c r="H17" s="12" t="inlineStr">
        <is>
          <t>People Manager</t>
        </is>
      </c>
      <c r="I17" s="12" t="n">
        <v>1</v>
      </c>
      <c r="J17" s="12" t="inlineStr">
        <is>
          <r>
            <rPr>
              <rFont val="Calibri"/>
              <b val="1"/>
              <sz val="10"/>
            </rPr>
            <t>B2:</t>
          </r>
          <r>
            <rPr>
              <rFont val="Calibri"/>
              <sz val="10"/>
            </rPr>
            <t xml:space="preserve"> Project Manager</t>
          </r>
        </is>
      </c>
      <c r="K17" s="12" t="inlineStr">
        <is>
          <t>Project, Program &amp; Agile Management · Stakeholder &amp; Client Management</t>
        </is>
      </c>
      <c r="L17" s="12" t="inlineStr">
        <is>
          <t>Communication &amp; Presentation · Process Improvement &amp; Quality Mindset · Strategic Thinking &amp; Business Acumen · Product, Platform &amp; Domain Knowledge</t>
        </is>
      </c>
      <c r="M17" s="12" t="inlineStr">
        <is>
          <t>Core 3 · Future-ready 3 · Functional 4 · Leadership 3</t>
        </is>
      </c>
      <c r="N17" s="12" t="inlineStr">
        <is>
          <t>PMP / PRINCE2 / CSM / SAFe</t>
        </is>
      </c>
      <c r="O17" s="12" t="inlineStr">
        <is>
          <t>None — only this department</t>
        </is>
      </c>
      <c r="P17" s="17" t="inlineStr">
        <is>
          <r>
            <rPr>
              <rFont val="Calibri"/>
              <sz val="10"/>
            </rPr>
            <t xml:space="preserve">iFile 7 · CARBON 1
</t>
          </r>
          <r>
            <rPr>
              <rFont val="Calibri"/>
              <b val="1"/>
              <sz val="10"/>
            </rPr>
            <t>Titled there:</t>
          </r>
          <r>
            <rPr>
              <rFont val="Calibri"/>
              <sz val="10"/>
            </rPr>
            <t xml:space="preserve"> Delivery Manager / Project Manager</t>
          </r>
        </is>
      </c>
    </row>
    <row r="18" ht="55" customHeight="1">
      <c r="A18" s="12" t="inlineStr">
        <is>
          <t>Technology</t>
        </is>
      </c>
      <c r="B18" s="21" t="inlineStr">
        <is>
          <t>B · Specialist / Manager</t>
        </is>
      </c>
      <c r="C18" s="21" t="inlineStr">
        <is>
          <t>B3</t>
        </is>
      </c>
      <c r="D18" s="12" t="inlineStr">
        <is>
          <t>Lead Specialist</t>
        </is>
      </c>
      <c r="E18" s="12" t="inlineStr">
        <is>
          <t>Engineering &amp; Development</t>
        </is>
      </c>
      <c r="F18" s="12" t="inlineStr">
        <is>
          <t>Application Maintenance &amp; Production Support</t>
        </is>
      </c>
      <c r="G18" s="12" t="inlineStr">
        <is>
          <t>Lead Software Engineer</t>
        </is>
      </c>
      <c r="H18" s="12" t="inlineStr">
        <is>
          <t>IC</t>
        </is>
      </c>
      <c r="I18" s="12" t="n">
        <v>1</v>
      </c>
      <c r="J18" s="12" t="inlineStr">
        <is>
          <r>
            <rPr>
              <rFont val="Calibri"/>
              <b val="1"/>
              <sz val="10"/>
            </rPr>
            <t>A3:</t>
          </r>
          <r>
            <rPr>
              <rFont val="Calibri"/>
              <sz val="10"/>
            </rPr>
            <t xml:space="preserve"> Senior Software Engineer / Technical Specialist → B1: Technical Specialist → B3: Lead Software Engineer</t>
          </r>
        </is>
      </c>
      <c r="K18" s="12" t="inlineStr">
        <is>
          <t>Programming &amp; Tech-Stack Depth · System Design &amp; Architecture</t>
        </is>
      </c>
      <c r="L18" s="12" t="inlineStr">
        <is>
          <t>Database, SQL &amp; Data Engineering · Cloud, DevOps &amp; CI/CD · AI, GenAI &amp; Prompt Engineering · Product, Platform &amp; Domain Knowledge</t>
        </is>
      </c>
      <c r="M18" s="12" t="inlineStr">
        <is>
          <t>Core 4 · Future-ready 3 · Functional 4 · Leadership 3</t>
        </is>
      </c>
      <c r="N18" s="12" t="inlineStr">
        <is>
          <t>Cloud / language certifications · optional; AWS / Azure architect · optional</t>
        </is>
      </c>
      <c r="O18" s="12" t="inlineStr">
        <is>
          <t>None — only this department</t>
        </is>
      </c>
      <c r="P18" s="12" t="inlineStr">
        <is>
          <t>None — only Consume</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Z83"/>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86" t="inlineStr">
        <is>
          <t>◂ Start Here</t>
        </is>
      </c>
    </row>
    <row r="2" ht="30" customHeight="1">
      <c r="A2" s="3" t="inlineStr">
        <is>
          <t>6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79" t="inlineStr">
        <is>
          <t>Experience &amp; Qualification weight — Bands A–B</t>
        </is>
      </c>
      <c r="B6" s="80" t="n">
        <v>10</v>
      </c>
      <c r="C6" s="24" t="inlineStr">
        <is>
          <t>Band A, Band B and B+ · Corporate functions rows add 5 for professional qualifications</t>
        </is>
      </c>
    </row>
    <row r="7">
      <c r="A7" s="79" t="inlineStr">
        <is>
          <t>Experience &amp; Qualification weight — Bands C–E</t>
        </is>
      </c>
      <c r="B7" s="80" t="n">
        <v>5</v>
      </c>
      <c r="C7" s="24" t="inlineStr">
        <is>
          <t>Band C, C+ and Bands D–E · Corporate functions rows add 5 for professional qualifications</t>
        </is>
      </c>
    </row>
    <row r="8">
      <c r="A8" s="24"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7" t="inlineStr">
        <is>
          <t>1. Find your department and role group in the matrix below · filter the Department column.</t>
        </is>
      </c>
    </row>
    <row r="12">
      <c r="A12" s="7" t="inlineStr">
        <is>
          <t>2. Change the yellow weights in steps of 5%. Each row should add up to about 100% — the 'Used' columns show the weights actually applied.</t>
        </is>
      </c>
    </row>
    <row r="13">
      <c r="A13" s="7" t="inlineStr">
        <is>
          <t>3. Look at sheet 2: points, the score and 'Level the score indicates' have already changed for everyone in that department and role group.</t>
        </is>
      </c>
    </row>
    <row r="14">
      <c r="A14" s="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58" t="inlineStr">
        <is>
          <t>Weight row</t>
        </is>
      </c>
      <c r="B16" s="58" t="inlineStr">
        <is>
          <t>Business</t>
        </is>
      </c>
      <c r="C16" s="58" t="inlineStr">
        <is>
          <t>Department</t>
        </is>
      </c>
      <c r="D16" s="58" t="inlineStr">
        <is>
          <t>Role group</t>
        </is>
      </c>
      <c r="E16" s="58" t="inlineStr">
        <is>
          <t>People</t>
        </is>
      </c>
      <c r="F16" s="58" t="inlineStr">
        <is>
          <t>Main type of work</t>
        </is>
      </c>
      <c r="G16" s="8" t="inlineStr">
        <is>
          <t>How hard %</t>
        </is>
      </c>
      <c r="H16" s="8" t="inlineStr">
        <is>
          <t>Decides alone %</t>
        </is>
      </c>
      <c r="I16" s="8" t="inlineStr">
        <is>
          <t>Answers for %</t>
        </is>
      </c>
      <c r="J16" s="8" t="inlineStr">
        <is>
          <t>Leads %</t>
        </is>
      </c>
      <c r="K16" s="8" t="inlineStr">
        <is>
          <t>Experience %</t>
        </is>
      </c>
      <c r="L16" s="8" t="inlineStr">
        <is>
          <t>Business impact %</t>
        </is>
      </c>
      <c r="M16" s="8" t="inlineStr">
        <is>
          <t>Entered total</t>
        </is>
      </c>
      <c r="N16" s="58" t="inlineStr">
        <is>
          <t>Used · How hard</t>
        </is>
      </c>
      <c r="O16" s="58" t="inlineStr">
        <is>
          <t>Used · Decides alone</t>
        </is>
      </c>
      <c r="P16" s="58" t="inlineStr">
        <is>
          <t>Used · Answers for</t>
        </is>
      </c>
      <c r="Q16" s="58" t="inlineStr">
        <is>
          <t>Used · Leads</t>
        </is>
      </c>
      <c r="R16" s="58" t="inlineStr">
        <is>
          <t>Used · Experience</t>
        </is>
      </c>
      <c r="S16" s="58" t="inlineStr">
        <is>
          <t>Used · Business impact</t>
        </is>
      </c>
      <c r="T16" s="58" t="inlineStr">
        <is>
          <t>Why changed · leader</t>
        </is>
      </c>
      <c r="U16" s="81" t="inlineStr">
        <is>
          <t>Default · How hard</t>
        </is>
      </c>
      <c r="V16" s="81" t="inlineStr">
        <is>
          <t>Default · Decides alone</t>
        </is>
      </c>
      <c r="W16" s="81" t="inlineStr">
        <is>
          <t>Default · Answers for</t>
        </is>
      </c>
      <c r="X16" s="81" t="inlineStr">
        <is>
          <t>Default · Leads</t>
        </is>
      </c>
      <c r="Y16" s="81" t="inlineStr">
        <is>
          <t>Default · Experience</t>
        </is>
      </c>
      <c r="Z16" s="81" t="inlineStr">
        <is>
          <t>Default · Business impact</t>
        </is>
      </c>
    </row>
    <row r="17" ht="30" customHeight="1">
      <c r="A17" s="12" t="inlineStr">
        <is>
          <t>Consume · Digitizing · Band A · Early career</t>
        </is>
      </c>
      <c r="B17" s="12" t="inlineStr">
        <is>
          <t>Consume</t>
        </is>
      </c>
      <c r="C17" s="12" t="inlineStr">
        <is>
          <t>Digitizing</t>
        </is>
      </c>
      <c r="D17" s="10" t="inlineStr">
        <is>
          <t>Band A · Early career</t>
        </is>
      </c>
      <c r="E17" s="26" t="n">
        <v>7</v>
      </c>
      <c r="F17" s="12" t="inlineStr">
        <is>
          <t>Service delivery &amp; data operations</t>
        </is>
      </c>
      <c r="G17" s="82" t="n">
        <v>54</v>
      </c>
      <c r="H17" s="82" t="n">
        <v>16</v>
      </c>
      <c r="I17" s="82" t="n">
        <v>14</v>
      </c>
      <c r="J17" s="82" t="n">
        <v>0</v>
      </c>
      <c r="K17" s="82">
        <f>WM_EXP_AB</f>
        <v>10</v>
      </c>
      <c r="L17" s="82" t="n">
        <v>6</v>
      </c>
      <c r="M17" s="83">
        <f>SUM(G17:L17)</f>
        <v>100</v>
      </c>
      <c r="N17" s="84">
        <f>IF((G17+H17+I17+J17+L17)=0,0,G17*(100-MAX(0,MIN(100,K17)))/(G17+H17+I17+J17+L17))/100</f>
        <v>0.54</v>
      </c>
      <c r="O17" s="84">
        <f>IF((G17+H17+I17+J17+L17)=0,0,H17*(100-MAX(0,MIN(100,K17)))/(G17+H17+I17+J17+L17))/100</f>
        <v>0.16</v>
      </c>
      <c r="P17" s="84">
        <f>IF((G17+H17+I17+J17+L17)=0,0,I17*(100-MAX(0,MIN(100,K17)))/(G17+H17+I17+J17+L17))/100</f>
        <v>0.14</v>
      </c>
      <c r="Q17" s="84">
        <f>IF((G17+H17+I17+J17+L17)=0,0,J17*(100-MAX(0,MIN(100,K17)))/(G17+H17+I17+J17+L17))/100</f>
        <v>0</v>
      </c>
      <c r="R17" s="84">
        <f>MAX(0,MIN(100,K17))/100</f>
        <v>0.1</v>
      </c>
      <c r="S17" s="84">
        <f>IF((G17+H17+I17+J17+L17)=0,0,L17*(100-MAX(0,MIN(100,K17)))/(G17+H17+I17+J17+L17))/100</f>
        <v>0.06</v>
      </c>
      <c r="T17" s="68" t="n"/>
      <c r="U17" s="85" t="n">
        <v>54</v>
      </c>
      <c r="V17" s="85" t="n">
        <v>16</v>
      </c>
      <c r="W17" s="85" t="n">
        <v>14</v>
      </c>
      <c r="X17" s="85" t="n">
        <v>0</v>
      </c>
      <c r="Y17" s="85" t="n">
        <v>10</v>
      </c>
      <c r="Z17" s="85" t="n">
        <v>6</v>
      </c>
    </row>
    <row r="18" ht="30" customHeight="1">
      <c r="A18" s="12" t="inlineStr">
        <is>
          <t>Consume · Digitizing · Band B · Expert / POD Lead</t>
        </is>
      </c>
      <c r="B18" s="12" t="inlineStr">
        <is>
          <t>Consume</t>
        </is>
      </c>
      <c r="C18" s="12" t="inlineStr">
        <is>
          <t>Digitizing</t>
        </is>
      </c>
      <c r="D18" s="10" t="inlineStr">
        <is>
          <t>Band B · Expert / POD Lead</t>
        </is>
      </c>
      <c r="E18" s="26" t="n">
        <v>1</v>
      </c>
      <c r="F18" s="12" t="inlineStr">
        <is>
          <t>Service delivery &amp; data operations</t>
        </is>
      </c>
      <c r="G18" s="82" t="n">
        <v>46</v>
      </c>
      <c r="H18" s="82" t="n">
        <v>17</v>
      </c>
      <c r="I18" s="82" t="n">
        <v>15</v>
      </c>
      <c r="J18" s="82" t="n">
        <v>5</v>
      </c>
      <c r="K18" s="82">
        <f>WM_EXP_AB</f>
        <v>10</v>
      </c>
      <c r="L18" s="82" t="n">
        <v>7</v>
      </c>
      <c r="M18" s="83">
        <f>SUM(G18:L18)</f>
        <v>100</v>
      </c>
      <c r="N18" s="84">
        <f>IF((G18+H18+I18+J18+L18)=0,0,G18*(100-MAX(0,MIN(100,K18)))/(G18+H18+I18+J18+L18))/100</f>
        <v>0.46</v>
      </c>
      <c r="O18" s="84">
        <f>IF((G18+H18+I18+J18+L18)=0,0,H18*(100-MAX(0,MIN(100,K18)))/(G18+H18+I18+J18+L18))/100</f>
        <v>0.17</v>
      </c>
      <c r="P18" s="84">
        <f>IF((G18+H18+I18+J18+L18)=0,0,I18*(100-MAX(0,MIN(100,K18)))/(G18+H18+I18+J18+L18))/100</f>
        <v>0.15</v>
      </c>
      <c r="Q18" s="84">
        <f>IF((G18+H18+I18+J18+L18)=0,0,J18*(100-MAX(0,MIN(100,K18)))/(G18+H18+I18+J18+L18))/100</f>
        <v>0.05</v>
      </c>
      <c r="R18" s="84">
        <f>MAX(0,MIN(100,K18))/100</f>
        <v>0.1</v>
      </c>
      <c r="S18" s="84">
        <f>IF((G18+H18+I18+J18+L18)=0,0,L18*(100-MAX(0,MIN(100,K18)))/(G18+H18+I18+J18+L18))/100</f>
        <v>0.07</v>
      </c>
      <c r="T18" s="68" t="n"/>
      <c r="U18" s="85" t="n">
        <v>46</v>
      </c>
      <c r="V18" s="85" t="n">
        <v>17</v>
      </c>
      <c r="W18" s="85" t="n">
        <v>15</v>
      </c>
      <c r="X18" s="85" t="n">
        <v>5</v>
      </c>
      <c r="Y18" s="85" t="n">
        <v>10</v>
      </c>
      <c r="Z18" s="85" t="n">
        <v>7</v>
      </c>
    </row>
    <row r="19" ht="30" customHeight="1">
      <c r="A19" s="12" t="inlineStr">
        <is>
          <t>Consume · Digitizing · Band B · People Manager</t>
        </is>
      </c>
      <c r="B19" s="12" t="inlineStr">
        <is>
          <t>Consume</t>
        </is>
      </c>
      <c r="C19" s="12" t="inlineStr">
        <is>
          <t>Digitizing</t>
        </is>
      </c>
      <c r="D19" s="10" t="inlineStr">
        <is>
          <t>Band B · People Manager</t>
        </is>
      </c>
      <c r="E19" s="26" t="n">
        <v>1</v>
      </c>
      <c r="F19" s="12" t="inlineStr">
        <is>
          <t>Service delivery &amp; data operations</t>
        </is>
      </c>
      <c r="G19" s="82" t="n">
        <v>32</v>
      </c>
      <c r="H19" s="82" t="n">
        <v>18</v>
      </c>
      <c r="I19" s="82" t="n">
        <v>16</v>
      </c>
      <c r="J19" s="82" t="n">
        <v>15</v>
      </c>
      <c r="K19" s="82">
        <f>WM_EXP_AB</f>
        <v>10</v>
      </c>
      <c r="L19" s="82" t="n">
        <v>9</v>
      </c>
      <c r="M19" s="83">
        <f>SUM(G19:L19)</f>
        <v>100</v>
      </c>
      <c r="N19" s="84">
        <f>IF((G19+H19+I19+J19+L19)=0,0,G19*(100-MAX(0,MIN(100,K19)))/(G19+H19+I19+J19+L19))/100</f>
        <v>0.32</v>
      </c>
      <c r="O19" s="84">
        <f>IF((G19+H19+I19+J19+L19)=0,0,H19*(100-MAX(0,MIN(100,K19)))/(G19+H19+I19+J19+L19))/100</f>
        <v>0.18</v>
      </c>
      <c r="P19" s="84">
        <f>IF((G19+H19+I19+J19+L19)=0,0,I19*(100-MAX(0,MIN(100,K19)))/(G19+H19+I19+J19+L19))/100</f>
        <v>0.16</v>
      </c>
      <c r="Q19" s="84">
        <f>IF((G19+H19+I19+J19+L19)=0,0,J19*(100-MAX(0,MIN(100,K19)))/(G19+H19+I19+J19+L19))/100</f>
        <v>0.15</v>
      </c>
      <c r="R19" s="84">
        <f>MAX(0,MIN(100,K19))/100</f>
        <v>0.1</v>
      </c>
      <c r="S19" s="84">
        <f>IF((G19+H19+I19+J19+L19)=0,0,L19*(100-MAX(0,MIN(100,K19)))/(G19+H19+I19+J19+L19))/100</f>
        <v>0.09</v>
      </c>
      <c r="T19" s="68" t="n"/>
      <c r="U19" s="85" t="n">
        <v>32</v>
      </c>
      <c r="V19" s="85" t="n">
        <v>18</v>
      </c>
      <c r="W19" s="85" t="n">
        <v>16</v>
      </c>
      <c r="X19" s="85" t="n">
        <v>15</v>
      </c>
      <c r="Y19" s="85" t="n">
        <v>10</v>
      </c>
      <c r="Z19" s="85" t="n">
        <v>9</v>
      </c>
    </row>
    <row r="20" ht="30" customHeight="1">
      <c r="A20" s="12" t="inlineStr">
        <is>
          <t>Consume · India Content · Band A · Early career</t>
        </is>
      </c>
      <c r="B20" s="12" t="inlineStr">
        <is>
          <t>Consume</t>
        </is>
      </c>
      <c r="C20" s="12" t="inlineStr">
        <is>
          <t>India Content</t>
        </is>
      </c>
      <c r="D20" s="10" t="inlineStr">
        <is>
          <t>Band A · Early career</t>
        </is>
      </c>
      <c r="E20" s="26" t="n">
        <v>7</v>
      </c>
      <c r="F20" s="12" t="inlineStr">
        <is>
          <t>Service delivery &amp; data operations</t>
        </is>
      </c>
      <c r="G20" s="82" t="n">
        <v>54</v>
      </c>
      <c r="H20" s="82" t="n">
        <v>16</v>
      </c>
      <c r="I20" s="82" t="n">
        <v>14</v>
      </c>
      <c r="J20" s="82" t="n">
        <v>0</v>
      </c>
      <c r="K20" s="82">
        <f>WM_EXP_AB</f>
        <v>10</v>
      </c>
      <c r="L20" s="82" t="n">
        <v>6</v>
      </c>
      <c r="M20" s="83">
        <f>SUM(G20:L20)</f>
        <v>100</v>
      </c>
      <c r="N20" s="84">
        <f>IF((G20+H20+I20+J20+L20)=0,0,G20*(100-MAX(0,MIN(100,K20)))/(G20+H20+I20+J20+L20))/100</f>
        <v>0.54</v>
      </c>
      <c r="O20" s="84">
        <f>IF((G20+H20+I20+J20+L20)=0,0,H20*(100-MAX(0,MIN(100,K20)))/(G20+H20+I20+J20+L20))/100</f>
        <v>0.16</v>
      </c>
      <c r="P20" s="84">
        <f>IF((G20+H20+I20+J20+L20)=0,0,I20*(100-MAX(0,MIN(100,K20)))/(G20+H20+I20+J20+L20))/100</f>
        <v>0.14</v>
      </c>
      <c r="Q20" s="84">
        <f>IF((G20+H20+I20+J20+L20)=0,0,J20*(100-MAX(0,MIN(100,K20)))/(G20+H20+I20+J20+L20))/100</f>
        <v>0</v>
      </c>
      <c r="R20" s="84">
        <f>MAX(0,MIN(100,K20))/100</f>
        <v>0.1</v>
      </c>
      <c r="S20" s="84">
        <f>IF((G20+H20+I20+J20+L20)=0,0,L20*(100-MAX(0,MIN(100,K20)))/(G20+H20+I20+J20+L20))/100</f>
        <v>0.06</v>
      </c>
      <c r="T20" s="68" t="n"/>
      <c r="U20" s="85" t="n">
        <v>54</v>
      </c>
      <c r="V20" s="85" t="n">
        <v>16</v>
      </c>
      <c r="W20" s="85" t="n">
        <v>14</v>
      </c>
      <c r="X20" s="85" t="n">
        <v>0</v>
      </c>
      <c r="Y20" s="85" t="n">
        <v>10</v>
      </c>
      <c r="Z20" s="85" t="n">
        <v>6</v>
      </c>
    </row>
    <row r="21" ht="30" customHeight="1">
      <c r="A21" s="12" t="inlineStr">
        <is>
          <t>Consume · India Content · Band B · Expert / POD Lead</t>
        </is>
      </c>
      <c r="B21" s="12" t="inlineStr">
        <is>
          <t>Consume</t>
        </is>
      </c>
      <c r="C21" s="12" t="inlineStr">
        <is>
          <t>India Content</t>
        </is>
      </c>
      <c r="D21" s="10" t="inlineStr">
        <is>
          <t>Band B · Expert / POD Lead</t>
        </is>
      </c>
      <c r="E21" s="26" t="n">
        <v>1</v>
      </c>
      <c r="F21" s="12" t="inlineStr">
        <is>
          <t>Service delivery &amp; data operations</t>
        </is>
      </c>
      <c r="G21" s="82" t="n">
        <v>46</v>
      </c>
      <c r="H21" s="82" t="n">
        <v>17</v>
      </c>
      <c r="I21" s="82" t="n">
        <v>15</v>
      </c>
      <c r="J21" s="82" t="n">
        <v>5</v>
      </c>
      <c r="K21" s="82">
        <f>WM_EXP_AB</f>
        <v>10</v>
      </c>
      <c r="L21" s="82" t="n">
        <v>7</v>
      </c>
      <c r="M21" s="83">
        <f>SUM(G21:L21)</f>
        <v>100</v>
      </c>
      <c r="N21" s="84">
        <f>IF((G21+H21+I21+J21+L21)=0,0,G21*(100-MAX(0,MIN(100,K21)))/(G21+H21+I21+J21+L21))/100</f>
        <v>0.46</v>
      </c>
      <c r="O21" s="84">
        <f>IF((G21+H21+I21+J21+L21)=0,0,H21*(100-MAX(0,MIN(100,K21)))/(G21+H21+I21+J21+L21))/100</f>
        <v>0.17</v>
      </c>
      <c r="P21" s="84">
        <f>IF((G21+H21+I21+J21+L21)=0,0,I21*(100-MAX(0,MIN(100,K21)))/(G21+H21+I21+J21+L21))/100</f>
        <v>0.15</v>
      </c>
      <c r="Q21" s="84">
        <f>IF((G21+H21+I21+J21+L21)=0,0,J21*(100-MAX(0,MIN(100,K21)))/(G21+H21+I21+J21+L21))/100</f>
        <v>0.05</v>
      </c>
      <c r="R21" s="84">
        <f>MAX(0,MIN(100,K21))/100</f>
        <v>0.1</v>
      </c>
      <c r="S21" s="84">
        <f>IF((G21+H21+I21+J21+L21)=0,0,L21*(100-MAX(0,MIN(100,K21)))/(G21+H21+I21+J21+L21))/100</f>
        <v>0.07</v>
      </c>
      <c r="T21" s="68" t="n"/>
      <c r="U21" s="85" t="n">
        <v>46</v>
      </c>
      <c r="V21" s="85" t="n">
        <v>17</v>
      </c>
      <c r="W21" s="85" t="n">
        <v>15</v>
      </c>
      <c r="X21" s="85" t="n">
        <v>5</v>
      </c>
      <c r="Y21" s="85" t="n">
        <v>10</v>
      </c>
      <c r="Z21" s="85" t="n">
        <v>7</v>
      </c>
    </row>
    <row r="22" ht="30" customHeight="1">
      <c r="A22" s="12" t="inlineStr">
        <is>
          <t>Consume · India Content · Band B · People Manager</t>
        </is>
      </c>
      <c r="B22" s="12" t="inlineStr">
        <is>
          <t>Consume</t>
        </is>
      </c>
      <c r="C22" s="12" t="inlineStr">
        <is>
          <t>India Content</t>
        </is>
      </c>
      <c r="D22" s="10" t="inlineStr">
        <is>
          <t>Band B · People Manager</t>
        </is>
      </c>
      <c r="E22" s="26" t="n">
        <v>1</v>
      </c>
      <c r="F22" s="12" t="inlineStr">
        <is>
          <t>Service delivery &amp; data operations</t>
        </is>
      </c>
      <c r="G22" s="82" t="n">
        <v>32</v>
      </c>
      <c r="H22" s="82" t="n">
        <v>18</v>
      </c>
      <c r="I22" s="82" t="n">
        <v>16</v>
      </c>
      <c r="J22" s="82" t="n">
        <v>15</v>
      </c>
      <c r="K22" s="82">
        <f>WM_EXP_AB</f>
        <v>10</v>
      </c>
      <c r="L22" s="82" t="n">
        <v>9</v>
      </c>
      <c r="M22" s="83">
        <f>SUM(G22:L22)</f>
        <v>100</v>
      </c>
      <c r="N22" s="84">
        <f>IF((G22+H22+I22+J22+L22)=0,0,G22*(100-MAX(0,MIN(100,K22)))/(G22+H22+I22+J22+L22))/100</f>
        <v>0.32</v>
      </c>
      <c r="O22" s="84">
        <f>IF((G22+H22+I22+J22+L22)=0,0,H22*(100-MAX(0,MIN(100,K22)))/(G22+H22+I22+J22+L22))/100</f>
        <v>0.18</v>
      </c>
      <c r="P22" s="84">
        <f>IF((G22+H22+I22+J22+L22)=0,0,I22*(100-MAX(0,MIN(100,K22)))/(G22+H22+I22+J22+L22))/100</f>
        <v>0.16</v>
      </c>
      <c r="Q22" s="84">
        <f>IF((G22+H22+I22+J22+L22)=0,0,J22*(100-MAX(0,MIN(100,K22)))/(G22+H22+I22+J22+L22))/100</f>
        <v>0.15</v>
      </c>
      <c r="R22" s="84">
        <f>MAX(0,MIN(100,K22))/100</f>
        <v>0.1</v>
      </c>
      <c r="S22" s="84">
        <f>IF((G22+H22+I22+J22+L22)=0,0,L22*(100-MAX(0,MIN(100,K22)))/(G22+H22+I22+J22+L22))/100</f>
        <v>0.09</v>
      </c>
      <c r="T22" s="68" t="n"/>
      <c r="U22" s="85" t="n">
        <v>32</v>
      </c>
      <c r="V22" s="85" t="n">
        <v>18</v>
      </c>
      <c r="W22" s="85" t="n">
        <v>16</v>
      </c>
      <c r="X22" s="85" t="n">
        <v>15</v>
      </c>
      <c r="Y22" s="85" t="n">
        <v>10</v>
      </c>
      <c r="Z22" s="85" t="n">
        <v>9</v>
      </c>
    </row>
    <row r="23" ht="30" customHeight="1">
      <c r="A23" s="12" t="inlineStr">
        <is>
          <t>Consume · Technology · Band A · Early career</t>
        </is>
      </c>
      <c r="B23" s="12" t="inlineStr">
        <is>
          <t>Consume</t>
        </is>
      </c>
      <c r="C23" s="12" t="inlineStr">
        <is>
          <t>Technology</t>
        </is>
      </c>
      <c r="D23" s="10" t="inlineStr">
        <is>
          <t>Band A · Early career</t>
        </is>
      </c>
      <c r="E23" s="26" t="n">
        <v>2</v>
      </c>
      <c r="F23" s="12" t="inlineStr">
        <is>
          <t>Technology &amp; engineering</t>
        </is>
      </c>
      <c r="G23" s="82" t="n">
        <v>64</v>
      </c>
      <c r="H23" s="82" t="n">
        <v>16</v>
      </c>
      <c r="I23" s="82" t="n">
        <v>4</v>
      </c>
      <c r="J23" s="82" t="n">
        <v>0</v>
      </c>
      <c r="K23" s="82">
        <f>WM_EXP_AB</f>
        <v>10</v>
      </c>
      <c r="L23" s="82" t="n">
        <v>6</v>
      </c>
      <c r="M23" s="83">
        <f>SUM(G23:L23)</f>
        <v>100</v>
      </c>
      <c r="N23" s="84">
        <f>IF((G23+H23+I23+J23+L23)=0,0,G23*(100-MAX(0,MIN(100,K23)))/(G23+H23+I23+J23+L23))/100</f>
        <v>0.64</v>
      </c>
      <c r="O23" s="84">
        <f>IF((G23+H23+I23+J23+L23)=0,0,H23*(100-MAX(0,MIN(100,K23)))/(G23+H23+I23+J23+L23))/100</f>
        <v>0.16</v>
      </c>
      <c r="P23" s="84">
        <f>IF((G23+H23+I23+J23+L23)=0,0,I23*(100-MAX(0,MIN(100,K23)))/(G23+H23+I23+J23+L23))/100</f>
        <v>0.04</v>
      </c>
      <c r="Q23" s="84">
        <f>IF((G23+H23+I23+J23+L23)=0,0,J23*(100-MAX(0,MIN(100,K23)))/(G23+H23+I23+J23+L23))/100</f>
        <v>0</v>
      </c>
      <c r="R23" s="84">
        <f>MAX(0,MIN(100,K23))/100</f>
        <v>0.1</v>
      </c>
      <c r="S23" s="84">
        <f>IF((G23+H23+I23+J23+L23)=0,0,L23*(100-MAX(0,MIN(100,K23)))/(G23+H23+I23+J23+L23))/100</f>
        <v>0.06</v>
      </c>
      <c r="T23" s="68" t="n"/>
      <c r="U23" s="85" t="n">
        <v>64</v>
      </c>
      <c r="V23" s="85" t="n">
        <v>16</v>
      </c>
      <c r="W23" s="85" t="n">
        <v>4</v>
      </c>
      <c r="X23" s="85" t="n">
        <v>0</v>
      </c>
      <c r="Y23" s="85" t="n">
        <v>10</v>
      </c>
      <c r="Z23" s="85" t="n">
        <v>6</v>
      </c>
    </row>
    <row r="24" ht="30" customHeight="1">
      <c r="A24" s="12" t="inlineStr">
        <is>
          <t>Consume · Technology · Band B · Expert / POD Lead</t>
        </is>
      </c>
      <c r="B24" s="12" t="inlineStr">
        <is>
          <t>Consume</t>
        </is>
      </c>
      <c r="C24" s="12" t="inlineStr">
        <is>
          <t>Technology</t>
        </is>
      </c>
      <c r="D24" s="10" t="inlineStr">
        <is>
          <t>Band B · Expert / POD Lead</t>
        </is>
      </c>
      <c r="E24" s="26" t="n">
        <v>2</v>
      </c>
      <c r="F24" s="12" t="inlineStr">
        <is>
          <t>Technology &amp; engineering</t>
        </is>
      </c>
      <c r="G24" s="82" t="n">
        <v>56</v>
      </c>
      <c r="H24" s="82" t="n">
        <v>17</v>
      </c>
      <c r="I24" s="82" t="n">
        <v>5</v>
      </c>
      <c r="J24" s="82" t="n">
        <v>5</v>
      </c>
      <c r="K24" s="82">
        <f>WM_EXP_AB</f>
        <v>10</v>
      </c>
      <c r="L24" s="82" t="n">
        <v>7</v>
      </c>
      <c r="M24" s="83">
        <f>SUM(G24:L24)</f>
        <v>100</v>
      </c>
      <c r="N24" s="84">
        <f>IF((G24+H24+I24+J24+L24)=0,0,G24*(100-MAX(0,MIN(100,K24)))/(G24+H24+I24+J24+L24))/100</f>
        <v>0.56</v>
      </c>
      <c r="O24" s="84">
        <f>IF((G24+H24+I24+J24+L24)=0,0,H24*(100-MAX(0,MIN(100,K24)))/(G24+H24+I24+J24+L24))/100</f>
        <v>0.17</v>
      </c>
      <c r="P24" s="84">
        <f>IF((G24+H24+I24+J24+L24)=0,0,I24*(100-MAX(0,MIN(100,K24)))/(G24+H24+I24+J24+L24))/100</f>
        <v>0.05</v>
      </c>
      <c r="Q24" s="84">
        <f>IF((G24+H24+I24+J24+L24)=0,0,J24*(100-MAX(0,MIN(100,K24)))/(G24+H24+I24+J24+L24))/100</f>
        <v>0.05</v>
      </c>
      <c r="R24" s="84">
        <f>MAX(0,MIN(100,K24))/100</f>
        <v>0.1</v>
      </c>
      <c r="S24" s="84">
        <f>IF((G24+H24+I24+J24+L24)=0,0,L24*(100-MAX(0,MIN(100,K24)))/(G24+H24+I24+J24+L24))/100</f>
        <v>0.07</v>
      </c>
      <c r="T24" s="68" t="n"/>
      <c r="U24" s="85" t="n">
        <v>56</v>
      </c>
      <c r="V24" s="85" t="n">
        <v>17</v>
      </c>
      <c r="W24" s="85" t="n">
        <v>5</v>
      </c>
      <c r="X24" s="85" t="n">
        <v>5</v>
      </c>
      <c r="Y24" s="85" t="n">
        <v>10</v>
      </c>
      <c r="Z24" s="85" t="n">
        <v>7</v>
      </c>
    </row>
    <row r="25" ht="30" customHeight="1">
      <c r="A25" s="12" t="inlineStr">
        <is>
          <t>Consume · Technology · Band B · People Manager</t>
        </is>
      </c>
      <c r="B25" s="12" t="inlineStr">
        <is>
          <t>Consume</t>
        </is>
      </c>
      <c r="C25" s="12" t="inlineStr">
        <is>
          <t>Technology</t>
        </is>
      </c>
      <c r="D25" s="10" t="inlineStr">
        <is>
          <t>Band B · People Manager</t>
        </is>
      </c>
      <c r="E25" s="26" t="n">
        <v>1</v>
      </c>
      <c r="F25" s="12" t="inlineStr">
        <is>
          <t>Technology &amp; engineering</t>
        </is>
      </c>
      <c r="G25" s="82" t="n">
        <v>42</v>
      </c>
      <c r="H25" s="82" t="n">
        <v>18</v>
      </c>
      <c r="I25" s="82" t="n">
        <v>6</v>
      </c>
      <c r="J25" s="82" t="n">
        <v>15</v>
      </c>
      <c r="K25" s="82">
        <f>WM_EXP_AB</f>
        <v>10</v>
      </c>
      <c r="L25" s="82" t="n">
        <v>9</v>
      </c>
      <c r="M25" s="83">
        <f>SUM(G25:L25)</f>
        <v>100</v>
      </c>
      <c r="N25" s="84">
        <f>IF((G25+H25+I25+J25+L25)=0,0,G25*(100-MAX(0,MIN(100,K25)))/(G25+H25+I25+J25+L25))/100</f>
        <v>0.42</v>
      </c>
      <c r="O25" s="84">
        <f>IF((G25+H25+I25+J25+L25)=0,0,H25*(100-MAX(0,MIN(100,K25)))/(G25+H25+I25+J25+L25))/100</f>
        <v>0.18</v>
      </c>
      <c r="P25" s="84">
        <f>IF((G25+H25+I25+J25+L25)=0,0,I25*(100-MAX(0,MIN(100,K25)))/(G25+H25+I25+J25+L25))/100</f>
        <v>0.06</v>
      </c>
      <c r="Q25" s="84">
        <f>IF((G25+H25+I25+J25+L25)=0,0,J25*(100-MAX(0,MIN(100,K25)))/(G25+H25+I25+J25+L25))/100</f>
        <v>0.15</v>
      </c>
      <c r="R25" s="84">
        <f>MAX(0,MIN(100,K25))/100</f>
        <v>0.1</v>
      </c>
      <c r="S25" s="84">
        <f>IF((G25+H25+I25+J25+L25)=0,0,L25*(100-MAX(0,MIN(100,K25)))/(G25+H25+I25+J25+L25))/100</f>
        <v>0.09</v>
      </c>
      <c r="T25" s="68" t="n"/>
      <c r="U25" s="85" t="n">
        <v>42</v>
      </c>
      <c r="V25" s="85" t="n">
        <v>18</v>
      </c>
      <c r="W25" s="85" t="n">
        <v>6</v>
      </c>
      <c r="X25" s="85" t="n">
        <v>15</v>
      </c>
      <c r="Y25" s="85" t="n">
        <v>10</v>
      </c>
      <c r="Z25" s="85" t="n">
        <v>9</v>
      </c>
    </row>
    <row r="26" ht="15" customHeight="1"/>
    <row r="27" ht="20" customHeight="1">
      <c r="A27" s="6" t="inlineStr">
        <is>
          <t>WHAT EACH FACTOR MEANS — and when to give it more weight</t>
        </is>
      </c>
    </row>
    <row r="28" ht="15" customHeight="1">
      <c r="A28" s="8" t="inlineStr">
        <is>
          <t>Factor</t>
        </is>
      </c>
      <c r="B28" s="76" t="n"/>
      <c r="C28" s="8" t="inlineStr">
        <is>
          <t>What it measures</t>
        </is>
      </c>
      <c r="D28" s="75" t="n"/>
      <c r="E28" s="75" t="n"/>
      <c r="F28" s="75" t="n"/>
      <c r="G28" s="75" t="n"/>
      <c r="H28" s="76" t="n"/>
      <c r="I28" s="8" t="inlineStr">
        <is>
          <t>Give it more weight when…</t>
        </is>
      </c>
      <c r="J28" s="75" t="n"/>
      <c r="K28" s="75" t="n"/>
      <c r="L28" s="75" t="n"/>
      <c r="M28" s="75" t="n"/>
      <c r="N28" s="75" t="n"/>
      <c r="O28" s="75" t="n"/>
      <c r="P28" s="75" t="n"/>
      <c r="Q28" s="75" t="n"/>
      <c r="R28" s="75" t="n"/>
      <c r="S28" s="75" t="n"/>
      <c r="T28" s="76" t="n"/>
    </row>
    <row r="29" ht="15" customHeight="1">
      <c r="A29" s="10" t="inlineStr">
        <is>
          <t>Complexity &amp; Expertise</t>
        </is>
      </c>
      <c r="B29" s="76" t="n"/>
      <c r="C29" s="12" t="inlineStr">
        <is>
          <t>How hard and how specialised the work is</t>
        </is>
      </c>
      <c r="D29" s="75" t="n"/>
      <c r="E29" s="75" t="n"/>
      <c r="F29" s="75" t="n"/>
      <c r="G29" s="75" t="n"/>
      <c r="H29" s="76" t="n"/>
      <c r="I29" s="12" t="inlineStr">
        <is>
          <r>
            <rPr>
              <rFont val="Calibri"/>
              <b val="1"/>
              <sz val="10"/>
            </rPr>
            <t>The job's value is deep expertise:</t>
          </r>
          <r>
            <rPr>
              <rFont val="Calibri"/>
              <sz val="10"/>
            </rPr>
            <t xml:space="preserve"> architecture, actuarial, taxonomy design</t>
          </r>
        </is>
      </c>
      <c r="J29" s="75" t="n"/>
      <c r="K29" s="75" t="n"/>
      <c r="L29" s="75" t="n"/>
      <c r="M29" s="75" t="n"/>
      <c r="N29" s="75" t="n"/>
      <c r="O29" s="75" t="n"/>
      <c r="P29" s="75" t="n"/>
      <c r="Q29" s="75" t="n"/>
      <c r="R29" s="75" t="n"/>
      <c r="S29" s="75" t="n"/>
      <c r="T29" s="76" t="n"/>
    </row>
    <row r="30" ht="15" customHeight="1">
      <c r="A30" s="10" t="inlineStr">
        <is>
          <t>Autonomy &amp; Decision</t>
        </is>
      </c>
      <c r="B30" s="76" t="n"/>
      <c r="C30" s="12" t="inlineStr">
        <is>
          <t>What the person decides without asking</t>
        </is>
      </c>
      <c r="D30" s="75" t="n"/>
      <c r="E30" s="75" t="n"/>
      <c r="F30" s="75" t="n"/>
      <c r="G30" s="75" t="n"/>
      <c r="H30" s="76" t="n"/>
      <c r="I30" s="12" t="inlineStr">
        <is>
          <r>
            <rPr>
              <rFont val="Calibri"/>
              <b val="1"/>
              <sz val="10"/>
            </rPr>
            <t>The job is trusted to act alone:</t>
          </r>
          <r>
            <rPr>
              <rFont val="Calibri"/>
              <sz val="10"/>
            </rPr>
            <t xml:space="preserve"> product calls, deals, client decisions</t>
          </r>
        </is>
      </c>
      <c r="J30" s="75" t="n"/>
      <c r="K30" s="75" t="n"/>
      <c r="L30" s="75" t="n"/>
      <c r="M30" s="75" t="n"/>
      <c r="N30" s="75" t="n"/>
      <c r="O30" s="75" t="n"/>
      <c r="P30" s="75" t="n"/>
      <c r="Q30" s="75" t="n"/>
      <c r="R30" s="75" t="n"/>
      <c r="S30" s="75" t="n"/>
      <c r="T30" s="76" t="n"/>
    </row>
    <row r="31" ht="15" customHeight="1">
      <c r="A31" s="10" t="inlineStr">
        <is>
          <t>Accountability &amp; Impact</t>
        </is>
      </c>
      <c r="B31" s="76" t="n"/>
      <c r="C31" s="12" t="inlineStr">
        <is>
          <t>What the job answers for — its scope</t>
        </is>
      </c>
      <c r="D31" s="75" t="n"/>
      <c r="E31" s="75" t="n"/>
      <c r="F31" s="75" t="n"/>
      <c r="G31" s="75" t="n"/>
      <c r="H31" s="76" t="n"/>
      <c r="I31" s="12" t="inlineStr">
        <is>
          <t>Results, risk or quality of an area rest on this job</t>
        </is>
      </c>
      <c r="J31" s="75" t="n"/>
      <c r="K31" s="75" t="n"/>
      <c r="L31" s="75" t="n"/>
      <c r="M31" s="75" t="n"/>
      <c r="N31" s="75" t="n"/>
      <c r="O31" s="75" t="n"/>
      <c r="P31" s="75" t="n"/>
      <c r="Q31" s="75" t="n"/>
      <c r="R31" s="75" t="n"/>
      <c r="S31" s="75" t="n"/>
      <c r="T31" s="76" t="n"/>
    </row>
    <row r="32" ht="15" customHeight="1">
      <c r="A32" s="10" t="inlineStr">
        <is>
          <t>Leadership &amp; Strategy</t>
        </is>
      </c>
      <c r="B32" s="76" t="n"/>
      <c r="C32" s="12" t="inlineStr">
        <is>
          <t>Leading people or setting direction</t>
        </is>
      </c>
      <c r="D32" s="75" t="n"/>
      <c r="E32" s="75" t="n"/>
      <c r="F32" s="75" t="n"/>
      <c r="G32" s="75" t="n"/>
      <c r="H32" s="76" t="n"/>
      <c r="I32" s="12" t="inlineStr">
        <is>
          <t>The job's results come through a team or through direction it sets</t>
        </is>
      </c>
      <c r="J32" s="75" t="n"/>
      <c r="K32" s="75" t="n"/>
      <c r="L32" s="75" t="n"/>
      <c r="M32" s="75" t="n"/>
      <c r="N32" s="75" t="n"/>
      <c r="O32" s="75" t="n"/>
      <c r="P32" s="75" t="n"/>
      <c r="Q32" s="75" t="n"/>
      <c r="R32" s="75" t="n"/>
      <c r="S32" s="75" t="n"/>
      <c r="T32" s="76" t="n"/>
    </row>
    <row r="33" ht="15" customHeight="1">
      <c r="A33" s="10" t="inlineStr">
        <is>
          <t>Experience &amp; Qualification</t>
        </is>
      </c>
      <c r="B33" s="76" t="n"/>
      <c r="C33" s="12" t="inlineStr">
        <is>
          <t>Years in the field and qualifications</t>
        </is>
      </c>
      <c r="D33" s="75" t="n"/>
      <c r="E33" s="75" t="n"/>
      <c r="F33" s="75" t="n"/>
      <c r="G33" s="75" t="n"/>
      <c r="H33" s="76" t="n"/>
      <c r="I33" s="12" t="inlineStr">
        <is>
          <t>A licence or long experience is itself the requirement — kept low by design</t>
        </is>
      </c>
      <c r="J33" s="75" t="n"/>
      <c r="K33" s="75" t="n"/>
      <c r="L33" s="75" t="n"/>
      <c r="M33" s="75" t="n"/>
      <c r="N33" s="75" t="n"/>
      <c r="O33" s="75" t="n"/>
      <c r="P33" s="75" t="n"/>
      <c r="Q33" s="75" t="n"/>
      <c r="R33" s="75" t="n"/>
      <c r="S33" s="75" t="n"/>
      <c r="T33" s="76" t="n"/>
    </row>
    <row r="34" ht="15" customHeight="1">
      <c r="A34" s="10" t="inlineStr">
        <is>
          <t>Business Impact</t>
        </is>
      </c>
      <c r="B34" s="76" t="n"/>
      <c r="C34" s="12" t="inlineStr">
        <is>
          <t>The difference the job makes to revenue, clients, compliance or cost</t>
        </is>
      </c>
      <c r="D34" s="75" t="n"/>
      <c r="E34" s="75" t="n"/>
      <c r="F34" s="75" t="n"/>
      <c r="G34" s="75" t="n"/>
      <c r="H34" s="76" t="n"/>
      <c r="I34" s="12" t="inlineStr">
        <is>
          <r>
            <rPr>
              <rFont val="Calibri"/>
              <b val="1"/>
              <sz val="10"/>
            </rPr>
            <t>Results are visible in business numbers:</t>
          </r>
          <r>
            <rPr>
              <rFont val="Calibri"/>
              <sz val="10"/>
            </rPr>
            <t xml:space="preserve"> sales, client retention, filings, savings</t>
          </r>
        </is>
      </c>
      <c r="J34" s="75" t="n"/>
      <c r="K34" s="75" t="n"/>
      <c r="L34" s="75" t="n"/>
      <c r="M34" s="75" t="n"/>
      <c r="N34" s="75" t="n"/>
      <c r="O34" s="75" t="n"/>
      <c r="P34" s="75" t="n"/>
      <c r="Q34" s="75" t="n"/>
      <c r="R34" s="75" t="n"/>
      <c r="S34" s="75" t="n"/>
      <c r="T34" s="76" t="n"/>
    </row>
    <row r="35" ht="15" customHeight="1"/>
    <row r="36" ht="15" customHeight="1">
      <c r="A36" s="24"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37" ht="15" customHeight="1">
      <c r="A37" s="24"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38" ht="15" customHeight="1">
      <c r="A38" s="24"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39" ht="20" customHeight="1">
      <c r="A39" s="6" t="inlineStr">
        <is>
          <t>WHAT A WEIGHT MEANS</t>
        </is>
      </c>
    </row>
    <row r="40" ht="15" customHeight="1">
      <c r="A40" s="8" t="inlineStr">
        <is>
          <t>Weight</t>
        </is>
      </c>
      <c r="B40" s="76" t="n"/>
      <c r="C40" s="8" t="inlineStr">
        <is>
          <t>What it means for the score</t>
        </is>
      </c>
      <c r="D40" s="75" t="n"/>
      <c r="E40" s="75" t="n"/>
      <c r="F40" s="75" t="n"/>
      <c r="G40" s="75" t="n"/>
      <c r="H40" s="75" t="n"/>
      <c r="I40" s="75" t="n"/>
      <c r="J40" s="75" t="n"/>
      <c r="K40" s="75" t="n"/>
      <c r="L40" s="75" t="n"/>
      <c r="M40" s="75" t="n"/>
      <c r="N40" s="75" t="n"/>
      <c r="O40" s="75" t="n"/>
      <c r="P40" s="75" t="n"/>
      <c r="Q40" s="75" t="n"/>
      <c r="R40" s="75" t="n"/>
      <c r="S40" s="75" t="n"/>
      <c r="T40" s="76" t="n"/>
    </row>
    <row r="41" ht="15" customHeight="1">
      <c r="A41" s="10" t="inlineStr">
        <is>
          <t>0%</t>
        </is>
      </c>
      <c r="B41" s="76" t="n"/>
      <c r="C41" s="12" t="inlineStr">
        <is>
          <t>Ignored for this role group — the rating does not count at all</t>
        </is>
      </c>
      <c r="D41" s="75" t="n"/>
      <c r="E41" s="75" t="n"/>
      <c r="F41" s="75" t="n"/>
      <c r="G41" s="75" t="n"/>
      <c r="H41" s="75" t="n"/>
      <c r="I41" s="75" t="n"/>
      <c r="J41" s="75" t="n"/>
      <c r="K41" s="75" t="n"/>
      <c r="L41" s="75" t="n"/>
      <c r="M41" s="75" t="n"/>
      <c r="N41" s="75" t="n"/>
      <c r="O41" s="75" t="n"/>
      <c r="P41" s="75" t="n"/>
      <c r="Q41" s="75" t="n"/>
      <c r="R41" s="75" t="n"/>
      <c r="S41" s="75" t="n"/>
      <c r="T41" s="76" t="n"/>
    </row>
    <row r="42" ht="15" customHeight="1">
      <c r="A42" s="10" t="inlineStr">
        <is>
          <t>5%</t>
        </is>
      </c>
      <c r="B42" s="76" t="n"/>
      <c r="C42" s="12" t="inlineStr">
        <is>
          <t>Minor — a tie-breaker; a 1-point change in the rating moves the score by 0.05</t>
        </is>
      </c>
      <c r="D42" s="75" t="n"/>
      <c r="E42" s="75" t="n"/>
      <c r="F42" s="75" t="n"/>
      <c r="G42" s="75" t="n"/>
      <c r="H42" s="75" t="n"/>
      <c r="I42" s="75" t="n"/>
      <c r="J42" s="75" t="n"/>
      <c r="K42" s="75" t="n"/>
      <c r="L42" s="75" t="n"/>
      <c r="M42" s="75" t="n"/>
      <c r="N42" s="75" t="n"/>
      <c r="O42" s="75" t="n"/>
      <c r="P42" s="75" t="n"/>
      <c r="Q42" s="75" t="n"/>
      <c r="R42" s="75" t="n"/>
      <c r="S42" s="75" t="n"/>
      <c r="T42" s="76" t="n"/>
    </row>
    <row r="43" ht="15" customHeight="1">
      <c r="A43" s="10" t="inlineStr">
        <is>
          <t>10%</t>
        </is>
      </c>
      <c r="B43" s="76" t="n"/>
      <c r="C43" s="12" t="inlineStr">
        <is>
          <t>Counts a little — a 1-point change moves the score by 0.10</t>
        </is>
      </c>
      <c r="D43" s="75" t="n"/>
      <c r="E43" s="75" t="n"/>
      <c r="F43" s="75" t="n"/>
      <c r="G43" s="75" t="n"/>
      <c r="H43" s="75" t="n"/>
      <c r="I43" s="75" t="n"/>
      <c r="J43" s="75" t="n"/>
      <c r="K43" s="75" t="n"/>
      <c r="L43" s="75" t="n"/>
      <c r="M43" s="75" t="n"/>
      <c r="N43" s="75" t="n"/>
      <c r="O43" s="75" t="n"/>
      <c r="P43" s="75" t="n"/>
      <c r="Q43" s="75" t="n"/>
      <c r="R43" s="75" t="n"/>
      <c r="S43" s="75" t="n"/>
      <c r="T43" s="76" t="n"/>
    </row>
    <row r="44" ht="15" customHeight="1">
      <c r="A44" s="10" t="inlineStr">
        <is>
          <t>15–20%</t>
        </is>
      </c>
      <c r="B44" s="76" t="n"/>
      <c r="C44" s="12" t="inlineStr">
        <is>
          <t>Important — one of the main things this role is judged on</t>
        </is>
      </c>
      <c r="D44" s="75" t="n"/>
      <c r="E44" s="75" t="n"/>
      <c r="F44" s="75" t="n"/>
      <c r="G44" s="75" t="n"/>
      <c r="H44" s="75" t="n"/>
      <c r="I44" s="75" t="n"/>
      <c r="J44" s="75" t="n"/>
      <c r="K44" s="75" t="n"/>
      <c r="L44" s="75" t="n"/>
      <c r="M44" s="75" t="n"/>
      <c r="N44" s="75" t="n"/>
      <c r="O44" s="75" t="n"/>
      <c r="P44" s="75" t="n"/>
      <c r="Q44" s="75" t="n"/>
      <c r="R44" s="75" t="n"/>
      <c r="S44" s="75" t="n"/>
      <c r="T44" s="76" t="n"/>
    </row>
    <row r="45" ht="15" customHeight="1">
      <c r="A45" s="10" t="inlineStr">
        <is>
          <t>25–30%</t>
        </is>
      </c>
      <c r="B45" s="76" t="n"/>
      <c r="C45" s="12" t="inlineStr">
        <is>
          <t>Leading factor — this is what the role is mostly about</t>
        </is>
      </c>
      <c r="D45" s="75" t="n"/>
      <c r="E45" s="75" t="n"/>
      <c r="F45" s="75" t="n"/>
      <c r="G45" s="75" t="n"/>
      <c r="H45" s="75" t="n"/>
      <c r="I45" s="75" t="n"/>
      <c r="J45" s="75" t="n"/>
      <c r="K45" s="75" t="n"/>
      <c r="L45" s="75" t="n"/>
      <c r="M45" s="75" t="n"/>
      <c r="N45" s="75" t="n"/>
      <c r="O45" s="75" t="n"/>
      <c r="P45" s="75" t="n"/>
      <c r="Q45" s="75" t="n"/>
      <c r="R45" s="75" t="n"/>
      <c r="S45" s="75" t="n"/>
      <c r="T45" s="76" t="n"/>
    </row>
    <row r="46" ht="15" customHeight="1">
      <c r="A46" s="10" t="inlineStr">
        <is>
          <t>35%+</t>
        </is>
      </c>
      <c r="B46" s="76" t="n"/>
      <c r="C46" s="12" t="inlineStr">
        <is>
          <t>Dominant — use rarely; one factor then decides most of the score</t>
        </is>
      </c>
      <c r="D46" s="75" t="n"/>
      <c r="E46" s="75" t="n"/>
      <c r="F46" s="75" t="n"/>
      <c r="G46" s="75" t="n"/>
      <c r="H46" s="75" t="n"/>
      <c r="I46" s="75" t="n"/>
      <c r="J46" s="75" t="n"/>
      <c r="K46" s="75" t="n"/>
      <c r="L46" s="75" t="n"/>
      <c r="M46" s="75" t="n"/>
      <c r="N46" s="75" t="n"/>
      <c r="O46" s="75" t="n"/>
      <c r="P46" s="75" t="n"/>
      <c r="Q46" s="75" t="n"/>
      <c r="R46" s="75" t="n"/>
      <c r="S46" s="75" t="n"/>
      <c r="T46" s="76" t="n"/>
    </row>
    <row r="47" ht="15" customHeight="1"/>
    <row r="48" ht="28" customHeight="1">
      <c r="A48" s="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49" ht="20" customHeight="1">
      <c r="A49" s="6" t="inlineStr">
        <is>
          <t>RULES OF THUMB</t>
        </is>
      </c>
    </row>
    <row r="50" ht="15" customHeight="1">
      <c r="A50" s="7" t="inlineStr">
        <is>
          <t>• Start from the default row and change it in steps of 5%; small changes are safer than big ones.</t>
        </is>
      </c>
    </row>
    <row r="51" ht="15" customHeight="1">
      <c r="A51" s="7" t="inlineStr">
        <is>
          <t>• Keep each row's six weights adding up to about 100%. If they don't, the sheet scales the five non-Experience weights so they do — the 'Used' columns show the real weights.</t>
        </is>
      </c>
    </row>
    <row r="52" ht="15" customHeight="1">
      <c r="A52" s="7" t="inlineStr">
        <is>
          <t>• Experience &amp; Qualification is set once for everyone in the Settings block above · Bands A–B and Bands C–E. Change it there, not row by row; a number typed in a row's Experience cell overrides the setting for that row.</t>
        </is>
      </c>
    </row>
    <row r="53" ht="15" customHeight="1">
      <c r="A53" s="7" t="inlineStr">
        <is>
          <t>• Leaders of the same role group in different departments should differ only for a real reason · for example, sales roles count Business Impact more. Note the reason in the last column.</t>
        </is>
      </c>
    </row>
    <row r="54" ht="15" customHeight="1">
      <c r="A54" s="7" t="inlineStr">
        <is>
          <t>• Your edits change points, the score and 'Level the score indicates' on sheet 2 at once. The final level — with the fair-play checks — is confirmed when HR imports your edits and re-runs the model.</t>
        </is>
      </c>
    </row>
    <row r="55" ht="20" customHeight="1">
      <c r="A55" s="6" t="inlineStr">
        <is>
          <t>WHERE THE DEFAULT WEIGHTS COME FROM</t>
        </is>
      </c>
    </row>
    <row r="56" ht="28" customHeight="1">
      <c r="A56" s="24"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57" ht="15" customHeight="1">
      <c r="A57" s="8" t="inlineStr">
        <is>
          <t>Factor</t>
        </is>
      </c>
      <c r="B57" s="75" t="n"/>
      <c r="C57" s="75" t="n"/>
      <c r="D57" s="75" t="n"/>
      <c r="E57" s="75" t="n"/>
      <c r="F57" s="76" t="n"/>
      <c r="G57" s="8" t="inlineStr">
        <is>
          <t>This file — average of its scored roles</t>
        </is>
      </c>
      <c r="H57" s="75" t="n"/>
      <c r="I57" s="75" t="n"/>
      <c r="J57" s="76" t="n"/>
      <c r="K57" s="8" t="inlineStr">
        <is>
          <t>Published plans — average</t>
        </is>
      </c>
      <c r="L57" s="75" t="n"/>
      <c r="M57" s="75" t="n"/>
      <c r="N57" s="76" t="n"/>
      <c r="O57" s="8" t="inlineStr">
        <is>
          <t>Published plans — range</t>
        </is>
      </c>
      <c r="P57" s="75" t="n"/>
      <c r="Q57" s="75" t="n"/>
      <c r="R57" s="75" t="n"/>
      <c r="S57" s="75" t="n"/>
      <c r="T57" s="76" t="n"/>
    </row>
    <row r="58" ht="15" customHeight="1">
      <c r="A58" s="10" t="inlineStr">
        <is>
          <t>Complexity &amp; Expertise</t>
        </is>
      </c>
      <c r="B58" s="75" t="n"/>
      <c r="C58" s="75" t="n"/>
      <c r="D58" s="75" t="n"/>
      <c r="E58" s="75" t="n"/>
      <c r="F58" s="76" t="n"/>
      <c r="G58" s="12" t="inlineStr">
        <is>
          <t>51.9%</t>
        </is>
      </c>
      <c r="H58" s="75" t="n"/>
      <c r="I58" s="75" t="n"/>
      <c r="J58" s="76" t="n"/>
      <c r="K58" s="12" t="inlineStr">
        <is>
          <t>42.8%</t>
        </is>
      </c>
      <c r="L58" s="75" t="n"/>
      <c r="M58" s="75" t="n"/>
      <c r="N58" s="76" t="n"/>
      <c r="O58" s="12" t="inlineStr">
        <is>
          <t>38–52%</t>
        </is>
      </c>
      <c r="P58" s="75" t="n"/>
      <c r="Q58" s="75" t="n"/>
      <c r="R58" s="75" t="n"/>
      <c r="S58" s="75" t="n"/>
      <c r="T58" s="76" t="n"/>
    </row>
    <row r="59" ht="15" customHeight="1">
      <c r="A59" s="10" t="inlineStr">
        <is>
          <t>Autonomy &amp; Decision</t>
        </is>
      </c>
      <c r="B59" s="75" t="n"/>
      <c r="C59" s="75" t="n"/>
      <c r="D59" s="75" t="n"/>
      <c r="E59" s="75" t="n"/>
      <c r="F59" s="76" t="n"/>
      <c r="G59" s="12" t="inlineStr">
        <is>
          <t>16.4%</t>
        </is>
      </c>
      <c r="H59" s="75" t="n"/>
      <c r="I59" s="75" t="n"/>
      <c r="J59" s="76" t="n"/>
      <c r="K59" s="12" t="inlineStr">
        <is>
          <t>14.9%</t>
        </is>
      </c>
      <c r="L59" s="75" t="n"/>
      <c r="M59" s="75" t="n"/>
      <c r="N59" s="76" t="n"/>
      <c r="O59" s="12" t="inlineStr">
        <is>
          <t>7–30%</t>
        </is>
      </c>
      <c r="P59" s="75" t="n"/>
      <c r="Q59" s="75" t="n"/>
      <c r="R59" s="75" t="n"/>
      <c r="S59" s="75" t="n"/>
      <c r="T59" s="76" t="n"/>
    </row>
    <row r="60" ht="15" customHeight="1">
      <c r="A60" s="10" t="inlineStr">
        <is>
          <t>Accountability &amp; Impact</t>
        </is>
      </c>
      <c r="B60" s="75" t="n"/>
      <c r="C60" s="75" t="n"/>
      <c r="D60" s="75" t="n"/>
      <c r="E60" s="75" t="n"/>
      <c r="F60" s="76" t="n"/>
      <c r="G60" s="12" t="inlineStr">
        <is>
          <t>12.3%</t>
        </is>
      </c>
      <c r="H60" s="75" t="n"/>
      <c r="I60" s="75" t="n"/>
      <c r="J60" s="76" t="n"/>
      <c r="K60" s="12" t="inlineStr">
        <is>
          <t>15.1%</t>
        </is>
      </c>
      <c r="L60" s="75" t="n"/>
      <c r="M60" s="75" t="n"/>
      <c r="N60" s="76" t="n"/>
      <c r="O60" s="12" t="inlineStr">
        <is>
          <t>6–20%</t>
        </is>
      </c>
      <c r="P60" s="75" t="n"/>
      <c r="Q60" s="75" t="n"/>
      <c r="R60" s="75" t="n"/>
      <c r="S60" s="75" t="n"/>
      <c r="T60" s="76" t="n"/>
    </row>
    <row r="61" ht="15" customHeight="1">
      <c r="A61" s="10" t="inlineStr">
        <is>
          <t>Leadership &amp; Strategy</t>
        </is>
      </c>
      <c r="B61" s="75" t="n"/>
      <c r="C61" s="75" t="n"/>
      <c r="D61" s="75" t="n"/>
      <c r="E61" s="75" t="n"/>
      <c r="F61" s="76" t="n"/>
      <c r="G61" s="12" t="inlineStr">
        <is>
          <t>2.8%</t>
        </is>
      </c>
      <c r="H61" s="75" t="n"/>
      <c r="I61" s="75" t="n"/>
      <c r="J61" s="76" t="n"/>
      <c r="K61" s="12" t="inlineStr">
        <is>
          <t>20.6%</t>
        </is>
      </c>
      <c r="L61" s="75" t="n"/>
      <c r="M61" s="75" t="n"/>
      <c r="N61" s="76" t="n"/>
      <c r="O61" s="12" t="inlineStr">
        <is>
          <t>8–30%</t>
        </is>
      </c>
      <c r="P61" s="75" t="n"/>
      <c r="Q61" s="75" t="n"/>
      <c r="R61" s="75" t="n"/>
      <c r="S61" s="75" t="n"/>
      <c r="T61" s="76" t="n"/>
    </row>
    <row r="62" ht="15" customHeight="1">
      <c r="A62" s="10" t="inlineStr">
        <is>
          <t>Business Impact</t>
        </is>
      </c>
      <c r="B62" s="75" t="n"/>
      <c r="C62" s="75" t="n"/>
      <c r="D62" s="75" t="n"/>
      <c r="E62" s="75" t="n"/>
      <c r="F62" s="76" t="n"/>
      <c r="G62" s="12" t="inlineStr">
        <is>
          <t>6.6%</t>
        </is>
      </c>
      <c r="H62" s="75" t="n"/>
      <c r="I62" s="75" t="n"/>
      <c r="J62" s="76" t="n"/>
      <c r="K62" s="12" t="inlineStr">
        <is>
          <t>6.7%</t>
        </is>
      </c>
      <c r="L62" s="75" t="n"/>
      <c r="M62" s="75" t="n"/>
      <c r="N62" s="76" t="n"/>
      <c r="O62" s="12" t="inlineStr">
        <is>
          <t>0–10%</t>
        </is>
      </c>
      <c r="P62" s="75" t="n"/>
      <c r="Q62" s="75" t="n"/>
      <c r="R62" s="75" t="n"/>
      <c r="S62" s="75" t="n"/>
      <c r="T62" s="76" t="n"/>
    </row>
    <row r="63" ht="15" customHeight="1">
      <c r="A63" s="10" t="inlineStr">
        <is>
          <t>Experience &amp; Qualification</t>
        </is>
      </c>
      <c r="B63" s="75" t="n"/>
      <c r="C63" s="75" t="n"/>
      <c r="D63" s="75" t="n"/>
      <c r="E63" s="75" t="n"/>
      <c r="F63" s="76" t="n"/>
      <c r="G63" s="12" t="inlineStr">
        <is>
          <t>10.0%</t>
        </is>
      </c>
      <c r="H63" s="75" t="n"/>
      <c r="I63" s="75" t="n"/>
      <c r="J63" s="76" t="n"/>
      <c r="K63" s="12" t="inlineStr">
        <is>
          <t>not scored separately</t>
        </is>
      </c>
      <c r="L63" s="75" t="n"/>
      <c r="M63" s="75" t="n"/>
      <c r="N63" s="76" t="n"/>
      <c r="O63" s="12" t="inlineStr">
        <is>
          <t>Hay, Mercer IPE and WTW fold experience into knowledge</t>
        </is>
      </c>
      <c r="P63" s="75" t="n"/>
      <c r="Q63" s="75" t="n"/>
      <c r="R63" s="75" t="n"/>
      <c r="S63" s="75" t="n"/>
      <c r="T63" s="76" t="n"/>
    </row>
    <row r="64" ht="15" customHeight="1"/>
    <row r="65" ht="20" customHeight="1">
      <c r="A65" s="6" t="inlineStr">
        <is>
          <t>WHAT A RATING MEANS — the same 1-to-12 scale for every factor, every department, every band</t>
        </is>
      </c>
    </row>
    <row r="66" ht="15" customHeight="1">
      <c r="A66" s="24" t="inlineStr">
        <is>
          <t>A rating is the floor of the ladder that this side of the job looks like: 4 = B1-level, 8 = C2-level. Managers can change a person's Business Impact rating on sheet 2 · yellow; the other ratings are set from the evidence and changed through validation.</t>
        </is>
      </c>
    </row>
    <row r="67" ht="15" customHeight="1">
      <c r="A67" s="8" t="inlineStr">
        <is>
          <t>Rating · level</t>
        </is>
      </c>
      <c r="B67" s="76" t="n"/>
      <c r="C67" s="8" t="inlineStr">
        <is>
          <t>Complexity</t>
        </is>
      </c>
      <c r="D67" s="75" t="n"/>
      <c r="E67" s="76" t="n"/>
      <c r="F67" s="8" t="inlineStr">
        <is>
          <t>Autonomy</t>
        </is>
      </c>
      <c r="G67" s="75" t="n"/>
      <c r="H67" s="76" t="n"/>
      <c r="I67" s="8" t="inlineStr">
        <is>
          <t>Accountability</t>
        </is>
      </c>
      <c r="J67" s="75" t="n"/>
      <c r="K67" s="76" t="n"/>
      <c r="L67" s="8" t="inlineStr">
        <is>
          <t>Leadership</t>
        </is>
      </c>
      <c r="M67" s="75" t="n"/>
      <c r="N67" s="76" t="n"/>
      <c r="O67" s="8" t="inlineStr">
        <is>
          <t>Experience</t>
        </is>
      </c>
      <c r="P67" s="75" t="n"/>
      <c r="Q67" s="76" t="n"/>
      <c r="R67" s="8" t="inlineStr">
        <is>
          <t>Business impact</t>
        </is>
      </c>
      <c r="S67" s="75" t="n"/>
      <c r="T67" s="76" t="n"/>
    </row>
    <row r="68" ht="28" customHeight="1">
      <c r="A68" s="10" t="inlineStr">
        <is>
          <t>12 · E2</t>
        </is>
      </c>
      <c r="B68" s="76" t="n"/>
      <c r="C68" s="12" t="inlineStr">
        <is>
          <t>Enterprise-wide uncertainty, transformation and external forces</t>
        </is>
      </c>
      <c r="D68" s="75" t="n"/>
      <c r="E68" s="76" t="n"/>
      <c r="F68" s="12" t="inlineStr">
        <is>
          <t>Accountable to the board</t>
        </is>
      </c>
      <c r="G68" s="75" t="n"/>
      <c r="H68" s="76" t="n"/>
      <c r="I68" s="12" t="inlineStr">
        <is>
          <t>Enterprise results, risk, culture and long-term viability</t>
        </is>
      </c>
      <c r="J68" s="75" t="n"/>
      <c r="K68" s="76" t="n"/>
      <c r="L68" s="12" t="inlineStr">
        <is>
          <t>Sets enterprise strategy; leads the executive team</t>
        </is>
      </c>
      <c r="M68" s="75" t="n"/>
      <c r="N68" s="76" t="n"/>
      <c r="O68" s="12" t="inlineStr">
        <is>
          <t>About 28 yrs</t>
        </is>
      </c>
      <c r="P68" s="75" t="n"/>
      <c r="Q68" s="76" t="n"/>
      <c r="R68" s="12" t="inlineStr">
        <is>
          <t>Answers for the whole company's results and long-term value</t>
        </is>
      </c>
      <c r="S68" s="75" t="n"/>
      <c r="T68" s="76" t="n"/>
    </row>
    <row r="69" ht="28" customHeight="1">
      <c r="A69" s="10" t="inlineStr">
        <is>
          <t>11 · E1</t>
        </is>
      </c>
      <c r="B69" s="76" t="n"/>
      <c r="C69" s="12" t="inlineStr">
        <is>
          <t>Enterprise-level functional strategy</t>
        </is>
      </c>
      <c r="D69" s="75" t="n"/>
      <c r="E69" s="76" t="n"/>
      <c r="F69" s="12" t="inlineStr">
        <is>
          <t>Sets enterprise priorities for the function</t>
        </is>
      </c>
      <c r="G69" s="75" t="n"/>
      <c r="H69" s="76" t="n"/>
      <c r="I69" s="12" t="inlineStr">
        <is>
          <t>Enterprise-wide functional results</t>
        </is>
      </c>
      <c r="J69" s="75" t="n"/>
      <c r="K69" s="76" t="n"/>
      <c r="L69" s="12" t="inlineStr">
        <is>
          <t>Shapes enterprise strategy</t>
        </is>
      </c>
      <c r="M69" s="75" t="n"/>
      <c r="N69" s="76" t="n"/>
      <c r="O69" s="12" t="inlineStr">
        <is>
          <t>About 24 yrs</t>
        </is>
      </c>
      <c r="P69" s="75" t="n"/>
      <c r="Q69" s="76" t="n"/>
      <c r="R69" s="12" t="inlineStr">
        <is>
          <t>Shapes company-wide results through a function</t>
        </is>
      </c>
      <c r="S69" s="75" t="n"/>
      <c r="T69" s="76" t="n"/>
    </row>
    <row r="70" ht="28" customHeight="1">
      <c r="A70" s="10" t="inlineStr">
        <is>
          <t>10 · D2</t>
        </is>
      </c>
      <c r="B70" s="76" t="n"/>
      <c r="C70" s="12" t="inlineStr">
        <is>
          <t>Portfolio-level strategic, financial and regulatory trade-offs</t>
        </is>
      </c>
      <c r="D70" s="75" t="n"/>
      <c r="E70" s="76" t="n"/>
      <c r="F70" s="12" t="inlineStr">
        <is>
          <t>Sets direction across business lines</t>
        </is>
      </c>
      <c r="G70" s="75" t="n"/>
      <c r="H70" s="76" t="n"/>
      <c r="I70" s="12" t="inlineStr">
        <is>
          <t>Multi-business results</t>
        </is>
      </c>
      <c r="J70" s="75" t="n"/>
      <c r="K70" s="76" t="n"/>
      <c r="L70" s="12" t="inlineStr">
        <is>
          <t>Builds the leadership team across businesses</t>
        </is>
      </c>
      <c r="M70" s="75" t="n"/>
      <c r="N70" s="76" t="n"/>
      <c r="O70" s="12" t="inlineStr">
        <is>
          <t>About 21 yrs</t>
        </is>
      </c>
      <c r="P70" s="75" t="n"/>
      <c r="Q70" s="76" t="n"/>
      <c r="R70" s="12" t="inlineStr">
        <is>
          <t>Owns the results of several business lines</t>
        </is>
      </c>
      <c r="S70" s="75" t="n"/>
      <c r="T70" s="76" t="n"/>
    </row>
    <row r="71" ht="28" customHeight="1">
      <c r="A71" s="10" t="inlineStr">
        <is>
          <t>9 · D1</t>
        </is>
      </c>
      <c r="B71" s="76" t="n"/>
      <c r="C71" s="12" t="inlineStr">
        <is>
          <t>Competing strategic, financial and regulatory priorities</t>
        </is>
      </c>
      <c r="D71" s="75" t="n"/>
      <c r="E71" s="76" t="n"/>
      <c r="F71" s="12" t="inlineStr">
        <is>
          <t>Sets business-line direction, pricing and investment</t>
        </is>
      </c>
      <c r="G71" s="75" t="n"/>
      <c r="H71" s="76" t="n"/>
      <c r="I71" s="12" t="inlineStr">
        <is>
          <t>Business-line P&amp;L and market position</t>
        </is>
      </c>
      <c r="J71" s="75" t="n"/>
      <c r="K71" s="76" t="n"/>
      <c r="L71" s="12" t="inlineStr">
        <is>
          <t>Defines business strategy; builds the leadership bench</t>
        </is>
      </c>
      <c r="M71" s="75" t="n"/>
      <c r="N71" s="76" t="n"/>
      <c r="O71" s="12" t="inlineStr">
        <is>
          <t>About 17.5 yrs</t>
        </is>
      </c>
      <c r="P71" s="75" t="n"/>
      <c r="Q71" s="76" t="n"/>
      <c r="R71" s="12" t="inlineStr">
        <is>
          <t>Owns a business line's P&amp;L and growth, or a company-wide function</t>
        </is>
      </c>
      <c r="S71" s="75" t="n"/>
      <c r="T71" s="76" t="n"/>
    </row>
    <row r="72" ht="41" customHeight="1">
      <c r="A72" s="10" t="inlineStr">
        <is>
          <t>8.5 · C+</t>
        </is>
      </c>
      <c r="B72" s="76" t="n"/>
      <c r="C72" s="12" t="inlineStr">
        <is>
          <t>Function-wide and cross-product problems; personally handles the most critical client or technical work</t>
        </is>
      </c>
      <c r="D72" s="75" t="n"/>
      <c r="E72" s="76" t="n"/>
      <c r="F72" s="12" t="inlineStr">
        <is>
          <t>Sets direction for the function; business-line trade-offs go to the Business Head</t>
        </is>
      </c>
      <c r="G72" s="75" t="n"/>
      <c r="H72" s="76" t="n"/>
      <c r="I72" s="12" t="inlineStr">
        <is>
          <t>Function results, budget and key-client outcomes; carries own book or principal delivery</t>
        </is>
      </c>
      <c r="J72" s="75" t="n"/>
      <c r="K72" s="76" t="n"/>
      <c r="L72" s="12" t="inlineStr">
        <is>
          <t>Leads managers and leads and 10+ people in the function while staying hands-on</t>
        </is>
      </c>
      <c r="M72" s="75" t="n"/>
      <c r="N72" s="76" t="n"/>
      <c r="O72" s="12" t="inlineStr">
        <is>
          <t>About 16 yrs</t>
        </is>
      </c>
      <c r="P72" s="75" t="n"/>
      <c r="Q72" s="76" t="n"/>
      <c r="R72" s="12" t="inlineStr">
        <is>
          <t>Drives a function's results and personally wins or delivers key work</t>
        </is>
      </c>
      <c r="S72" s="75" t="n"/>
      <c r="T72" s="76" t="n"/>
    </row>
    <row r="73" ht="28" customHeight="1">
      <c r="A73" s="10" t="inlineStr">
        <is>
          <t>8 · C2</t>
        </is>
      </c>
      <c r="B73" s="76" t="n"/>
      <c r="C73" s="12" t="inlineStr">
        <is>
          <t>Function-wide or company-wide problems; creates methods and standards</t>
        </is>
      </c>
      <c r="D73" s="75" t="n"/>
      <c r="E73" s="76" t="n"/>
      <c r="F73" s="12" t="inlineStr">
        <is>
          <t>Sets direction for a function</t>
        </is>
      </c>
      <c r="G73" s="75" t="n"/>
      <c r="H73" s="76" t="n"/>
      <c r="I73" s="12" t="inlineStr">
        <is>
          <t>Function results, budget and risk</t>
        </is>
      </c>
      <c r="J73" s="75" t="n"/>
      <c r="K73" s="76" t="n"/>
      <c r="L73" s="12" t="inlineStr">
        <is>
          <t>Leads a function; shapes functional strategy</t>
        </is>
      </c>
      <c r="M73" s="75" t="n"/>
      <c r="N73" s="76" t="n"/>
      <c r="O73" s="12" t="inlineStr">
        <is>
          <t>About 14.5 yrs</t>
        </is>
      </c>
      <c r="P73" s="75" t="n"/>
      <c r="Q73" s="76" t="n"/>
      <c r="R73" s="12" t="inlineStr">
        <is>
          <t>Drives a function's or department's results and costs</t>
        </is>
      </c>
      <c r="S73" s="75" t="n"/>
      <c r="T73" s="76" t="n"/>
    </row>
    <row r="74" ht="28" customHeight="1">
      <c r="A74" s="10" t="inlineStr">
        <is>
          <t>7 · C1</t>
        </is>
      </c>
      <c r="B74" s="76" t="n"/>
      <c r="C74" s="12" t="inlineStr">
        <is>
          <t>Ambiguous, cross-product problems</t>
        </is>
      </c>
      <c r="D74" s="75" t="n"/>
      <c r="E74" s="76" t="n"/>
      <c r="F74" s="12" t="inlineStr">
        <is>
          <t>Sets direction for a sub-function or domain</t>
        </is>
      </c>
      <c r="G74" s="75" t="n"/>
      <c r="H74" s="76" t="n"/>
      <c r="I74" s="12" t="inlineStr">
        <is>
          <t>Sub-function results or domain quality across products</t>
        </is>
      </c>
      <c r="J74" s="75" t="n"/>
      <c r="K74" s="76" t="n"/>
      <c r="L74" s="12" t="inlineStr">
        <is>
          <t>Leads managers or a community of practice</t>
        </is>
      </c>
      <c r="M74" s="75" t="n"/>
      <c r="N74" s="76" t="n"/>
      <c r="O74" s="12" t="inlineStr">
        <is>
          <t>About 12 yrs</t>
        </is>
      </c>
      <c r="P74" s="75" t="n"/>
      <c r="Q74" s="76" t="n"/>
      <c r="R74" s="12" t="inlineStr">
        <is>
          <t>Changes results across a sub-function or across products</t>
        </is>
      </c>
      <c r="S74" s="75" t="n"/>
      <c r="T74" s="76" t="n"/>
    </row>
    <row r="75" ht="54" customHeight="1">
      <c r="A75" s="10" t="inlineStr">
        <is>
          <t>6.5 · B+</t>
        </is>
      </c>
      <c r="B75" s="76" t="n"/>
      <c r="C75" s="12" t="inlineStr">
        <is>
          <t>Principal-level problems in own domain; sets technical or quality standards and still builds</t>
        </is>
      </c>
      <c r="D75" s="75" t="n"/>
      <c r="E75" s="76" t="n"/>
      <c r="F75" s="12" t="inlineStr">
        <is>
          <t>Decides approach and priorities for the practice; escalates only cross-function trade-offs</t>
        </is>
      </c>
      <c r="G75" s="75" t="n"/>
      <c r="H75" s="76" t="n"/>
      <c r="I75" s="12" t="inlineStr">
        <is>
          <t>Practice outcomes plus own deliverables; quality and delivery of the team</t>
        </is>
      </c>
      <c r="J75" s="75" t="n"/>
      <c r="K75" s="76" t="n"/>
      <c r="L75" s="12" t="inlineStr">
        <is>
          <t>Leads 3–6 people · or a pod while remaining a hands-on expert; coaches, allocates, reviews</t>
        </is>
      </c>
      <c r="M75" s="75" t="n"/>
      <c r="N75" s="76" t="n"/>
      <c r="O75" s="12" t="inlineStr">
        <is>
          <t>About 11–12 yrs</t>
        </is>
      </c>
      <c r="P75" s="75" t="n"/>
      <c r="Q75" s="76" t="n"/>
      <c r="R75" s="12" t="inlineStr">
        <is>
          <t>Drives a practice's results while delivering the hardest work</t>
        </is>
      </c>
      <c r="S75" s="75" t="n"/>
      <c r="T75" s="76" t="n"/>
    </row>
    <row r="76" ht="41" customHeight="1">
      <c r="A76" s="10" t="inlineStr">
        <is>
          <t>6 · B3</t>
        </is>
      </c>
      <c r="B76" s="76" t="n"/>
      <c r="C76" s="12" t="inlineStr">
        <is>
          <t>Sets standards for a practice; cross-team problems</t>
        </is>
      </c>
      <c r="D76" s="75" t="n"/>
      <c r="E76" s="76" t="n"/>
      <c r="F76" s="12" t="inlineStr">
        <is>
          <t>Commercial / strategic calls for the unit</t>
        </is>
      </c>
      <c r="G76" s="75" t="n"/>
      <c r="H76" s="76" t="n"/>
      <c r="I76" s="12" t="inlineStr">
        <is>
          <t>Several teams or a practice</t>
        </is>
      </c>
      <c r="J76" s="75" t="n"/>
      <c r="K76" s="76" t="n"/>
      <c r="L76" s="12" t="inlineStr">
        <is>
          <r>
            <rPr>
              <rFont val="Calibri"/>
              <b val="1"/>
              <sz val="10"/>
            </rPr>
            <t>IC:</t>
          </r>
          <r>
            <rPr>
              <rFont val="Calibri"/>
              <sz val="10"/>
            </rPr>
            <t xml:space="preserve"> leads a practice · People: team leads / managers report in</t>
          </r>
        </is>
      </c>
      <c r="M76" s="75" t="n"/>
      <c r="N76" s="76" t="n"/>
      <c r="O76" s="12" t="inlineStr">
        <is>
          <t>About 10 yrs</t>
        </is>
      </c>
      <c r="P76" s="75" t="n"/>
      <c r="Q76" s="76" t="n"/>
      <c r="R76" s="12" t="inlineStr">
        <is>
          <t>Shapes the results of a practice or several teams</t>
        </is>
      </c>
      <c r="S76" s="75" t="n"/>
      <c r="T76" s="76" t="n"/>
    </row>
    <row r="77" ht="41" customHeight="1">
      <c r="A77" s="10" t="inlineStr">
        <is>
          <t>5 · B2</t>
        </is>
      </c>
      <c r="B77" s="76" t="n"/>
      <c r="C77" s="12" t="inlineStr">
        <is>
          <t>Hardest problems in the domain</t>
        </is>
      </c>
      <c r="D77" s="75" t="n"/>
      <c r="E77" s="76" t="n"/>
      <c r="F77" s="12" t="inlineStr">
        <is>
          <t>Allocates people and sets team priorities</t>
        </is>
      </c>
      <c r="G77" s="75" t="n"/>
      <c r="H77" s="76" t="n"/>
      <c r="I77" s="12" t="inlineStr">
        <is>
          <t>One team or a client portfolio</t>
        </is>
      </c>
      <c r="J77" s="75" t="n"/>
      <c r="K77" s="76" t="n"/>
      <c r="L77" s="12" t="inlineStr">
        <is>
          <r>
            <rPr>
              <rFont val="Calibri"/>
              <b val="1"/>
              <sz val="10"/>
            </rPr>
            <t>IC:</t>
          </r>
          <r>
            <rPr>
              <rFont val="Calibri"/>
              <sz val="10"/>
            </rPr>
            <t xml:space="preserve"> guides others in the domain · People: manages a team of 6+</t>
          </r>
        </is>
      </c>
      <c r="M77" s="75" t="n"/>
      <c r="N77" s="76" t="n"/>
      <c r="O77" s="12" t="inlineStr">
        <is>
          <t>About 7.5 yrs</t>
        </is>
      </c>
      <c r="P77" s="75" t="n"/>
      <c r="Q77" s="76" t="n"/>
      <c r="R77" s="12" t="inlineStr">
        <is>
          <t>Visible effect on a team's or client portfolio's revenue, quality or compliance</t>
        </is>
      </c>
      <c r="S77" s="75" t="n"/>
      <c r="T77" s="76" t="n"/>
    </row>
    <row r="78" ht="41" customHeight="1">
      <c r="A78" s="10" t="inlineStr">
        <is>
          <t>4 · B1</t>
        </is>
      </c>
      <c r="B78" s="76" t="n"/>
      <c r="C78" s="12" t="inlineStr">
        <is>
          <t>Domain specialist work</t>
        </is>
      </c>
      <c r="D78" s="75" t="n"/>
      <c r="E78" s="76" t="n"/>
      <c r="F78" s="12" t="inlineStr">
        <is>
          <t>Technical / QC / client calls for the domain</t>
        </is>
      </c>
      <c r="G78" s="75" t="n"/>
      <c r="H78" s="76" t="n"/>
      <c r="I78" s="12" t="inlineStr">
        <is>
          <t>A domain or a small team</t>
        </is>
      </c>
      <c r="J78" s="75" t="n"/>
      <c r="K78" s="76" t="n"/>
      <c r="L78" s="12" t="inlineStr">
        <is>
          <r>
            <rPr>
              <rFont val="Calibri"/>
              <b val="1"/>
              <sz val="10"/>
            </rPr>
            <t>IC:</t>
          </r>
          <r>
            <rPr>
              <rFont val="Calibri"/>
              <sz val="10"/>
            </rPr>
            <t xml:space="preserve"> mentors and reviews · People: hands-on team lead of 3–5</t>
          </r>
        </is>
      </c>
      <c r="M78" s="75" t="n"/>
      <c r="N78" s="76" t="n"/>
      <c r="O78" s="12" t="inlineStr">
        <is>
          <t>About 5.5 yrs</t>
        </is>
      </c>
      <c r="P78" s="75" t="n"/>
      <c r="Q78" s="76" t="n"/>
      <c r="R78" s="12" t="inlineStr">
        <is>
          <t>Moves a module's, product area's or client account's results</t>
        </is>
      </c>
      <c r="S78" s="75" t="n"/>
      <c r="T78" s="76" t="n"/>
    </row>
    <row r="79" ht="41" customHeight="1">
      <c r="A79" s="10" t="inlineStr">
        <is>
          <t>3 · A3</t>
        </is>
      </c>
      <c r="B79" s="76" t="n"/>
      <c r="C79" s="12" t="inlineStr">
        <is>
          <t>Varied and non-standard work; handles exceptions</t>
        </is>
      </c>
      <c r="D79" s="75" t="n"/>
      <c r="E79" s="76" t="n"/>
      <c r="F79" s="12" t="inlineStr">
        <is>
          <t>Technical / QC / client calls on own work</t>
        </is>
      </c>
      <c r="G79" s="75" t="n"/>
      <c r="H79" s="76" t="n"/>
      <c r="I79" s="12" t="inlineStr">
        <is>
          <t>A module / process, or work with client or regulatory consequences</t>
        </is>
      </c>
      <c r="J79" s="75" t="n"/>
      <c r="K79" s="76" t="n"/>
      <c r="L79" s="12" t="inlineStr">
        <is>
          <t>Not scored in Band A</t>
        </is>
      </c>
      <c r="M79" s="75" t="n"/>
      <c r="N79" s="76" t="n"/>
      <c r="O79" s="12" t="inlineStr">
        <is>
          <t>About 3 yrs</t>
        </is>
      </c>
      <c r="P79" s="75" t="n"/>
      <c r="Q79" s="76" t="n"/>
      <c r="R79" s="12" t="inlineStr">
        <is>
          <t>A process or client deliverable depends on this work</t>
        </is>
      </c>
      <c r="S79" s="75" t="n"/>
      <c r="T79" s="76" t="n"/>
    </row>
    <row r="80" ht="28" customHeight="1">
      <c r="A80" s="10" t="inlineStr">
        <is>
          <t>2 · A2</t>
        </is>
      </c>
      <c r="B80" s="76" t="n"/>
      <c r="C80" s="12" t="inlineStr">
        <is>
          <t>Standard work of the discipline</t>
        </is>
      </c>
      <c r="D80" s="75" t="n"/>
      <c r="E80" s="76" t="n"/>
      <c r="F80" s="12" t="inlineStr">
        <is>
          <t>Chooses own approach within standards</t>
        </is>
      </c>
      <c r="G80" s="75" t="n"/>
      <c r="H80" s="76" t="n"/>
      <c r="I80" s="12" t="inlineStr">
        <is>
          <t>Own deliverables · accuracy, TAT</t>
        </is>
      </c>
      <c r="J80" s="75" t="n"/>
      <c r="K80" s="76" t="n"/>
      <c r="L80" s="12" t="inlineStr">
        <is>
          <t>Not scored in Band A</t>
        </is>
      </c>
      <c r="M80" s="75" t="n"/>
      <c r="N80" s="76" t="n"/>
      <c r="O80" s="12" t="inlineStr">
        <is>
          <t>About 1 yr</t>
        </is>
      </c>
      <c r="P80" s="75" t="n"/>
      <c r="Q80" s="76" t="n"/>
      <c r="R80" s="12" t="inlineStr">
        <is>
          <t>Own deliverables feed a team's output and turnaround</t>
        </is>
      </c>
      <c r="S80" s="75" t="n"/>
      <c r="T80" s="76" t="n"/>
    </row>
    <row r="81" ht="28" customHeight="1">
      <c r="A81" s="10" t="inlineStr">
        <is>
          <t>1 · A1</t>
        </is>
      </c>
      <c r="B81" s="76" t="n"/>
      <c r="C81" s="12" t="inlineStr">
        <is>
          <t>Learning; follows worked examples</t>
        </is>
      </c>
      <c r="D81" s="75" t="n"/>
      <c r="E81" s="76" t="n"/>
      <c r="F81" s="12" t="inlineStr">
        <is>
          <t>Needs approval / close guidance</t>
        </is>
      </c>
      <c r="G81" s="75" t="n"/>
      <c r="H81" s="76" t="n"/>
      <c r="I81" s="12" t="inlineStr">
        <is>
          <t>Learning tasks</t>
        </is>
      </c>
      <c r="J81" s="75" t="n"/>
      <c r="K81" s="76" t="n"/>
      <c r="L81" s="12" t="inlineStr">
        <is>
          <t>Not scored in Band A</t>
        </is>
      </c>
      <c r="M81" s="75" t="n"/>
      <c r="N81" s="76" t="n"/>
      <c r="O81" s="12" t="inlineStr">
        <is>
          <t>No experience yet</t>
        </is>
      </c>
      <c r="P81" s="75" t="n"/>
      <c r="Q81" s="76" t="n"/>
      <c r="R81" s="12" t="inlineStr">
        <is>
          <t>Learning; little direct effect on business results yet</t>
        </is>
      </c>
      <c r="S81" s="75" t="n"/>
      <c r="T81" s="76" t="n"/>
    </row>
    <row r="82" ht="15" customHeight="1"/>
    <row r="83" ht="15" customHeight="1">
      <c r="A83" s="24"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K61:N61"/>
    <mergeCell ref="I72:K72"/>
    <mergeCell ref="I32:T32"/>
    <mergeCell ref="F76:H76"/>
    <mergeCell ref="A73:B73"/>
    <mergeCell ref="C80:E80"/>
    <mergeCell ref="C41:T41"/>
    <mergeCell ref="L74:N74"/>
    <mergeCell ref="A15:T15"/>
    <mergeCell ref="A51:T51"/>
    <mergeCell ref="A70:B70"/>
    <mergeCell ref="C43:T43"/>
    <mergeCell ref="L76:N76"/>
    <mergeCell ref="K62:N62"/>
    <mergeCell ref="C71:E71"/>
    <mergeCell ref="A41:B41"/>
    <mergeCell ref="I33:T33"/>
    <mergeCell ref="R75:T75"/>
    <mergeCell ref="L69:N69"/>
    <mergeCell ref="O70:Q70"/>
    <mergeCell ref="I79:K79"/>
    <mergeCell ref="I73:K73"/>
    <mergeCell ref="A74:B74"/>
    <mergeCell ref="R77:T77"/>
    <mergeCell ref="R72:T72"/>
    <mergeCell ref="O76:Q76"/>
    <mergeCell ref="C32:H32"/>
    <mergeCell ref="A27:T27"/>
    <mergeCell ref="A76:B76"/>
    <mergeCell ref="A33:B33"/>
    <mergeCell ref="A42:B42"/>
    <mergeCell ref="A58:F58"/>
    <mergeCell ref="A2:T2"/>
    <mergeCell ref="I74:K74"/>
    <mergeCell ref="I34:T34"/>
    <mergeCell ref="C77:E77"/>
    <mergeCell ref="G57:J57"/>
    <mergeCell ref="F78:H78"/>
    <mergeCell ref="O77:Q77"/>
    <mergeCell ref="A60:F60"/>
    <mergeCell ref="C74:E74"/>
    <mergeCell ref="K58:N58"/>
    <mergeCell ref="A68:B68"/>
    <mergeCell ref="R79:T79"/>
    <mergeCell ref="A28:B28"/>
    <mergeCell ref="G58:J58"/>
    <mergeCell ref="A30:B30"/>
    <mergeCell ref="L71:N71"/>
    <mergeCell ref="O63:T63"/>
    <mergeCell ref="A48:T48"/>
    <mergeCell ref="C75:E75"/>
    <mergeCell ref="I28:T28"/>
    <mergeCell ref="A45:B45"/>
    <mergeCell ref="R74:T74"/>
    <mergeCell ref="C40:T40"/>
    <mergeCell ref="O75:Q75"/>
    <mergeCell ref="L73:N73"/>
    <mergeCell ref="A79:B79"/>
    <mergeCell ref="R76:T76"/>
    <mergeCell ref="O80:Q80"/>
    <mergeCell ref="A46:B46"/>
    <mergeCell ref="C70:E70"/>
    <mergeCell ref="O79:Q79"/>
    <mergeCell ref="A8:I8"/>
    <mergeCell ref="A54:T54"/>
    <mergeCell ref="A62:F62"/>
    <mergeCell ref="F77:H77"/>
    <mergeCell ref="I78:K78"/>
    <mergeCell ref="C81:E81"/>
    <mergeCell ref="G61:J61"/>
    <mergeCell ref="O72:Q72"/>
    <mergeCell ref="R68:T68"/>
    <mergeCell ref="O81:Q81"/>
    <mergeCell ref="C28:H28"/>
    <mergeCell ref="A56:T56"/>
    <mergeCell ref="A71:B71"/>
    <mergeCell ref="L77:N77"/>
    <mergeCell ref="O78:Q78"/>
    <mergeCell ref="I81:K81"/>
    <mergeCell ref="K63:N63"/>
    <mergeCell ref="C30:H30"/>
    <mergeCell ref="A59:F59"/>
    <mergeCell ref="F69:H69"/>
    <mergeCell ref="G62:J62"/>
    <mergeCell ref="C6:H6"/>
    <mergeCell ref="L67:N67"/>
    <mergeCell ref="C79:E79"/>
    <mergeCell ref="A53:T53"/>
    <mergeCell ref="C73:E73"/>
    <mergeCell ref="A61:F61"/>
    <mergeCell ref="R78:T78"/>
    <mergeCell ref="C45:T45"/>
    <mergeCell ref="A10:T10"/>
    <mergeCell ref="L78:N78"/>
    <mergeCell ref="I76:K76"/>
    <mergeCell ref="A77:B77"/>
    <mergeCell ref="A34:B34"/>
    <mergeCell ref="R80:T80"/>
    <mergeCell ref="F79:H79"/>
    <mergeCell ref="I75:K75"/>
    <mergeCell ref="A39:T39"/>
    <mergeCell ref="C44:T44"/>
    <mergeCell ref="O69:Q69"/>
    <mergeCell ref="A49:T49"/>
    <mergeCell ref="R70:T70"/>
    <mergeCell ref="A36:T36"/>
    <mergeCell ref="A11:T11"/>
    <mergeCell ref="I68:K68"/>
    <mergeCell ref="A69:B69"/>
    <mergeCell ref="A1:T1"/>
    <mergeCell ref="F81:H81"/>
    <mergeCell ref="G60:J60"/>
    <mergeCell ref="A78:B78"/>
    <mergeCell ref="L79:N79"/>
    <mergeCell ref="O62:T62"/>
    <mergeCell ref="I67:K67"/>
    <mergeCell ref="F71:H71"/>
    <mergeCell ref="A75:B75"/>
    <mergeCell ref="A65:T65"/>
    <mergeCell ref="O58:T58"/>
    <mergeCell ref="G59:J59"/>
    <mergeCell ref="A80:B80"/>
    <mergeCell ref="F67:H67"/>
    <mergeCell ref="L81:N81"/>
    <mergeCell ref="C67:E67"/>
    <mergeCell ref="O60:T60"/>
    <mergeCell ref="I29:T29"/>
    <mergeCell ref="A37:T37"/>
    <mergeCell ref="A63:F63"/>
    <mergeCell ref="O67:Q67"/>
    <mergeCell ref="C72:E72"/>
    <mergeCell ref="A12:T12"/>
    <mergeCell ref="O57:T57"/>
    <mergeCell ref="C69:E69"/>
    <mergeCell ref="A32:B32"/>
    <mergeCell ref="C78:E78"/>
    <mergeCell ref="I31:T31"/>
    <mergeCell ref="C34:H34"/>
    <mergeCell ref="A14:T14"/>
    <mergeCell ref="I80:K80"/>
    <mergeCell ref="R67:T67"/>
    <mergeCell ref="F68:H68"/>
    <mergeCell ref="A43:B43"/>
    <mergeCell ref="C42:T42"/>
    <mergeCell ref="I70:K70"/>
    <mergeCell ref="L75:N75"/>
    <mergeCell ref="A52:T52"/>
    <mergeCell ref="A40:B40"/>
    <mergeCell ref="A67:B67"/>
    <mergeCell ref="R69:T69"/>
    <mergeCell ref="C29:H29"/>
    <mergeCell ref="L68:N68"/>
    <mergeCell ref="F80:H80"/>
    <mergeCell ref="C31:H31"/>
    <mergeCell ref="I71:K71"/>
    <mergeCell ref="A83:T83"/>
    <mergeCell ref="F75:H75"/>
    <mergeCell ref="F70:H70"/>
    <mergeCell ref="G63:J63"/>
    <mergeCell ref="O74:Q74"/>
    <mergeCell ref="K57:N57"/>
    <mergeCell ref="O59:T59"/>
    <mergeCell ref="A57:F57"/>
    <mergeCell ref="F72:H72"/>
    <mergeCell ref="C76:E76"/>
    <mergeCell ref="O71:Q71"/>
    <mergeCell ref="C46:T46"/>
    <mergeCell ref="O61:T61"/>
    <mergeCell ref="R81:T81"/>
    <mergeCell ref="C7:H7"/>
    <mergeCell ref="A66:T66"/>
    <mergeCell ref="L72:N72"/>
    <mergeCell ref="O73:Q73"/>
    <mergeCell ref="L80:N80"/>
    <mergeCell ref="R71:T71"/>
    <mergeCell ref="A50:T50"/>
    <mergeCell ref="A3:T3"/>
    <mergeCell ref="A55:T55"/>
    <mergeCell ref="I69:K69"/>
    <mergeCell ref="L70:N70"/>
    <mergeCell ref="K60:N60"/>
    <mergeCell ref="F73:H73"/>
    <mergeCell ref="C68:E68"/>
    <mergeCell ref="R73:T73"/>
    <mergeCell ref="I30:T30"/>
    <mergeCell ref="A5:T5"/>
    <mergeCell ref="C33:H33"/>
    <mergeCell ref="O68:Q68"/>
    <mergeCell ref="I77:K77"/>
    <mergeCell ref="A72:B72"/>
    <mergeCell ref="A29:B29"/>
    <mergeCell ref="A81:B81"/>
    <mergeCell ref="K59:N59"/>
    <mergeCell ref="A38:T38"/>
    <mergeCell ref="A44:B44"/>
    <mergeCell ref="F74:H74"/>
    <mergeCell ref="A31:B31"/>
    <mergeCell ref="A13:T13"/>
  </mergeCells>
  <conditionalFormatting sqref="G17:G25">
    <cfRule type="colorScale" priority="1">
      <colorScale>
        <cfvo type="num" val="0"/>
        <cfvo type="num" val="40"/>
        <color rgb="00FFFFFF"/>
        <color rgb="00A9D08E"/>
      </colorScale>
    </cfRule>
  </conditionalFormatting>
  <conditionalFormatting sqref="H17:H25">
    <cfRule type="colorScale" priority="2">
      <colorScale>
        <cfvo type="num" val="0"/>
        <cfvo type="num" val="40"/>
        <color rgb="00FFFFFF"/>
        <color rgb="00A9D08E"/>
      </colorScale>
    </cfRule>
  </conditionalFormatting>
  <conditionalFormatting sqref="I17:I25">
    <cfRule type="colorScale" priority="3">
      <colorScale>
        <cfvo type="num" val="0"/>
        <cfvo type="num" val="40"/>
        <color rgb="00FFFFFF"/>
        <color rgb="00A9D08E"/>
      </colorScale>
    </cfRule>
  </conditionalFormatting>
  <conditionalFormatting sqref="J17:J25">
    <cfRule type="colorScale" priority="4">
      <colorScale>
        <cfvo type="num" val="0"/>
        <cfvo type="num" val="40"/>
        <color rgb="00FFFFFF"/>
        <color rgb="00A9D08E"/>
      </colorScale>
    </cfRule>
  </conditionalFormatting>
  <conditionalFormatting sqref="K17:K25">
    <cfRule type="colorScale" priority="5">
      <colorScale>
        <cfvo type="num" val="0"/>
        <cfvo type="num" val="40"/>
        <color rgb="00FFFFFF"/>
        <color rgb="00A9D08E"/>
      </colorScale>
    </cfRule>
  </conditionalFormatting>
  <conditionalFormatting sqref="L17:L25">
    <cfRule type="colorScale" priority="6">
      <colorScale>
        <cfvo type="num" val="0"/>
        <cfvo type="num" val="40"/>
        <color rgb="00FFFFFF"/>
        <color rgb="00A9D08E"/>
      </colorScale>
    </cfRule>
  </conditionalFormatting>
  <dataValidations count="2">
    <dataValidation sqref="G17:L25"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Consume (simplified product edition)</dc:title>
  <dcterms:created xmlns:dcterms="http://purl.org/dc/terms/" xmlns:xsi="http://www.w3.org/2001/XMLSchema-instance" xsi:type="dcterms:W3CDTF">2026-10-12T06:11:40Z</dcterms:created>
  <dcterms:modified xmlns:dcterms="http://purl.org/dc/terms/" xmlns:xsi="http://www.w3.org/2001/XMLSchema-instance" xsi:type="dcterms:W3CDTF">2026-10-12T06:13:48Z</dcterms:modified>
</cp:coreProperties>
</file>