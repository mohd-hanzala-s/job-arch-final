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1. Start Here" sheetId="2" state="visible" r:id="rId2"/>
    <sheet xmlns:r="http://schemas.openxmlformats.org/officeDocument/2006/relationships" name="2. People &amp; Levels" sheetId="3" state="visible" r:id="rId3"/>
    <sheet xmlns:r="http://schemas.openxmlformats.org/officeDocument/2006/relationships" name="3. Roles" sheetId="4" state="visible" r:id="rId4"/>
    <sheet xmlns:r="http://schemas.openxmlformats.org/officeDocument/2006/relationships" name="4. Decisions &amp; Actions" sheetId="5" state="visible" r:id="rId5"/>
    <sheet xmlns:r="http://schemas.openxmlformats.org/officeDocument/2006/relationships" name="5. Career Ladder" sheetId="6" state="visible" r:id="rId6"/>
    <sheet xmlns:r="http://schemas.openxmlformats.org/officeDocument/2006/relationships" name="6. Weightage Matrix" sheetId="7" state="visible" r:id="rId7"/>
  </sheets>
  <definedNames>
    <definedName name="WM_EXP_AB">'6. Weightage Matrix'!$B$6</definedName>
    <definedName name="WM_EXP_CE">'6. Weightage Matrix'!$B$7</definedName>
    <definedName name="WM_C">'6. Weightage Matrix'!$N$17:$N$40</definedName>
    <definedName name="WM_AU">'6. Weightage Matrix'!$O$17:$O$40</definedName>
    <definedName name="WM_AC">'6. Weightage Matrix'!$P$17:$P$40</definedName>
    <definedName name="WM_L">'6. Weightage Matrix'!$Q$17:$Q$40</definedName>
    <definedName name="WM_E">'6. Weightage Matrix'!$R$17:$R$40</definedName>
    <definedName name="WM_BI">'6. Weightage Matrix'!$S$17:$S$40</definedName>
    <definedName name="WM_KEY">'6. Weightage Matrix'!$A$17:$A$40</definedName>
    <definedName name="_xlnm.Print_Titles" localSheetId="2">'2. People &amp; Levels'!$5:$6</definedName>
    <definedName name="_xlnm._FilterDatabase" localSheetId="3" hidden="1">'3. Roles'!$A$6:$V$89</definedName>
    <definedName name="_xlnm.Print_Titles" localSheetId="3">'3. Roles'!$5:$6</definedName>
    <definedName name="_xlnm.Print_Titles" localSheetId="5">'5. Career Ladder'!$5:$6</definedName>
    <definedName name="_xlnm.Print_Titles" localSheetId="6">'6. Weightage Matrix'!$15:$16</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sz val="10"/>
    </font>
    <font>
      <name val="Calibri"/>
      <b val="1"/>
      <color rgb="00FFFFFF"/>
      <sz val="10"/>
    </font>
    <font>
      <name val="Calibri"/>
      <b val="1"/>
      <sz val="10"/>
    </font>
    <font>
      <name val="Calibri"/>
      <b val="1"/>
      <color rgb="00FFFFFF"/>
      <sz val="9"/>
    </font>
    <font>
      <name val="Calibri"/>
      <b val="1"/>
      <color rgb="001F3864"/>
      <sz val="18"/>
    </font>
    <font>
      <name val="Calibri"/>
      <i val="1"/>
      <color rgb="00595959"/>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9C0006"/>
      <sz val="10"/>
    </font>
    <font>
      <name val="Calibri"/>
      <b val="1"/>
      <color rgb="007F6000"/>
      <sz val="10"/>
    </font>
    <font>
      <name val="Calibri"/>
      <color rgb="009C5700"/>
      <sz val="10"/>
    </font>
    <font>
      <name val="Calibri"/>
      <color rgb="009C0006"/>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b val="1"/>
      <sz val="12"/>
    </font>
    <font>
      <name val="Calibri"/>
      <b val="1"/>
      <color rgb="000563C1"/>
      <sz val="10"/>
      <u val="single"/>
    </font>
  </fonts>
  <fills count="23">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C6E0B4"/>
      </patternFill>
    </fill>
    <fill>
      <patternFill patternType="solid">
        <fgColor rgb="00D0E8E5"/>
      </patternFill>
    </fill>
    <fill>
      <patternFill patternType="solid">
        <fgColor rgb="00E4DFEC"/>
      </patternFill>
    </fill>
    <fill>
      <patternFill patternType="solid">
        <fgColor rgb="00EDEDED"/>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FCE4D6"/>
      </patternFill>
    </fill>
    <fill>
      <patternFill patternType="solid">
        <f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0" borderId="0" applyAlignment="1" pivotButton="0" quotePrefix="0" xfId="0">
      <alignment vertical="top" wrapText="1"/>
    </xf>
    <xf numFmtId="0" fontId="6" fillId="4" borderId="1" applyAlignment="1" pivotButton="0" quotePrefix="0" xfId="0">
      <alignment horizontal="center" vertical="top" wrapText="1"/>
    </xf>
    <xf numFmtId="0" fontId="0" fillId="4" borderId="1" pivotButton="0" quotePrefix="0" xfId="0"/>
    <xf numFmtId="0" fontId="7"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0" fillId="5" borderId="1" pivotButton="0" quotePrefix="0" xfId="0"/>
    <xf numFmtId="0" fontId="7" fillId="6" borderId="1" applyAlignment="1" pivotButton="0" quotePrefix="0" xfId="0">
      <alignment horizontal="center" vertical="top" wrapText="1"/>
    </xf>
    <xf numFmtId="0" fontId="5" fillId="6" borderId="1" applyAlignment="1" pivotButton="0" quotePrefix="0" xfId="0">
      <alignment vertical="top" wrapText="1"/>
    </xf>
    <xf numFmtId="0" fontId="0" fillId="6" borderId="1" pivotButton="0" quotePrefix="0" xfId="0"/>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7" borderId="1" applyAlignment="1" pivotButton="0" quotePrefix="0" xfId="0">
      <alignment vertical="top" wrapText="1"/>
    </xf>
    <xf numFmtId="0" fontId="0" fillId="7" borderId="1" pivotButton="0" quotePrefix="0" xfId="0"/>
    <xf numFmtId="0" fontId="5" fillId="7" borderId="1" applyAlignment="1" pivotButton="0" quotePrefix="0" xfId="0">
      <alignment horizontal="center" vertical="top" wrapText="1"/>
    </xf>
    <xf numFmtId="0" fontId="7" fillId="8" borderId="1" applyAlignment="1" pivotButton="0" quotePrefix="0" xfId="0">
      <alignment horizontal="center" vertical="top" wrapText="1"/>
    </xf>
    <xf numFmtId="0" fontId="5" fillId="8" borderId="1" applyAlignment="1" pivotButton="0" quotePrefix="0" xfId="0">
      <alignment vertical="top" wrapText="1"/>
    </xf>
    <xf numFmtId="0" fontId="0" fillId="8" borderId="1" pivotButton="0" quotePrefix="0" xfId="0"/>
    <xf numFmtId="0" fontId="5" fillId="8" borderId="1" applyAlignment="1" pivotButton="0" quotePrefix="0" xfId="0">
      <alignment horizontal="center" vertical="top" wrapText="1"/>
    </xf>
    <xf numFmtId="0" fontId="7" fillId="9" borderId="1" applyAlignment="1" pivotButton="0" quotePrefix="0" xfId="0">
      <alignment horizontal="center" vertical="top" wrapText="1"/>
    </xf>
    <xf numFmtId="0" fontId="5" fillId="9" borderId="1" applyAlignment="1" pivotButton="0" quotePrefix="0" xfId="0">
      <alignment vertical="top" wrapText="1"/>
    </xf>
    <xf numFmtId="0" fontId="0" fillId="9" borderId="1" pivotButton="0" quotePrefix="0" xfId="0"/>
    <xf numFmtId="0" fontId="5" fillId="9" borderId="1" applyAlignment="1" pivotButton="0" quotePrefix="0" xfId="0">
      <alignment horizontal="center" vertical="top" wrapText="1"/>
    </xf>
    <xf numFmtId="0" fontId="7" fillId="10" borderId="1" applyAlignment="1" pivotButton="0" quotePrefix="0" xfId="0">
      <alignment horizontal="center" vertical="top" wrapText="1"/>
    </xf>
    <xf numFmtId="0" fontId="5" fillId="10" borderId="1" applyAlignment="1" pivotButton="0" quotePrefix="0" xfId="0">
      <alignment vertical="top" wrapText="1"/>
    </xf>
    <xf numFmtId="0" fontId="0" fillId="10" borderId="1" pivotButton="0" quotePrefix="0" xfId="0"/>
    <xf numFmtId="0" fontId="5" fillId="10" borderId="1" applyAlignment="1" pivotButton="0" quotePrefix="0" xfId="0">
      <alignment horizontal="center" vertical="top" wrapText="1"/>
    </xf>
    <xf numFmtId="0" fontId="7" fillId="11" borderId="1" applyAlignment="1" pivotButton="0" quotePrefix="0" xfId="0">
      <alignment horizontal="center" vertical="top" wrapText="1"/>
    </xf>
    <xf numFmtId="0" fontId="5" fillId="11" borderId="1" applyAlignment="1" pivotButton="0" quotePrefix="0" xfId="0">
      <alignment vertical="top" wrapText="1"/>
    </xf>
    <xf numFmtId="0" fontId="0" fillId="11" borderId="1" pivotButton="0" quotePrefix="0" xfId="0"/>
    <xf numFmtId="0" fontId="5" fillId="11" borderId="1" applyAlignment="1" pivotButton="0" quotePrefix="0" xfId="0">
      <alignment horizontal="center"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horizontal="center" vertical="top" wrapText="1"/>
    </xf>
    <xf numFmtId="0" fontId="11" fillId="12" borderId="1" applyAlignment="1" pivotButton="0" quotePrefix="0" xfId="0">
      <alignment vertical="center" indent="1"/>
    </xf>
    <xf numFmtId="0" fontId="0" fillId="12" borderId="1" pivotButton="0" quotePrefix="0" xfId="0"/>
    <xf numFmtId="0" fontId="12" fillId="13" borderId="1" applyAlignment="1" pivotButton="0" quotePrefix="0" xfId="0">
      <alignment vertical="center" indent="1"/>
    </xf>
    <xf numFmtId="0" fontId="0" fillId="13" borderId="1" pivotButton="0" quotePrefix="0" xfId="0"/>
    <xf numFmtId="0" fontId="13" fillId="14" borderId="1" applyAlignment="1" pivotButton="0" quotePrefix="0" xfId="0">
      <alignment vertical="center" indent="1"/>
    </xf>
    <xf numFmtId="0" fontId="0" fillId="14" borderId="1" pivotButton="0" quotePrefix="0" xfId="0"/>
    <xf numFmtId="0" fontId="14" fillId="6" borderId="1" applyAlignment="1" pivotButton="0" quotePrefix="0" xfId="0">
      <alignment vertical="center" indent="1"/>
    </xf>
    <xf numFmtId="0" fontId="15" fillId="8" borderId="1" applyAlignment="1" pivotButton="0" quotePrefix="0" xfId="0">
      <alignment vertical="center" indent="1"/>
    </xf>
    <xf numFmtId="0" fontId="16" fillId="15" borderId="1" applyAlignment="1" pivotButton="0" quotePrefix="0" xfId="0">
      <alignment vertical="center" indent="1"/>
    </xf>
    <xf numFmtId="0" fontId="0" fillId="15" borderId="1" pivotButton="0" quotePrefix="0" xfId="0"/>
    <xf numFmtId="0" fontId="17" fillId="16" borderId="1" applyAlignment="1" pivotButton="0" quotePrefix="0" xfId="0">
      <alignment vertical="center" indent="1"/>
    </xf>
    <xf numFmtId="0" fontId="0" fillId="16" borderId="1" pivotButton="0" quotePrefix="0" xfId="0"/>
    <xf numFmtId="0" fontId="21" fillId="3" borderId="0" applyAlignment="1" pivotButton="0" quotePrefix="0" xfId="0">
      <alignment horizontal="center" vertical="center" wrapText="1"/>
    </xf>
    <xf numFmtId="0" fontId="22" fillId="12" borderId="0" applyAlignment="1" pivotButton="0" quotePrefix="0" xfId="0">
      <alignment horizontal="center" vertical="center" wrapText="1"/>
    </xf>
    <xf numFmtId="0" fontId="23" fillId="13" borderId="0" applyAlignment="1" pivotButton="0" quotePrefix="0" xfId="0">
      <alignment horizontal="center" vertical="center" wrapText="1"/>
    </xf>
    <xf numFmtId="0" fontId="24" fillId="14" borderId="0" applyAlignment="1" pivotButton="0" quotePrefix="0" xfId="0">
      <alignment horizontal="center" vertical="center" wrapText="1"/>
    </xf>
    <xf numFmtId="0" fontId="25" fillId="6" borderId="0" applyAlignment="1" pivotButton="0" quotePrefix="0" xfId="0">
      <alignment horizontal="center" vertical="center" wrapText="1"/>
    </xf>
    <xf numFmtId="0" fontId="0" fillId="6" borderId="0" pivotButton="0" quotePrefix="0" xfId="0"/>
    <xf numFmtId="0" fontId="26" fillId="8" borderId="0" applyAlignment="1" pivotButton="0" quotePrefix="0" xfId="0">
      <alignment horizontal="center" vertical="center" wrapText="1"/>
    </xf>
    <xf numFmtId="0" fontId="0" fillId="8" borderId="0" pivotButton="0" quotePrefix="0" xfId="0"/>
    <xf numFmtId="0" fontId="27" fillId="15" borderId="0" applyAlignment="1" pivotButton="0" quotePrefix="0" xfId="0">
      <alignment horizontal="center" vertical="center" wrapText="1"/>
    </xf>
    <xf numFmtId="0" fontId="0" fillId="15" borderId="0" pivotButton="0" quotePrefix="0" xfId="0"/>
    <xf numFmtId="0" fontId="28" fillId="16" borderId="0" applyAlignment="1" pivotButton="0" quotePrefix="0" xfId="0">
      <alignment horizontal="center" vertical="center" wrapText="1"/>
    </xf>
    <xf numFmtId="0" fontId="0" fillId="16"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4" fillId="17" borderId="0" applyAlignment="1" pivotButton="0" quotePrefix="0" xfId="0">
      <alignment vertical="center" wrapText="1"/>
    </xf>
    <xf numFmtId="0" fontId="4" fillId="18" borderId="0" applyAlignment="1" pivotButton="0" quotePrefix="0" xfId="0">
      <alignment vertical="center" wrapText="1"/>
    </xf>
    <xf numFmtId="0" fontId="4" fillId="19" borderId="0" applyAlignment="1" pivotButton="0" quotePrefix="0" xfId="0">
      <alignment vertical="center" wrapText="1"/>
    </xf>
    <xf numFmtId="0" fontId="4" fillId="20" borderId="0" applyAlignment="1" pivotButton="0" quotePrefix="0" xfId="0">
      <alignment vertical="center" wrapText="1"/>
    </xf>
    <xf numFmtId="0" fontId="6" fillId="2" borderId="1" applyAlignment="1" pivotButton="0" quotePrefix="0" xfId="0">
      <alignment horizontal="center" vertical="top" wrapText="1"/>
    </xf>
    <xf numFmtId="0" fontId="6" fillId="17" borderId="1" applyAlignment="1" pivotButton="0" quotePrefix="0" xfId="0">
      <alignment horizontal="center" vertical="top" wrapText="1"/>
    </xf>
    <xf numFmtId="0" fontId="6" fillId="18" borderId="1" applyAlignment="1" pivotButton="0" quotePrefix="0" xfId="0">
      <alignment horizontal="center" vertical="top" wrapText="1"/>
    </xf>
    <xf numFmtId="0" fontId="6" fillId="19" borderId="1" applyAlignment="1" pivotButton="0" quotePrefix="0" xfId="0">
      <alignment horizontal="center" vertical="top" wrapText="1"/>
    </xf>
    <xf numFmtId="0" fontId="6" fillId="20" borderId="1" applyAlignment="1" pivotButton="0" quotePrefix="0" xfId="0">
      <alignment horizontal="center" vertical="top" wrapText="1"/>
    </xf>
    <xf numFmtId="0" fontId="11" fillId="12" borderId="1" applyAlignment="1" pivotButton="0" quotePrefix="0" xfId="0">
      <alignment vertical="top" wrapText="1"/>
    </xf>
    <xf numFmtId="0" fontId="12" fillId="13" borderId="1" applyAlignment="1" pivotButton="0" quotePrefix="0" xfId="0">
      <alignment vertical="top" wrapText="1"/>
    </xf>
    <xf numFmtId="0" fontId="5" fillId="16" borderId="1" applyAlignment="1" pivotButton="0" quotePrefix="0" xfId="0">
      <alignment horizontal="center" vertical="top" wrapText="1"/>
    </xf>
    <xf numFmtId="2" fontId="5" fillId="0" borderId="1" applyAlignment="1" pivotButton="0" quotePrefix="0" xfId="0">
      <alignment horizontal="center" vertical="top" wrapText="1"/>
    </xf>
    <xf numFmtId="0" fontId="5" fillId="16" borderId="1" applyAlignment="1" pivotButton="0" quotePrefix="0" xfId="0">
      <alignment vertical="top" wrapText="1"/>
    </xf>
    <xf numFmtId="0" fontId="13" fillId="14" borderId="1" applyAlignment="1" pivotButton="0" quotePrefix="0" xfId="0">
      <alignment vertical="top" wrapText="1"/>
    </xf>
    <xf numFmtId="0" fontId="18" fillId="14" borderId="1" applyAlignment="1" pivotButton="0" quotePrefix="0" xfId="0">
      <alignment vertical="top" wrapText="1"/>
    </xf>
    <xf numFmtId="0" fontId="14" fillId="6" borderId="1" applyAlignment="1" pivotButton="0" quotePrefix="0" xfId="0">
      <alignment vertical="top" wrapText="1"/>
    </xf>
    <xf numFmtId="0" fontId="19" fillId="15" borderId="1" applyAlignment="1" pivotButton="0" quotePrefix="0" xfId="0">
      <alignment vertical="top" wrapText="1"/>
    </xf>
    <xf numFmtId="0" fontId="20" fillId="5" borderId="1" applyAlignment="1" pivotButton="0" quotePrefix="0" xfId="0">
      <alignment vertical="top" wrapText="1"/>
    </xf>
    <xf numFmtId="0" fontId="15" fillId="8" borderId="1" applyAlignment="1" pivotButton="0" quotePrefix="0" xfId="0">
      <alignment horizontal="center" vertical="top" wrapText="1"/>
    </xf>
    <xf numFmtId="0" fontId="4" fillId="4" borderId="0" pivotButton="0" quotePrefix="0" xfId="0"/>
    <xf numFmtId="0" fontId="7" fillId="0" borderId="1" applyAlignment="1" pivotButton="0" quotePrefix="0" xfId="0">
      <alignment horizontal="center" vertical="top" wrapText="1"/>
    </xf>
    <xf numFmtId="0" fontId="6" fillId="4" borderId="1" applyAlignment="1" pivotButton="0" quotePrefix="0" xfId="0">
      <alignment vertical="top" wrapText="1"/>
    </xf>
    <xf numFmtId="0" fontId="0" fillId="0" borderId="4" pivotButton="0" quotePrefix="0" xfId="0"/>
    <xf numFmtId="0" fontId="0" fillId="0" borderId="5" pivotButton="0" quotePrefix="0" xfId="0"/>
    <xf numFmtId="0" fontId="7" fillId="3" borderId="1" applyAlignment="1" pivotButton="0" quotePrefix="0" xfId="0">
      <alignment vertical="top" wrapText="1"/>
    </xf>
    <xf numFmtId="0" fontId="5" fillId="3" borderId="1" applyAlignment="1" pivotButton="0" quotePrefix="0" xfId="0">
      <alignment horizontal="center" vertical="top" wrapText="1"/>
    </xf>
    <xf numFmtId="0" fontId="5" fillId="21" borderId="1" applyAlignment="1" pivotButton="0" quotePrefix="0" xfId="0">
      <alignment vertical="top" wrapText="1"/>
    </xf>
    <xf numFmtId="0" fontId="7" fillId="5" borderId="1" applyAlignment="1" pivotButton="0" quotePrefix="0" xfId="0">
      <alignment vertical="top" wrapText="1"/>
    </xf>
    <xf numFmtId="0" fontId="29" fillId="16" borderId="1" applyAlignment="1" pivotButton="0" quotePrefix="0" xfId="0">
      <alignment horizontal="center" vertical="top" wrapText="1"/>
    </xf>
    <xf numFmtId="0" fontId="6" fillId="22" borderId="1" applyAlignment="1" pivotButton="0" quotePrefix="0" xfId="0">
      <alignment horizontal="center" vertical="top" wrapText="1"/>
    </xf>
    <xf numFmtId="164" fontId="5" fillId="16" borderId="1" applyAlignment="1" pivotButton="0" quotePrefix="0" xfId="0">
      <alignment horizontal="center" vertical="top" wrapText="1"/>
    </xf>
    <xf numFmtId="164" fontId="7" fillId="0" borderId="1" applyAlignment="1" pivotButton="0" quotePrefix="0" xfId="0">
      <alignment horizontal="center" vertical="top" wrapText="1"/>
    </xf>
    <xf numFmtId="9" fontId="5" fillId="11" borderId="1" applyAlignment="1" pivotButton="0" quotePrefix="0" xfId="0">
      <alignment horizontal="center" vertical="top" wrapText="1"/>
    </xf>
    <xf numFmtId="164" fontId="5" fillId="0" borderId="1" applyAlignment="1" pivotButton="0" quotePrefix="0" xfId="0">
      <alignment vertical="top" wrapText="1"/>
    </xf>
    <xf numFmtId="0" fontId="30" fillId="0" borderId="0" applyAlignment="1" pivotButton="0" quotePrefix="0" xfId="0">
      <alignment vertical="center"/>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Start Here'!B106</f>
            </strRef>
          </tx>
          <spPr>
            <a:solidFill xmlns:a="http://schemas.openxmlformats.org/drawingml/2006/main">
              <a:srgbClr val="2E75B6"/>
            </a:solidFill>
            <a:ln xmlns:a="http://schemas.openxmlformats.org/drawingml/2006/main">
              <a:solidFill>
                <a:srgbClr val="2E75B6"/>
              </a:solidFill>
              <a:prstDash val="solid"/>
            </a:ln>
          </spPr>
          <cat>
            <numRef>
              <f>'1. Start Here'!$A$107:$A$116</f>
            </numRef>
          </cat>
          <val>
            <numRef>
              <f>'1. Start Here'!$B$107:$B$116</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The discipline, the same across businesses.</t>
      </text>
    </comment>
    <comment ref="H6" authorId="0" shapeId="0">
      <text>
        <t>Individual Contributor, POD Lead, People Manager, Player-Coach or Consultant.</t>
      </text>
    </comment>
    <comment ref="I6" authorId="0" shapeId="0">
      <text>
        <t>Level in the current structure, or 'Not in current mapping files'.</t>
      </text>
    </comment>
    <comment ref="J6" authorId="0" shapeId="0">
      <text>
        <t>Level on the new ladder after the rules.</t>
      </text>
    </comment>
    <comment ref="K6" authorId="0" shapeId="0">
      <text>
        <t>The generic title of the level on the person's track.</t>
      </text>
    </comment>
    <comment ref="L6" authorId="0" shapeId="0">
      <text>
        <t>Up, same, down · pay and title protected for one cycle or newly mapped.</t>
      </text>
    </comment>
    <comment ref="T6" authorId="0" shapeId="0">
      <text>
        <t>Weighted score = Σ rating × weight, on the 1–12 level scale. Not performance, not pay.</t>
      </text>
    </comment>
    <comment ref="U6" authorId="0" shapeId="0">
      <text>
        <t>The score rounded to the nearest level ·.5 rounds up, before the rules.</t>
      </text>
    </comment>
    <comment ref="AC6" authorId="0" shapeId="0">
      <text>
        <t>Agree / Change / Discuss — your view of this placement.</t>
      </text>
    </comment>
  </commentList>
</comments>
</file>

<file path=xl/comments/comment2.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3.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105</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2__People___Levels" displayName="T_2__People___Levels" ref="A6:AF224" headerRowCount="1">
  <autoFilter ref="A6:AF224"/>
  <tableColumns count="32">
    <tableColumn id="1" name="Emp ID"/>
    <tableColumn id="2" name="Employee name"/>
    <tableColumn id="3" name="Department"/>
    <tableColumn id="4" name="Current designation"/>
    <tableColumn id="5" name="New designation"/>
    <tableColumn id="6" name="Job family"/>
    <tableColumn id="7" name="Sub-family"/>
    <tableColumn id="8" name="Track"/>
    <tableColumn id="9" name="Current level"/>
    <tableColumn id="10" name="NEW LEVEL"/>
    <tableColumn id="11" name="Level title"/>
    <tableColumn id="12" name="Change vs current"/>
    <tableColumn id="13" name="Weight row — Weightage Matrix"/>
    <tableColumn id="14" name="Complexity rating"/>
    <tableColumn id="15" name="Autonomy rating"/>
    <tableColumn id="16" name="Accountab. rating"/>
    <tableColumn id="17" name="Leadership rating"/>
    <tableColumn id="18" name="Exp + Qual rating"/>
    <tableColumn id="19" name="Bus. Impact rating"/>
    <tableColumn id="20" name="Score"/>
    <tableColumn id="21" name="Level the score indicates"/>
    <tableColumn id="22" name="Why this level"/>
    <tableColumn id="23" name="How each factor was rated · rating of 12 — starting point and evidence"/>
    <tableColumn id="24" name="Market comparison"/>
    <tableColumn id="25" name="Data behind the placement"/>
    <tableColumn id="26" name="Points for your attention"/>
    <tableColumn id="27" name="Input still needed — and who provides it"/>
    <tableColumn id="28" name="Business impact — from survey and data"/>
    <tableColumn id="29" name="Your view"/>
    <tableColumn id="30" name="If change: proposed level / designation, and why"/>
    <tableColumn id="31" name="Business impact of this person — your view"/>
    <tableColumn id="32" name="Bus. Impact — model start"/>
  </tableColumns>
  <tableStyleInfo name="TableStyleLight1" showRowStripes="1" showColumnStripes="0"/>
</table>
</file>

<file path=xl/tables/table2.xml><?xml version="1.0" encoding="utf-8"?>
<table xmlns="http://schemas.openxmlformats.org/spreadsheetml/2006/main" id="2" name="T_5__Career_Ladder" displayName="T_5__Career_Ladder" ref="A6:P99" headerRowCount="1">
  <autoFilter ref="A6:P99"/>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iFile · same work in other departments"/>
    <tableColumn id="16" name="Overlap across IRIS · same work in other products"/>
  </tableColumns>
  <tableStyleInfo name="TableStyleLight1" showRowStripes="1" showColumnStripes="0"/>
</table>
</file>

<file path=xl/tables/table3.xml><?xml version="1.0" encoding="utf-8"?>
<table xmlns="http://schemas.openxmlformats.org/spreadsheetml/2006/main" id="3" name="T_6__Weightage_Matrix" displayName="T_6__Weightage_Matrix" ref="A16:T40" headerRowCount="1">
  <autoFilter ref="A16:T40"/>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Start Here'!A1" TargetMode="External" Id="rId1"/></Relationships>
</file>

<file path=xl/worksheets/_rels/sheet2.xml.rels><Relationships xmlns="http://schemas.openxmlformats.org/package/2006/relationships"><Relationship Type="http://schemas.openxmlformats.org/officeDocument/2006/relationships/hyperlink" Target="#'2. People &amp; Levels'!A1" TargetMode="External" Id="rId1"/><Relationship Type="http://schemas.openxmlformats.org/officeDocument/2006/relationships/hyperlink" Target="#'3. Roles'!A1" TargetMode="External" Id="rId2"/><Relationship Type="http://schemas.openxmlformats.org/officeDocument/2006/relationships/hyperlink" Target="#'4. Decisions &amp; Actions'!A1" TargetMode="External" Id="rId3"/><Relationship Type="http://schemas.openxmlformats.org/officeDocument/2006/relationships/hyperlink" Target="#'5. Career Ladder'!A1" TargetMode="External" Id="rId4"/><Relationship Type="http://schemas.openxmlformats.org/officeDocument/2006/relationships/hyperlink" Target="#'6. Weightage Matrix'!A1"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1. Start Here'!A1" TargetMode="External" Id="rId1"/></Relationships>
</file>

<file path=xl/worksheets/_rels/sheet5.xml.rels><Relationships xmlns="http://schemas.openxmlformats.org/package/2006/relationships"><Relationship Type="http://schemas.openxmlformats.org/officeDocument/2006/relationships/hyperlink" Target="#'1. Start Here'!A1" TargetMode="External" Id="rId1"/></Relationships>
</file>

<file path=xl/worksheets/_rels/sheet6.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104" t="inlineStr">
        <is>
          <t>◂ Start Here</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business head's edition for one product: the numbers, every placement, the roles, the decisions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8" t="inlineStr">
        <is>
          <t>#</t>
        </is>
      </c>
      <c r="B6" s="8" t="inlineStr">
        <is>
          <t>Step</t>
        </is>
      </c>
      <c r="C6" s="8" t="inlineStr">
        <is>
          <t>What we did</t>
        </is>
      </c>
      <c r="D6" s="8" t="inlineStr">
        <is>
          <t>What came out of it</t>
        </is>
      </c>
    </row>
    <row r="7" ht="54" customHeight="1">
      <c r="A7" s="42" t="n">
        <v>1</v>
      </c>
      <c r="B7" s="12" t="inlineStr">
        <is>
          <t>Created a base framework</t>
        </is>
      </c>
      <c r="C7" s="12" t="inlineStr">
        <is>
          <t>Built IRIS's job architecture from established market methods — Aon Radford / Mercer career levels, Korn Ferry Hay factors, WTW banding and SFIA — with job families anchored to the ILO occupation standard.</t>
        </is>
      </c>
      <c r="D7" s="12" t="inlineStr">
        <is>
          <t>19 job families, 61 sub-families, a 12-level ladder plus two Player-Coach steps · B+, C+, six factors, individual-contributor and manager tracks</t>
        </is>
      </c>
    </row>
    <row r="8" ht="54" customHeight="1">
      <c r="A8" s="42" t="n">
        <v>2</v>
      </c>
      <c r="B8" s="12" t="inlineStr">
        <is>
          <t>Designed a survey around it</t>
        </is>
      </c>
      <c r="C8" s="12"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2" t="inlineStr">
        <is>
          <t>One evidence form for every role, so each rating can be traced to an answer</t>
        </is>
      </c>
    </row>
    <row r="9" ht="41" customHeight="1">
      <c r="A9" s="42" t="n">
        <v>3</v>
      </c>
      <c r="B9" s="12" t="inlineStr">
        <is>
          <t>Conducted 60–65 workshops</t>
        </is>
      </c>
      <c r="C9" s="12" t="inlineStr">
        <is>
          <t>Ran 60–65 workshops with teams across the six products and Corporate: explained the framework, walked through the questions and collected answers in the room.</t>
        </is>
      </c>
      <c r="D9" s="12" t="inlineStr">
        <is>
          <t>Survey responses from 520 people</t>
        </is>
      </c>
    </row>
    <row r="10" ht="41" customHeight="1">
      <c r="A10" s="42" t="n">
        <v>4</v>
      </c>
      <c r="B10" s="12" t="inlineStr">
        <is>
          <t>Gathered the data</t>
        </is>
      </c>
      <c r="C10" s="12" t="inlineStr">
        <is>
          <t>Combined the survey with the HRIS employee master, KRAs · self and manager-set, the managers' talent mapping · rating, potential, 9-box and the reporting lines.</t>
        </is>
      </c>
      <c r="D10" s="12" t="inlineStr">
        <is>
          <t>One record per person — 586 people; KRAs on file for 453</t>
        </is>
      </c>
    </row>
    <row r="11" ht="41" customHeight="1">
      <c r="A11" s="42" t="n">
        <v>5</v>
      </c>
      <c r="B11" s="12" t="inlineStr">
        <is>
          <t>Cleaned and protected it</t>
        </is>
      </c>
      <c r="C11" s="12" t="inlineStr">
        <is>
          <t>Matched responses to people · with consent where needed, removed personal data, and showed survey content only where three or more role-holders answered — never one person's words against a name.</t>
        </is>
      </c>
      <c r="D11" s="12" t="inlineStr">
        <is>
          <t>Privacy-safe evidence</t>
        </is>
      </c>
    </row>
    <row r="12" ht="28" customHeight="1">
      <c r="A12" s="42" t="n">
        <v>6</v>
      </c>
      <c r="B12" s="12" t="inlineStr">
        <is>
          <t>Mapped every role</t>
        </is>
      </c>
      <c r="C12" s="12" t="inlineStr">
        <is>
          <t>Placed each person in a job family, a sub-family · the work they actually do and a track.</t>
        </is>
      </c>
      <c r="D12" s="12" t="inlineStr">
        <is>
          <t>267 distinct employee roles; one IRIS-wide role catalogue</t>
        </is>
      </c>
    </row>
    <row r="13" ht="54" customHeight="1">
      <c r="A13" s="42" t="n">
        <v>7</v>
      </c>
      <c r="B13" s="12" t="inlineStr">
        <is>
          <t>Rated and scored</t>
        </is>
      </c>
      <c r="C13" s="12" t="inlineStr">
        <is>
          <t>Rated six factors — Complexity, Autonomy, Accountability, Leadership, Experience &amp; Qualification, Business Impact — on the ladder scale from the evidence; rating × weight = points; points add up to a score; the score points to a level.</t>
        </is>
      </c>
      <c r="D13" s="12" t="inlineStr">
        <is>
          <t>A score and an indicated level for 540 employees</t>
        </is>
      </c>
    </row>
    <row r="14" ht="41" customHeight="1">
      <c r="A14" s="42" t="n">
        <v>8</v>
      </c>
      <c r="B14" s="12" t="inlineStr">
        <is>
          <t>Applied the rules</t>
        </is>
      </c>
      <c r="C14" s="12" t="inlineStr">
        <is>
          <t>Gates, limits and Player-Coach steps where the evidence calls for them, and leadership decisions for the top bands — each one written down with its numbers.</t>
        </is>
      </c>
      <c r="D14" s="12" t="inlineStr">
        <is>
          <t>A final level and designation for everyone, every move explained</t>
        </is>
      </c>
    </row>
    <row r="15" ht="41" customHeight="1">
      <c r="A15" s="42" t="n">
        <v>9</v>
      </c>
      <c r="B15" s="12" t="inlineStr">
        <is>
          <t>Benchmarked to the market</t>
        </is>
      </c>
      <c r="C15" s="12" t="inlineStr">
        <is>
          <t>Matched every level to Aon Radford / Mercer codes and SFIA, and to competitor, regtech and SaaS ladders; every source re-read and corrected.</t>
        </is>
      </c>
      <c r="D15" s="12" t="inlineStr">
        <is>
          <t>A market code and a typical market title for every level</t>
        </is>
      </c>
    </row>
    <row r="16" ht="54" customHeight="1">
      <c r="A16" s="42" t="n">
        <v>10</v>
      </c>
      <c r="B16" s="12" t="inlineStr">
        <is>
          <t>Built the file set</t>
        </is>
      </c>
      <c r="C16" s="12" t="inlineStr">
        <is>
          <t>One build produces every file from the same data, so they always agree: the HR Super Master, product masters and simplified editions, the framework &amp; model master, the calibration panel pack, the ladder master and draft letters.</t>
        </is>
      </c>
      <c r="D16" s="12" t="inlineStr">
        <is>
          <t>Files by audience, rebuilt and re-checked in minutes</t>
        </is>
      </c>
    </row>
    <row r="17" ht="28" customHeight="1">
      <c r="A17" s="42" t="n">
        <v>11</v>
      </c>
      <c r="B17" s="12" t="inlineStr">
        <is>
          <t>Reviewed and corrected</t>
        </is>
      </c>
      <c r="C17" s="12" t="inlineStr">
        <is>
          <t>Business-head review, independent reviews, and 100+ automated checks on every build · placements, privacy, formulas, links, counts.</t>
        </is>
      </c>
      <c r="D17" s="12" t="inlineStr">
        <is>
          <t>Corrections fed back as validated inputs, never as hand edits</t>
        </is>
      </c>
    </row>
    <row r="18" ht="15" customHeight="1"/>
    <row r="19" ht="20" customHeight="1">
      <c r="A19" s="6" t="inlineStr">
        <is>
          <t>2. What we are doing now</t>
        </is>
      </c>
      <c r="B19" s="2" t="n"/>
      <c r="C19" s="2" t="n"/>
      <c r="D19" s="2" t="n"/>
    </row>
    <row r="20" ht="15" customHeight="1">
      <c r="A20" s="8" t="inlineStr">
        <is>
          <t>Now</t>
        </is>
      </c>
      <c r="B20" s="9" t="n"/>
      <c r="C20" s="8" t="inlineStr">
        <is>
          <t>What happens</t>
        </is>
      </c>
      <c r="D20" s="8" t="inlineStr">
        <is>
          <t>Who</t>
        </is>
      </c>
    </row>
    <row r="21" ht="28" customHeight="1">
      <c r="A21" s="10" t="inlineStr">
        <is>
          <t>Calibration</t>
        </is>
      </c>
      <c r="B21" s="11" t="n"/>
      <c r="C21" s="12" t="inlineStr">
        <is>
          <t>The panel rates anchor roles blind and compares them with the model; close calls and moves down are decided.</t>
        </is>
      </c>
      <c r="D21" s="12" t="inlineStr">
        <is>
          <t>Calibration panel</t>
        </is>
      </c>
    </row>
    <row r="22" ht="28" customHeight="1">
      <c r="A22" s="10" t="inlineStr">
        <is>
          <t>Decisions and data</t>
        </is>
      </c>
      <c r="B22" s="11" t="n"/>
      <c r="C22" s="12" t="inlineStr">
        <is>
          <t>Open decisions and critical data requests are worked in the HR Super Master's tracker.</t>
        </is>
      </c>
      <c r="D22" s="12" t="inlineStr">
        <is>
          <t>HR, managers, business heads</t>
        </is>
      </c>
    </row>
    <row r="23" ht="28" customHeight="1">
      <c r="A23" s="10" t="inlineStr">
        <is>
          <t>Business-head review</t>
        </is>
      </c>
      <c r="B23" s="11" t="n"/>
      <c r="C23" s="12" t="inlineStr">
        <is>
          <t>Each business head marks Agree / Change / Discuss in their simplified edition; responses are imported and tracked.</t>
        </is>
      </c>
      <c r="D23" s="12" t="inlineStr">
        <is>
          <t>Business heads</t>
        </is>
      </c>
    </row>
    <row r="24" ht="28" customHeight="1">
      <c r="A24" s="10" t="inlineStr">
        <is>
          <t>Sign-off</t>
        </is>
      </c>
      <c r="B24" s="11" t="n"/>
      <c r="C24" s="12" t="inlineStr">
        <is>
          <t>The executive sponsor approves the structure; then the draft letters are issued.</t>
        </is>
      </c>
      <c r="D24" s="12" t="inlineStr">
        <is>
          <t>Executive sponsor, HR</t>
        </is>
      </c>
    </row>
    <row r="25" ht="28" customHeight="1">
      <c r="A25" s="10" t="inlineStr">
        <is>
          <t>Pay · later</t>
        </is>
      </c>
      <c r="B25" s="11" t="n"/>
      <c r="C25" s="12" t="inlineStr">
        <is>
          <t>Buy one India pay survey and price each level; pay columns stay blank until then.</t>
        </is>
      </c>
      <c r="D25" s="12" t="inlineStr">
        <is>
          <t>HR, Finance</t>
        </is>
      </c>
    </row>
    <row r="26" ht="15" customHeight="1"/>
    <row r="27" ht="20" customHeight="1">
      <c r="A27" s="6" t="inlineStr">
        <is>
          <t>3. How it works — in one minute</t>
        </is>
      </c>
      <c r="B27" s="2" t="n"/>
      <c r="C27" s="2" t="n"/>
      <c r="D27" s="2" t="n"/>
    </row>
    <row r="28" ht="15" customHeight="1">
      <c r="A28" s="8" t="inlineStr">
        <is>
          <t>Step</t>
        </is>
      </c>
      <c r="B28" s="9" t="n"/>
      <c r="C28" s="8" t="inlineStr">
        <is>
          <t>In plain words</t>
        </is>
      </c>
      <c r="D28" s="9" t="n"/>
    </row>
    <row r="29" ht="28" customHeight="1">
      <c r="A29" s="10" t="inlineStr">
        <is>
          <t>1 · A building with 12 floors</t>
        </is>
      </c>
      <c r="B29" s="11" t="n"/>
      <c r="C29" s="12"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10" t="inlineStr">
        <is>
          <t>2 · Six judges</t>
        </is>
      </c>
      <c r="B30" s="11" t="n"/>
      <c r="C30" s="12" t="inlineStr">
        <is>
          <t>Six judges look at the job — How hard? Decides alone? Answers for? Leads? Experience? Business impact? — and each holds up a floor number · the rating, using the evidence: survey, KRAs, HRIS, reporting line.</t>
        </is>
      </c>
      <c r="D30" s="11" t="n"/>
    </row>
    <row r="31" ht="28" customHeight="1">
      <c r="A31" s="10" t="inlineStr">
        <is>
          <t>3 · Some count more</t>
        </is>
      </c>
      <c r="B31" s="11" t="n"/>
      <c r="C31" s="12" t="inlineStr">
        <is>
          <t>Starting out, the quality of the work counts most; for leaders, results, leading and business impact count most. Experience counts little. All six add to 100%, and leaders can edit them on the Weightage Matrix.</t>
        </is>
      </c>
      <c r="D31" s="11" t="n"/>
    </row>
    <row r="32" ht="28" customHeight="1">
      <c r="A32" s="10" t="inlineStr">
        <is>
          <t>4 · Add up = the floor</t>
        </is>
      </c>
      <c r="B32" s="11" t="n"/>
      <c r="C32" s="12" t="inlineStr">
        <is>
          <t>Card × how much it counts = points; add the points = the score; round it = the floor · 5.05 → 5 → B2. Fair-play checks can hold it — each one written down.</t>
        </is>
      </c>
      <c r="D32" s="11" t="n"/>
    </row>
    <row r="33" ht="15" customHeight="1"/>
    <row r="34" ht="15" customHeight="1">
      <c r="A34" s="40"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8" t="inlineStr">
        <is>
          <t>Output</t>
        </is>
      </c>
      <c r="B36" s="9" t="n"/>
      <c r="C36" s="9" t="n"/>
      <c r="D36" s="8" t="inlineStr">
        <is>
          <t>Count</t>
        </is>
      </c>
    </row>
    <row r="37" ht="15" customHeight="1">
      <c r="A37" s="10" t="inlineStr">
        <is>
          <t>People mapped · employees + consultants</t>
        </is>
      </c>
      <c r="B37" s="11" t="n"/>
      <c r="C37" s="11" t="n"/>
      <c r="D37" s="42" t="inlineStr">
        <is>
          <t>586</t>
        </is>
      </c>
    </row>
    <row r="38" ht="15" customHeight="1">
      <c r="A38" s="10" t="inlineStr">
        <is>
          <t>Job families · sub-families</t>
        </is>
      </c>
      <c r="B38" s="11" t="n"/>
      <c r="C38" s="11" t="n"/>
      <c r="D38" s="42" t="inlineStr">
        <is>
          <t>19 · 61</t>
        </is>
      </c>
    </row>
    <row r="39" ht="15" customHeight="1">
      <c r="A39" s="10" t="inlineStr">
        <is>
          <t>Ladder steps in use · employees</t>
        </is>
      </c>
      <c r="B39" s="11" t="n"/>
      <c r="C39" s="11" t="n"/>
      <c r="D39" s="42" t="n">
        <v>13</v>
      </c>
    </row>
    <row r="40" ht="15" customHeight="1">
      <c r="A40" s="10" t="inlineStr">
        <is>
          <t>Designations on the new ladder · employees</t>
        </is>
      </c>
      <c r="B40" s="11" t="n"/>
      <c r="C40" s="11" t="n"/>
      <c r="D40" s="42" t="n">
        <v>184</v>
      </c>
    </row>
    <row r="41" ht="15" customHeight="1">
      <c r="A41" s="10" t="inlineStr">
        <is>
          <t>Distinct employee roles</t>
        </is>
      </c>
      <c r="B41" s="11" t="n"/>
      <c r="C41" s="11" t="n"/>
      <c r="D41" s="42" t="n">
        <v>267</v>
      </c>
    </row>
    <row r="42" ht="15" customHeight="1">
      <c r="A42" s="10" t="inlineStr">
        <is>
          <t>Products and Corporate</t>
        </is>
      </c>
      <c r="B42" s="11" t="n"/>
      <c r="C42" s="11" t="n"/>
      <c r="D42" s="42" t="n">
        <v>6</v>
      </c>
    </row>
    <row r="43" ht="15" customHeight="1">
      <c r="A43" s="10" t="inlineStr">
        <is>
          <t>People in leadership bands D–E</t>
        </is>
      </c>
      <c r="B43" s="11" t="n"/>
      <c r="C43" s="11" t="n"/>
      <c r="D43" s="42" t="n">
        <v>11</v>
      </c>
    </row>
    <row r="44" ht="15" customHeight="1"/>
    <row r="45" ht="20" customHeight="1">
      <c r="A45" s="6" t="inlineStr">
        <is>
          <t>5. The impact</t>
        </is>
      </c>
      <c r="B45" s="2" t="n"/>
      <c r="C45" s="2" t="n"/>
      <c r="D45" s="2" t="n"/>
    </row>
    <row r="46" ht="15" customHeight="1">
      <c r="A46" s="8" t="inlineStr">
        <is>
          <t>Impact</t>
        </is>
      </c>
      <c r="B46" s="9" t="n"/>
      <c r="C46" s="8" t="inlineStr">
        <is>
          <t>What it means</t>
        </is>
      </c>
      <c r="D46" s="9" t="n"/>
    </row>
    <row r="47" ht="28" customHeight="1">
      <c r="A47" s="10" t="inlineStr">
        <is>
          <t>One architecture for all of IRIS</t>
        </is>
      </c>
      <c r="B47" s="11" t="n"/>
      <c r="C47" s="12" t="inlineStr">
        <is>
          <t>The same families, the same ladder and the same method in every product — titles mean the same thing everywhere.</t>
        </is>
      </c>
      <c r="D47" s="11" t="n"/>
    </row>
    <row r="48" ht="15" customHeight="1">
      <c r="A48" s="10" t="inlineStr">
        <is>
          <t>Transparent, explainable levels</t>
        </is>
      </c>
      <c r="B48" s="11" t="n"/>
      <c r="C48" s="12" t="inlineStr">
        <is>
          <t>Every level traces to evidence, ratings, weights and named rules; anyone can see why a role sits where it does.</t>
        </is>
      </c>
      <c r="D48" s="11" t="n"/>
    </row>
    <row r="49" ht="28" customHeight="1">
      <c r="A49" s="10" t="inlineStr">
        <is>
          <t>Clear career paths</t>
        </is>
      </c>
      <c r="B49" s="11" t="n"/>
      <c r="C49" s="12" t="inlineStr">
        <is>
          <t>Individual-contributor and manager tracks with a ladder in every sub-family, and the competencies needed for the next step.</t>
        </is>
      </c>
      <c r="D49" s="11" t="n"/>
    </row>
    <row r="50" ht="28" customHeight="1">
      <c r="A50" s="10" t="inlineStr">
        <is>
          <t>Duplication made visible</t>
        </is>
      </c>
      <c r="B50" s="11" t="n"/>
      <c r="C50" s="12" t="inlineStr">
        <is>
          <t>53 family × sub-family × level combinations are held in more than one product — candidates for common role definitions and shared pools.</t>
        </is>
      </c>
      <c r="D50" s="11" t="n"/>
    </row>
    <row r="51" ht="28" customHeight="1">
      <c r="A51" s="10" t="inlineStr">
        <is>
          <t>Leadership consistency</t>
        </is>
      </c>
      <c r="B51" s="11" t="n"/>
      <c r="C51" s="12" t="inlineStr">
        <is>
          <t>No one in Bands D–E sits above their reporting manager, anyone in Band D reporting to an E1 / E2 sits at D2, and leadership levels are set by approved decisions.</t>
        </is>
      </c>
      <c r="D51" s="11" t="n"/>
    </row>
    <row r="52" ht="15" customHeight="1">
      <c r="A52" s="10" t="inlineStr">
        <is>
          <t>Ready for pay and planning</t>
        </is>
      </c>
      <c r="B52" s="11" t="n"/>
      <c r="C52" s="12"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8" t="inlineStr">
        <is>
          <t>Element</t>
        </is>
      </c>
      <c r="B55" s="8" t="inlineStr">
        <is>
          <t>What it is</t>
        </is>
      </c>
      <c r="C55" s="9" t="n"/>
      <c r="D55" s="9" t="n"/>
    </row>
    <row r="56" ht="41" customHeight="1">
      <c r="A56" s="10" t="inlineStr">
        <is>
          <t>Job families</t>
        </is>
      </c>
      <c r="B56" s="12" t="inlineStr">
        <is>
          <t>19 families of work, each anchored to the ILO occupation standard — the same in every product.</t>
        </is>
      </c>
      <c r="C56" s="11" t="n"/>
      <c r="D56" s="11" t="n"/>
    </row>
    <row r="57" ht="41" customHeight="1">
      <c r="A57" s="10" t="inlineStr">
        <is>
          <t>Sub-families</t>
        </is>
      </c>
      <c r="B57" s="12" t="inlineStr">
        <is>
          <t>61 sub-families: the work a person actually does inside a family. One definition each, used everywhere.</t>
        </is>
      </c>
      <c r="C57" s="11" t="n"/>
      <c r="D57" s="11" t="n"/>
    </row>
    <row r="58" ht="41" customHeight="1">
      <c r="A58" s="10" t="inlineStr">
        <is>
          <t>Career ladder</t>
        </is>
      </c>
      <c r="B58" s="12"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10" t="inlineStr">
        <is>
          <t>Tracks</t>
        </is>
      </c>
      <c r="B59" s="12" t="inlineStr">
        <is>
          <t>Individual contributor, POD Lead · leads 1–3 while doing the work, Player-Coach · leads and delivers, People Manager, Consultant — experts progress without having to manage.</t>
        </is>
      </c>
      <c r="C59" s="11" t="n"/>
      <c r="D59" s="11" t="n"/>
    </row>
    <row r="60" ht="28" customHeight="1">
      <c r="A60" s="10" t="inlineStr">
        <is>
          <t>Six factors</t>
        </is>
      </c>
      <c r="B60" s="12"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10" t="inlineStr">
        <is>
          <t>Weights</t>
        </is>
      </c>
      <c r="B61" s="12" t="inlineStr">
        <is>
          <t>How much each factor counts, by band and track · junior roles: skill and experience; senior roles: accountability and leadership, fine-tuned ±5 by type of work.</t>
        </is>
      </c>
      <c r="C61" s="11" t="n"/>
      <c r="D61" s="11" t="n"/>
    </row>
    <row r="62" ht="28" customHeight="1">
      <c r="A62" s="10" t="inlineStr">
        <is>
          <t>Rules</t>
        </is>
      </c>
      <c r="B62" s="12"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10" t="inlineStr">
        <is>
          <t>Titles</t>
        </is>
      </c>
      <c r="B63" s="12" t="inlineStr">
        <is>
          <t>Level marker + role noun; market titles where the market has its own ladder · Product Manager, Account Executive.</t>
        </is>
      </c>
      <c r="C63" s="11" t="n"/>
      <c r="D63" s="11" t="n"/>
    </row>
    <row r="64" ht="41" customHeight="1">
      <c r="A64" s="10" t="inlineStr">
        <is>
          <t>Competencies</t>
        </is>
      </c>
      <c r="B64" s="12" t="inlineStr">
        <is>
          <t>6 core and 4 future-ready for everyone, 4 leadership for leaders, and functional competencies for each family — each with a 1–5 skill level required at every career level.</t>
        </is>
      </c>
      <c r="C64" s="11" t="n"/>
      <c r="D64" s="11" t="n"/>
    </row>
    <row r="65" ht="28" customHeight="1">
      <c r="A65" s="10" t="inlineStr">
        <is>
          <t>Market link</t>
        </is>
      </c>
      <c r="B65" s="12"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8" t="inlineStr">
        <is>
          <t>#</t>
        </is>
      </c>
      <c r="B68" s="8" t="inlineStr">
        <is>
          <t>Step</t>
        </is>
      </c>
      <c r="C68" s="8" t="inlineStr">
        <is>
          <t>What happens</t>
        </is>
      </c>
      <c r="D68" s="9" t="n"/>
    </row>
    <row r="69" ht="15" customHeight="1">
      <c r="A69" s="42" t="n">
        <v>1</v>
      </c>
      <c r="B69" s="12" t="inlineStr">
        <is>
          <t>Define families</t>
        </is>
      </c>
      <c r="C69" s="12" t="inlineStr">
        <is>
          <t>Group all work into job families anchored to ISCO-08, so the same work has the same name everywhere.</t>
        </is>
      </c>
      <c r="D69" s="11" t="n"/>
    </row>
    <row r="70" ht="15" customHeight="1">
      <c r="A70" s="42" t="n">
        <v>2</v>
      </c>
      <c r="B70" s="12" t="inlineStr">
        <is>
          <t>Define sub-families</t>
        </is>
      </c>
      <c r="C70" s="12" t="inlineStr">
        <is>
          <t>Split each family into the distinct kinds of work people do, from the survey and role data.</t>
        </is>
      </c>
      <c r="D70" s="11" t="n"/>
    </row>
    <row r="71" ht="28" customHeight="1">
      <c r="A71" s="42" t="n">
        <v>3</v>
      </c>
      <c r="B71" s="12" t="inlineStr">
        <is>
          <t>Set the ladder and bands</t>
        </is>
      </c>
      <c r="C71" s="12" t="inlineStr">
        <is>
          <t>One 12-level ladder with five bands and two Player-Coach steps; what each level owns, its experience range and span.</t>
        </is>
      </c>
      <c r="D71" s="11" t="n"/>
    </row>
    <row r="72" ht="28" customHeight="1">
      <c r="A72" s="42" t="n">
        <v>4</v>
      </c>
      <c r="B72" s="12" t="inlineStr">
        <is>
          <t>Set the tracks</t>
        </is>
      </c>
      <c r="C72" s="12" t="inlineStr">
        <is>
          <t>IC, POD Lead, Player-Coach, People Manager, Consultant — and the rules for each.</t>
        </is>
      </c>
      <c r="D72" s="11" t="n"/>
    </row>
    <row r="73" ht="15" customHeight="1">
      <c r="A73" s="42" t="n">
        <v>5</v>
      </c>
      <c r="B73" s="12" t="inlineStr">
        <is>
          <t>Level every role</t>
        </is>
      </c>
      <c r="C73" s="12" t="inlineStr">
        <is>
          <t>Six ratings × weights → score → level, then the rules; leadership levels by approved decision.</t>
        </is>
      </c>
      <c r="D73" s="11" t="n"/>
    </row>
    <row r="74" ht="15" customHeight="1">
      <c r="A74" s="42" t="n">
        <v>6</v>
      </c>
      <c r="B74" s="12" t="inlineStr">
        <is>
          <t>Name every role</t>
        </is>
      </c>
      <c r="C74" s="12" t="inlineStr">
        <is>
          <t>Designation = level marker + role noun; title protection for anyone moving down.</t>
        </is>
      </c>
      <c r="D74" s="11" t="n"/>
    </row>
    <row r="75" ht="15" customHeight="1">
      <c r="A75" s="42" t="n">
        <v>7</v>
      </c>
      <c r="B75" s="12" t="inlineStr">
        <is>
          <t>Benchmark</t>
        </is>
      </c>
      <c r="C75" s="12" t="inlineStr">
        <is>
          <t>Crosswalk every level to Radford / Mercer and SFIA; compare with competitor and peer ladders.</t>
        </is>
      </c>
      <c r="D75" s="11" t="n"/>
    </row>
    <row r="76" ht="15" customHeight="1">
      <c r="A76" s="42" t="n">
        <v>8</v>
      </c>
      <c r="B76" s="12" t="inlineStr">
        <is>
          <t>Govern</t>
        </is>
      </c>
      <c r="C76" s="12"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8" t="inlineStr">
        <is>
          <t>#</t>
        </is>
      </c>
      <c r="B79" s="8" t="inlineStr">
        <is>
          <t>Step</t>
        </is>
      </c>
      <c r="C79" s="8" t="inlineStr">
        <is>
          <t>What happens</t>
        </is>
      </c>
      <c r="D79" s="9" t="n"/>
    </row>
    <row r="80" ht="15" customHeight="1">
      <c r="A80" s="42" t="n">
        <v>1</v>
      </c>
      <c r="B80" s="12" t="inlineStr">
        <is>
          <t>Purpose</t>
        </is>
      </c>
      <c r="C80" s="12" t="inlineStr">
        <is>
          <t>Why the role exists — from the sub-family definition and the level standard.</t>
        </is>
      </c>
      <c r="D80" s="11" t="n"/>
    </row>
    <row r="81" ht="28" customHeight="1">
      <c r="A81" s="42" t="n">
        <v>2</v>
      </c>
      <c r="B81" s="12" t="inlineStr">
        <is>
          <t>Responsibilities and deliverables</t>
        </is>
      </c>
      <c r="C81" s="12" t="inlineStr">
        <is>
          <t>What the role does and produces — from role-holders' survey answers · as counted themes and KRAs.</t>
        </is>
      </c>
      <c r="D81" s="11" t="n"/>
    </row>
    <row r="82" ht="28" customHeight="1">
      <c r="A82" s="42" t="n">
        <v>3</v>
      </c>
      <c r="B82" s="12" t="inlineStr">
        <is>
          <t>Accountability and decision rights</t>
        </is>
      </c>
      <c r="C82" s="12" t="inlineStr">
        <is>
          <t>What the role answers for, what it can decide alone, and what happens if the work is missed.</t>
        </is>
      </c>
      <c r="D82" s="11" t="n"/>
    </row>
    <row r="83" ht="15" customHeight="1">
      <c r="A83" s="42" t="n">
        <v>4</v>
      </c>
      <c r="B83" s="12" t="inlineStr">
        <is>
          <t>Measures</t>
        </is>
      </c>
      <c r="C83" s="12" t="inlineStr">
        <is>
          <r>
            <rPr>
              <rFont val="Calibri"/>
              <b val="1"/>
              <sz val="10"/>
            </rPr>
            <t>Manager-set KRAs:</t>
          </r>
          <r>
            <rPr>
              <rFont val="Calibri"/>
              <sz val="10"/>
            </rPr>
            <t xml:space="preserve"> how the role is judged.</t>
          </r>
        </is>
      </c>
      <c r="D83" s="11" t="n"/>
    </row>
    <row r="84" ht="15" customHeight="1">
      <c r="A84" s="42" t="n">
        <v>5</v>
      </c>
      <c r="B84" s="12" t="inlineStr">
        <is>
          <t>Competencies and skill level</t>
        </is>
      </c>
      <c r="C84" s="12" t="inlineStr">
        <is>
          <t>The core, future-ready, functional and leadership competencies the role needs, each at a 1–5 level.</t>
        </is>
      </c>
      <c r="D84" s="11" t="n"/>
    </row>
    <row r="85" ht="15" customHeight="1">
      <c r="A85" s="42" t="n">
        <v>6</v>
      </c>
      <c r="B85" s="12" t="inlineStr">
        <is>
          <t>Role profile and catalogue</t>
        </is>
      </c>
      <c r="C85" s="12" t="inlineStr">
        <is>
          <t>One IRIS-wide catalogue entry per family × sub-family × level × track — the shared description of the job.</t>
        </is>
      </c>
      <c r="D85" s="11" t="n"/>
    </row>
    <row r="86" ht="15" customHeight="1">
      <c r="A86" s="42" t="n">
        <v>7</v>
      </c>
      <c r="B86" s="12" t="inlineStr">
        <is>
          <t>Career ladder</t>
        </is>
      </c>
      <c r="C86" s="12" t="inlineStr">
        <is>
          <t>Where the role sits in its sub-family's ladder, the next step and what it takes.</t>
        </is>
      </c>
      <c r="D86" s="11" t="n"/>
    </row>
    <row r="87" ht="28" customHeight="1">
      <c r="A87" s="42" t="n">
        <v>8</v>
      </c>
      <c r="B87" s="12" t="inlineStr">
        <is>
          <t>Recruitment profile</t>
        </is>
      </c>
      <c r="C87" s="12"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N135"/>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1" t="inlineStr">
        <is>
          <t>iFile — Job Architecture: simplified product edition · for the business head</t>
        </is>
      </c>
    </row>
    <row r="2" ht="32" customHeight="1">
      <c r="A2" s="3" t="inlineStr">
        <is>
          <r>
            <rPr>
              <rFont val="Calibri"/>
              <b val="1"/>
              <i val="1"/>
              <color rgb="00404040"/>
              <sz val="10"/>
            </rPr>
            <t>Six sheets after the Start page, complete in themselves:</t>
          </r>
          <r>
            <rPr>
              <rFont val="Calibri"/>
              <i val="1"/>
              <color rgb="00404040"/>
              <sz val="10"/>
            </rPr>
            <t xml:space="preserve"> who sits where and exactly why, what each role is, what we need you to decide, the career ladder and the weightage matrix you can edit. Read this page first; every term and colour used in the workbook is explained here.</t>
          </r>
        </is>
      </c>
    </row>
    <row r="3">
      <c r="A3" s="4" t="inlineStr">
        <is>
          <t>IRIS · Job Architecture &amp; Job Design · Final v1.12 · October 2026 · Internal — Confidential</t>
        </is>
      </c>
    </row>
    <row r="4" ht="15" customHeight="1"/>
    <row r="5" ht="20" customHeight="1">
      <c r="A5" s="6" t="inlineStr">
        <is>
          <t>1. What this is, and what we ask of you</t>
        </is>
      </c>
    </row>
    <row r="6" ht="41" customHeight="1">
      <c r="A6" s="7" t="inlineStr">
        <is>
          <t>Every one of the 218 people in iFile has been placed on IRIS's new career ladder: a job family and sub-family · the work they do, a level · the size of the role and a designation · level marker + role noun. Each placement follows one published model — the same for every business — and every number behind it is shown on sheet 2. Nothing here changes pay: pay is set later, and any move down is protected for one cycle.</t>
        </is>
      </c>
    </row>
    <row r="7" ht="15" customHeight="1">
      <c r="A7" s="8" t="inlineStr">
        <is>
          <t>Sheet</t>
        </is>
      </c>
      <c r="B7" s="92" t="n"/>
      <c r="C7" s="93" t="n"/>
      <c r="D7" s="8" t="inlineStr">
        <is>
          <t>What it gives you</t>
        </is>
      </c>
      <c r="E7" s="92" t="n"/>
      <c r="F7" s="92" t="n"/>
      <c r="G7" s="92" t="n"/>
      <c r="H7" s="92" t="n"/>
      <c r="I7" s="92" t="n"/>
      <c r="J7" s="93" t="n"/>
      <c r="K7" s="8" t="inlineStr">
        <is>
          <t>What to do</t>
        </is>
      </c>
      <c r="L7" s="92" t="n"/>
      <c r="M7" s="92" t="n"/>
      <c r="N7" s="93" t="n"/>
    </row>
    <row r="8" ht="28" customHeight="1">
      <c r="A8" s="10" t="inlineStr">
        <is>
          <t>1. Start Here</t>
        </is>
      </c>
      <c r="B8" s="92" t="n"/>
      <c r="C8" s="93" t="n"/>
      <c r="D8" s="12" t="inlineStr">
        <is>
          <r>
            <rPr>
              <rFont val="Calibri"/>
              <b val="1"/>
              <sz val="10"/>
            </rPr>
            <t>This page:</t>
          </r>
          <r>
            <rPr>
              <rFont val="Calibri"/>
              <sz val="10"/>
            </rPr>
            <t xml:space="preserve"> the numbers, the ladder, how a level is worked out, the rules, colours and terms</t>
          </r>
        </is>
      </c>
      <c r="E8" s="92" t="n"/>
      <c r="F8" s="92" t="n"/>
      <c r="G8" s="92" t="n"/>
      <c r="H8" s="92" t="n"/>
      <c r="I8" s="92" t="n"/>
      <c r="J8" s="93" t="n"/>
      <c r="K8" s="12" t="inlineStr">
        <is>
          <t>Read first</t>
        </is>
      </c>
      <c r="L8" s="92" t="n"/>
      <c r="M8" s="92" t="n"/>
      <c r="N8" s="93" t="n"/>
    </row>
    <row r="9" ht="41" customHeight="1">
      <c r="A9" s="105" t="inlineStr">
        <is>
          <t>2. People &amp; Levels</t>
        </is>
      </c>
      <c r="B9" s="92" t="n"/>
      <c r="C9" s="93" t="n"/>
      <c r="D9" s="12" t="inlineStr">
        <is>
          <r>
            <rPr>
              <rFont val="Calibri"/>
              <b val="1"/>
              <sz val="10"/>
            </rPr>
            <t>Every person:</t>
          </r>
          <r>
            <rPr>
              <rFont val="Calibri"/>
              <sz val="10"/>
            </rPr>
            <t xml:space="preserve"> role before → after, score, the full reason for the level, each factor's rating and why, the market comparison, the data behind it, points for attention, inputs still needed</t>
          </r>
        </is>
      </c>
      <c r="E9" s="92" t="n"/>
      <c r="F9" s="92" t="n"/>
      <c r="G9" s="92" t="n"/>
      <c r="H9" s="92" t="n"/>
      <c r="I9" s="92" t="n"/>
      <c r="J9" s="93" t="n"/>
      <c r="K9" s="12" t="inlineStr">
        <is>
          <t>For each person, mark Agree / Change / Discuss in the yellow column; give the reason for any change</t>
        </is>
      </c>
      <c r="L9" s="92" t="n"/>
      <c r="M9" s="92" t="n"/>
      <c r="N9" s="93" t="n"/>
    </row>
    <row r="10" ht="41" customHeight="1">
      <c r="A10" s="105" t="inlineStr">
        <is>
          <t>3. Roles</t>
        </is>
      </c>
      <c r="B10" s="92" t="n"/>
      <c r="C10" s="93" t="n"/>
      <c r="D10" s="12" t="inlineStr">
        <is>
          <r>
            <rPr>
              <rFont val="Calibri"/>
              <b val="1"/>
              <sz val="10"/>
            </rPr>
            <t>Every role held here, as defined once for all of IRIS:</t>
          </r>
          <r>
            <rPr>
              <rFont val="Calibri"/>
              <sz val="10"/>
            </rPr>
            <t xml:space="preserve"> purpose, responsibilities, decisions, KRAs, skills, what the level requires, competencies, market, next step</t>
          </r>
        </is>
      </c>
      <c r="E10" s="92" t="n"/>
      <c r="F10" s="92" t="n"/>
      <c r="G10" s="92" t="n"/>
      <c r="H10" s="92" t="n"/>
      <c r="I10" s="92" t="n"/>
      <c r="J10" s="93" t="n"/>
      <c r="K10" s="12" t="inlineStr">
        <is>
          <t>Check the role descriptions match the work</t>
        </is>
      </c>
      <c r="L10" s="92" t="n"/>
      <c r="M10" s="92" t="n"/>
      <c r="N10" s="93" t="n"/>
    </row>
    <row r="11" ht="28" customHeight="1">
      <c r="A11" s="105" t="inlineStr">
        <is>
          <t>4. Decisions &amp; Actions</t>
        </is>
      </c>
      <c r="B11" s="92" t="n"/>
      <c r="C11" s="93" t="n"/>
      <c r="D11" s="12" t="inlineStr">
        <is>
          <t>Placements that need a decision, inputs still needed by owner, how the structure changed, what happens next</t>
        </is>
      </c>
      <c r="E11" s="92" t="n"/>
      <c r="F11" s="92" t="n"/>
      <c r="G11" s="92" t="n"/>
      <c r="H11" s="92" t="n"/>
      <c r="I11" s="92" t="n"/>
      <c r="J11" s="93" t="n"/>
      <c r="K11" s="12" t="inlineStr">
        <is>
          <t>Decide or supply what is marked red</t>
        </is>
      </c>
      <c r="L11" s="92" t="n"/>
      <c r="M11" s="92" t="n"/>
      <c r="N11" s="93" t="n"/>
    </row>
    <row r="12" ht="41" customHeight="1">
      <c r="A12" s="105" t="inlineStr">
        <is>
          <t>5. Career Ladder</t>
        </is>
      </c>
      <c r="B12" s="92" t="n"/>
      <c r="C12" s="93" t="n"/>
      <c r="D12" s="12" t="inlineStr">
        <is>
          <t>Department → band → level by job family, sub-family and designation: the ladder in each sub-family, the competencies each role requires, and where the same work sits in other departments or other products</t>
        </is>
      </c>
      <c r="E12" s="92" t="n"/>
      <c r="F12" s="92" t="n"/>
      <c r="G12" s="92" t="n"/>
      <c r="H12" s="92" t="n"/>
      <c r="I12" s="92" t="n"/>
      <c r="J12" s="93" t="n"/>
      <c r="K12" s="12" t="inlineStr">
        <is>
          <t>Check the ladder and titles; note duplicated roles</t>
        </is>
      </c>
      <c r="L12" s="92" t="n"/>
      <c r="M12" s="92" t="n"/>
      <c r="N12" s="93" t="n"/>
    </row>
    <row r="13" ht="41" customHeight="1">
      <c r="A13" s="105" t="inlineStr">
        <is>
          <t>6. Weightage Matrix</t>
        </is>
      </c>
      <c r="B13" s="92" t="n"/>
      <c r="C13" s="93" t="n"/>
      <c r="D13" s="12" t="inlineStr">
        <is>
          <t>How much each of the six factors counts, by department and role group, with a guide to weighting and rating. Sheet 2 scores recalculate when you edit it</t>
        </is>
      </c>
      <c r="E13" s="92" t="n"/>
      <c r="F13" s="92" t="n"/>
      <c r="G13" s="92" t="n"/>
      <c r="H13" s="92" t="n"/>
      <c r="I13" s="92" t="n"/>
      <c r="J13" s="93" t="n"/>
      <c r="K13" s="12" t="inlineStr">
        <is>
          <t>Adjust the yellow weights where your department judges roles differently; say why</t>
        </is>
      </c>
      <c r="L13" s="92" t="n"/>
      <c r="M13" s="92" t="n"/>
      <c r="N13" s="93" t="n"/>
    </row>
    <row r="14" ht="15" customHeight="1"/>
    <row r="15" ht="20" customHeight="1">
      <c r="A15" s="6" t="inlineStr">
        <is>
          <t>2. The numbers</t>
        </is>
      </c>
    </row>
    <row r="16" ht="15" customHeight="1">
      <c r="A16" s="13" t="inlineStr">
        <is>
          <t>People</t>
        </is>
      </c>
      <c r="B16" s="93" t="n"/>
      <c r="C16" s="13" t="inlineStr">
        <is>
          <t>Departments</t>
        </is>
      </c>
      <c r="D16" s="93" t="n"/>
      <c r="E16" s="13" t="inlineStr">
        <is>
          <t>Roles</t>
        </is>
      </c>
      <c r="F16" s="93" t="n"/>
      <c r="G16" s="13" t="inlineStr">
        <is>
          <t>Levels in use</t>
        </is>
      </c>
      <c r="H16" s="93" t="n"/>
      <c r="I16" s="13" t="inlineStr">
        <is>
          <t>Level up</t>
        </is>
      </c>
      <c r="J16" s="93" t="n"/>
      <c r="K16" s="13" t="inlineStr">
        <is>
          <t>Same level</t>
        </is>
      </c>
      <c r="L16" s="93" t="n"/>
      <c r="M16" s="13" t="inlineStr">
        <is>
          <t>Level down · protected</t>
        </is>
      </c>
      <c r="N16" s="93" t="n"/>
    </row>
    <row r="17" ht="30" customHeight="1">
      <c r="A17" s="14" t="n">
        <v>218</v>
      </c>
      <c r="B17" s="93" t="n"/>
      <c r="C17" s="14" t="n">
        <v>8</v>
      </c>
      <c r="D17" s="93" t="n"/>
      <c r="E17" s="14" t="n">
        <v>84</v>
      </c>
      <c r="F17" s="93" t="n"/>
      <c r="G17" s="14" t="n">
        <v>13</v>
      </c>
      <c r="H17" s="93" t="n"/>
      <c r="I17" s="14" t="n">
        <v>121</v>
      </c>
      <c r="J17" s="93" t="n"/>
      <c r="K17" s="14" t="n">
        <v>62</v>
      </c>
      <c r="L17" s="93" t="n"/>
      <c r="M17" s="14" t="n">
        <v>18</v>
      </c>
      <c r="N17" s="93" t="n"/>
    </row>
    <row r="18" ht="15" customHeight="1">
      <c r="A18" s="13" t="inlineStr">
        <is>
          <t>Newly mapped</t>
        </is>
      </c>
      <c r="B18" s="93" t="n"/>
      <c r="C18" s="13" t="inlineStr">
        <is>
          <t>Player-Coaches</t>
        </is>
      </c>
      <c r="D18" s="93" t="n"/>
      <c r="E18" s="13" t="inlineStr">
        <is>
          <t>Close calls</t>
        </is>
      </c>
      <c r="F18" s="93" t="n"/>
      <c r="G18" s="13" t="inlineStr">
        <is>
          <t>Near a gate</t>
        </is>
      </c>
      <c r="H18" s="93" t="n"/>
      <c r="I18" s="13" t="inlineStr">
        <is>
          <t>People needing an input</t>
        </is>
      </c>
      <c r="J18" s="93" t="n"/>
      <c r="K18" s="13" t="inlineStr">
        <is>
          <t>Consultants</t>
        </is>
      </c>
      <c r="L18" s="93" t="n"/>
    </row>
    <row r="19" ht="30" customHeight="1">
      <c r="A19" s="14" t="n">
        <v>17</v>
      </c>
      <c r="B19" s="93" t="n"/>
      <c r="C19" s="14" t="n">
        <v>5</v>
      </c>
      <c r="D19" s="93" t="n"/>
      <c r="E19" s="14" t="n">
        <v>17</v>
      </c>
      <c r="F19" s="93" t="n"/>
      <c r="G19" s="14" t="n">
        <v>18</v>
      </c>
      <c r="H19" s="93" t="n"/>
      <c r="I19" s="14" t="n">
        <v>25</v>
      </c>
      <c r="J19" s="93" t="n"/>
      <c r="K19" s="14" t="n">
        <v>16</v>
      </c>
      <c r="L19" s="93" t="n"/>
    </row>
    <row r="20" ht="15" customHeight="1"/>
    <row r="21" ht="20" customHeight="1">
      <c r="A21" s="6" t="inlineStr">
        <is>
          <t>3. The career ladder — what each level means · bottom to top</t>
        </is>
      </c>
    </row>
    <row r="22" ht="28" customHeight="1">
      <c r="A22" s="8" t="inlineStr">
        <is>
          <t>Level</t>
        </is>
      </c>
      <c r="B22" s="8" t="inlineStr">
        <is>
          <t>IC title</t>
        </is>
      </c>
      <c r="C22" s="93" t="n"/>
      <c r="D22" s="8" t="inlineStr">
        <is>
          <t>Manager title</t>
        </is>
      </c>
      <c r="E22" s="93" t="n"/>
      <c r="F22" s="8" t="inlineStr">
        <is>
          <t>What a role at this level owns</t>
        </is>
      </c>
      <c r="G22" s="92" t="n"/>
      <c r="H22" s="92" t="n"/>
      <c r="I22" s="92" t="n"/>
      <c r="J22" s="92" t="n"/>
      <c r="K22" s="93" t="n"/>
      <c r="L22" s="8" t="inlineStr">
        <is>
          <t>Typical experience</t>
        </is>
      </c>
      <c r="M22" s="93" t="n"/>
      <c r="N22" s="8" t="inlineStr">
        <is>
          <t>People here</t>
        </is>
      </c>
    </row>
    <row r="23" ht="28" customHeight="1">
      <c r="A23" s="16" t="inlineStr">
        <is>
          <t>A1</t>
        </is>
      </c>
      <c r="B23" s="17" t="inlineStr">
        <is>
          <t>Intern / Trainee</t>
        </is>
      </c>
      <c r="C23" s="93" t="n"/>
      <c r="D23" s="17" t="inlineStr">
        <is>
          <t>Same path</t>
        </is>
      </c>
      <c r="E23" s="93" t="n"/>
      <c r="F23" s="17" t="inlineStr">
        <is>
          <t>Learning the role; all work reviewed</t>
        </is>
      </c>
      <c r="G23" s="92" t="n"/>
      <c r="H23" s="92" t="n"/>
      <c r="I23" s="92" t="n"/>
      <c r="J23" s="92" t="n"/>
      <c r="K23" s="93" t="n"/>
      <c r="L23" s="19" t="inlineStr">
        <is>
          <t>0 yrs · fresher / intern</t>
        </is>
      </c>
      <c r="M23" s="93" t="n"/>
      <c r="N23" s="19" t="n">
        <v>11</v>
      </c>
    </row>
    <row r="24" ht="15" customHeight="1">
      <c r="A24" s="16" t="inlineStr">
        <is>
          <t>A2</t>
        </is>
      </c>
      <c r="B24" s="17" t="inlineStr">
        <is>
          <t>Associate</t>
        </is>
      </c>
      <c r="C24" s="93" t="n"/>
      <c r="D24" s="17" t="inlineStr">
        <is>
          <t>Same path</t>
        </is>
      </c>
      <c r="E24" s="93" t="n"/>
      <c r="F24" s="17" t="inlineStr">
        <is>
          <t>Standard work delivered independently</t>
        </is>
      </c>
      <c r="G24" s="92" t="n"/>
      <c r="H24" s="92" t="n"/>
      <c r="I24" s="92" t="n"/>
      <c r="J24" s="92" t="n"/>
      <c r="K24" s="93" t="n"/>
      <c r="L24" s="19" t="inlineStr">
        <is>
          <t>0–2 yrs</t>
        </is>
      </c>
      <c r="M24" s="93" t="n"/>
      <c r="N24" s="19" t="n">
        <v>21</v>
      </c>
    </row>
    <row r="25" ht="15" customHeight="1">
      <c r="A25" s="16" t="inlineStr">
        <is>
          <t>A3</t>
        </is>
      </c>
      <c r="B25" s="17" t="inlineStr">
        <is>
          <t>Senior Associate</t>
        </is>
      </c>
      <c r="C25" s="93" t="n"/>
      <c r="D25" s="17" t="inlineStr">
        <is>
          <t>Same path</t>
        </is>
      </c>
      <c r="E25" s="93" t="n"/>
      <c r="F25" s="17" t="inlineStr">
        <is>
          <t>Varied work; reviews juniors; go-to for a process</t>
        </is>
      </c>
      <c r="G25" s="92" t="n"/>
      <c r="H25" s="92" t="n"/>
      <c r="I25" s="92" t="n"/>
      <c r="J25" s="92" t="n"/>
      <c r="K25" s="93" t="n"/>
      <c r="L25" s="19" t="inlineStr">
        <is>
          <t>2–4 yrs</t>
        </is>
      </c>
      <c r="M25" s="93" t="n"/>
      <c r="N25" s="19" t="n">
        <v>98</v>
      </c>
    </row>
    <row r="26" ht="15" customHeight="1">
      <c r="A26" s="20" t="inlineStr">
        <is>
          <t>B1</t>
        </is>
      </c>
      <c r="B26" s="21" t="inlineStr">
        <is>
          <t>Specialist</t>
        </is>
      </c>
      <c r="C26" s="93" t="n"/>
      <c r="D26" s="21" t="inlineStr">
        <is>
          <t>Team Lead</t>
        </is>
      </c>
      <c r="E26" s="93" t="n"/>
      <c r="F26" s="21" t="inlineStr">
        <is>
          <t>A domain / module, or a small team</t>
        </is>
      </c>
      <c r="G26" s="92" t="n"/>
      <c r="H26" s="92" t="n"/>
      <c r="I26" s="92" t="n"/>
      <c r="J26" s="92" t="n"/>
      <c r="K26" s="93" t="n"/>
      <c r="L26" s="23" t="inlineStr">
        <is>
          <t>4–7 yrs</t>
        </is>
      </c>
      <c r="M26" s="93" t="n"/>
      <c r="N26" s="23" t="n">
        <v>29</v>
      </c>
    </row>
    <row r="27" ht="15" customHeight="1">
      <c r="A27" s="20" t="inlineStr">
        <is>
          <t>B2</t>
        </is>
      </c>
      <c r="B27" s="21" t="inlineStr">
        <is>
          <t>Senior Specialist</t>
        </is>
      </c>
      <c r="C27" s="93" t="n"/>
      <c r="D27" s="21" t="inlineStr">
        <is>
          <t>Manager</t>
        </is>
      </c>
      <c r="E27" s="93" t="n"/>
      <c r="F27" s="21" t="inlineStr">
        <is>
          <t>Deep domain expertise, or one team</t>
        </is>
      </c>
      <c r="G27" s="92" t="n"/>
      <c r="H27" s="92" t="n"/>
      <c r="I27" s="92" t="n"/>
      <c r="J27" s="92" t="n"/>
      <c r="K27" s="93" t="n"/>
      <c r="L27" s="23" t="inlineStr">
        <is>
          <t>6–9 yrs</t>
        </is>
      </c>
      <c r="M27" s="93" t="n"/>
      <c r="N27" s="23" t="n">
        <v>23</v>
      </c>
    </row>
    <row r="28" ht="15" customHeight="1">
      <c r="A28" s="20" t="inlineStr">
        <is>
          <t>B3</t>
        </is>
      </c>
      <c r="B28" s="21" t="inlineStr">
        <is>
          <t>Lead Specialist</t>
        </is>
      </c>
      <c r="C28" s="93" t="n"/>
      <c r="D28" s="21" t="inlineStr">
        <is>
          <t>Senior Manager</t>
        </is>
      </c>
      <c r="E28" s="93" t="n"/>
      <c r="F28" s="21" t="inlineStr">
        <is>
          <t>A practice, or several teams through team leads</t>
        </is>
      </c>
      <c r="G28" s="92" t="n"/>
      <c r="H28" s="92" t="n"/>
      <c r="I28" s="92" t="n"/>
      <c r="J28" s="92" t="n"/>
      <c r="K28" s="93" t="n"/>
      <c r="L28" s="23" t="inlineStr">
        <is>
          <t>8–12 yrs</t>
        </is>
      </c>
      <c r="M28" s="93" t="n"/>
      <c r="N28" s="23" t="n">
        <v>9</v>
      </c>
    </row>
    <row r="29" ht="28" customHeight="1">
      <c r="A29" s="24" t="inlineStr">
        <is>
          <t>B+</t>
        </is>
      </c>
      <c r="B29" s="25" t="inlineStr">
        <is>
          <t>Practice Lead · Player-Coach</t>
        </is>
      </c>
      <c r="C29" s="93" t="n"/>
      <c r="D29" s="25" t="inlineStr">
        <is>
          <t>Practice Lead · Player-Coach</t>
        </is>
      </c>
      <c r="E29" s="93" t="n"/>
      <c r="F29" s="25" t="inlineStr">
        <is>
          <r>
            <rPr>
              <rFont val="Calibri"/>
              <b val="1"/>
              <sz val="10"/>
            </rPr>
            <t>A practice or product area:</t>
          </r>
          <r>
            <rPr>
              <rFont val="Calibri"/>
              <sz val="10"/>
            </rPr>
            <t xml:space="preserve"> does the hardest hands-on work itself and leads 3–6 people · player-coach</t>
          </r>
        </is>
      </c>
      <c r="G29" s="92" t="n"/>
      <c r="H29" s="92" t="n"/>
      <c r="I29" s="92" t="n"/>
      <c r="J29" s="92" t="n"/>
      <c r="K29" s="93" t="n"/>
      <c r="L29" s="27" t="inlineStr">
        <is>
          <t>9–14 yrs</t>
        </is>
      </c>
      <c r="M29" s="93" t="n"/>
      <c r="N29" s="27" t="n">
        <v>5</v>
      </c>
    </row>
    <row r="30" ht="15" customHeight="1">
      <c r="A30" s="28" t="inlineStr">
        <is>
          <t>C1</t>
        </is>
      </c>
      <c r="B30" s="29" t="inlineStr">
        <is>
          <t>Principal</t>
        </is>
      </c>
      <c r="C30" s="93" t="n"/>
      <c r="D30" s="29" t="inlineStr">
        <is>
          <t>Associate Head</t>
        </is>
      </c>
      <c r="E30" s="93" t="n"/>
      <c r="F30" s="29" t="inlineStr">
        <is>
          <t>A sub-function, or principal authority across products</t>
        </is>
      </c>
      <c r="G30" s="92" t="n"/>
      <c r="H30" s="92" t="n"/>
      <c r="I30" s="92" t="n"/>
      <c r="J30" s="92" t="n"/>
      <c r="K30" s="93" t="n"/>
      <c r="L30" s="31" t="inlineStr">
        <is>
          <t>10–14 yrs</t>
        </is>
      </c>
      <c r="M30" s="93" t="n"/>
      <c r="N30" s="31" t="n">
        <v>2</v>
      </c>
    </row>
    <row r="31" ht="28" customHeight="1">
      <c r="A31" s="28" t="inlineStr">
        <is>
          <t>C2</t>
        </is>
      </c>
      <c r="B31" s="29" t="inlineStr">
        <is>
          <t>Senior Principal / Architect</t>
        </is>
      </c>
      <c r="C31" s="93" t="n"/>
      <c r="D31" s="29" t="inlineStr">
        <is>
          <t>Head of Function</t>
        </is>
      </c>
      <c r="E31" s="93" t="n"/>
      <c r="F31" s="29" t="inlineStr">
        <is>
          <t>A function or department, or a company-wide discipline</t>
        </is>
      </c>
      <c r="G31" s="92" t="n"/>
      <c r="H31" s="92" t="n"/>
      <c r="I31" s="92" t="n"/>
      <c r="J31" s="92" t="n"/>
      <c r="K31" s="93" t="n"/>
      <c r="L31" s="31" t="inlineStr">
        <is>
          <t>12–17 yrs</t>
        </is>
      </c>
      <c r="M31" s="93" t="n"/>
      <c r="N31" s="31" t="n">
        <v>3</v>
      </c>
    </row>
    <row r="32" ht="15" customHeight="1">
      <c r="A32" s="32" t="inlineStr">
        <is>
          <t>D2</t>
        </is>
      </c>
      <c r="B32" s="33" t="inlineStr">
        <is>
          <t>—</t>
        </is>
      </c>
      <c r="C32" s="93" t="n"/>
      <c r="D32" s="33" t="inlineStr">
        <is>
          <t>Vice President</t>
        </is>
      </c>
      <c r="E32" s="93" t="n"/>
      <c r="F32" s="33" t="inlineStr">
        <is>
          <t>Several business lines or an executive-scope enterprise function</t>
        </is>
      </c>
      <c r="G32" s="92" t="n"/>
      <c r="H32" s="92" t="n"/>
      <c r="I32" s="92" t="n"/>
      <c r="J32" s="92" t="n"/>
      <c r="K32" s="93" t="n"/>
      <c r="L32" s="35" t="inlineStr">
        <is>
          <t>18–24 yrs</t>
        </is>
      </c>
      <c r="M32" s="93" t="n"/>
      <c r="N32" s="35" t="n">
        <v>1</v>
      </c>
    </row>
    <row r="33" ht="28" customHeight="1">
      <c r="A33" s="36" t="inlineStr">
        <is>
          <t>X1</t>
        </is>
      </c>
      <c r="B33" s="37" t="inlineStr">
        <is>
          <t>Associate Consultant</t>
        </is>
      </c>
      <c r="C33" s="93" t="n"/>
      <c r="D33" s="37" t="inlineStr">
        <is>
          <t>Outside the employee ladder</t>
        </is>
      </c>
      <c r="E33" s="93" t="n"/>
      <c r="F33" s="37" t="inlineStr">
        <is>
          <t>Defined deliverables under a statement of work · ≈ A2–A3</t>
        </is>
      </c>
      <c r="G33" s="92" t="n"/>
      <c r="H33" s="92" t="n"/>
      <c r="I33" s="92" t="n"/>
      <c r="J33" s="92" t="n"/>
      <c r="K33" s="93" t="n"/>
      <c r="L33" s="39" t="inlineStr">
        <is>
          <t>0–5 yrs</t>
        </is>
      </c>
      <c r="M33" s="93" t="n"/>
      <c r="N33" s="39" t="n">
        <v>14</v>
      </c>
    </row>
    <row r="34" ht="28" customHeight="1">
      <c r="A34" s="36" t="inlineStr">
        <is>
          <t>X2</t>
        </is>
      </c>
      <c r="B34" s="37" t="inlineStr">
        <is>
          <t>Consultant</t>
        </is>
      </c>
      <c r="C34" s="93" t="n"/>
      <c r="D34" s="37" t="inlineStr">
        <is>
          <t>Outside the employee ladder</t>
        </is>
      </c>
      <c r="E34" s="93" t="n"/>
      <c r="F34" s="37" t="inlineStr">
        <is>
          <t>Specialist scope or workstream · ≈ B1–B2</t>
        </is>
      </c>
      <c r="G34" s="92" t="n"/>
      <c r="H34" s="92" t="n"/>
      <c r="I34" s="92" t="n"/>
      <c r="J34" s="92" t="n"/>
      <c r="K34" s="93" t="n"/>
      <c r="L34" s="39" t="inlineStr">
        <is>
          <t>4–10 yrs</t>
        </is>
      </c>
      <c r="M34" s="93" t="n"/>
      <c r="N34" s="39" t="n">
        <v>1</v>
      </c>
    </row>
    <row r="35" ht="28" customHeight="1">
      <c r="A35" s="36" t="inlineStr">
        <is>
          <t>X3</t>
        </is>
      </c>
      <c r="B35" s="37" t="inlineStr">
        <is>
          <t>Senior Consultant / Advisor</t>
        </is>
      </c>
      <c r="C35" s="93" t="n"/>
      <c r="D35" s="37" t="inlineStr">
        <is>
          <t>Outside the employee ladder</t>
        </is>
      </c>
      <c r="E35" s="93" t="n"/>
      <c r="F35" s="37" t="inlineStr">
        <is>
          <t>Expert or advisory scope · ≈ B3–C2</t>
        </is>
      </c>
      <c r="G35" s="92" t="n"/>
      <c r="H35" s="92" t="n"/>
      <c r="I35" s="92" t="n"/>
      <c r="J35" s="92" t="n"/>
      <c r="K35" s="93" t="n"/>
      <c r="L35" s="39" t="inlineStr">
        <is>
          <t>10+ yrs</t>
        </is>
      </c>
      <c r="M35" s="93" t="n"/>
      <c r="N35" s="39" t="n">
        <v>1</v>
      </c>
    </row>
    <row r="36" ht="15" customHeight="1"/>
    <row r="37" ht="28" customHeight="1">
      <c r="A37" s="40" t="inlineStr">
        <is>
          <r>
            <rPr>
              <rFont val="Calibri"/>
              <b val="1"/>
              <i val="1"/>
              <color rgb="00595959"/>
              <sz val="10"/>
            </rPr>
            <t>Bands:</t>
          </r>
          <r>
            <rPr>
              <rFont val="Calibri"/>
              <i val="1"/>
              <color rgb="00595959"/>
              <sz val="10"/>
            </rPr>
            <t xml:space="preserve"> A practitioner · B specialist / manager · C principal / head · D business leadership · E enterprise leadership. B+ and C+ are the Player-Coach transition steps · between B3 and C1, and between C2 and D1, for people who lead a team and still do the hardest hands-on work. X1–X3 are consultants outside the ladder.</t>
          </r>
        </is>
      </c>
    </row>
    <row r="38" ht="15" customHeight="1"/>
    <row r="39" ht="20" customHeight="1">
      <c r="A39" s="6" t="inlineStr">
        <is>
          <t>3b. Top specialist title at D1 — decision for the heads</t>
        </is>
      </c>
    </row>
    <row r="40" ht="15" customHeight="1">
      <c r="A40" s="40" t="inlineStr">
        <is>
          <t>IRIS uses no 'Fellow' and no 'Director'. Status: Not decided yet — both options are shown as 'Chief Specialist / Distinguished Principal' until the heads choose.</t>
        </is>
      </c>
    </row>
    <row r="41" ht="15" customHeight="1">
      <c r="A41" s="8" t="inlineStr">
        <is>
          <t>Option</t>
        </is>
      </c>
      <c r="B41" s="93" t="n"/>
      <c r="C41" s="8" t="inlineStr">
        <is>
          <t>What it means</t>
        </is>
      </c>
      <c r="D41" s="92" t="n"/>
      <c r="E41" s="92" t="n"/>
      <c r="F41" s="92" t="n"/>
      <c r="G41" s="92" t="n"/>
      <c r="H41" s="92" t="n"/>
      <c r="I41" s="92" t="n"/>
      <c r="J41" s="92" t="n"/>
      <c r="K41" s="92" t="n"/>
      <c r="L41" s="92" t="n"/>
      <c r="M41" s="92" t="n"/>
      <c r="N41" s="93" t="n"/>
    </row>
    <row r="42" ht="93" customHeight="1">
      <c r="A42" s="10" t="inlineStr">
        <is>
          <t>Option A · Chief Specialist</t>
        </is>
      </c>
      <c r="B42" s="93" t="n"/>
      <c r="C42" s="12"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D42" s="92" t="n"/>
      <c r="E42" s="92" t="n"/>
      <c r="F42" s="92" t="n"/>
      <c r="G42" s="92" t="n"/>
      <c r="H42" s="92" t="n"/>
      <c r="I42" s="92" t="n"/>
      <c r="J42" s="92" t="n"/>
      <c r="K42" s="92" t="n"/>
      <c r="L42" s="92" t="n"/>
      <c r="M42" s="92" t="n"/>
      <c r="N42" s="93" t="n"/>
    </row>
    <row r="43" ht="67" customHeight="1">
      <c r="A43" s="10" t="inlineStr">
        <is>
          <t>Option B · Distinguished Principal</t>
        </is>
      </c>
      <c r="B43" s="93" t="n"/>
      <c r="C43" s="12"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D43" s="92" t="n"/>
      <c r="E43" s="92" t="n"/>
      <c r="F43" s="92" t="n"/>
      <c r="G43" s="92" t="n"/>
      <c r="H43" s="92" t="n"/>
      <c r="I43" s="92" t="n"/>
      <c r="J43" s="92" t="n"/>
      <c r="K43" s="92" t="n"/>
      <c r="L43" s="92" t="n"/>
      <c r="M43" s="92" t="n"/>
      <c r="N43" s="93" t="n"/>
    </row>
    <row r="44" ht="15" customHeight="1"/>
    <row r="45" ht="28" customHeight="1">
      <c r="A45" s="40"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46" ht="15" customHeight="1"/>
    <row r="47" ht="20" customHeight="1">
      <c r="A47" s="6" t="inlineStr">
        <is>
          <t>4. How a role's level is worked out — in four steps</t>
        </is>
      </c>
    </row>
    <row r="48" ht="28" customHeight="1">
      <c r="A48" s="40" t="inlineStr">
        <is>
          <t>The score measures the size of the role, not how well the person performs, and it is not linked to pay. It uses the same scale as the ladder · A1 = 1, A2 = 2 … B1 = 4 … E2 = 12, so a score reads as a level.</t>
        </is>
      </c>
    </row>
    <row r="49" ht="15" customHeight="1">
      <c r="A49" s="8" t="inlineStr">
        <is>
          <t>Step</t>
        </is>
      </c>
      <c r="B49" s="8" t="inlineStr">
        <is>
          <t>What happens</t>
        </is>
      </c>
      <c r="C49" s="92" t="n"/>
      <c r="D49" s="92" t="n"/>
      <c r="E49" s="92" t="n"/>
      <c r="F49" s="92" t="n"/>
      <c r="G49" s="93" t="n"/>
      <c r="H49" s="8" t="inlineStr">
        <is>
          <t>In plain words</t>
        </is>
      </c>
      <c r="I49" s="92" t="n"/>
      <c r="J49" s="92" t="n"/>
      <c r="K49" s="92" t="n"/>
      <c r="L49" s="92" t="n"/>
      <c r="M49" s="92" t="n"/>
      <c r="N49" s="93" t="n"/>
    </row>
    <row r="50" ht="54" customHeight="1">
      <c r="A50" s="10" t="inlineStr">
        <is>
          <t>1 · Rate</t>
        </is>
      </c>
      <c r="B50" s="12"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50" s="92" t="n"/>
      <c r="D50" s="92" t="n"/>
      <c r="E50" s="92" t="n"/>
      <c r="F50" s="92" t="n"/>
      <c r="G50" s="93" t="n"/>
      <c r="H50" s="12" t="inlineStr">
        <is>
          <t>How hard the work is, how freely the person decides, what the role answers for, how much it leads others, the experience it needs and its impact on the business.</t>
        </is>
      </c>
      <c r="I50" s="92" t="n"/>
      <c r="J50" s="92" t="n"/>
      <c r="K50" s="92" t="n"/>
      <c r="L50" s="92" t="n"/>
      <c r="M50" s="92" t="n"/>
      <c r="N50" s="93" t="n"/>
    </row>
    <row r="51" ht="41" customHeight="1">
      <c r="A51" s="10" t="inlineStr">
        <is>
          <t>2 · Weigh</t>
        </is>
      </c>
      <c r="B51" s="12" t="inlineStr">
        <is>
          <t>Each factor has a weight; the six weights add to 100%. They depend on the band and track and the department's type of work, and leaders can edit them on the Weightage Matrix.</t>
        </is>
      </c>
      <c r="C51" s="92" t="n"/>
      <c r="D51" s="92" t="n"/>
      <c r="E51" s="92" t="n"/>
      <c r="F51" s="92" t="n"/>
      <c r="G51" s="93" t="n"/>
      <c r="H51" s="12" t="inlineStr">
        <is>
          <t>Junior roles count the work itself most · Leadership counts 0% in Band A. Senior roles count accountability, leadership and business impact most. Experience counts little.</t>
        </is>
      </c>
      <c r="I51" s="92" t="n"/>
      <c r="J51" s="92" t="n"/>
      <c r="K51" s="92" t="n"/>
      <c r="L51" s="92" t="n"/>
      <c r="M51" s="92" t="n"/>
      <c r="N51" s="93" t="n"/>
    </row>
    <row r="52" ht="41" customHeight="1">
      <c r="A52" s="10" t="inlineStr">
        <is>
          <t>3 · Score</t>
        </is>
      </c>
      <c r="B52" s="12" t="inlineStr">
        <is>
          <t>Score = the six ratings × their weights, added up. Rounded to the nearest whole number ·.5 rounds up, it gives the indicated level.</t>
        </is>
      </c>
      <c r="C52" s="92" t="n"/>
      <c r="D52" s="92" t="n"/>
      <c r="E52" s="92" t="n"/>
      <c r="F52" s="92" t="n"/>
      <c r="G52" s="93" t="n"/>
      <c r="H52" s="12" t="inlineStr">
        <is>
          <t>A weighted average rating — so 4.73 means 'between B1 and B2, nearer B2', which rounds to B2.</t>
        </is>
      </c>
      <c r="I52" s="92" t="n"/>
      <c r="J52" s="92" t="n"/>
      <c r="K52" s="92" t="n"/>
      <c r="L52" s="92" t="n"/>
      <c r="M52" s="92" t="n"/>
      <c r="N52" s="93" t="n"/>
    </row>
    <row r="53" ht="67" customHeight="1">
      <c r="A53" s="10" t="inlineStr">
        <is>
          <t>4 · Check</t>
        </is>
      </c>
      <c r="B53" s="12"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53" s="92" t="n"/>
      <c r="D53" s="92" t="n"/>
      <c r="E53" s="92" t="n"/>
      <c r="F53" s="92" t="n"/>
      <c r="G53" s="93" t="n"/>
      <c r="H53" s="12" t="inlineStr">
        <is>
          <t>The score proposes; the rules make sure the role really carries that level. Any change is named, with its numbers, on sheet 2 of this workbook.</t>
        </is>
      </c>
      <c r="I53" s="92" t="n"/>
      <c r="J53" s="92" t="n"/>
      <c r="K53" s="92" t="n"/>
      <c r="L53" s="92" t="n"/>
      <c r="M53" s="92" t="n"/>
      <c r="N53" s="93" t="n"/>
    </row>
    <row r="54" ht="15" customHeight="1"/>
    <row r="55" ht="15" customHeight="1">
      <c r="A55" s="41" t="inlineStr">
        <is>
          <t>Worked example · invented numbers — a Band B individual contributor doing technology work:</t>
        </is>
      </c>
    </row>
    <row r="56" ht="15" customHeight="1">
      <c r="A56" s="8" t="inlineStr">
        <is>
          <t>Factor</t>
        </is>
      </c>
      <c r="B56" s="8" t="inlineStr">
        <is>
          <t>Complexity</t>
        </is>
      </c>
      <c r="C56" s="93" t="n"/>
      <c r="D56" s="8" t="inlineStr">
        <is>
          <t>Autonomy</t>
        </is>
      </c>
      <c r="E56" s="93" t="n"/>
      <c r="F56" s="8" t="inlineStr">
        <is>
          <t>Accountability</t>
        </is>
      </c>
      <c r="G56" s="93" t="n"/>
      <c r="H56" s="8" t="inlineStr">
        <is>
          <t>Leadership</t>
        </is>
      </c>
      <c r="I56" s="93" t="n"/>
      <c r="J56" s="8" t="inlineStr">
        <is>
          <t>Experience</t>
        </is>
      </c>
      <c r="K56" s="93" t="n"/>
      <c r="L56" s="8" t="inlineStr">
        <is>
          <t>Bus. Impact</t>
        </is>
      </c>
      <c r="M56" s="93" t="n"/>
      <c r="N56" s="8" t="inlineStr">
        <is>
          <t>Score</t>
        </is>
      </c>
    </row>
    <row r="57" ht="15" customHeight="1">
      <c r="A57" s="10" t="inlineStr">
        <is>
          <t>Rating</t>
        </is>
      </c>
      <c r="B57" s="42" t="inlineStr">
        <is>
          <t>5</t>
        </is>
      </c>
      <c r="C57" s="93" t="n"/>
      <c r="D57" s="42" t="inlineStr">
        <is>
          <t>4</t>
        </is>
      </c>
      <c r="E57" s="93" t="n"/>
      <c r="F57" s="42" t="inlineStr">
        <is>
          <t>5</t>
        </is>
      </c>
      <c r="G57" s="93" t="n"/>
      <c r="H57" s="42" t="inlineStr">
        <is>
          <t>3</t>
        </is>
      </c>
      <c r="I57" s="93" t="n"/>
      <c r="J57" s="42" t="inlineStr">
        <is>
          <t>5</t>
        </is>
      </c>
      <c r="K57" s="93" t="n"/>
      <c r="L57" s="42" t="inlineStr">
        <is>
          <t>5</t>
        </is>
      </c>
      <c r="M57" s="93" t="n"/>
      <c r="N57" s="42" t="inlineStr"/>
    </row>
    <row r="58" ht="15" customHeight="1">
      <c r="A58" s="10" t="inlineStr">
        <is>
          <t>Weight</t>
        </is>
      </c>
      <c r="B58" s="42" t="inlineStr">
        <is>
          <t>56%</t>
        </is>
      </c>
      <c r="C58" s="93" t="n"/>
      <c r="D58" s="42" t="inlineStr">
        <is>
          <t>17%</t>
        </is>
      </c>
      <c r="E58" s="93" t="n"/>
      <c r="F58" s="42" t="inlineStr">
        <is>
          <t>5%</t>
        </is>
      </c>
      <c r="G58" s="93" t="n"/>
      <c r="H58" s="42" t="inlineStr">
        <is>
          <t>5%</t>
        </is>
      </c>
      <c r="I58" s="93" t="n"/>
      <c r="J58" s="42" t="inlineStr">
        <is>
          <t>10%</t>
        </is>
      </c>
      <c r="K58" s="93" t="n"/>
      <c r="L58" s="42" t="inlineStr">
        <is>
          <t>7%</t>
        </is>
      </c>
      <c r="M58" s="93" t="n"/>
      <c r="N58" s="42" t="inlineStr">
        <is>
          <t>100%</t>
        </is>
      </c>
    </row>
    <row r="59" ht="15" customHeight="1">
      <c r="A59" s="10" t="inlineStr">
        <is>
          <t>Rating × weight</t>
        </is>
      </c>
      <c r="B59" s="42" t="inlineStr">
        <is>
          <t>2.80</t>
        </is>
      </c>
      <c r="C59" s="93" t="n"/>
      <c r="D59" s="42" t="inlineStr">
        <is>
          <t>0.68</t>
        </is>
      </c>
      <c r="E59" s="93" t="n"/>
      <c r="F59" s="42" t="inlineStr">
        <is>
          <t>0.25</t>
        </is>
      </c>
      <c r="G59" s="93" t="n"/>
      <c r="H59" s="42" t="inlineStr">
        <is>
          <t>0.15</t>
        </is>
      </c>
      <c r="I59" s="93" t="n"/>
      <c r="J59" s="42" t="inlineStr">
        <is>
          <t>0.50</t>
        </is>
      </c>
      <c r="K59" s="93" t="n"/>
      <c r="L59" s="42" t="inlineStr">
        <is>
          <t>0.35</t>
        </is>
      </c>
      <c r="M59" s="93" t="n"/>
      <c r="N59" s="42" t="inlineStr">
        <is>
          <t>4.73 → B2</t>
        </is>
      </c>
    </row>
    <row r="60" ht="15" customHeight="1"/>
    <row r="61" ht="15" customHeight="1">
      <c r="A61" s="41" t="inlineStr">
        <is>
          <t>What the numbers mean — iFile</t>
        </is>
      </c>
    </row>
    <row r="62" ht="15" customHeight="1">
      <c r="A62" s="8" t="inlineStr">
        <is>
          <t>Term</t>
        </is>
      </c>
      <c r="B62" s="8" t="inlineStr">
        <is>
          <t>Meaning</t>
        </is>
      </c>
      <c r="C62" s="92" t="n"/>
      <c r="D62" s="92" t="n"/>
      <c r="E62" s="92" t="n"/>
      <c r="F62" s="92" t="n"/>
      <c r="G62" s="92" t="n"/>
      <c r="H62" s="92" t="n"/>
      <c r="I62" s="92" t="n"/>
      <c r="J62" s="92" t="n"/>
      <c r="K62" s="92" t="n"/>
      <c r="L62" s="93" t="n"/>
      <c r="M62" s="8" t="inlineStr">
        <is>
          <t>People</t>
        </is>
      </c>
      <c r="N62" s="93" t="n"/>
    </row>
    <row r="63" ht="15" customHeight="1">
      <c r="A63" s="10" t="inlineStr">
        <is>
          <t>Score</t>
        </is>
      </c>
      <c r="B63" s="12" t="inlineStr">
        <is>
          <t>The size of the role in level units. Not performance, not pay.</t>
        </is>
      </c>
      <c r="C63" s="92" t="n"/>
      <c r="D63" s="92" t="n"/>
      <c r="E63" s="92" t="n"/>
      <c r="F63" s="92" t="n"/>
      <c r="G63" s="92" t="n"/>
      <c r="H63" s="92" t="n"/>
      <c r="I63" s="92" t="n"/>
      <c r="J63" s="92" t="n"/>
      <c r="K63" s="92" t="n"/>
      <c r="L63" s="93" t="n"/>
      <c r="M63" s="42" t="n">
        <v>191</v>
      </c>
      <c r="N63" s="93" t="n"/>
    </row>
    <row r="64" ht="15" customHeight="1">
      <c r="A64" s="10" t="inlineStr">
        <is>
          <t>Indicated level</t>
        </is>
      </c>
      <c r="B64" s="12" t="inlineStr">
        <is>
          <t>The score rounded to the nearest level.</t>
        </is>
      </c>
      <c r="C64" s="92" t="n"/>
      <c r="D64" s="92" t="n"/>
      <c r="E64" s="92" t="n"/>
      <c r="F64" s="92" t="n"/>
      <c r="G64" s="92" t="n"/>
      <c r="H64" s="92" t="n"/>
      <c r="I64" s="92" t="n"/>
      <c r="J64" s="92" t="n"/>
      <c r="K64" s="92" t="n"/>
      <c r="L64" s="93" t="n"/>
      <c r="M64" s="42" t="n">
        <v>191</v>
      </c>
      <c r="N64" s="93" t="n"/>
    </row>
    <row r="65" ht="15" customHeight="1">
      <c r="A65" s="10" t="inlineStr">
        <is>
          <t>Final level</t>
        </is>
      </c>
      <c r="B65" s="12" t="inlineStr">
        <is>
          <t>The level after the rules. Where it differs from the indicated level, a rule moved it and the reason is recorded.</t>
        </is>
      </c>
      <c r="C65" s="92" t="n"/>
      <c r="D65" s="92" t="n"/>
      <c r="E65" s="92" t="n"/>
      <c r="F65" s="92" t="n"/>
      <c r="G65" s="92" t="n"/>
      <c r="H65" s="92" t="n"/>
      <c r="I65" s="92" t="n"/>
      <c r="J65" s="92" t="n"/>
      <c r="K65" s="92" t="n"/>
      <c r="L65" s="93" t="n"/>
      <c r="M65" s="42" t="inlineStr">
        <is>
          <t>58 differ</t>
        </is>
      </c>
      <c r="N65" s="93" t="n"/>
    </row>
    <row r="66" ht="15" customHeight="1">
      <c r="A66" s="10" t="inlineStr">
        <is>
          <t>Close call</t>
        </is>
      </c>
      <c r="B66" s="12" t="inlineStr">
        <is>
          <t>The score decided the level and sits within ±0.05 of a rounding point. Sent to the calibration panel.</t>
        </is>
      </c>
      <c r="C66" s="92" t="n"/>
      <c r="D66" s="92" t="n"/>
      <c r="E66" s="92" t="n"/>
      <c r="F66" s="92" t="n"/>
      <c r="G66" s="92" t="n"/>
      <c r="H66" s="92" t="n"/>
      <c r="I66" s="92" t="n"/>
      <c r="J66" s="92" t="n"/>
      <c r="K66" s="92" t="n"/>
      <c r="L66" s="93" t="n"/>
      <c r="M66" s="42" t="n">
        <v>17</v>
      </c>
      <c r="N66" s="93" t="n"/>
    </row>
    <row r="67" ht="28" customHeight="1">
      <c r="A67" s="10" t="inlineStr">
        <is>
          <t>Near a gate</t>
        </is>
      </c>
      <c r="B67" s="12" t="inlineStr">
        <is>
          <t>A rule set the level, and the number behind that rule is within a quarter-point of flipping it. Sent to the calibration panel.</t>
        </is>
      </c>
      <c r="C67" s="92" t="n"/>
      <c r="D67" s="92" t="n"/>
      <c r="E67" s="92" t="n"/>
      <c r="F67" s="92" t="n"/>
      <c r="G67" s="92" t="n"/>
      <c r="H67" s="92" t="n"/>
      <c r="I67" s="92" t="n"/>
      <c r="J67" s="92" t="n"/>
      <c r="K67" s="92" t="n"/>
      <c r="L67" s="93" t="n"/>
      <c r="M67" s="42" t="n">
        <v>18</v>
      </c>
      <c r="N67" s="93" t="n"/>
    </row>
    <row r="68" ht="15" customHeight="1">
      <c r="A68" s="10" t="inlineStr">
        <is>
          <t>Not scored</t>
        </is>
      </c>
      <c r="B68" s="12" t="inlineStr">
        <is>
          <t>Interns and first-year trainees, consultants and anyone with incomplete ratings are placed by rule.</t>
        </is>
      </c>
      <c r="C68" s="92" t="n"/>
      <c r="D68" s="92" t="n"/>
      <c r="E68" s="92" t="n"/>
      <c r="F68" s="92" t="n"/>
      <c r="G68" s="92" t="n"/>
      <c r="H68" s="92" t="n"/>
      <c r="I68" s="92" t="n"/>
      <c r="J68" s="92" t="n"/>
      <c r="K68" s="92" t="n"/>
      <c r="L68" s="93" t="n"/>
      <c r="M68" s="42" t="n">
        <v>27</v>
      </c>
      <c r="N68" s="93" t="n"/>
    </row>
    <row r="69" ht="15" customHeight="1"/>
    <row r="70" ht="80" customHeight="1">
      <c r="A70" s="40" t="inlineStr">
        <is>
          <r>
            <rPr>
              <rFont val="Calibri"/>
              <b val="1"/>
              <i val="1"/>
              <color rgb="00595959"/>
              <sz val="10"/>
            </rPr>
            <t>Where the weights come from:</t>
          </r>
          <r>
            <rPr>
              <rFont val="Calibri"/>
              <i val="1"/>
              <color rgb="00595959"/>
              <sz val="10"/>
            </rPr>
            <t xml:space="preserve"> each role group's default is the average of Korn Ferry Hay, Mercer IPE and five public point-factor plans.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71" ht="20" customHeight="1">
      <c r="A71" s="6" t="inlineStr">
        <is>
          <t>5. The ten rules, in plain English</t>
        </is>
      </c>
    </row>
    <row r="72" ht="15" customHeight="1">
      <c r="A72" s="8" t="inlineStr">
        <is>
          <t>Rule</t>
        </is>
      </c>
      <c r="B72" s="92" t="n"/>
      <c r="C72" s="93" t="n"/>
      <c r="D72" s="8" t="inlineStr">
        <is>
          <t>What it says</t>
        </is>
      </c>
      <c r="E72" s="92" t="n"/>
      <c r="F72" s="92" t="n"/>
      <c r="G72" s="92" t="n"/>
      <c r="H72" s="92" t="n"/>
      <c r="I72" s="92" t="n"/>
      <c r="J72" s="92" t="n"/>
      <c r="K72" s="92" t="n"/>
      <c r="L72" s="92" t="n"/>
      <c r="M72" s="92" t="n"/>
      <c r="N72" s="93" t="n"/>
    </row>
    <row r="73" ht="15" customHeight="1">
      <c r="A73" s="10" t="inlineStr">
        <is>
          <t>R1 · Category</t>
        </is>
      </c>
      <c r="B73" s="92" t="n"/>
      <c r="C73" s="93" t="n"/>
      <c r="D73" s="12" t="inlineStr">
        <is>
          <t>Interns and first-year trainees start at A1; consultants sit outside the ladder at X1–X3.</t>
        </is>
      </c>
      <c r="E73" s="92" t="n"/>
      <c r="F73" s="92" t="n"/>
      <c r="G73" s="92" t="n"/>
      <c r="H73" s="92" t="n"/>
      <c r="I73" s="92" t="n"/>
      <c r="J73" s="92" t="n"/>
      <c r="K73" s="92" t="n"/>
      <c r="L73" s="92" t="n"/>
      <c r="M73" s="92" t="n"/>
      <c r="N73" s="93" t="n"/>
    </row>
    <row r="74" ht="15" customHeight="1">
      <c r="A74" s="10" t="inlineStr">
        <is>
          <t>R2 · Provisional</t>
        </is>
      </c>
      <c r="B74" s="92" t="n"/>
      <c r="C74" s="93" t="n"/>
      <c r="D74" s="12" t="inlineStr">
        <is>
          <t>Where the experience record looks incomplete, the level is kept until HR confirms it.</t>
        </is>
      </c>
      <c r="E74" s="92" t="n"/>
      <c r="F74" s="92" t="n"/>
      <c r="G74" s="92" t="n"/>
      <c r="H74" s="92" t="n"/>
      <c r="I74" s="92" t="n"/>
      <c r="J74" s="92" t="n"/>
      <c r="K74" s="92" t="n"/>
      <c r="L74" s="92" t="n"/>
      <c r="M74" s="92" t="n"/>
      <c r="N74" s="93" t="n"/>
    </row>
    <row r="75" ht="28" customHeight="1">
      <c r="A75" s="10" t="inlineStr">
        <is>
          <t>R3 · Score</t>
        </is>
      </c>
      <c r="B75" s="92" t="n"/>
      <c r="C75" s="93" t="n"/>
      <c r="D75" s="12" t="inlineStr">
        <is>
          <t>The weighted score points to a level; each band is checked on its own weights and the person sits in the highest band where it holds.</t>
        </is>
      </c>
      <c r="E75" s="92" t="n"/>
      <c r="F75" s="92" t="n"/>
      <c r="G75" s="92" t="n"/>
      <c r="H75" s="92" t="n"/>
      <c r="I75" s="92" t="n"/>
      <c r="J75" s="92" t="n"/>
      <c r="K75" s="92" t="n"/>
      <c r="L75" s="92" t="n"/>
      <c r="M75" s="92" t="n"/>
      <c r="N75" s="93" t="n"/>
    </row>
    <row r="76" ht="28" customHeight="1">
      <c r="A76" s="10" t="inlineStr">
        <is>
          <t>R4 · Role substance</t>
        </is>
      </c>
      <c r="B76" s="92" t="n"/>
      <c r="C76" s="93" t="n"/>
      <c r="D76" s="12" t="inlineStr">
        <is>
          <t>For individual contributors, the level can be at most one above what the complexity and accountability of the work show.</t>
        </is>
      </c>
      <c r="E76" s="92" t="n"/>
      <c r="F76" s="92" t="n"/>
      <c r="G76" s="92" t="n"/>
      <c r="H76" s="92" t="n"/>
      <c r="I76" s="92" t="n"/>
      <c r="J76" s="92" t="n"/>
      <c r="K76" s="92" t="n"/>
      <c r="L76" s="92" t="n"/>
      <c r="M76" s="92" t="n"/>
      <c r="N76" s="93" t="n"/>
    </row>
    <row r="77" ht="28" customHeight="1">
      <c r="A77" s="10" t="inlineStr">
        <is>
          <t>R5 · Structure</t>
        </is>
      </c>
      <c r="B77" s="92" t="n"/>
      <c r="C77" s="93" t="n"/>
      <c r="D77" s="12" t="inlineStr">
        <is>
          <t>C1 and above need the matching structure in the org chart · a sub-function, a function, a business line; a B3 manager needs team leads or 10+ people.</t>
        </is>
      </c>
      <c r="E77" s="92" t="n"/>
      <c r="F77" s="92" t="n"/>
      <c r="G77" s="92" t="n"/>
      <c r="H77" s="92" t="n"/>
      <c r="I77" s="92" t="n"/>
      <c r="J77" s="92" t="n"/>
      <c r="K77" s="92" t="n"/>
      <c r="L77" s="92" t="n"/>
      <c r="M77" s="92" t="n"/>
      <c r="N77" s="93" t="n"/>
    </row>
    <row r="78" ht="15" customHeight="1">
      <c r="A78" s="10" t="inlineStr">
        <is>
          <t>R6 · Top of band</t>
        </is>
      </c>
      <c r="B78" s="92" t="n"/>
      <c r="C78" s="93" t="n"/>
      <c r="D78" s="12" t="inlineStr">
        <is>
          <t>To enter the next band the score must reach its entry point on that band's own weights.</t>
        </is>
      </c>
      <c r="E78" s="92" t="n"/>
      <c r="F78" s="92" t="n"/>
      <c r="G78" s="92" t="n"/>
      <c r="H78" s="92" t="n"/>
      <c r="I78" s="92" t="n"/>
      <c r="J78" s="92" t="n"/>
      <c r="K78" s="92" t="n"/>
      <c r="L78" s="92" t="n"/>
      <c r="M78" s="92" t="n"/>
      <c r="N78" s="93" t="n"/>
    </row>
    <row r="79" ht="15" customHeight="1">
      <c r="A79" s="10" t="inlineStr">
        <is>
          <t>R7 · Band A experience</t>
        </is>
      </c>
      <c r="B79" s="92" t="n"/>
      <c r="C79" s="93" t="n"/>
      <c r="D79" s="12" t="inlineStr">
        <is>
          <r>
            <rPr>
              <rFont val="Calibri"/>
              <b val="1"/>
              <sz val="10"/>
            </rPr>
            <t>Under 1 year:</t>
          </r>
          <r>
            <rPr>
              <rFont val="Calibri"/>
              <sz val="10"/>
            </rPr>
            <t xml:space="preserve"> A2 at most; 2+ years: A3.</t>
          </r>
        </is>
      </c>
      <c r="E79" s="92" t="n"/>
      <c r="F79" s="92" t="n"/>
      <c r="G79" s="92" t="n"/>
      <c r="H79" s="92" t="n"/>
      <c r="I79" s="92" t="n"/>
      <c r="J79" s="92" t="n"/>
      <c r="K79" s="92" t="n"/>
      <c r="L79" s="92" t="n"/>
      <c r="M79" s="92" t="n"/>
      <c r="N79" s="93" t="n"/>
    </row>
    <row r="80" ht="15" customHeight="1">
      <c r="A80" s="10" t="inlineStr">
        <is>
          <t>R8 · Experience limit</t>
        </is>
      </c>
      <c r="B80" s="92" t="n"/>
      <c r="C80" s="93" t="n"/>
      <c r="D80" s="12" t="inlineStr">
        <is>
          <t>In Bands A–B a role sits at most one level above the level its experience fits · managers exempt.</t>
        </is>
      </c>
      <c r="E80" s="92" t="n"/>
      <c r="F80" s="92" t="n"/>
      <c r="G80" s="92" t="n"/>
      <c r="H80" s="92" t="n"/>
      <c r="I80" s="92" t="n"/>
      <c r="J80" s="92" t="n"/>
      <c r="K80" s="92" t="n"/>
      <c r="L80" s="92" t="n"/>
      <c r="M80" s="92" t="n"/>
      <c r="N80" s="93" t="n"/>
    </row>
    <row r="81" ht="15" customHeight="1">
      <c r="A81" s="10" t="inlineStr">
        <is>
          <t>R9 · Track minimum</t>
        </is>
      </c>
      <c r="B81" s="92" t="n"/>
      <c r="C81" s="93" t="n"/>
      <c r="D81" s="12" t="inlineStr">
        <is>
          <t>POD Leads and People Managers start at B1.</t>
        </is>
      </c>
      <c r="E81" s="92" t="n"/>
      <c r="F81" s="92" t="n"/>
      <c r="G81" s="92" t="n"/>
      <c r="H81" s="92" t="n"/>
      <c r="I81" s="92" t="n"/>
      <c r="J81" s="92" t="n"/>
      <c r="K81" s="92" t="n"/>
      <c r="L81" s="92" t="n"/>
      <c r="M81" s="92" t="n"/>
      <c r="N81" s="93" t="n"/>
    </row>
    <row r="82" ht="28" customHeight="1">
      <c r="A82" s="10" t="inlineStr">
        <is>
          <t>R10 · Player-Coach</t>
        </is>
      </c>
      <c r="B82" s="92" t="n"/>
      <c r="C82" s="93" t="n"/>
      <c r="D82" s="12" t="inlineStr">
        <is>
          <t>At B3 or C2, someone who leads people and still does hands-on work moves to the step above · B+ or C+ if the Player-Coach score and the substance reach the threshold; a shortfall of up to 0.15 is accepted and confirmed in calibration.</t>
        </is>
      </c>
      <c r="E82" s="92" t="n"/>
      <c r="F82" s="92" t="n"/>
      <c r="G82" s="92" t="n"/>
      <c r="H82" s="92" t="n"/>
      <c r="I82" s="92" t="n"/>
      <c r="J82" s="92" t="n"/>
      <c r="K82" s="92" t="n"/>
      <c r="L82" s="92" t="n"/>
      <c r="M82" s="92" t="n"/>
      <c r="N82" s="93" t="n"/>
    </row>
    <row r="83" ht="15" customHeight="1"/>
    <row r="84" ht="20" customHeight="1">
      <c r="A84" s="6" t="inlineStr">
        <is>
          <t>6. Colours and terms</t>
        </is>
      </c>
    </row>
    <row r="85" ht="15" customHeight="1">
      <c r="A85" s="43" t="inlineStr">
        <is>
          <t>Changed vs current · designation or level</t>
        </is>
      </c>
      <c r="B85" s="92" t="n"/>
      <c r="C85" s="92" t="n"/>
      <c r="D85" s="92" t="n"/>
      <c r="E85" s="92" t="n"/>
      <c r="F85" s="92" t="n"/>
      <c r="G85" s="92" t="n"/>
      <c r="H85" s="92" t="n"/>
      <c r="I85" s="92" t="n"/>
      <c r="J85" s="92" t="n"/>
      <c r="K85" s="92" t="n"/>
      <c r="L85" s="92" t="n"/>
      <c r="M85" s="92" t="n"/>
      <c r="N85" s="93" t="n"/>
    </row>
    <row r="86" ht="15" customHeight="1">
      <c r="A86" s="45" t="inlineStr">
        <is>
          <t>Level up</t>
        </is>
      </c>
      <c r="B86" s="92" t="n"/>
      <c r="C86" s="92" t="n"/>
      <c r="D86" s="92" t="n"/>
      <c r="E86" s="92" t="n"/>
      <c r="F86" s="92" t="n"/>
      <c r="G86" s="92" t="n"/>
      <c r="H86" s="92" t="n"/>
      <c r="I86" s="92" t="n"/>
      <c r="J86" s="92" t="n"/>
      <c r="K86" s="92" t="n"/>
      <c r="L86" s="92" t="n"/>
      <c r="M86" s="92" t="n"/>
      <c r="N86" s="93" t="n"/>
    </row>
    <row r="87" ht="15" customHeight="1">
      <c r="A87" s="47" t="inlineStr">
        <is>
          <t>Level down — pay &amp; title protected</t>
        </is>
      </c>
      <c r="B87" s="92" t="n"/>
      <c r="C87" s="92" t="n"/>
      <c r="D87" s="92" t="n"/>
      <c r="E87" s="92" t="n"/>
      <c r="F87" s="92" t="n"/>
      <c r="G87" s="92" t="n"/>
      <c r="H87" s="92" t="n"/>
      <c r="I87" s="92" t="n"/>
      <c r="J87" s="92" t="n"/>
      <c r="K87" s="92" t="n"/>
      <c r="L87" s="92" t="n"/>
      <c r="M87" s="92" t="n"/>
      <c r="N87" s="93" t="n"/>
    </row>
    <row r="88" ht="15" customHeight="1">
      <c r="A88" s="49" t="inlineStr">
        <is>
          <t>Newly mapped</t>
        </is>
      </c>
      <c r="B88" s="92" t="n"/>
      <c r="C88" s="92" t="n"/>
      <c r="D88" s="92" t="n"/>
      <c r="E88" s="92" t="n"/>
      <c r="F88" s="92" t="n"/>
      <c r="G88" s="92" t="n"/>
      <c r="H88" s="92" t="n"/>
      <c r="I88" s="92" t="n"/>
      <c r="J88" s="92" t="n"/>
      <c r="K88" s="92" t="n"/>
      <c r="L88" s="92" t="n"/>
      <c r="M88" s="92" t="n"/>
      <c r="N88" s="93" t="n"/>
    </row>
    <row r="89" ht="15" customHeight="1">
      <c r="A89" s="50" t="inlineStr">
        <is>
          <t>Player-Coach · B+ · C+</t>
        </is>
      </c>
      <c r="B89" s="92" t="n"/>
      <c r="C89" s="92" t="n"/>
      <c r="D89" s="92" t="n"/>
      <c r="E89" s="92" t="n"/>
      <c r="F89" s="92" t="n"/>
      <c r="G89" s="92" t="n"/>
      <c r="H89" s="92" t="n"/>
      <c r="I89" s="92" t="n"/>
      <c r="J89" s="92" t="n"/>
      <c r="K89" s="92" t="n"/>
      <c r="L89" s="92" t="n"/>
      <c r="M89" s="92" t="n"/>
      <c r="N89" s="93" t="n"/>
    </row>
    <row r="90" ht="15" customHeight="1">
      <c r="A90" s="51" t="inlineStr">
        <is>
          <t>RED = critical input needed · could change or confirm the level</t>
        </is>
      </c>
      <c r="B90" s="92" t="n"/>
      <c r="C90" s="92" t="n"/>
      <c r="D90" s="92" t="n"/>
      <c r="E90" s="92" t="n"/>
      <c r="F90" s="92" t="n"/>
      <c r="G90" s="92" t="n"/>
      <c r="H90" s="92" t="n"/>
      <c r="I90" s="92" t="n"/>
      <c r="J90" s="92" t="n"/>
      <c r="K90" s="92" t="n"/>
      <c r="L90" s="92" t="n"/>
      <c r="M90" s="92" t="n"/>
      <c r="N90" s="93" t="n"/>
    </row>
    <row r="91" ht="15" customHeight="1">
      <c r="A91" s="53" t="inlineStr">
        <is>
          <t>YELLOW = to complete in validation</t>
        </is>
      </c>
      <c r="B91" s="92" t="n"/>
      <c r="C91" s="92" t="n"/>
      <c r="D91" s="92" t="n"/>
      <c r="E91" s="92" t="n"/>
      <c r="F91" s="92" t="n"/>
      <c r="G91" s="92" t="n"/>
      <c r="H91" s="92" t="n"/>
      <c r="I91" s="92" t="n"/>
      <c r="J91" s="92" t="n"/>
      <c r="K91" s="92" t="n"/>
      <c r="L91" s="92" t="n"/>
      <c r="M91" s="92" t="n"/>
      <c r="N91" s="93" t="n"/>
    </row>
    <row r="92" ht="15" customHeight="1"/>
    <row r="93" ht="15" customHeight="1">
      <c r="A93" s="8" t="inlineStr">
        <is>
          <t>Term</t>
        </is>
      </c>
      <c r="B93" s="92" t="n"/>
      <c r="C93" s="93" t="n"/>
      <c r="D93" s="8" t="inlineStr">
        <is>
          <t>Meaning</t>
        </is>
      </c>
      <c r="E93" s="92" t="n"/>
      <c r="F93" s="92" t="n"/>
      <c r="G93" s="92" t="n"/>
      <c r="H93" s="92" t="n"/>
      <c r="I93" s="92" t="n"/>
      <c r="J93" s="92" t="n"/>
      <c r="K93" s="92" t="n"/>
      <c r="L93" s="92" t="n"/>
      <c r="M93" s="92" t="n"/>
      <c r="N93" s="93" t="n"/>
    </row>
    <row r="94" ht="15" customHeight="1">
      <c r="A94" s="10" t="inlineStr">
        <is>
          <t>Job family / sub-family</t>
        </is>
      </c>
      <c r="B94" s="92" t="n"/>
      <c r="C94" s="93" t="n"/>
      <c r="D94" s="12" t="inlineStr">
        <is>
          <t>The discipline, and the actual work done inside it</t>
        </is>
      </c>
      <c r="E94" s="92" t="n"/>
      <c r="F94" s="92" t="n"/>
      <c r="G94" s="92" t="n"/>
      <c r="H94" s="92" t="n"/>
      <c r="I94" s="92" t="n"/>
      <c r="J94" s="92" t="n"/>
      <c r="K94" s="92" t="n"/>
      <c r="L94" s="92" t="n"/>
      <c r="M94" s="92" t="n"/>
      <c r="N94" s="93" t="n"/>
    </row>
    <row r="95" ht="15" customHeight="1">
      <c r="A95" s="10" t="inlineStr">
        <is>
          <t>Track</t>
        </is>
      </c>
      <c r="B95" s="92" t="n"/>
      <c r="C95" s="93" t="n"/>
      <c r="D95" s="12" t="inlineStr">
        <is>
          <t>Individual contributor · IC, POD Lead · leads 1–3 while mainly IC, People Manager, Player-Coach, Consultant</t>
        </is>
      </c>
      <c r="E95" s="92" t="n"/>
      <c r="F95" s="92" t="n"/>
      <c r="G95" s="92" t="n"/>
      <c r="H95" s="92" t="n"/>
      <c r="I95" s="92" t="n"/>
      <c r="J95" s="92" t="n"/>
      <c r="K95" s="92" t="n"/>
      <c r="L95" s="92" t="n"/>
      <c r="M95" s="92" t="n"/>
      <c r="N95" s="93" t="n"/>
    </row>
    <row r="96" ht="15" customHeight="1">
      <c r="A96" s="10" t="inlineStr">
        <is>
          <t>Weights</t>
        </is>
      </c>
      <c r="B96" s="92" t="n"/>
      <c r="C96" s="93" t="n"/>
      <c r="D96" s="12" t="inlineStr">
        <is>
          <t>How much each of the six factors counts for this kind of role; they always add up to 100%. Edit them on sheet 6</t>
        </is>
      </c>
      <c r="E96" s="92" t="n"/>
      <c r="F96" s="92" t="n"/>
      <c r="G96" s="92" t="n"/>
      <c r="H96" s="92" t="n"/>
      <c r="I96" s="92" t="n"/>
      <c r="J96" s="92" t="n"/>
      <c r="K96" s="92" t="n"/>
      <c r="L96" s="92" t="n"/>
      <c r="M96" s="92" t="n"/>
      <c r="N96" s="93" t="n"/>
    </row>
    <row r="97" ht="15" customHeight="1">
      <c r="A97" s="10" t="inlineStr">
        <is>
          <t>Score / indicated level</t>
        </is>
      </c>
      <c r="B97" s="92" t="n"/>
      <c r="C97" s="93" t="n"/>
      <c r="D97" s="12" t="inlineStr">
        <is>
          <t>The weighted average of the six ratings on the ladder scale, and the level it rounds to</t>
        </is>
      </c>
      <c r="E97" s="92" t="n"/>
      <c r="F97" s="92" t="n"/>
      <c r="G97" s="92" t="n"/>
      <c r="H97" s="92" t="n"/>
      <c r="I97" s="92" t="n"/>
      <c r="J97" s="92" t="n"/>
      <c r="K97" s="92" t="n"/>
      <c r="L97" s="92" t="n"/>
      <c r="M97" s="92" t="n"/>
      <c r="N97" s="93" t="n"/>
    </row>
    <row r="98" ht="15" customHeight="1">
      <c r="A98" s="10" t="inlineStr">
        <is>
          <t>Close call</t>
        </is>
      </c>
      <c r="B98" s="92" t="n"/>
      <c r="C98" s="93" t="n"/>
      <c r="D98" s="12" t="inlineStr">
        <is>
          <t>The score decided the level and is within 0.05 of a rounding point</t>
        </is>
      </c>
      <c r="E98" s="92" t="n"/>
      <c r="F98" s="92" t="n"/>
      <c r="G98" s="92" t="n"/>
      <c r="H98" s="92" t="n"/>
      <c r="I98" s="92" t="n"/>
      <c r="J98" s="92" t="n"/>
      <c r="K98" s="92" t="n"/>
      <c r="L98" s="92" t="n"/>
      <c r="M98" s="92" t="n"/>
      <c r="N98" s="93" t="n"/>
    </row>
    <row r="99" ht="15" customHeight="1">
      <c r="A99" s="10" t="inlineStr">
        <is>
          <t>Near a gate</t>
        </is>
      </c>
      <c r="B99" s="92" t="n"/>
      <c r="C99" s="93" t="n"/>
      <c r="D99" s="12" t="inlineStr">
        <is>
          <t>A rule set the level and the number behind it is within a quarter-point of changing it</t>
        </is>
      </c>
      <c r="E99" s="92" t="n"/>
      <c r="F99" s="92" t="n"/>
      <c r="G99" s="92" t="n"/>
      <c r="H99" s="92" t="n"/>
      <c r="I99" s="92" t="n"/>
      <c r="J99" s="92" t="n"/>
      <c r="K99" s="92" t="n"/>
      <c r="L99" s="92" t="n"/>
      <c r="M99" s="92" t="n"/>
      <c r="N99" s="93" t="n"/>
    </row>
    <row r="100" ht="15" customHeight="1">
      <c r="A100" s="10" t="inlineStr">
        <is>
          <t>Provisional</t>
        </is>
      </c>
      <c r="B100" s="92" t="n"/>
      <c r="C100" s="93" t="n"/>
      <c r="D100" s="12" t="inlineStr">
        <is>
          <t>The level is kept until HR confirms the experience record</t>
        </is>
      </c>
      <c r="E100" s="92" t="n"/>
      <c r="F100" s="92" t="n"/>
      <c r="G100" s="92" t="n"/>
      <c r="H100" s="92" t="n"/>
      <c r="I100" s="92" t="n"/>
      <c r="J100" s="92" t="n"/>
      <c r="K100" s="92" t="n"/>
      <c r="L100" s="92" t="n"/>
      <c r="M100" s="92" t="n"/>
      <c r="N100" s="93" t="n"/>
    </row>
    <row r="101" ht="15" customHeight="1">
      <c r="A101" s="10" t="inlineStr">
        <is>
          <t>Protected</t>
        </is>
      </c>
      <c r="B101" s="92" t="n"/>
      <c r="C101" s="93" t="n"/>
      <c r="D101" s="12" t="inlineStr">
        <is>
          <t>A move down keeps current pay and title for one cycle, with a review date</t>
        </is>
      </c>
      <c r="E101" s="92" t="n"/>
      <c r="F101" s="92" t="n"/>
      <c r="G101" s="92" t="n"/>
      <c r="H101" s="92" t="n"/>
      <c r="I101" s="92" t="n"/>
      <c r="J101" s="92" t="n"/>
      <c r="K101" s="92" t="n"/>
      <c r="L101" s="92" t="n"/>
      <c r="M101" s="92" t="n"/>
      <c r="N101" s="93" t="n"/>
    </row>
    <row r="102" ht="15" customHeight="1">
      <c r="A102" s="10" t="inlineStr">
        <is>
          <t>Radford / Mercer code</t>
        </is>
      </c>
      <c r="B102" s="92" t="n"/>
      <c r="C102" s="93" t="n"/>
      <c r="D102" s="12" t="inlineStr">
        <is>
          <t>The market survey level used to price the role once pay data is bought</t>
        </is>
      </c>
      <c r="E102" s="92" t="n"/>
      <c r="F102" s="92" t="n"/>
      <c r="G102" s="92" t="n"/>
      <c r="H102" s="92" t="n"/>
      <c r="I102" s="92" t="n"/>
      <c r="J102" s="92" t="n"/>
      <c r="K102" s="92" t="n"/>
      <c r="L102" s="92" t="n"/>
      <c r="M102" s="92" t="n"/>
      <c r="N102" s="93" t="n"/>
    </row>
    <row r="103"/>
    <row r="104" ht="20" customHeight="1">
      <c r="A104" s="6" t="inlineStr">
        <is>
          <t>5. Charts — the shape of this population</t>
        </is>
      </c>
    </row>
    <row r="105">
      <c r="A105" s="40" t="inlineStr">
        <is>
          <t>People at each level, and how levels moved from the current structure. Built from the tables beside them.</t>
        </is>
      </c>
    </row>
    <row r="106">
      <c r="A106" s="8" t="inlineStr">
        <is>
          <t>Level</t>
        </is>
      </c>
      <c r="B106" s="8" t="inlineStr">
        <is>
          <t>People</t>
        </is>
      </c>
    </row>
    <row r="107">
      <c r="A107" s="10" t="inlineStr">
        <is>
          <t>A1</t>
        </is>
      </c>
      <c r="B107" s="42" t="n">
        <v>11</v>
      </c>
    </row>
    <row r="108">
      <c r="A108" s="10" t="inlineStr">
        <is>
          <t>A2</t>
        </is>
      </c>
      <c r="B108" s="42" t="n">
        <v>21</v>
      </c>
    </row>
    <row r="109">
      <c r="A109" s="10" t="inlineStr">
        <is>
          <t>A3</t>
        </is>
      </c>
      <c r="B109" s="42" t="n">
        <v>98</v>
      </c>
    </row>
    <row r="110">
      <c r="A110" s="10" t="inlineStr">
        <is>
          <t>B1</t>
        </is>
      </c>
      <c r="B110" s="42" t="n">
        <v>29</v>
      </c>
    </row>
    <row r="111">
      <c r="A111" s="10" t="inlineStr">
        <is>
          <t>B2</t>
        </is>
      </c>
      <c r="B111" s="42" t="n">
        <v>23</v>
      </c>
    </row>
    <row r="112">
      <c r="A112" s="10" t="inlineStr">
        <is>
          <t>B3</t>
        </is>
      </c>
      <c r="B112" s="42" t="n">
        <v>9</v>
      </c>
    </row>
    <row r="113">
      <c r="A113" s="10" t="inlineStr">
        <is>
          <t>B+</t>
        </is>
      </c>
      <c r="B113" s="42" t="n">
        <v>5</v>
      </c>
    </row>
    <row r="114">
      <c r="A114" s="10" t="inlineStr">
        <is>
          <t>C1</t>
        </is>
      </c>
      <c r="B114" s="42" t="n">
        <v>2</v>
      </c>
    </row>
    <row r="115">
      <c r="A115" s="10" t="inlineStr">
        <is>
          <t>C2</t>
        </is>
      </c>
      <c r="B115" s="42" t="n">
        <v>3</v>
      </c>
    </row>
    <row r="116">
      <c r="A116" s="10" t="inlineStr">
        <is>
          <t>D2</t>
        </is>
      </c>
      <c r="B116" s="42" t="n">
        <v>1</v>
      </c>
    </row>
    <row r="117"/>
    <row r="118"/>
    <row r="119"/>
    <row r="120"/>
    <row r="121"/>
    <row r="122"/>
    <row r="123"/>
    <row r="124"/>
    <row r="125">
      <c r="A125" s="8" t="inlineStr">
        <is>
          <t>Current ↓ / New →</t>
        </is>
      </c>
      <c r="B125" s="8" t="inlineStr">
        <is>
          <t>A1</t>
        </is>
      </c>
      <c r="C125" s="8" t="inlineStr">
        <is>
          <t>A2</t>
        </is>
      </c>
      <c r="D125" s="8" t="inlineStr">
        <is>
          <t>A3</t>
        </is>
      </c>
      <c r="E125" s="8" t="inlineStr">
        <is>
          <t>B1</t>
        </is>
      </c>
      <c r="F125" s="8" t="inlineStr">
        <is>
          <t>B2</t>
        </is>
      </c>
      <c r="G125" s="8" t="inlineStr">
        <is>
          <t>B3</t>
        </is>
      </c>
      <c r="H125" s="8" t="inlineStr">
        <is>
          <t>B+</t>
        </is>
      </c>
      <c r="I125" s="8" t="inlineStr">
        <is>
          <t>C1</t>
        </is>
      </c>
      <c r="J125" s="8" t="inlineStr">
        <is>
          <t>C2</t>
        </is>
      </c>
      <c r="K125" s="8" t="inlineStr">
        <is>
          <t>D2</t>
        </is>
      </c>
      <c r="L125" s="8" t="inlineStr">
        <is>
          <t>Total</t>
        </is>
      </c>
    </row>
    <row r="126">
      <c r="A126" s="10" t="inlineStr">
        <is>
          <t>L1</t>
        </is>
      </c>
      <c r="B126" s="42" t="n">
        <v>5</v>
      </c>
      <c r="C126" s="42" t="n"/>
      <c r="D126" s="42" t="n"/>
      <c r="E126" s="42" t="n"/>
      <c r="F126" s="42" t="n"/>
      <c r="G126" s="42" t="n"/>
      <c r="H126" s="42" t="n"/>
      <c r="I126" s="42" t="n"/>
      <c r="J126" s="42" t="n"/>
      <c r="K126" s="42" t="n"/>
      <c r="L126" s="42" t="n">
        <v>5</v>
      </c>
    </row>
    <row r="127">
      <c r="A127" s="10" t="inlineStr">
        <is>
          <t>L2</t>
        </is>
      </c>
      <c r="B127" s="42" t="n">
        <v>4</v>
      </c>
      <c r="C127" s="42" t="n">
        <v>7</v>
      </c>
      <c r="D127" s="42" t="n">
        <v>3</v>
      </c>
      <c r="E127" s="42" t="n"/>
      <c r="F127" s="42" t="n"/>
      <c r="G127" s="42" t="n"/>
      <c r="H127" s="42" t="n"/>
      <c r="I127" s="42" t="n"/>
      <c r="J127" s="42" t="n"/>
      <c r="K127" s="42" t="n"/>
      <c r="L127" s="42" t="n">
        <v>14</v>
      </c>
    </row>
    <row r="128">
      <c r="A128" s="10" t="inlineStr">
        <is>
          <t>L3</t>
        </is>
      </c>
      <c r="B128" s="42" t="n"/>
      <c r="C128" s="42" t="n">
        <v>11</v>
      </c>
      <c r="D128" s="42" t="n">
        <v>71</v>
      </c>
      <c r="E128" s="42" t="n">
        <v>3</v>
      </c>
      <c r="F128" s="42" t="n">
        <v>1</v>
      </c>
      <c r="G128" s="42" t="n">
        <v>1</v>
      </c>
      <c r="H128" s="42" t="n">
        <v>4</v>
      </c>
      <c r="I128" s="42" t="n">
        <v>1</v>
      </c>
      <c r="J128" s="42" t="n"/>
      <c r="K128" s="42" t="n"/>
      <c r="L128" s="42" t="n">
        <v>92</v>
      </c>
    </row>
    <row r="129">
      <c r="A129" s="10" t="inlineStr">
        <is>
          <t>L4</t>
        </is>
      </c>
      <c r="B129" s="42" t="n"/>
      <c r="C129" s="42" t="n"/>
      <c r="D129" s="42" t="n">
        <v>18</v>
      </c>
      <c r="E129" s="42" t="n">
        <v>17</v>
      </c>
      <c r="F129" s="42" t="n">
        <v>1</v>
      </c>
      <c r="G129" s="42" t="n"/>
      <c r="H129" s="42" t="n"/>
      <c r="I129" s="42" t="n"/>
      <c r="J129" s="42" t="n"/>
      <c r="K129" s="42" t="n"/>
      <c r="L129" s="42" t="n">
        <v>36</v>
      </c>
    </row>
    <row r="130">
      <c r="A130" s="10" t="inlineStr">
        <is>
          <t>L5</t>
        </is>
      </c>
      <c r="B130" s="42" t="n"/>
      <c r="C130" s="42" t="n"/>
      <c r="D130" s="42" t="n"/>
      <c r="E130" s="42" t="n">
        <v>8</v>
      </c>
      <c r="F130" s="42" t="n">
        <v>20</v>
      </c>
      <c r="G130" s="42" t="n">
        <v>5</v>
      </c>
      <c r="H130" s="42" t="n">
        <v>1</v>
      </c>
      <c r="I130" s="42" t="n"/>
      <c r="J130" s="42" t="n"/>
      <c r="K130" s="42" t="n"/>
      <c r="L130" s="42" t="n">
        <v>34</v>
      </c>
    </row>
    <row r="131">
      <c r="A131" s="10" t="inlineStr">
        <is>
          <t>L6</t>
        </is>
      </c>
      <c r="B131" s="42" t="n"/>
      <c r="C131" s="42" t="n"/>
      <c r="D131" s="42" t="n"/>
      <c r="E131" s="42" t="n"/>
      <c r="F131" s="42" t="n">
        <v>1</v>
      </c>
      <c r="G131" s="42" t="n">
        <v>1</v>
      </c>
      <c r="H131" s="42" t="n"/>
      <c r="I131" s="42" t="n"/>
      <c r="J131" s="42" t="n"/>
      <c r="K131" s="42" t="n"/>
      <c r="L131" s="42" t="n">
        <v>2</v>
      </c>
    </row>
    <row r="132">
      <c r="A132" s="10" t="inlineStr">
        <is>
          <t>L7</t>
        </is>
      </c>
      <c r="B132" s="42" t="n"/>
      <c r="C132" s="42" t="n"/>
      <c r="D132" s="42" t="n"/>
      <c r="E132" s="42" t="n"/>
      <c r="F132" s="42" t="n"/>
      <c r="G132" s="42" t="n"/>
      <c r="H132" s="42" t="n"/>
      <c r="I132" s="42" t="n"/>
      <c r="J132" s="42" t="n">
        <v>2</v>
      </c>
      <c r="K132" s="42" t="n"/>
      <c r="L132" s="42" t="n">
        <v>2</v>
      </c>
    </row>
    <row r="133">
      <c r="A133" s="10" t="inlineStr">
        <is>
          <t>L8</t>
        </is>
      </c>
      <c r="B133" s="42" t="n"/>
      <c r="C133" s="42" t="n"/>
      <c r="D133" s="42" t="n"/>
      <c r="E133" s="42" t="n"/>
      <c r="F133" s="42" t="n"/>
      <c r="G133" s="42" t="n"/>
      <c r="H133" s="42" t="n"/>
      <c r="I133" s="42" t="n">
        <v>1</v>
      </c>
      <c r="J133" s="42" t="n"/>
      <c r="K133" s="42" t="n"/>
      <c r="L133" s="42" t="n">
        <v>1</v>
      </c>
    </row>
    <row r="134">
      <c r="A134" s="10" t="inlineStr">
        <is>
          <t>Not mapped</t>
        </is>
      </c>
      <c r="B134" s="42" t="n">
        <v>2</v>
      </c>
      <c r="C134" s="42" t="n">
        <v>3</v>
      </c>
      <c r="D134" s="42" t="n">
        <v>6</v>
      </c>
      <c r="E134" s="42" t="n">
        <v>1</v>
      </c>
      <c r="F134" s="42" t="n"/>
      <c r="G134" s="42" t="n">
        <v>2</v>
      </c>
      <c r="H134" s="42" t="n"/>
      <c r="I134" s="42" t="n"/>
      <c r="J134" s="42" t="n">
        <v>1</v>
      </c>
      <c r="K134" s="42" t="n">
        <v>1</v>
      </c>
      <c r="L134" s="42" t="n">
        <v>16</v>
      </c>
    </row>
    <row r="135">
      <c r="A135" s="94" t="inlineStr">
        <is>
          <t>Total</t>
        </is>
      </c>
      <c r="B135" s="95" t="n">
        <v>11</v>
      </c>
      <c r="C135" s="95" t="n">
        <v>21</v>
      </c>
      <c r="D135" s="95" t="n">
        <v>98</v>
      </c>
      <c r="E135" s="95" t="n">
        <v>29</v>
      </c>
      <c r="F135" s="95" t="n">
        <v>23</v>
      </c>
      <c r="G135" s="95" t="n">
        <v>9</v>
      </c>
      <c r="H135" s="95" t="n">
        <v>5</v>
      </c>
      <c r="I135" s="95" t="n">
        <v>2</v>
      </c>
      <c r="J135" s="95" t="n">
        <v>3</v>
      </c>
      <c r="K135" s="95" t="n">
        <v>1</v>
      </c>
      <c r="L135" s="95" t="n">
        <v>202</v>
      </c>
    </row>
  </sheetData>
  <mergeCells count="226">
    <mergeCell ref="A39:N39"/>
    <mergeCell ref="A80:C80"/>
    <mergeCell ref="A48:N48"/>
    <mergeCell ref="F32:K32"/>
    <mergeCell ref="D100:N100"/>
    <mergeCell ref="F26:K26"/>
    <mergeCell ref="B22:C22"/>
    <mergeCell ref="F35:K35"/>
    <mergeCell ref="K7:N7"/>
    <mergeCell ref="D22:E22"/>
    <mergeCell ref="B31:C31"/>
    <mergeCell ref="A45:N45"/>
    <mergeCell ref="L28:M28"/>
    <mergeCell ref="D31:E31"/>
    <mergeCell ref="J59:K59"/>
    <mergeCell ref="A61:N61"/>
    <mergeCell ref="I16:J16"/>
    <mergeCell ref="A87:N87"/>
    <mergeCell ref="A41:B41"/>
    <mergeCell ref="F27:K27"/>
    <mergeCell ref="D95:N95"/>
    <mergeCell ref="D10:J10"/>
    <mergeCell ref="G18:H18"/>
    <mergeCell ref="A37:N37"/>
    <mergeCell ref="I18:J18"/>
    <mergeCell ref="A89:N89"/>
    <mergeCell ref="M16:N16"/>
    <mergeCell ref="D97:N97"/>
    <mergeCell ref="L29:M29"/>
    <mergeCell ref="A105:N105"/>
    <mergeCell ref="A93:C93"/>
    <mergeCell ref="D72:N72"/>
    <mergeCell ref="D78:N78"/>
    <mergeCell ref="A42:B42"/>
    <mergeCell ref="A71:N71"/>
    <mergeCell ref="A77:C77"/>
    <mergeCell ref="A17:B17"/>
    <mergeCell ref="D56:E56"/>
    <mergeCell ref="L31:M31"/>
    <mergeCell ref="D11:J11"/>
    <mergeCell ref="C17:D17"/>
    <mergeCell ref="F56:G56"/>
    <mergeCell ref="F29:K29"/>
    <mergeCell ref="H49:N49"/>
    <mergeCell ref="M17:N17"/>
    <mergeCell ref="B24:C24"/>
    <mergeCell ref="F25:K25"/>
    <mergeCell ref="C42:N42"/>
    <mergeCell ref="D24:E24"/>
    <mergeCell ref="B33:C33"/>
    <mergeCell ref="A91:N91"/>
    <mergeCell ref="D33:E33"/>
    <mergeCell ref="A19:B19"/>
    <mergeCell ref="M62:N62"/>
    <mergeCell ref="B64:L64"/>
    <mergeCell ref="C19:D19"/>
    <mergeCell ref="D73:N73"/>
    <mergeCell ref="B32:C32"/>
    <mergeCell ref="B26:C26"/>
    <mergeCell ref="J58:K58"/>
    <mergeCell ref="D26:E26"/>
    <mergeCell ref="B63:L63"/>
    <mergeCell ref="B35:C35"/>
    <mergeCell ref="F57:G57"/>
    <mergeCell ref="D35:E35"/>
    <mergeCell ref="F24:K24"/>
    <mergeCell ref="B25:C25"/>
    <mergeCell ref="D9:J9"/>
    <mergeCell ref="A75:C75"/>
    <mergeCell ref="D34:E34"/>
    <mergeCell ref="J57:K57"/>
    <mergeCell ref="L57:M57"/>
    <mergeCell ref="D99:N99"/>
    <mergeCell ref="A12:C12"/>
    <mergeCell ref="B27:C27"/>
    <mergeCell ref="B66:L66"/>
    <mergeCell ref="A95:C95"/>
    <mergeCell ref="A1:N1"/>
    <mergeCell ref="H56:I56"/>
    <mergeCell ref="M64:N64"/>
    <mergeCell ref="K13:N13"/>
    <mergeCell ref="F23:K23"/>
    <mergeCell ref="D101:N101"/>
    <mergeCell ref="D77:N77"/>
    <mergeCell ref="A97:C97"/>
    <mergeCell ref="B49:G49"/>
    <mergeCell ref="B67:L67"/>
    <mergeCell ref="A81:C81"/>
    <mergeCell ref="A96:C96"/>
    <mergeCell ref="L30:M30"/>
    <mergeCell ref="B51:G51"/>
    <mergeCell ref="M65:N65"/>
    <mergeCell ref="D75:N75"/>
    <mergeCell ref="A3:N3"/>
    <mergeCell ref="A13:C13"/>
    <mergeCell ref="B29:C29"/>
    <mergeCell ref="A55:N55"/>
    <mergeCell ref="A21:N21"/>
    <mergeCell ref="A104:N104"/>
    <mergeCell ref="B50:G50"/>
    <mergeCell ref="A5:N5"/>
    <mergeCell ref="I17:J17"/>
    <mergeCell ref="L22:M22"/>
    <mergeCell ref="A73:C73"/>
    <mergeCell ref="K17:L17"/>
    <mergeCell ref="A82:C82"/>
    <mergeCell ref="F34:K34"/>
    <mergeCell ref="E16:F16"/>
    <mergeCell ref="L59:M59"/>
    <mergeCell ref="G16:H16"/>
    <mergeCell ref="D29:E29"/>
    <mergeCell ref="I19:J19"/>
    <mergeCell ref="D23:E23"/>
    <mergeCell ref="K19:L19"/>
    <mergeCell ref="M66:N66"/>
    <mergeCell ref="M63:N63"/>
    <mergeCell ref="C18:D18"/>
    <mergeCell ref="D98:N98"/>
    <mergeCell ref="A7:C7"/>
    <mergeCell ref="E18:F18"/>
    <mergeCell ref="F30:K30"/>
    <mergeCell ref="K16:L16"/>
    <mergeCell ref="A40:N40"/>
    <mergeCell ref="D79:N79"/>
    <mergeCell ref="A99:C99"/>
    <mergeCell ref="F33:K33"/>
    <mergeCell ref="M68:N68"/>
    <mergeCell ref="L32:M32"/>
    <mergeCell ref="D12:J12"/>
    <mergeCell ref="M67:N67"/>
    <mergeCell ref="D81:N81"/>
    <mergeCell ref="A101:C101"/>
    <mergeCell ref="B56:C56"/>
    <mergeCell ref="K10:N10"/>
    <mergeCell ref="H58:I58"/>
    <mergeCell ref="B58:C58"/>
    <mergeCell ref="A6:N6"/>
    <mergeCell ref="F28:K28"/>
    <mergeCell ref="L24:M24"/>
    <mergeCell ref="D27:E27"/>
    <mergeCell ref="L33:M33"/>
    <mergeCell ref="D76:N76"/>
    <mergeCell ref="B57:C57"/>
    <mergeCell ref="A84:N84"/>
    <mergeCell ref="K9:N9"/>
    <mergeCell ref="A72:C72"/>
    <mergeCell ref="L26:M26"/>
    <mergeCell ref="L35:M35"/>
    <mergeCell ref="L58:M58"/>
    <mergeCell ref="B34:C34"/>
    <mergeCell ref="A2:N2"/>
    <mergeCell ref="A86:N86"/>
    <mergeCell ref="K11:N11"/>
    <mergeCell ref="B28:C28"/>
    <mergeCell ref="L25:M25"/>
    <mergeCell ref="D28:E28"/>
    <mergeCell ref="H57:I57"/>
    <mergeCell ref="A47:N47"/>
    <mergeCell ref="D93:N93"/>
    <mergeCell ref="D102:N102"/>
    <mergeCell ref="H51:N51"/>
    <mergeCell ref="D25:E25"/>
    <mergeCell ref="A98:C98"/>
    <mergeCell ref="B30:C30"/>
    <mergeCell ref="D30:E30"/>
    <mergeCell ref="A43:B43"/>
    <mergeCell ref="A79:C79"/>
    <mergeCell ref="D7:J7"/>
    <mergeCell ref="K8:N8"/>
    <mergeCell ref="B52:G52"/>
    <mergeCell ref="K18:L18"/>
    <mergeCell ref="D94:N94"/>
    <mergeCell ref="B62:L62"/>
    <mergeCell ref="B59:C59"/>
    <mergeCell ref="C41:N41"/>
    <mergeCell ref="D8:J8"/>
    <mergeCell ref="A15:N15"/>
    <mergeCell ref="A74:C74"/>
    <mergeCell ref="E17:F17"/>
    <mergeCell ref="B53:G53"/>
    <mergeCell ref="G17:H17"/>
    <mergeCell ref="D80:N80"/>
    <mergeCell ref="C43:N43"/>
    <mergeCell ref="A88:N88"/>
    <mergeCell ref="F59:G59"/>
    <mergeCell ref="A70:N70"/>
    <mergeCell ref="A76:C76"/>
    <mergeCell ref="A16:B16"/>
    <mergeCell ref="H59:I59"/>
    <mergeCell ref="C16:D16"/>
    <mergeCell ref="D96:N96"/>
    <mergeCell ref="F22:K22"/>
    <mergeCell ref="D57:E57"/>
    <mergeCell ref="A8:C8"/>
    <mergeCell ref="E19:F19"/>
    <mergeCell ref="F31:K31"/>
    <mergeCell ref="G19:H19"/>
    <mergeCell ref="B23:C23"/>
    <mergeCell ref="H53:N53"/>
    <mergeCell ref="D32:E32"/>
    <mergeCell ref="A90:N90"/>
    <mergeCell ref="A100:C100"/>
    <mergeCell ref="L23:M23"/>
    <mergeCell ref="A18:B18"/>
    <mergeCell ref="H50:N50"/>
    <mergeCell ref="A10:C10"/>
    <mergeCell ref="A102:C102"/>
    <mergeCell ref="A9:C9"/>
    <mergeCell ref="D58:E58"/>
    <mergeCell ref="A85:N85"/>
    <mergeCell ref="D13:J13"/>
    <mergeCell ref="F58:G58"/>
    <mergeCell ref="J56:K56"/>
    <mergeCell ref="B65:L65"/>
    <mergeCell ref="L56:M56"/>
    <mergeCell ref="L34:M34"/>
    <mergeCell ref="A11:C11"/>
    <mergeCell ref="B68:L68"/>
    <mergeCell ref="D74:N74"/>
    <mergeCell ref="H52:N52"/>
    <mergeCell ref="A94:C94"/>
    <mergeCell ref="D82:N82"/>
    <mergeCell ref="K12:N12"/>
    <mergeCell ref="L27:M27"/>
    <mergeCell ref="A78:C78"/>
    <mergeCell ref="D59:E59"/>
  </mergeCells>
  <conditionalFormatting sqref="B126:K134">
    <cfRule type="colorScale" priority="1">
      <colorScale>
        <cfvo type="num" val="0"/>
        <cfvo type="max"/>
        <color rgb="00FFFFFF"/>
        <color rgb="002E75B6"/>
      </colorScale>
    </cfRule>
  </conditionalFormatting>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6"/>
</worksheet>
</file>

<file path=xl/worksheets/sheet3.xml><?xml version="1.0" encoding="utf-8"?>
<worksheet xmlns="http://schemas.openxmlformats.org/spreadsheetml/2006/main">
  <sheetPr>
    <tabColor rgb="002E75B6"/>
    <outlinePr summaryBelow="1" summaryRight="1"/>
    <pageSetUpPr fitToPage="1"/>
  </sheetPr>
  <dimension ref="A1:AG224"/>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6" customWidth="1" min="3" max="3"/>
    <col width="22" customWidth="1" min="4" max="4"/>
    <col width="26" customWidth="1" min="5" max="5"/>
    <col width="18" customWidth="1" min="6" max="6"/>
    <col width="22" customWidth="1" min="7" max="7"/>
    <col width="11" customWidth="1" min="8" max="8"/>
    <col width="11" customWidth="1" min="9" max="9"/>
    <col width="8" customWidth="1" min="10" max="10"/>
    <col width="16" customWidth="1" min="11" max="11"/>
    <col width="12" customWidth="1" min="12" max="12"/>
    <col width="2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62" customWidth="1" min="22" max="22"/>
    <col width="74" customWidth="1" min="23" max="23"/>
    <col width="42" customWidth="1" min="24" max="24"/>
    <col width="36" customWidth="1" min="25" max="25"/>
    <col width="42" customWidth="1" min="26" max="26"/>
    <col width="34" customWidth="1" min="27" max="27"/>
    <col width="40" customWidth="1" min="28" max="28"/>
    <col width="12" customWidth="1" min="29" max="29"/>
    <col width="34" customWidth="1" min="30" max="30"/>
    <col width="36" customWidth="1" min="31" max="31"/>
    <col hidden="1" width="6" customWidth="1" min="32" max="32"/>
    <col width="13" customWidth="1" min="33" max="33"/>
  </cols>
  <sheetData>
    <row r="1" ht="34" customHeight="1">
      <c r="A1" s="1" t="inlineStr">
        <is>
          <t>People &amp; Levels — every placement, with its full reasoning</t>
        </is>
      </c>
      <c r="AG1" s="104" t="inlineStr">
        <is>
          <t>◂ Start Here</t>
        </is>
      </c>
    </row>
    <row r="2" ht="30" customHeight="1">
      <c r="A2" s="3" t="inlineStr">
        <is>
          <r>
            <rPr>
              <rFont val="Calibri"/>
              <b val="1"/>
              <i val="1"/>
              <color rgb="00404040"/>
              <sz val="10"/>
            </rPr>
            <t>Sheet 2 · Read left to right:</t>
          </r>
          <r>
            <rPr>
              <rFont val="Calibri"/>
              <i val="1"/>
              <color rgb="00404040"/>
              <sz val="10"/>
            </rPr>
            <t xml:space="preserve"> the person → role before and after → six ratings and the score, live from the Weightage Matrix → why this level · the weights, the rules applied, each factor's rating with its starting point and evidence → the market comparison → the data behind it, points for attention and inputs still needed → your validation · yellow.</t>
          </r>
        </is>
      </c>
    </row>
    <row r="3">
      <c r="A3" s="4" t="inlineStr">
        <is>
          <t>IRIS · Job Architecture &amp; Job Design · Final v1.12 · October 2026 · Internal — Confidential</t>
        </is>
      </c>
    </row>
    <row r="4" ht="30" customHeight="1">
      <c r="A4" s="55" t="inlineStr">
        <is>
          <t>Section colours: each column group has its own header colour and a matching light tint</t>
        </is>
      </c>
      <c r="E4" s="56" t="inlineStr">
        <is>
          <t>Changed vs current · designation or level</t>
        </is>
      </c>
      <c r="F4" s="57" t="inlineStr">
        <is>
          <t>Level up</t>
        </is>
      </c>
      <c r="G4" s="58" t="inlineStr">
        <is>
          <t>Level down — pay &amp; title protected</t>
        </is>
      </c>
      <c r="H4" s="59" t="inlineStr">
        <is>
          <t>Newly mapped</t>
        </is>
      </c>
      <c r="J4" s="61" t="inlineStr">
        <is>
          <t>Player-Coach · B+ · C+</t>
        </is>
      </c>
      <c r="L4" s="63" t="inlineStr">
        <is>
          <t>RED = critical input needed · could change or confirm the level</t>
        </is>
      </c>
      <c r="N4" s="65" t="inlineStr">
        <is>
          <t>YELLOW = to complete in validation</t>
        </is>
      </c>
    </row>
    <row r="5" ht="30" customHeight="1">
      <c r="A5" s="67" t="inlineStr">
        <is>
          <t>PERSON</t>
        </is>
      </c>
      <c r="D5" s="68" t="inlineStr">
        <is>
          <t>ROLE — BEFORE → AFTER</t>
        </is>
      </c>
      <c r="M5" s="69" t="inlineStr">
        <is>
          <t>WEIGHTAGE — six ratings × the Weightage Matrix = the score, live</t>
        </is>
      </c>
      <c r="V5" s="70" t="inlineStr">
        <is>
          <t>WHY THIS LEVEL — the full reasoning</t>
        </is>
      </c>
      <c r="Y5" s="71" t="inlineStr">
        <is>
          <t>EVIDENCE, FLAGS &amp; INPUTS</t>
        </is>
      </c>
      <c r="AC5" s="72" t="inlineStr">
        <is>
          <t>YOUR VALIDATION</t>
        </is>
      </c>
    </row>
    <row r="6" ht="44" customHeight="1">
      <c r="A6" s="73" t="inlineStr">
        <is>
          <t>Emp ID</t>
        </is>
      </c>
      <c r="B6" s="73" t="inlineStr">
        <is>
          <t>Employee name</t>
        </is>
      </c>
      <c r="C6" s="73" t="inlineStr">
        <is>
          <t>Department</t>
        </is>
      </c>
      <c r="D6" s="8" t="inlineStr">
        <is>
          <t>Current designation</t>
        </is>
      </c>
      <c r="E6" s="8" t="inlineStr">
        <is>
          <t>New designation</t>
        </is>
      </c>
      <c r="F6" s="8" t="inlineStr">
        <is>
          <t>Job family</t>
        </is>
      </c>
      <c r="G6" s="8" t="inlineStr">
        <is>
          <t>Sub-family</t>
        </is>
      </c>
      <c r="H6" s="8" t="inlineStr">
        <is>
          <t>Track</t>
        </is>
      </c>
      <c r="I6" s="8" t="inlineStr">
        <is>
          <t>Current level</t>
        </is>
      </c>
      <c r="J6" s="8" t="inlineStr">
        <is>
          <t>NEW LEVEL</t>
        </is>
      </c>
      <c r="K6" s="8" t="inlineStr">
        <is>
          <t>Level title</t>
        </is>
      </c>
      <c r="L6" s="8" t="inlineStr">
        <is>
          <t>Change vs current</t>
        </is>
      </c>
      <c r="M6" s="74" t="inlineStr">
        <is>
          <t>Weight row — Weightage Matrix</t>
        </is>
      </c>
      <c r="N6" s="74" t="inlineStr">
        <is>
          <t>Complexity rating</t>
        </is>
      </c>
      <c r="O6" s="74" t="inlineStr">
        <is>
          <t>Autonomy rating</t>
        </is>
      </c>
      <c r="P6" s="74" t="inlineStr">
        <is>
          <t>Accountab. rating</t>
        </is>
      </c>
      <c r="Q6" s="74" t="inlineStr">
        <is>
          <t>Leadership rating</t>
        </is>
      </c>
      <c r="R6" s="74" t="inlineStr">
        <is>
          <t>Exp + Qual rating</t>
        </is>
      </c>
      <c r="S6" s="74" t="inlineStr">
        <is>
          <t>Bus. Impact rating</t>
        </is>
      </c>
      <c r="T6" s="74" t="inlineStr">
        <is>
          <t>Score</t>
        </is>
      </c>
      <c r="U6" s="74" t="inlineStr">
        <is>
          <t>Level the score indicates</t>
        </is>
      </c>
      <c r="V6" s="75" t="inlineStr">
        <is>
          <t>Why this level</t>
        </is>
      </c>
      <c r="W6" s="75" t="inlineStr">
        <is>
          <t>How each factor was rated · rating of 12 — starting point and evidence</t>
        </is>
      </c>
      <c r="X6" s="75" t="inlineStr">
        <is>
          <t>Market comparison</t>
        </is>
      </c>
      <c r="Y6" s="76" t="inlineStr">
        <is>
          <t>Data behind the placement</t>
        </is>
      </c>
      <c r="Z6" s="76" t="inlineStr">
        <is>
          <t>Points for your attention</t>
        </is>
      </c>
      <c r="AA6" s="76" t="inlineStr">
        <is>
          <t>Input still needed — and who provides it</t>
        </is>
      </c>
      <c r="AB6" s="76" t="inlineStr">
        <is>
          <t>Business impact — from survey and data</t>
        </is>
      </c>
      <c r="AC6" s="77" t="inlineStr">
        <is>
          <t>Your view</t>
        </is>
      </c>
      <c r="AD6" s="77" t="inlineStr">
        <is>
          <t>If change: proposed level / designation, and why</t>
        </is>
      </c>
      <c r="AE6" s="77" t="inlineStr">
        <is>
          <t>Business impact of this person — your view</t>
        </is>
      </c>
      <c r="AF6" s="77" t="inlineStr">
        <is>
          <t>Bus. Impact — model start</t>
        </is>
      </c>
    </row>
    <row r="7" ht="353" customHeight="1">
      <c r="A7" s="12" t="inlineStr">
        <is>
          <t>IRIS1593</t>
        </is>
      </c>
      <c r="B7" s="10" t="inlineStr">
        <is>
          <t>Rajeev Kumar</t>
        </is>
      </c>
      <c r="C7" s="12" t="inlineStr">
        <is>
          <t>Design</t>
        </is>
      </c>
      <c r="D7" s="12" t="inlineStr">
        <is>
          <t>Senior UI Developer</t>
        </is>
      </c>
      <c r="E7" s="78" t="inlineStr">
        <is>
          <t>UI Specialist – POD Lead</t>
        </is>
      </c>
      <c r="F7" s="12" t="inlineStr">
        <is>
          <t>Engineering &amp; Development</t>
        </is>
      </c>
      <c r="G7" s="12" t="inlineStr">
        <is>
          <t>Front-End / UI Development</t>
        </is>
      </c>
      <c r="H7" s="12" t="inlineStr">
        <is>
          <t>POD Lead</t>
        </is>
      </c>
      <c r="I7" s="42" t="inlineStr">
        <is>
          <t>L4 – Senior</t>
        </is>
      </c>
      <c r="J7" s="20" t="inlineStr">
        <is>
          <t>B1</t>
        </is>
      </c>
      <c r="K7" s="21" t="inlineStr">
        <is>
          <t>Specialist · POD Lead</t>
        </is>
      </c>
      <c r="L7" s="79" t="inlineStr">
        <is>
          <t>▲ Up</t>
        </is>
      </c>
      <c r="M7" s="12" t="inlineStr">
        <is>
          <t>iFile · Design · Band B · Expert / POD Lead</t>
        </is>
      </c>
      <c r="N7" s="42" t="n">
        <v>3</v>
      </c>
      <c r="O7" s="42" t="n">
        <v>2.5</v>
      </c>
      <c r="P7" s="42" t="n">
        <v>3</v>
      </c>
      <c r="Q7" s="42" t="n">
        <v>3</v>
      </c>
      <c r="R7" s="42" t="n">
        <v>9</v>
      </c>
      <c r="S7" s="80" t="n">
        <v>3.5</v>
      </c>
      <c r="T7" s="81">
        <f>IF(OR($M7="",COUNT(N7,O7,P7,Q7,R7,S7)&lt;6),"",IFERROR(N7*INDEX(WM_C,MATCH($M7,WM_KEY,0))+O7*INDEX(WM_AU,MATCH($M7,WM_KEY,0))+P7*INDEX(WM_AC,MATCH($M7,WM_KEY,0))+Q7*INDEX(WM_L,MATCH($M7,WM_KEY,0))+R7*INDEX(WM_E,MATCH($M7,WM_KEY,0))+S7*INDEX(WM_BI,MATCH($M7,WM_KEY,0)),""))</f>
        <v>3.55</v>
      </c>
      <c r="U7" s="42" t="str">
        <f>IF(T7="","",INDEX({"A1","A2","A3","B1","B2","B3","C1","C2","D1","D2","E1","E2"},MAX(1,MIN(12,ROUND(T7,0)))))</f>
        <v>B1</v>
      </c>
      <c r="V7" s="12" t="inlineStr">
        <is>
          <r>
            <rPr>
              <rFont val="Calibri"/>
              <sz val="10"/>
            </rPr>
            <t xml:space="preserve">New level B1 · Specialist · POD Lead. Current level on record: L4 – Senior. Change: ▲ Up.
Score 3.55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 s="12" t="inlineStr">
        <is>
          <r>
            <rPr>
              <rFont val="Calibri"/>
              <b val="1"/>
              <sz val="10"/>
            </rPr>
            <t>Complexity &amp; Expertise:</t>
          </r>
          <r>
            <rPr>
              <rFont val="Calibri"/>
              <sz val="10"/>
            </rPr>
            <t xml:space="preserve"> 3 of 12 — Start: 3.0 · senior practitioner title; Evidence reads like A3: Designs interfaces and prototypes plus front-end build across different projects → matches the start; KRA: “1. UI/UX activities for projects/products Provide timely support for ongoing projects and product requirements Discuss with the leads and…”
</t>
          </r>
          <r>
            <rPr>
              <rFont val="Calibri"/>
              <b val="1"/>
              <sz val="10"/>
            </rPr>
            <t>Autonomy &amp; Decision:</t>
          </r>
          <r>
            <rPr>
              <rFont val="Calibri"/>
              <sz val="10"/>
            </rPr>
            <t xml:space="preserve"> 2.5 of 12 · between A2 and A3 — Start: 3.0 · senior practitioner title; Evidence reads like A2: Says 'project initiative'; works to client requirement → moved down 0.5
</t>
          </r>
          <r>
            <rPr>
              <rFont val="Calibri"/>
              <b val="1"/>
              <sz val="10"/>
            </rPr>
            <t>Accountability &amp; Impact:</t>
          </r>
          <r>
            <rPr>
              <rFont val="Calibri"/>
              <sz val="10"/>
            </rPr>
            <t xml:space="preserve"> 3 of 12 — Start: 3.5 · senior practitioner title; 1 direct report; Evidence reads like A3: Claims whole responsibility for UI design and integration of applications → moved down 0.5; KRA: “1. UI/UX activities for projects/products Provide timely support for ongoing projects and product requirements Discuss with the leads and…”
</t>
          </r>
          <r>
            <rPr>
              <rFont val="Calibri"/>
              <b val="1"/>
              <sz val="10"/>
            </rPr>
            <t>Leadership &amp; Strategy:</t>
          </r>
          <r>
            <rPr>
              <rFont val="Calibri"/>
              <sz val="10"/>
            </rPr>
            <t xml:space="preserve"> 3 of 12 — Start: 3.5; Evidence reads like A2: Coordinates developers; 1 report in HR; no mentoring described → moved down 0.5; Team: 1 direct report · POD Lead
</t>
          </r>
          <r>
            <rPr>
              <rFont val="Calibri"/>
              <b val="1"/>
              <sz val="10"/>
            </rPr>
            <t>Experience &amp; Qualification:</t>
          </r>
          <r>
            <rPr>
              <rFont val="Calibri"/>
              <sz val="10"/>
            </rPr>
            <t xml:space="preserve"> 9 of 12 — Experience: 15.6 yrs total · 5.5 before IRIS + 10.1 at IRIS = 8.4 on the experience scale; Qualification: MCA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7" s="12" t="inlineStr">
        <is>
          <r>
            <rPr>
              <rFont val="Calibri"/>
              <sz val="10"/>
            </rPr>
            <t xml:space="preserve">✓ HRIS: 15.6 yrs, MCA, 1 direct report
✓ Survey: 20 of 20 questions answered
✓ KRAs: manager-set, quarterly
✓ Manager mapping: rating, potential, 9-box
✗ Job description: not on file
</t>
          </r>
          <r>
            <rPr>
              <rFont val="Calibri"/>
              <b val="1"/>
              <sz val="10"/>
            </rPr>
            <t>Confidence:</t>
          </r>
          <r>
            <rPr>
              <rFont val="Calibri"/>
              <sz val="10"/>
            </rPr>
            <t xml:space="preserve"> Medium</t>
          </r>
        </is>
      </c>
      <c r="Z7" s="12" t="inlineStr">
        <is>
          <t>—</t>
        </is>
      </c>
      <c r="AA7" s="12" t="inlineStr">
        <is>
          <t>Nothing outstanding</t>
        </is>
      </c>
      <c r="AB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impact · delays · rework · delivery.
Manager talent mapping — Latest rating: 3 · Potential: Medium · 9-Box Grid placement: Core Contributor.</t>
          </r>
        </is>
      </c>
      <c r="AC7" s="82" t="n"/>
      <c r="AD7" s="82" t="n"/>
      <c r="AE7" s="82" t="n"/>
      <c r="AF7" s="12" t="n">
        <v>3.5</v>
      </c>
    </row>
    <row r="8" ht="353" customHeight="1">
      <c r="A8" s="12" t="inlineStr">
        <is>
          <t>IRIS2300</t>
        </is>
      </c>
      <c r="B8" s="10" t="inlineStr">
        <is>
          <t>Kishori Rajigare</t>
        </is>
      </c>
      <c r="C8" s="12" t="inlineStr">
        <is>
          <t>Design</t>
        </is>
      </c>
      <c r="D8" s="12" t="inlineStr">
        <is>
          <t>UI Developer</t>
        </is>
      </c>
      <c r="E8" s="78" t="inlineStr">
        <is>
          <t>Senior UI Developer</t>
        </is>
      </c>
      <c r="F8" s="12" t="inlineStr">
        <is>
          <t>Engineering &amp; Development</t>
        </is>
      </c>
      <c r="G8" s="12" t="inlineStr">
        <is>
          <t>Front-End / UI Development</t>
        </is>
      </c>
      <c r="H8" s="12" t="inlineStr">
        <is>
          <t>IC</t>
        </is>
      </c>
      <c r="I8" s="42" t="inlineStr">
        <is>
          <t>L3 – Professional / Associate</t>
        </is>
      </c>
      <c r="J8" s="16" t="inlineStr">
        <is>
          <t>A3</t>
        </is>
      </c>
      <c r="K8" s="17" t="inlineStr">
        <is>
          <t>Senior Associate</t>
        </is>
      </c>
      <c r="L8" s="79" t="inlineStr">
        <is>
          <t>▲ Up</t>
        </is>
      </c>
      <c r="M8" s="12" t="inlineStr">
        <is>
          <t>iFile · Design · Band A · Early career</t>
        </is>
      </c>
      <c r="N8" s="42" t="n">
        <v>2</v>
      </c>
      <c r="O8" s="42" t="n">
        <v>2</v>
      </c>
      <c r="P8" s="42" t="n">
        <v>2</v>
      </c>
      <c r="Q8" s="42" t="n">
        <v>1</v>
      </c>
      <c r="R8" s="42" t="n">
        <v>4.5</v>
      </c>
      <c r="S8" s="80" t="n">
        <v>2.5</v>
      </c>
      <c r="T8" s="81">
        <f>IF(OR($M8="",COUNT(N8,O8,P8,Q8,R8,S8)&lt;6),"",IFERROR(N8*INDEX(WM_C,MATCH($M8,WM_KEY,0))+O8*INDEX(WM_AU,MATCH($M8,WM_KEY,0))+P8*INDEX(WM_AC,MATCH($M8,WM_KEY,0))+Q8*INDEX(WM_L,MATCH($M8,WM_KEY,0))+R8*INDEX(WM_E,MATCH($M8,WM_KEY,0))+S8*INDEX(WM_BI,MATCH($M8,WM_KEY,0)),""))</f>
        <v>2.28</v>
      </c>
      <c r="U8" s="42" t="str">
        <f>IF(T8="","",INDEX({"A1","A2","A3","B1","B2","B3","C1","C2","D1","D2","E1","E2"},MAX(1,MIN(12,ROUND(T8,0)))))</f>
        <v>A2</v>
      </c>
      <c r="V8" s="12" t="inlineStr">
        <is>
          <r>
            <rPr>
              <rFont val="Calibri"/>
              <sz val="10"/>
            </rPr>
            <t xml:space="preserve">New level A3 · Senior Associate. Current level on record: L3 – Professional / Associate. Change: ▲ Up.
Score 2.28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6.7 years' experience is 2 years or more.
</t>
          </r>
          <r>
            <rPr>
              <rFont val="Calibri"/>
              <b val="1"/>
              <sz val="10"/>
            </rPr>
            <t>Final level:</t>
          </r>
          <r>
            <rPr>
              <rFont val="Calibri"/>
              <sz val="10"/>
            </rPr>
            <t xml:space="preserve"> A3.</t>
          </r>
        </is>
      </c>
      <c r="W8" s="12" t="inlineStr">
        <is>
          <r>
            <rPr>
              <rFont val="Calibri"/>
              <b val="1"/>
              <sz val="10"/>
            </rPr>
            <t>Complexity &amp; Expertise:</t>
          </r>
          <r>
            <rPr>
              <rFont val="Calibri"/>
              <sz val="10"/>
            </rPr>
            <t xml:space="preserve"> 2 of 12 — Start: 2.0 · practitioner title; Evidence reads like A2: Implements designs as responsive UI components: standard front-end work → matches the start; KRA: “1. Ensure delivery of all assigned UI features/screens for iFile with &gt;=95% adherence to sprint commitments and design specs 2. Maintain…”
</t>
          </r>
          <r>
            <rPr>
              <rFont val="Calibri"/>
              <b val="1"/>
              <sz val="10"/>
            </rPr>
            <t>Autonomy &amp; Decision:</t>
          </r>
          <r>
            <rPr>
              <rFont val="Calibri"/>
              <sz val="10"/>
            </rPr>
            <t xml:space="preserve"> 2 of 12 — Start: 2.0 · practitioner title; Evidence reads like A2: Decides UI implementation only → matches the start
</t>
          </r>
          <r>
            <rPr>
              <rFont val="Calibri"/>
              <b val="1"/>
              <sz val="10"/>
            </rPr>
            <t>Accountability &amp; Impact:</t>
          </r>
          <r>
            <rPr>
              <rFont val="Calibri"/>
              <sz val="10"/>
            </rPr>
            <t xml:space="preserve"> 2 of 12 — Start: 2.0 · practitioner title; Evidence reads like A2: Quality of own UI deliverables → matches the start; KRA: “1. Ensure delivery of all assigned UI features/screens for iFile with &gt;=95% adherence to sprint commitments and design specs 2. Maintain…”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4.5 of 12 · between B1 and B2 — Experience: 6.7 yrs total · 4.6 before IRIS + 2.1 at IRIS = 4.6 on the experience scale; Qualification: B.SC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8" s="12" t="inlineStr">
        <is>
          <r>
            <rPr>
              <rFont val="Calibri"/>
              <sz val="10"/>
            </rPr>
            <t xml:space="preserve">✓ HRIS: 6.7 yrs, B.SC,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8" s="12" t="inlineStr">
        <is>
          <t>—</t>
        </is>
      </c>
      <c r="AA8" s="12" t="inlineStr">
        <is>
          <t>Nothing outstanding</t>
        </is>
      </c>
      <c r="AB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4 · Potential: High · 9-Box Grid placement: Future Leader · High Performance / High Potential.</t>
          </r>
        </is>
      </c>
      <c r="AC8" s="82" t="n"/>
      <c r="AD8" s="82" t="n"/>
      <c r="AE8" s="82" t="n"/>
      <c r="AF8" s="12" t="n">
        <v>2.5</v>
      </c>
    </row>
    <row r="9" ht="353" customHeight="1">
      <c r="A9" s="12" t="inlineStr">
        <is>
          <t>IRIS2523</t>
        </is>
      </c>
      <c r="B9" s="10" t="inlineStr">
        <is>
          <t>Abhilash Menon</t>
        </is>
      </c>
      <c r="C9" s="12" t="inlineStr">
        <is>
          <t>Marketing</t>
        </is>
      </c>
      <c r="D9" s="12" t="inlineStr">
        <is>
          <t>Product Marketing Manager</t>
        </is>
      </c>
      <c r="E9" s="78" t="inlineStr">
        <is>
          <t>Team Lead – Product Marketing</t>
        </is>
      </c>
      <c r="F9" s="12" t="inlineStr">
        <is>
          <t>Marketing &amp; Communications</t>
        </is>
      </c>
      <c r="G9" s="12" t="inlineStr">
        <is>
          <t>Product Marketing</t>
        </is>
      </c>
      <c r="H9" s="12" t="inlineStr">
        <is>
          <t>People Manager</t>
        </is>
      </c>
      <c r="I9" s="42" t="inlineStr">
        <is>
          <t>L5 – Manager</t>
        </is>
      </c>
      <c r="J9" s="20" t="inlineStr">
        <is>
          <t>B1</t>
        </is>
      </c>
      <c r="K9" s="21" t="inlineStr">
        <is>
          <t>Team Lead</t>
        </is>
      </c>
      <c r="L9" s="83" t="inlineStr">
        <is>
          <t>▼ Down · pay &amp; title protected</t>
        </is>
      </c>
      <c r="M9" s="12" t="inlineStr">
        <is>
          <t>iFile · Marketing · Band B · People Manager</t>
        </is>
      </c>
      <c r="N9" s="42" t="n">
        <v>4.5</v>
      </c>
      <c r="O9" s="42" t="n">
        <v>4.5</v>
      </c>
      <c r="P9" s="42" t="n">
        <v>4</v>
      </c>
      <c r="Q9" s="42" t="n">
        <v>4</v>
      </c>
      <c r="R9" s="42" t="n">
        <v>5.5</v>
      </c>
      <c r="S9" s="80" t="n">
        <v>4</v>
      </c>
      <c r="T9" s="81">
        <f>IF(OR($M9="",COUNT(N9,O9,P9,Q9,R9,S9)&lt;6),"",IFERROR(N9*INDEX(WM_C,MATCH($M9,WM_KEY,0))+O9*INDEX(WM_AU,MATCH($M9,WM_KEY,0))+P9*INDEX(WM_AC,MATCH($M9,WM_KEY,0))+Q9*INDEX(WM_L,MATCH($M9,WM_KEY,0))+R9*INDEX(WM_E,MATCH($M9,WM_KEY,0))+S9*INDEX(WM_BI,MATCH($M9,WM_KEY,0)),""))</f>
        <v>4.425</v>
      </c>
      <c r="U9" s="42" t="str">
        <f>IF(T9="","",INDEX({"A1","A2","A3","B1","B2","B3","C1","C2","D1","D2","E1","E2"},MAX(1,MIN(12,ROUND(T9,0)))))</f>
        <v>B1</v>
      </c>
      <c r="V9" s="12" t="inlineStr">
        <is>
          <r>
            <rPr>
              <rFont val="Calibri"/>
              <sz val="10"/>
            </rPr>
            <t xml:space="preserve">New level B1 · Team Lead. Current level on record: L5 – Manager. Change: ▼ Down · pay &amp; title protected.
Score 4.42 on the ladder scale → indicated level B1.
</t>
          </r>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 s="12" t="inlineStr">
        <is>
          <r>
            <rPr>
              <rFont val="Calibri"/>
              <b val="1"/>
              <sz val="10"/>
            </rPr>
            <t>Complexity &amp; Expertise:</t>
          </r>
          <r>
            <rPr>
              <rFont val="Calibri"/>
              <sz val="10"/>
            </rPr>
            <t xml:space="preserve"> 4.5 of 12 · between B1 and B2 — Start: 5.0 · manager / senior specialist title; Evidence reads like B1: Runs end-to-end marketing for the iFILE suite plus corporate communications, launches and events → moved down 0.5; KRA: “1. Deliver committed marketing/content calendar with &gt;=90% on-time publishing 2. Meet campaign KPIs · leads/MQLs/engagement at &gt;=90% of…”
</t>
          </r>
          <r>
            <rPr>
              <rFont val="Calibri"/>
              <b val="1"/>
              <sz val="10"/>
            </rPr>
            <t>Autonomy &amp; Decision:</t>
          </r>
          <r>
            <rPr>
              <rFont val="Calibri"/>
              <sz val="10"/>
            </rPr>
            <t xml:space="preserve"> 4.5 of 12 · between B1 and B2 — Start: 5.0 · manager / senior specialist title; Evidence reads like B1: Decides launch plan, GTM strategy, social media and brand communication for iFILE → moved down 0.5
</t>
          </r>
          <r>
            <rPr>
              <rFont val="Calibri"/>
              <b val="1"/>
              <sz val="10"/>
            </rPr>
            <t>Accountability &amp; Impact:</t>
          </r>
          <r>
            <rPr>
              <rFont val="Calibri"/>
              <sz val="10"/>
            </rPr>
            <t xml:space="preserve"> 4 of 12 — Start: 4.5 · manager / senior specialist title; 4 direct reports; Evidence reads like B1: Accountable for iFILE lead generation, GTM launches, brand communication and events with a four-person team → moved down 0.5; KRA: “1. Deliver committed marketing/content calendar with &gt;=90% on-time publishing 2. Meet campaign KPIs · leads/MQLs/engagement at &gt;=90% of…”
</t>
          </r>
          <r>
            <rPr>
              <rFont val="Calibri"/>
              <b val="1"/>
              <sz val="10"/>
            </rPr>
            <t>Leadership &amp; Strategy:</t>
          </r>
          <r>
            <rPr>
              <rFont val="Calibri"/>
              <sz val="10"/>
            </rPr>
            <t xml:space="preserve"> 4 of 12 — Start: 4.0; Evidence reads like B1: Four direct reports in HR data; text does not describe how the team is managed → matches the start; Team: 4 direct reports · People Manager
</t>
          </r>
          <r>
            <rPr>
              <rFont val="Calibri"/>
              <b val="1"/>
              <sz val="10"/>
            </rPr>
            <t>Experience &amp; Qualification:</t>
          </r>
          <r>
            <rPr>
              <rFont val="Calibri"/>
              <sz val="10"/>
            </rPr>
            <t xml:space="preserve"> 5.5 of 12 · between B2 and B3 — Experience: 8.4 yrs total · 8.0 before IRIS + 0.4 at IRIS = 5.4 on the experience scale; Qualification: BA · 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9"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IRIS Vs Market Benchmark — CIM proficiency scale: 3 Able · IRIS Vs Competitor Benchmark — SaaS marketing ladder: Senior Marketing Specialist
</t>
          </r>
          <r>
            <rPr>
              <rFont val="Calibri"/>
              <b val="1"/>
              <sz val="10"/>
            </rPr>
            <t>Typical experience:</t>
          </r>
          <r>
            <rPr>
              <rFont val="Calibri"/>
              <sz val="10"/>
            </rPr>
            <t xml:space="preserve"> 4–8 yrs · IRIS guide 4–7
</t>
          </r>
          <r>
            <rPr>
              <rFont val="Calibri"/>
              <b val="1"/>
              <sz val="10"/>
            </rPr>
            <t>Standard:</t>
          </r>
          <r>
            <rPr>
              <rFont val="Calibri"/>
              <sz val="10"/>
            </rPr>
            <t xml:space="preserve"> CIM Global Professional Marketing Framework — proficiency Aware → Active learner → Able → Accomplished → Authoritative</t>
          </r>
        </is>
      </c>
      <c r="Y9" s="12" t="inlineStr">
        <is>
          <r>
            <rPr>
              <rFont val="Calibri"/>
              <sz val="10"/>
            </rPr>
            <t xml:space="preserve">✓ HRIS: 8.4 yrs, BA, 4 direct reports
✓ Survey: 19 of 20 questions answered
✓ KRAs: self, manager-set, quarterly
✓ Manager mapping: rating, 9-box
✗ Job description: not on file
</t>
          </r>
          <r>
            <rPr>
              <rFont val="Calibri"/>
              <b val="1"/>
              <sz val="10"/>
            </rPr>
            <t>Confidence:</t>
          </r>
          <r>
            <rPr>
              <rFont val="Calibri"/>
              <sz val="10"/>
            </rPr>
            <t xml:space="preserve"> High</t>
          </r>
        </is>
      </c>
      <c r="Z9"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9" s="12" t="inlineStr">
        <is>
          <t>Nothing outstanding</t>
        </is>
      </c>
      <c r="AB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Manager talent mapping — Latest rating: Not rated · manager · 9-Box Grid placement: Not placed · manager.</t>
          </r>
        </is>
      </c>
      <c r="AC9" s="82" t="n"/>
      <c r="AD9" s="82" t="n"/>
      <c r="AE9" s="82" t="n"/>
      <c r="AF9" s="12" t="n">
        <v>4</v>
      </c>
    </row>
    <row r="10" ht="379" customHeight="1">
      <c r="A10" s="12" t="inlineStr">
        <is>
          <t>IRIS2550</t>
        </is>
      </c>
      <c r="B10" s="10" t="inlineStr">
        <is>
          <t>Shashwat Dikshit</t>
        </is>
      </c>
      <c r="C10" s="12" t="inlineStr">
        <is>
          <t>Marketing</t>
        </is>
      </c>
      <c r="D10" s="12" t="inlineStr">
        <is>
          <t>Marketing Operations Specialist</t>
        </is>
      </c>
      <c r="E10" s="78" t="inlineStr">
        <is>
          <t>Senior Marketing Operations Associate</t>
        </is>
      </c>
      <c r="F10" s="12" t="inlineStr">
        <is>
          <t>Marketing &amp; Communications</t>
        </is>
      </c>
      <c r="G10" s="12" t="inlineStr">
        <is>
          <t>Marketing Operations &amp; Automation</t>
        </is>
      </c>
      <c r="H10" s="12" t="inlineStr">
        <is>
          <t>IC</t>
        </is>
      </c>
      <c r="I10" s="42" t="inlineStr">
        <is>
          <t>Not in current mapping files</t>
        </is>
      </c>
      <c r="J10" s="16" t="inlineStr">
        <is>
          <t>A3</t>
        </is>
      </c>
      <c r="K10" s="17" t="inlineStr">
        <is>
          <t>Senior Associate</t>
        </is>
      </c>
      <c r="L10" s="85" t="inlineStr">
        <is>
          <t>● Newly mapped</t>
        </is>
      </c>
      <c r="M10" s="12" t="inlineStr">
        <is>
          <t>iFile · Marketing · Band A · Early career</t>
        </is>
      </c>
      <c r="N10" s="42" t="n">
        <v>3.5</v>
      </c>
      <c r="O10" s="42" t="n">
        <v>3.5</v>
      </c>
      <c r="P10" s="42" t="n">
        <v>3.5</v>
      </c>
      <c r="Q10" s="42" t="n">
        <v>2</v>
      </c>
      <c r="R10" s="42" t="n">
        <v>4</v>
      </c>
      <c r="S10" s="80" t="n">
        <v>3.5</v>
      </c>
      <c r="T10" s="81">
        <f>IF(OR($M10="",COUNT(N10,O10,P10,Q10,R10,S10)&lt;6),"",IFERROR(N10*INDEX(WM_C,MATCH($M10,WM_KEY,0))+O10*INDEX(WM_AU,MATCH($M10,WM_KEY,0))+P10*INDEX(WM_AC,MATCH($M10,WM_KEY,0))+Q10*INDEX(WM_L,MATCH($M10,WM_KEY,0))+R10*INDEX(WM_E,MATCH($M10,WM_KEY,0))+S10*INDEX(WM_BI,MATCH($M10,WM_KEY,0)),""))</f>
        <v>3.55</v>
      </c>
      <c r="U10" s="42" t="str">
        <f>IF(T10="","",INDEX({"A1","A2","A3","B1","B2","B3","C1","C2","D1","D2","E1","E2"},MAX(1,MIN(12,ROUND(T10,0)))))</f>
        <v>B1</v>
      </c>
      <c r="V10" s="12" t="inlineStr">
        <is>
          <r>
            <rPr>
              <rFont val="Calibri"/>
              <sz val="10"/>
            </rPr>
            <t xml:space="preserve">New level A3 · Senior Associate. Current level on record: Not in current mapping files. Change: ● Newly mapped.
Score 3.55 on the ladder scale → indicated level B1.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W10" s="12" t="inlineStr">
        <is>
          <r>
            <rPr>
              <rFont val="Calibri"/>
              <b val="1"/>
              <sz val="10"/>
            </rPr>
            <t>Complexity &amp; Expertise:</t>
          </r>
          <r>
            <rPr>
              <rFont val="Calibri"/>
              <sz val="10"/>
            </rPr>
            <t xml:space="preserve"> 3.5 of 12 · between A3 and B1 — Start: 4.0 · lead / specialist title; Evidence reads like A3: Runs Google and LinkedIn paid campaigns, lead routing, website analytics, AI SEO and contact database → moved down 0.5
</t>
          </r>
          <r>
            <rPr>
              <rFont val="Calibri"/>
              <b val="1"/>
              <sz val="10"/>
            </rPr>
            <t>Autonomy &amp; Decision:</t>
          </r>
          <r>
            <rPr>
              <rFont val="Calibri"/>
              <sz val="10"/>
            </rPr>
            <t xml:space="preserve"> 3.5 of 12 · between A3 and B1 — Start: 4.0 · lead / specialist title; Evidence reads like A3: Independently handles analytics audits, campaign analysis and website health checks → moved down 0.5
</t>
          </r>
          <r>
            <rPr>
              <rFont val="Calibri"/>
              <b val="1"/>
              <sz val="10"/>
            </rPr>
            <t>Accountability &amp; Impact:</t>
          </r>
          <r>
            <rPr>
              <rFont val="Calibri"/>
              <sz val="10"/>
            </rPr>
            <t xml:space="preserve"> 3.5 of 12 · between A3 and B1 — Start: 4.0 · lead / specialist title; Evidence reads like A3: own survey / KRA answers · summarised by the rater; not quoted → moved down 0.5
</t>
          </r>
          <r>
            <rPr>
              <rFont val="Calibri"/>
              <b val="1"/>
              <sz val="10"/>
            </rPr>
            <t>Leadership &amp; Strategy:</t>
          </r>
          <r>
            <rPr>
              <rFont val="Calibri"/>
              <sz val="10"/>
            </rPr>
            <t xml:space="preserve"> 2 of 12 — not counted: the weight is 0% at this level — Start: 3.0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4 of 12 — Experience: 4.7 yrs total · 4.6 before IRIS + 0.1 at IRIS = 3.7 on the experience scale; Qualification: Masters of Science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0"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10" s="12" t="inlineStr">
        <is>
          <r>
            <rPr>
              <rFont val="Calibri"/>
              <sz val="10"/>
            </rPr>
            <t xml:space="preserve">✓ HRIS: 4.7 yrs, Masters of Science, 0 direct reports
✓ Survey: 19 of 20 questions answered
✗ KRAs: none on file
✓ Manager mapping: rating, 9-box
✗ Job description: not on file
</t>
          </r>
          <r>
            <rPr>
              <rFont val="Calibri"/>
              <b val="1"/>
              <sz val="10"/>
            </rPr>
            <t>Confidence:</t>
          </r>
          <r>
            <rPr>
              <rFont val="Calibri"/>
              <sz val="10"/>
            </rPr>
            <t xml:space="preserve"> Medium</t>
          </r>
        </is>
      </c>
      <c r="Z10" s="84" t="inlineStr">
        <is>
          <r>
            <rPr>
              <rFont val="Calibri"/>
              <color rgb="009C5700"/>
              <sz val="10"/>
            </rPr>
            <t xml:space="preserve">• </t>
          </r>
          <r>
            <rPr>
              <rFont val="Calibri"/>
              <b val="1"/>
              <color rgb="009C5700"/>
              <sz val="10"/>
            </rPr>
            <t>Near a gate:</t>
          </r>
          <r>
            <rPr>
              <rFont val="Calibri"/>
              <color rgb="009C5700"/>
              <sz val="10"/>
            </rPr>
            <t xml:space="preserve"> top of band: 3.48 on Band B's weights, 0.02 short of the 3.5 needed to enter Band B</t>
          </r>
        </is>
      </c>
      <c r="AA10" s="12" t="inlineStr">
        <is>
          <t>Nothing outstanding</t>
        </is>
      </c>
      <c r="AB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wasted · data · lead.
Manager talent mapping — Latest rating: Not rated · manager · 9-Box Grid placement: Not placed · manager.</t>
          </r>
        </is>
      </c>
      <c r="AC10" s="82" t="n"/>
      <c r="AD10" s="82" t="n"/>
      <c r="AE10" s="82" t="n"/>
      <c r="AF10" s="12" t="n">
        <v>3.5</v>
      </c>
    </row>
    <row r="11" ht="379" customHeight="1">
      <c r="A11" s="12" t="inlineStr">
        <is>
          <t>IRIS2560</t>
        </is>
      </c>
      <c r="B11" s="10" t="inlineStr">
        <is>
          <t>Sumit Jain</t>
        </is>
      </c>
      <c r="C11" s="12" t="inlineStr">
        <is>
          <t>Product Management</t>
        </is>
      </c>
      <c r="D11" s="12" t="inlineStr">
        <is>
          <t>Senior Product Manager</t>
        </is>
      </c>
      <c r="E11" s="12" t="inlineStr">
        <is>
          <t>Senior Product Manager</t>
        </is>
      </c>
      <c r="F11" s="12" t="inlineStr">
        <is>
          <t>Product Management</t>
        </is>
      </c>
      <c r="G11" s="12" t="inlineStr">
        <is>
          <t>Product Management</t>
        </is>
      </c>
      <c r="H11" s="12" t="inlineStr">
        <is>
          <t>IC</t>
        </is>
      </c>
      <c r="I11" s="42" t="inlineStr">
        <is>
          <t>Not in current mapping files</t>
        </is>
      </c>
      <c r="J11" s="20" t="inlineStr">
        <is>
          <t>B3</t>
        </is>
      </c>
      <c r="K11" s="21" t="inlineStr">
        <is>
          <t>Lead Specialist</t>
        </is>
      </c>
      <c r="L11" s="85" t="inlineStr">
        <is>
          <t>● Newly mapped</t>
        </is>
      </c>
      <c r="M11" s="12" t="inlineStr">
        <is>
          <t>iFile · Product Management · Band B · Expert / POD Lead</t>
        </is>
      </c>
      <c r="N11" s="42" t="n">
        <v>6</v>
      </c>
      <c r="O11" s="42" t="n">
        <v>6</v>
      </c>
      <c r="P11" s="42" t="n">
        <v>6</v>
      </c>
      <c r="Q11" s="42" t="n">
        <v>5</v>
      </c>
      <c r="R11" s="42" t="n">
        <v>6</v>
      </c>
      <c r="S11" s="80" t="n">
        <v>6</v>
      </c>
      <c r="T11" s="81">
        <f>IF(OR($M11="",COUNT(N11,O11,P11,Q11,R11,S11)&lt;6),"",IFERROR(N11*INDEX(WM_C,MATCH($M11,WM_KEY,0))+O11*INDEX(WM_AU,MATCH($M11,WM_KEY,0))+P11*INDEX(WM_AC,MATCH($M11,WM_KEY,0))+Q11*INDEX(WM_L,MATCH($M11,WM_KEY,0))+R11*INDEX(WM_E,MATCH($M11,WM_KEY,0))+S11*INDEX(WM_BI,MATCH($M11,WM_KEY,0)),""))</f>
        <v>5.95</v>
      </c>
      <c r="U11" s="42" t="str">
        <f>IF(T11="","",INDEX({"A1","A2","A3","B1","B2","B3","C1","C2","D1","D2","E1","E2"},MAX(1,MIN(12,ROUND(T11,0)))))</f>
        <v>B3</v>
      </c>
      <c r="V11" s="12" t="inlineStr">
        <is>
          <r>
            <rPr>
              <rFont val="Calibri"/>
              <sz val="10"/>
            </rPr>
            <t xml:space="preserve">New level B3 · Lead Specialist. Current level on record: Not in current mapping files. Change: ● Newly mapped.
Score 5.95 on the ladder scale → indicated level B3.
</t>
          </r>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B3.</t>
          </r>
        </is>
      </c>
      <c r="W11" s="12" t="inlineStr">
        <is>
          <r>
            <rPr>
              <rFont val="Calibri"/>
              <b val="1"/>
              <sz val="10"/>
            </rPr>
            <t>Complexity &amp; Expertise:</t>
          </r>
          <r>
            <rPr>
              <rFont val="Calibri"/>
              <sz val="10"/>
            </rPr>
            <t xml:space="preserve"> 6 of 12 — Start: 6.0 · senior manager / lead specialist title; Evidence: no survey answers or KRAs on file → rating stays at the start
</t>
          </r>
          <r>
            <rPr>
              <rFont val="Calibri"/>
              <b val="1"/>
              <sz val="10"/>
            </rPr>
            <t>Autonomy &amp; Decision:</t>
          </r>
          <r>
            <rPr>
              <rFont val="Calibri"/>
              <sz val="10"/>
            </rPr>
            <t xml:space="preserve"> 6 of 12 — Start: 6.0 · senior manager / lead specialist title; Evidence: no survey answers or KRAs on file → rating stays at the start
</t>
          </r>
          <r>
            <rPr>
              <rFont val="Calibri"/>
              <b val="1"/>
              <sz val="10"/>
            </rPr>
            <t>Accountability &amp; Impact:</t>
          </r>
          <r>
            <rPr>
              <rFont val="Calibri"/>
              <sz val="10"/>
            </rPr>
            <t xml:space="preserve"> 6 of 12 — Start: 6.0 · senior manager / lead specialist title; Evidence: no survey answers or KRAs on file → rating stays at the start
</t>
          </r>
          <r>
            <rPr>
              <rFont val="Calibri"/>
              <b val="1"/>
              <sz val="10"/>
            </rPr>
            <t>Leadership &amp; Strategy:</t>
          </r>
          <r>
            <rPr>
              <rFont val="Calibri"/>
              <sz val="10"/>
            </rPr>
            <t xml:space="preserve"> 5 of 12 — Start: 5.0 · individual contributor, so influence only; Evidence: no survey answers or KRAs on file → rating stays at the start; Team: 0 direct reports · IC
</t>
          </r>
          <r>
            <rPr>
              <rFont val="Calibri"/>
              <b val="1"/>
              <sz val="10"/>
            </rPr>
            <t>Experience &amp; Qualification:</t>
          </r>
          <r>
            <rPr>
              <rFont val="Calibri"/>
              <sz val="10"/>
            </rPr>
            <t xml:space="preserve"> 6 of 12 — Experience: not on record · input needed from HR, so set at the role's own level: it neither helps nor hurts; Qualification: B.E · graduate → no change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11"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 Group Product Manager
</t>
          </r>
          <r>
            <rPr>
              <rFont val="Calibri"/>
              <b val="1"/>
              <sz val="10"/>
            </rPr>
            <t>At peers:</t>
          </r>
          <r>
            <rPr>
              <rFont val="Calibri"/>
              <sz val="10"/>
            </rPr>
            <t xml:space="preserve"> IRIS Vs Competitor Benchmark — SaaS product ladder: Principal / Group PM
</t>
          </r>
          <r>
            <rPr>
              <rFont val="Calibri"/>
              <b val="1"/>
              <sz val="10"/>
            </rPr>
            <t>Typical experience:</t>
          </r>
          <r>
            <rPr>
              <rFont val="Calibri"/>
              <sz val="10"/>
            </rPr>
            <t xml:space="preserve"> 8–13 yrs · IRIS guide 8–12
</t>
          </r>
          <r>
            <rPr>
              <rFont val="Calibri"/>
              <b val="1"/>
              <sz val="10"/>
            </rPr>
            <t>Standard:</t>
          </r>
          <r>
            <rPr>
              <rFont val="Calibri"/>
              <sz val="10"/>
            </rPr>
            <t xml:space="preserve"> Pragmatic Institute Framework; AIPMM</t>
          </r>
        </is>
      </c>
      <c r="Y11" s="12" t="inlineStr">
        <is>
          <r>
            <rPr>
              <rFont val="Calibri"/>
              <sz val="10"/>
            </rPr>
            <t xml:space="preserve">✗ HRIS: experience missing, B.E, 0 direct reports
✓ Survey: 20 of 20 questions answered
✗ KRAs: none on file
✓ Manager mapping: rating, 9-box
✗ Job description: not on file
</t>
          </r>
          <r>
            <rPr>
              <rFont val="Calibri"/>
              <b val="1"/>
              <sz val="10"/>
            </rPr>
            <t>Confidence:</t>
          </r>
          <r>
            <rPr>
              <rFont val="Calibri"/>
              <sz val="10"/>
            </rPr>
            <t xml:space="preserve"> Low</t>
          </r>
        </is>
      </c>
      <c r="Z11" s="84" t="inlineStr">
        <is>
          <r>
            <rPr>
              <rFont val="Calibri"/>
              <color rgb="009C5700"/>
              <sz val="10"/>
            </rPr>
            <t xml:space="preserve">• </t>
          </r>
          <r>
            <rPr>
              <rFont val="Calibri"/>
              <b val="1"/>
              <color rgb="009C5700"/>
              <sz val="10"/>
            </rPr>
            <t>Provisional:</t>
          </r>
          <r>
            <rPr>
              <rFont val="Calibri"/>
              <color rgb="009C5700"/>
              <sz val="10"/>
            </rPr>
            <t xml:space="preserve"> experience to be confirmed by HR
• </t>
          </r>
          <r>
            <rPr>
              <rFont val="Calibri"/>
              <b val="1"/>
              <color rgb="009C5700"/>
              <sz val="10"/>
            </rPr>
            <t>Title check:</t>
          </r>
          <r>
            <rPr>
              <rFont val="Calibri"/>
              <color rgb="009C5700"/>
              <sz val="10"/>
            </rPr>
            <t xml:space="preserve"> Market-standard role title</t>
          </r>
        </is>
      </c>
      <c r="AA11" s="86" t="inlineStr">
        <is>
          <t>• Total experience · outside + at IRIS — HR — HRIS
• Confirm prior experience · provisional placement — HR</t>
        </is>
      </c>
      <c r="AB11"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t>
          </r>
          <r>
            <rPr>
              <rFont val="Calibri"/>
              <b val="1"/>
              <sz val="10"/>
            </rPr>
            <t>If the work is missed · role-holders' themes:</t>
          </r>
          <r>
            <rPr>
              <rFont val="Calibri"/>
              <sz val="10"/>
            </rPr>
            <t xml:space="preserve"> delays · customer · delayed · revenue.
Manager talent mapping — Latest rating: Not rated · manager · 9-Box Grid placement: Not placed · manager.</t>
          </r>
        </is>
      </c>
      <c r="AC11" s="82" t="n"/>
      <c r="AD11" s="82" t="n"/>
      <c r="AE11" s="82" t="n"/>
      <c r="AF11" s="12" t="n">
        <v>6</v>
      </c>
    </row>
    <row r="12" ht="379" customHeight="1">
      <c r="A12" s="12" t="inlineStr">
        <is>
          <t>IRIS0728</t>
        </is>
      </c>
      <c r="B12" s="10" t="inlineStr">
        <is>
          <t>Davinder Pal Singh</t>
        </is>
      </c>
      <c r="C12" s="12" t="inlineStr">
        <is>
          <t>Quality Assurance</t>
        </is>
      </c>
      <c r="D12" s="12" t="inlineStr">
        <is>
          <t>QA Manager</t>
        </is>
      </c>
      <c r="E12" s="78" t="inlineStr">
        <is>
          <t>Senior QA Manager</t>
        </is>
      </c>
      <c r="F12" s="12" t="inlineStr">
        <is>
          <t>Quality Assurance</t>
        </is>
      </c>
      <c r="G12" s="12" t="inlineStr">
        <is>
          <t>Test Management &amp; QA Leadership</t>
        </is>
      </c>
      <c r="H12" s="12" t="inlineStr">
        <is>
          <t>People Manager</t>
        </is>
      </c>
      <c r="I12" s="42" t="inlineStr">
        <is>
          <t>L5 – Manager</t>
        </is>
      </c>
      <c r="J12" s="20" t="inlineStr">
        <is>
          <t>B2</t>
        </is>
      </c>
      <c r="K12" s="21" t="inlineStr">
        <is>
          <t>Manager</t>
        </is>
      </c>
      <c r="L12" s="79" t="inlineStr">
        <is>
          <t>▲ Up</t>
        </is>
      </c>
      <c r="M12" s="12" t="inlineStr">
        <is>
          <t>iFile · Quality Assurance · Band B · People Manager</t>
        </is>
      </c>
      <c r="N12" s="42" t="n">
        <v>5</v>
      </c>
      <c r="O12" s="42" t="n">
        <v>4.5</v>
      </c>
      <c r="P12" s="42" t="n">
        <v>5.5</v>
      </c>
      <c r="Q12" s="42" t="n">
        <v>5.5</v>
      </c>
      <c r="R12" s="42" t="n">
        <v>8.5</v>
      </c>
      <c r="S12" s="80" t="n">
        <v>5.5</v>
      </c>
      <c r="T12" s="81">
        <f>IF(OR($M12="",COUNT(N12,O12,P12,Q12,R12,S12)&lt;6),"",IFERROR(N12*INDEX(WM_C,MATCH($M12,WM_KEY,0))+O12*INDEX(WM_AU,MATCH($M12,WM_KEY,0))+P12*INDEX(WM_AC,MATCH($M12,WM_KEY,0))+Q12*INDEX(WM_L,MATCH($M12,WM_KEY,0))+R12*INDEX(WM_E,MATCH($M12,WM_KEY,0))+S12*INDEX(WM_BI,MATCH($M12,WM_KEY,0)),""))</f>
        <v>5.41</v>
      </c>
      <c r="U12" s="42" t="str">
        <f>IF(T12="","",INDEX({"A1","A2","A3","B1","B2","B3","C1","C2","D1","D2","E1","E2"},MAX(1,MIN(12,ROUND(T12,0)))))</f>
        <v>B2</v>
      </c>
      <c r="V12" s="12" t="inlineStr">
        <is>
          <r>
            <rPr>
              <rFont val="Calibri"/>
              <sz val="10"/>
            </rPr>
            <t xml:space="preserve">New level B2 · Manager. Current level on record: L5 – Manager. Change: ▲ Up.
Score 5.41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 s="12" t="inlineStr">
        <is>
          <r>
            <rPr>
              <rFont val="Calibri"/>
              <b val="1"/>
              <sz val="10"/>
            </rPr>
            <t>Complexity &amp; Expertise:</t>
          </r>
          <r>
            <rPr>
              <rFont val="Calibri"/>
              <sz val="10"/>
            </rPr>
            <t xml:space="preserve"> 5 of 12 — Start: 5.0 · manager / senior specialist title; Evidence reads like B2: KRA: test plan for entire iFile platform, automation drive, SBC project management, RCA of critical issues → matches the start; KRA: “1. QA Management Ensure product functional/integration testing automated fully. Approx 80-90 % of product testing to be carried out…”
</t>
          </r>
          <r>
            <rPr>
              <rFont val="Calibri"/>
              <b val="1"/>
              <sz val="10"/>
            </rPr>
            <t>Autonomy &amp; Decision:</t>
          </r>
          <r>
            <rPr>
              <rFont val="Calibri"/>
              <sz val="10"/>
            </rPr>
            <t xml:space="preserve"> 4.5 of 12 · between B1 and B2 — Start: 5.0 · manager / senior specialist title; Evidence reads like B1: Survey names only 'approach for task completion'; project and test management implies team-level calls → moved down 0.5
</t>
          </r>
          <r>
            <rPr>
              <rFont val="Calibri"/>
              <b val="1"/>
              <sz val="10"/>
            </rPr>
            <t>Accountability &amp; Impact:</t>
          </r>
          <r>
            <rPr>
              <rFont val="Calibri"/>
              <sz val="10"/>
            </rPr>
            <t xml:space="preserve"> 5.5 of 12 · between B2 and B3 — Start: 6.0 · manager / senior specialist title; 10 direct reports, 17 people below, 3 of them lead teams; Evidence reads like B2: SBC project delivery on time, scope and cost; QA outcomes of the iFile team → moved down 0.5; KRA: “1. QA Management Ensure product functional/integration testing automated fully. Approx 80-90 % of product testing to be carried out…”
</t>
          </r>
          <r>
            <rPr>
              <rFont val="Calibri"/>
              <b val="1"/>
              <sz val="10"/>
            </rPr>
            <t>Leadership &amp; Strategy:</t>
          </r>
          <r>
            <rPr>
              <rFont val="Calibri"/>
              <sz val="10"/>
            </rPr>
            <t xml:space="preserve"> 5.5 of 12 · between B2 and B3 — Start: 6.0; Evidence reads like B2: Ten direct reports; KRA covers team building and developing future leaders → moved down 0.5; Team: 10 direct reports · People Manager
</t>
          </r>
          <r>
            <rPr>
              <rFont val="Calibri"/>
              <b val="1"/>
              <sz val="10"/>
            </rPr>
            <t>Experience &amp; Qualification:</t>
          </r>
          <r>
            <rPr>
              <rFont val="Calibri"/>
              <sz val="10"/>
            </rPr>
            <t xml:space="preserve"> 8.5 of 12 · between C2 and D1 — Experience: 16.7 yrs total · 1.4 before IRIS + 15.3 at IRIS = 8.7 on the experience scale; Qualification: B.Tech · graduate, relevant to the work → no change
</t>
          </r>
          <r>
            <rPr>
              <rFont val="Calibri"/>
              <b val="1"/>
              <sz val="10"/>
            </rPr>
            <t>Business Impact:</t>
          </r>
          <r>
            <rPr>
              <rFont val="Calibri"/>
              <sz val="10"/>
            </rPr>
            <t xml:space="preserve"> 5.5 of 12 — a starting estimate. — Start: 5.5,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12"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Y12" s="12" t="inlineStr">
        <is>
          <r>
            <rPr>
              <rFont val="Calibri"/>
              <sz val="10"/>
            </rPr>
            <t xml:space="preserve">✓ HRIS: 16.7 yrs, B.Tech, 10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2" s="12" t="inlineStr">
        <is>
          <t>—</t>
        </is>
      </c>
      <c r="AA12" s="12" t="inlineStr">
        <is>
          <t>Nothing outstanding</t>
        </is>
      </c>
      <c r="AB12"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10 direct reports.
From the survey and manager mapping — critical role: no; successor named: no.
</t>
          </r>
          <r>
            <rPr>
              <rFont val="Calibri"/>
              <b val="1"/>
              <sz val="10"/>
            </rPr>
            <t>If the work is missed · role-holders' themes:</t>
          </r>
          <r>
            <rPr>
              <rFont val="Calibri"/>
              <sz val="10"/>
            </rPr>
            <t xml:space="preserve"> delays · rework.
Manager talent mapping — Latest rating: 4 · Potential: High · 9-Box Grid placement: Trusted Professional.</t>
          </r>
        </is>
      </c>
      <c r="AC12" s="82" t="n"/>
      <c r="AD12" s="82" t="n"/>
      <c r="AE12" s="82" t="n"/>
      <c r="AF12" s="12" t="n">
        <v>5.5</v>
      </c>
    </row>
    <row r="13" ht="379" customHeight="1">
      <c r="A13" s="12" t="inlineStr">
        <is>
          <t>IRIS2115</t>
        </is>
      </c>
      <c r="B13" s="10" t="inlineStr">
        <is>
          <t>Sameer Joshi</t>
        </is>
      </c>
      <c r="C13" s="12" t="inlineStr">
        <is>
          <t>Quality Assurance</t>
        </is>
      </c>
      <c r="D13" s="12" t="inlineStr">
        <is>
          <t>QA-Lead</t>
        </is>
      </c>
      <c r="E13" s="78" t="inlineStr">
        <is>
          <t>Senior QA Specialist – POD Lead</t>
        </is>
      </c>
      <c r="F13" s="12" t="inlineStr">
        <is>
          <t>Quality Assurance</t>
        </is>
      </c>
      <c r="G13" s="12" t="inlineStr">
        <is>
          <t>Test Management &amp; QA Leadership</t>
        </is>
      </c>
      <c r="H13" s="12" t="inlineStr">
        <is>
          <t>POD Lead</t>
        </is>
      </c>
      <c r="I13" s="42" t="inlineStr">
        <is>
          <t>L5 – Lead · IC</t>
        </is>
      </c>
      <c r="J13" s="20" t="inlineStr">
        <is>
          <t>B2</t>
        </is>
      </c>
      <c r="K13" s="21" t="inlineStr">
        <is>
          <t>Senior Specialist · POD Lead</t>
        </is>
      </c>
      <c r="L13" s="83" t="inlineStr">
        <is>
          <t>▼ Down · pay &amp; title protected</t>
        </is>
      </c>
      <c r="M13" s="12" t="inlineStr">
        <is>
          <t>iFile · Quality Assurance · Band B · Expert / POD Lead</t>
        </is>
      </c>
      <c r="N13" s="42" t="n">
        <v>4</v>
      </c>
      <c r="O13" s="42" t="n">
        <v>4</v>
      </c>
      <c r="P13" s="42" t="n">
        <v>4</v>
      </c>
      <c r="Q13" s="42" t="n">
        <v>4</v>
      </c>
      <c r="R13" s="42" t="n">
        <v>9.5</v>
      </c>
      <c r="S13" s="80" t="n">
        <v>4</v>
      </c>
      <c r="T13" s="81">
        <f>IF(OR($M13="",COUNT(N13,O13,P13,Q13,R13,S13)&lt;6),"",IFERROR(N13*INDEX(WM_C,MATCH($M13,WM_KEY,0))+O13*INDEX(WM_AU,MATCH($M13,WM_KEY,0))+P13*INDEX(WM_AC,MATCH($M13,WM_KEY,0))+Q13*INDEX(WM_L,MATCH($M13,WM_KEY,0))+R13*INDEX(WM_E,MATCH($M13,WM_KEY,0))+S13*INDEX(WM_BI,MATCH($M13,WM_KEY,0)),""))</f>
        <v>4.55</v>
      </c>
      <c r="U13" s="42" t="str">
        <f>IF(T13="","",INDEX({"A1","A2","A3","B1","B2","B3","C1","C2","D1","D2","E1","E2"},MAX(1,MIN(12,ROUND(T13,0)))))</f>
        <v>B2</v>
      </c>
      <c r="V13" s="12" t="inlineStr">
        <is>
          <r>
            <rPr>
              <rFont val="Calibri"/>
              <sz val="10"/>
            </rPr>
            <t xml:space="preserve">New level B2 · Senior Specialist · POD Lead. Current level on record: L5 – Lead · IC. Change: ▼ Down · pay &amp; title protected.
Score 4.55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3" s="12" t="inlineStr">
        <is>
          <r>
            <rPr>
              <rFont val="Calibri"/>
              <b val="1"/>
              <sz val="10"/>
            </rPr>
            <t>Complexity &amp; Expertise:</t>
          </r>
          <r>
            <rPr>
              <rFont val="Calibri"/>
              <sz val="10"/>
            </rPr>
            <t xml:space="preserve"> 4 of 12 — Start: 4.0 · lead / specialist title; Evidence reads like B1: Chooses and builds automation frameworks; test strategy; JMeter; NFR test strategy for iFile · KRA → matches the start; KRA: “1. Successfully led the Automation team and managed the SARB project, ensuring all project phases were completed on schedule while meeting…”
</t>
          </r>
          <r>
            <rPr>
              <rFont val="Calibri"/>
              <b val="1"/>
              <sz val="10"/>
            </rPr>
            <t>Autonomy &amp; Decision:</t>
          </r>
          <r>
            <rPr>
              <rFont val="Calibri"/>
              <sz val="10"/>
            </rPr>
            <t xml:space="preserve"> 4 of 12 — Start: 4.0 · lead / specialist title; Evidence reads like B1: Decides automation frameworks independently; plans test strategy for projects → matches the start
</t>
          </r>
          <r>
            <rPr>
              <rFont val="Calibri"/>
              <b val="1"/>
              <sz val="10"/>
            </rPr>
            <t>Accountability &amp; Impact:</t>
          </r>
          <r>
            <rPr>
              <rFont val="Calibri"/>
              <sz val="10"/>
            </rPr>
            <t xml:space="preserve"> 4 of 12 — Start: 4.0 · lead / specialist title; 2 direct reports; Evidence reads like B1: Owns automation framework, scripts and result reliability; regression automation targets for Teapot and SARB → matches the start; KRA: “1. Successfully led the Automation team and managed the SARB project, ensuring all project phases were completed on schedule while meeting…”
</t>
          </r>
          <r>
            <rPr>
              <rFont val="Calibri"/>
              <b val="1"/>
              <sz val="10"/>
            </rPr>
            <t>Leadership &amp; Strategy:</t>
          </r>
          <r>
            <rPr>
              <rFont val="Calibri"/>
              <sz val="10"/>
            </rPr>
            <t xml:space="preserve"> 4 of 12 — Start: 4.0; Evidence reads like B1: Leads the automation team; mentors SARB QA engineers with monthly sessions · KRA → matches the start; Team: 2 direct reports · POD Lead
</t>
          </r>
          <r>
            <rPr>
              <rFont val="Calibri"/>
              <b val="1"/>
              <sz val="10"/>
            </rPr>
            <t>Experience &amp; Qualification:</t>
          </r>
          <r>
            <rPr>
              <rFont val="Calibri"/>
              <sz val="10"/>
            </rPr>
            <t xml:space="preserve"> 9.5 of 12 · between D1 and D2 — Experience: 19.4 yrs total · 16.0 before IRIS + 3.4 at IRIS = 9.5 on the experience scale; Qualification: B.SC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3" s="12" t="inlineStr">
        <is>
          <r>
            <rPr>
              <rFont val="Calibri"/>
              <b val="1"/>
              <sz val="10"/>
            </rPr>
            <t>Market level:</t>
          </r>
          <r>
            <rPr>
              <rFont val="Calibri"/>
              <sz val="10"/>
            </rPr>
            <t xml:space="preserve"> P4 / M3 · SFIA 4–5
</t>
          </r>
          <r>
            <rPr>
              <rFont val="Calibri"/>
              <b val="1"/>
              <sz val="10"/>
            </rPr>
            <t>Typical title:</t>
          </r>
          <r>
            <rPr>
              <rFont val="Calibri"/>
              <sz val="10"/>
            </rPr>
            <t xml:space="preserve"> QA Lead / Senior SDET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Y13" s="12" t="inlineStr">
        <is>
          <r>
            <rPr>
              <rFont val="Calibri"/>
              <sz val="10"/>
            </rPr>
            <t xml:space="preserve">✓ HRIS: 19.4 yrs, B.SC, 2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3"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13" s="12" t="inlineStr">
        <is>
          <t>Nothing outstanding</t>
        </is>
      </c>
      <c r="AB13"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2 direct reports.
From the survey and manager mapping — successor named: yes.
</t>
          </r>
          <r>
            <rPr>
              <rFont val="Calibri"/>
              <b val="1"/>
              <sz val="10"/>
            </rPr>
            <t>If the work is missed · role-holders' themes:</t>
          </r>
          <r>
            <rPr>
              <rFont val="Calibri"/>
              <sz val="10"/>
            </rPr>
            <t xml:space="preserve"> delays · rework.
Manager talent mapping — Latest rating: 4 · Potential: High · 9-Box Grid placement: Reliable Specialist.</t>
          </r>
        </is>
      </c>
      <c r="AC13" s="82" t="n"/>
      <c r="AD13" s="82" t="n"/>
      <c r="AE13" s="82" t="n"/>
      <c r="AF13" s="12" t="n">
        <v>4</v>
      </c>
    </row>
    <row r="14" ht="379" customHeight="1">
      <c r="A14" s="12" t="inlineStr">
        <is>
          <t>IRIS1654</t>
        </is>
      </c>
      <c r="B14" s="10" t="inlineStr">
        <is>
          <t>Pallavi Suryavanshi</t>
        </is>
      </c>
      <c r="C14" s="12" t="inlineStr">
        <is>
          <t>Quality Assurance</t>
        </is>
      </c>
      <c r="D14" s="12" t="inlineStr">
        <is>
          <t>Senior QA - Engineer</t>
        </is>
      </c>
      <c r="E14" s="78" t="inlineStr">
        <is>
          <t>QA Specialist – POD Lead</t>
        </is>
      </c>
      <c r="F14" s="12" t="inlineStr">
        <is>
          <t>Quality Assurance</t>
        </is>
      </c>
      <c r="G14" s="12" t="inlineStr">
        <is>
          <t>Functional &amp; Domain Testing</t>
        </is>
      </c>
      <c r="H14" s="12" t="inlineStr">
        <is>
          <t>POD Lead</t>
        </is>
      </c>
      <c r="I14" s="42" t="inlineStr">
        <is>
          <t>L4 – Senior</t>
        </is>
      </c>
      <c r="J14" s="20" t="inlineStr">
        <is>
          <t>B1</t>
        </is>
      </c>
      <c r="K14" s="21" t="inlineStr">
        <is>
          <t>Specialist · POD Lead</t>
        </is>
      </c>
      <c r="L14" s="79" t="inlineStr">
        <is>
          <t>▲ Up</t>
        </is>
      </c>
      <c r="M14" s="12" t="inlineStr">
        <is>
          <t>iFile · Quality Assurance · Band B · Expert / POD Lead</t>
        </is>
      </c>
      <c r="N14" s="42" t="n">
        <v>3.5</v>
      </c>
      <c r="O14" s="42" t="n">
        <v>3</v>
      </c>
      <c r="P14" s="42" t="n">
        <v>4</v>
      </c>
      <c r="Q14" s="42" t="n">
        <v>3.5</v>
      </c>
      <c r="R14" s="42" t="n">
        <v>7</v>
      </c>
      <c r="S14" s="80" t="n">
        <v>4</v>
      </c>
      <c r="T14" s="81">
        <f>IF(OR($M14="",COUNT(N14,O14,P14,Q14,R14,S14)&lt;6),"",IFERROR(N14*INDEX(WM_C,MATCH($M14,WM_KEY,0))+O14*INDEX(WM_AU,MATCH($M14,WM_KEY,0))+P14*INDEX(WM_AC,MATCH($M14,WM_KEY,0))+Q14*INDEX(WM_L,MATCH($M14,WM_KEY,0))+R14*INDEX(WM_E,MATCH($M14,WM_KEY,0))+S14*INDEX(WM_BI,MATCH($M14,WM_KEY,0)),""))</f>
        <v>3.825</v>
      </c>
      <c r="U14" s="42" t="str">
        <f>IF(T14="","",INDEX({"A1","A2","A3","B1","B2","B3","C1","C2","D1","D2","E1","E2"},MAX(1,MIN(12,ROUND(T14,0)))))</f>
        <v>B1</v>
      </c>
      <c r="V14" s="12" t="inlineStr">
        <is>
          <r>
            <rPr>
              <rFont val="Calibri"/>
              <sz val="10"/>
            </rPr>
            <t xml:space="preserve">New level B1 · Specialist · POD Lead. Current level on record: L4 – Senior. Change: ▲ Up.
Score 3.83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 s="12" t="inlineStr">
        <is>
          <r>
            <rPr>
              <rFont val="Calibri"/>
              <b val="1"/>
              <sz val="10"/>
            </rPr>
            <t>Complexity &amp; Expertise:</t>
          </r>
          <r>
            <rPr>
              <rFont val="Calibri"/>
              <sz val="10"/>
            </rPr>
            <t xml:space="preserve"> 3.5 of 12 · between A3 and B1 — Start: 3.0 · senior practitioner title; Evidence reads like B1: FlaUI automation of Excel-based iFile app; test scenarios across QFCRA modules; manages CBJ/QFCRA testing → moved up 0.5; KRA: “1. Successfully managed the manual testing activities for both the CBJ and QFCRA projects, which are critical strategic projects for IRIS,…”
</t>
          </r>
          <r>
            <rPr>
              <rFont val="Calibri"/>
              <b val="1"/>
              <sz val="10"/>
            </rPr>
            <t>Autonomy &amp; Decision:</t>
          </r>
          <r>
            <rPr>
              <rFont val="Calibri"/>
              <sz val="10"/>
            </rPr>
            <t xml:space="preserve"> 3 of 12 — Start: 3.0 · senior practitioner title; Evidence reads like A3: Decides test scenario and case approach; coordinates directly with the client on issues → matches the start
</t>
          </r>
          <r>
            <rPr>
              <rFont val="Calibri"/>
              <b val="1"/>
              <sz val="10"/>
            </rPr>
            <t>Accountability &amp; Impact:</t>
          </r>
          <r>
            <rPr>
              <rFont val="Calibri"/>
              <sz val="10"/>
            </rPr>
            <t xml:space="preserve"> 4 of 12 — Start: 4.0 · senior practitioner title; 2 direct reports; Evidence reads like B1: own survey / KRA answers · summarised by the rater; not quoted → matches the start; KRA: “1. Successfully managed the manual testing activities for both the CBJ and QFCRA projects, which are critical strategic projects for IRIS,…”
</t>
          </r>
          <r>
            <rPr>
              <rFont val="Calibri"/>
              <b val="1"/>
              <sz val="10"/>
            </rPr>
            <t>Leadership &amp; Strategy:</t>
          </r>
          <r>
            <rPr>
              <rFont val="Calibri"/>
              <sz val="10"/>
            </rPr>
            <t xml:space="preserve"> 3.5 of 12 · between A3 and B1 — Start: 4.0; Evidence reads like A3: Runs regular knowledge-sharing sessions; two reports; no team direction described → moved down 0.5; Team: 2 direct reports · POD Lead
</t>
          </r>
          <r>
            <rPr>
              <rFont val="Calibri"/>
              <b val="1"/>
              <sz val="10"/>
            </rPr>
            <t>Experience &amp; Qualification:</t>
          </r>
          <r>
            <rPr>
              <rFont val="Calibri"/>
              <sz val="10"/>
            </rPr>
            <t xml:space="preserve"> 7 of 12 — Experience: 11.2 yrs total · 2.0 before IRIS + 9.2 at IRIS = 6.6 on the experience scale; Qualification: MCA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QA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Y14" s="12" t="inlineStr">
        <is>
          <r>
            <rPr>
              <rFont val="Calibri"/>
              <sz val="10"/>
            </rPr>
            <t xml:space="preserve">✓ HRIS: 11.2 yrs, MCA, 2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4" s="12" t="inlineStr">
        <is>
          <t>—</t>
        </is>
      </c>
      <c r="AA14" s="12" t="inlineStr">
        <is>
          <t>Nothing outstanding</t>
        </is>
      </c>
      <c r="AB1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From the survey and manager mapping — successor named: yes.
</t>
          </r>
          <r>
            <rPr>
              <rFont val="Calibri"/>
              <b val="1"/>
              <sz val="10"/>
            </rPr>
            <t>If the work is missed · role-holders' themes:</t>
          </r>
          <r>
            <rPr>
              <rFont val="Calibri"/>
              <sz val="10"/>
            </rPr>
            <t xml:space="preserve"> rework · additional.
</t>
          </r>
          <r>
            <rPr>
              <rFont val="Calibri"/>
              <b val="1"/>
              <sz val="10"/>
            </rPr>
            <t>Measured on · manager-set KRA themes:</t>
          </r>
          <r>
            <rPr>
              <rFont val="Calibri"/>
              <sz val="10"/>
            </rPr>
            <t xml:space="preserve"> business · portal · testing · maintained · resolution · automation.
Manager talent mapping — Latest rating: 4 · Potential: Medium · 9-Box Grid placement: Trusted Professional.</t>
          </r>
        </is>
      </c>
      <c r="AC14" s="82" t="n"/>
      <c r="AD14" s="82" t="n"/>
      <c r="AE14" s="82" t="n"/>
      <c r="AF14" s="12" t="n">
        <v>4</v>
      </c>
    </row>
    <row r="15" ht="379" customHeight="1">
      <c r="A15" s="12" t="inlineStr">
        <is>
          <t>IRIS1923</t>
        </is>
      </c>
      <c r="B15" s="10" t="inlineStr">
        <is>
          <t>Ruturaj Kadam</t>
        </is>
      </c>
      <c r="C15" s="12" t="inlineStr">
        <is>
          <t>Quality Assurance</t>
        </is>
      </c>
      <c r="D15" s="12" t="inlineStr">
        <is>
          <t>Senior QA - Engineer</t>
        </is>
      </c>
      <c r="E15" s="78" t="inlineStr">
        <is>
          <t>QA Specialist – POD Lead</t>
        </is>
      </c>
      <c r="F15" s="12" t="inlineStr">
        <is>
          <t>Quality Assurance</t>
        </is>
      </c>
      <c r="G15" s="12" t="inlineStr">
        <is>
          <t>Functional &amp; Domain Testing</t>
        </is>
      </c>
      <c r="H15" s="12" t="inlineStr">
        <is>
          <t>POD Lead</t>
        </is>
      </c>
      <c r="I15" s="42" t="inlineStr">
        <is>
          <t>L4 – Senior</t>
        </is>
      </c>
      <c r="J15" s="20" t="inlineStr">
        <is>
          <t>B1</t>
        </is>
      </c>
      <c r="K15" s="21" t="inlineStr">
        <is>
          <t>Specialist · POD Lead</t>
        </is>
      </c>
      <c r="L15" s="79" t="inlineStr">
        <is>
          <t>▲ Up</t>
        </is>
      </c>
      <c r="M15" s="12" t="inlineStr">
        <is>
          <t>iFile · Quality Assurance · Band B · Expert / POD Lead</t>
        </is>
      </c>
      <c r="N15" s="42" t="n">
        <v>3</v>
      </c>
      <c r="O15" s="42" t="n">
        <v>3</v>
      </c>
      <c r="P15" s="42" t="n">
        <v>4</v>
      </c>
      <c r="Q15" s="42" t="n">
        <v>3</v>
      </c>
      <c r="R15" s="42" t="n">
        <v>5.5</v>
      </c>
      <c r="S15" s="80" t="n">
        <v>4</v>
      </c>
      <c r="T15" s="81">
        <f>IF(OR($M15="",COUNT(N15,O15,P15,Q15,R15,S15)&lt;6),"",IFERROR(N15*INDEX(WM_C,MATCH($M15,WM_KEY,0))+O15*INDEX(WM_AU,MATCH($M15,WM_KEY,0))+P15*INDEX(WM_AC,MATCH($M15,WM_KEY,0))+Q15*INDEX(WM_L,MATCH($M15,WM_KEY,0))+R15*INDEX(WM_E,MATCH($M15,WM_KEY,0))+S15*INDEX(WM_BI,MATCH($M15,WM_KEY,0)),""))</f>
        <v>3.37</v>
      </c>
      <c r="U15" s="42" t="str">
        <f>IF(T15="","",INDEX({"A1","A2","A3","B1","B2","B3","C1","C2","D1","D2","E1","E2"},MAX(1,MIN(12,ROUND(T15,0)))))</f>
        <v>A3</v>
      </c>
      <c r="V15" s="12" t="inlineStr">
        <is>
          <r>
            <rPr>
              <rFont val="Calibri"/>
              <sz val="10"/>
            </rPr>
            <t xml:space="preserve">New level B1 · Specialist · POD Lead. Current level on record: L4 – Senior. Change: ▲ Up.
Score 3.37 on the ladder scale → indicated level A3.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W15" s="12" t="inlineStr">
        <is>
          <r>
            <rPr>
              <rFont val="Calibri"/>
              <b val="1"/>
              <sz val="10"/>
            </rPr>
            <t>Complexity &amp; Expertise:</t>
          </r>
          <r>
            <rPr>
              <rFont val="Calibri"/>
              <sz val="10"/>
            </rPr>
            <t xml:space="preserve"> 3 of 12 — Start: 3.0 · senior practitioner title; Evidence reads like A3: Test strategy and planning for QCB UAT release; resolves client queries end to end across teams → matches the start; KRA: “1. Project Delivery &amp; QA Execution Successfully delivered the QCB Project UAT · Release 1 and Phase 1 Portal release, including F010, F012,…”
</t>
          </r>
          <r>
            <rPr>
              <rFont val="Calibri"/>
              <b val="1"/>
              <sz val="10"/>
            </rPr>
            <t>Autonomy &amp; Decision:</t>
          </r>
          <r>
            <rPr>
              <rFont val="Calibri"/>
              <sz val="10"/>
            </rPr>
            <t xml:space="preserve"> 3 of 12 — Start: 3.0 · senior practitioner title; Evidence reads like A3: Decides test execution coverage; handles client queries through to resolution → matches the start
</t>
          </r>
          <r>
            <rPr>
              <rFont val="Calibri"/>
              <b val="1"/>
              <sz val="10"/>
            </rPr>
            <t>Accountability &amp; Impact:</t>
          </r>
          <r>
            <rPr>
              <rFont val="Calibri"/>
              <sz val="10"/>
            </rPr>
            <t xml:space="preserve"> 4 of 12 — Start: 3.5 · senior practitioner title; 1 direct report; Evidence reads like B1: Led QA for QCB UAT Release 1 with one team member; release quality ownership → moved up 0.5; KRA: “1. Project Delivery &amp; QA Execution Successfully delivered the QCB Project UAT · Release 1 and Phase 1 Portal release, including F010, F012,…”
</t>
          </r>
          <r>
            <rPr>
              <rFont val="Calibri"/>
              <b val="1"/>
              <sz val="10"/>
            </rPr>
            <t>Leadership &amp; Strategy:</t>
          </r>
          <r>
            <rPr>
              <rFont val="Calibri"/>
              <sz val="10"/>
            </rPr>
            <t xml:space="preserve"> 3 of 12 — Start: 3.5; Evidence reads like A3: Mentors and leads one QA team member; explains impact areas to the team → moved down 0.5; Team: 1 direct report · POD Lead
</t>
          </r>
          <r>
            <rPr>
              <rFont val="Calibri"/>
              <b val="1"/>
              <sz val="10"/>
            </rPr>
            <t>Experience &amp; Qualification:</t>
          </r>
          <r>
            <rPr>
              <rFont val="Calibri"/>
              <sz val="10"/>
            </rPr>
            <t xml:space="preserve"> 5.5 of 12 · between B2 and B3 — Experience: 8.4 yrs total · 3.2 before IRIS + 5.2 at IRIS = 5.4 on the experience scale; Qualification: B.E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5"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QA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Y15" s="12" t="inlineStr">
        <is>
          <r>
            <rPr>
              <rFont val="Calibri"/>
              <sz val="10"/>
            </rPr>
            <t xml:space="preserve">✓ HRIS: 8.4 yrs, B.E, 1 direct report
✓ Survey: 20 of 20 questions answered
✓ KRAs: self, manager-set, quarterly
✓ Manager mapping: rating, potential, 9-box
✗ Job description: not on file
</t>
          </r>
          <r>
            <rPr>
              <rFont val="Calibri"/>
              <b val="1"/>
              <sz val="10"/>
            </rPr>
            <t>Confidence:</t>
          </r>
          <r>
            <rPr>
              <rFont val="Calibri"/>
              <sz val="10"/>
            </rPr>
            <t xml:space="preserve"> High</t>
          </r>
        </is>
      </c>
      <c r="Z15" s="12" t="inlineStr">
        <is>
          <t>—</t>
        </is>
      </c>
      <c r="AA15" s="12" t="inlineStr">
        <is>
          <t>Nothing outstanding</t>
        </is>
      </c>
      <c r="AB1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successor named: yes.
</t>
          </r>
          <r>
            <rPr>
              <rFont val="Calibri"/>
              <b val="1"/>
              <sz val="10"/>
            </rPr>
            <t>If the work is missed · role-holders' themes:</t>
          </r>
          <r>
            <rPr>
              <rFont val="Calibri"/>
              <sz val="10"/>
            </rPr>
            <t xml:space="preserve"> rework · additional.
</t>
          </r>
          <r>
            <rPr>
              <rFont val="Calibri"/>
              <b val="1"/>
              <sz val="10"/>
            </rPr>
            <t>Measured on · manager-set KRA themes:</t>
          </r>
          <r>
            <rPr>
              <rFont val="Calibri"/>
              <sz val="10"/>
            </rPr>
            <t xml:space="preserve"> business · portal · testing · maintained · resolution · automation.
Manager talent mapping — Latest rating: 4 · Potential: Medium · 9-Box Grid placement: Emerging Talent.</t>
          </r>
        </is>
      </c>
      <c r="AC15" s="82" t="n"/>
      <c r="AD15" s="82" t="n"/>
      <c r="AE15" s="82" t="n"/>
      <c r="AF15" s="12" t="n">
        <v>4</v>
      </c>
    </row>
    <row r="16" ht="379" customHeight="1">
      <c r="A16" s="12" t="inlineStr">
        <is>
          <t>IRIS1827</t>
        </is>
      </c>
      <c r="B16" s="10" t="inlineStr">
        <is>
          <t>Susan Peter</t>
        </is>
      </c>
      <c r="C16" s="12" t="inlineStr">
        <is>
          <t>Quality Assurance</t>
        </is>
      </c>
      <c r="D16" s="12" t="inlineStr">
        <is>
          <t>Senior QA - Engineer</t>
        </is>
      </c>
      <c r="E16" s="78" t="inlineStr">
        <is>
          <t>QA Specialist – POD Lead</t>
        </is>
      </c>
      <c r="F16" s="12" t="inlineStr">
        <is>
          <t>Quality Assurance</t>
        </is>
      </c>
      <c r="G16" s="12" t="inlineStr">
        <is>
          <t>Functional &amp; Domain Testing</t>
        </is>
      </c>
      <c r="H16" s="12" t="inlineStr">
        <is>
          <t>POD Lead</t>
        </is>
      </c>
      <c r="I16" s="42" t="inlineStr">
        <is>
          <t>L4 – Senior</t>
        </is>
      </c>
      <c r="J16" s="20" t="inlineStr">
        <is>
          <t>B1</t>
        </is>
      </c>
      <c r="K16" s="21" t="inlineStr">
        <is>
          <t>Specialist · POD Lead</t>
        </is>
      </c>
      <c r="L16" s="79" t="inlineStr">
        <is>
          <t>▲ Up</t>
        </is>
      </c>
      <c r="M16" s="12" t="inlineStr">
        <is>
          <t>iFile · Quality Assurance · Band B · Expert / POD Lead</t>
        </is>
      </c>
      <c r="N16" s="42" t="n">
        <v>3</v>
      </c>
      <c r="O16" s="42" t="n">
        <v>3.5</v>
      </c>
      <c r="P16" s="42" t="n">
        <v>4</v>
      </c>
      <c r="Q16" s="42" t="n">
        <v>4</v>
      </c>
      <c r="R16" s="42" t="n">
        <v>7</v>
      </c>
      <c r="S16" s="80" t="n">
        <v>4</v>
      </c>
      <c r="T16" s="81">
        <f>IF(OR($M16="",COUNT(N16,O16,P16,Q16,R16,S16)&lt;6),"",IFERROR(N16*INDEX(WM_C,MATCH($M16,WM_KEY,0))+O16*INDEX(WM_AU,MATCH($M16,WM_KEY,0))+P16*INDEX(WM_AC,MATCH($M16,WM_KEY,0))+Q16*INDEX(WM_L,MATCH($M16,WM_KEY,0))+R16*INDEX(WM_E,MATCH($M16,WM_KEY,0))+S16*INDEX(WM_BI,MATCH($M16,WM_KEY,0)),""))</f>
        <v>3.655</v>
      </c>
      <c r="U16" s="42" t="str">
        <f>IF(T16="","",INDEX({"A1","A2","A3","B1","B2","B3","C1","C2","D1","D2","E1","E2"},MAX(1,MIN(12,ROUND(T16,0)))))</f>
        <v>B1</v>
      </c>
      <c r="V16" s="12" t="inlineStr">
        <is>
          <r>
            <rPr>
              <rFont val="Calibri"/>
              <sz val="10"/>
            </rPr>
            <t xml:space="preserve">New level B1 · Specialist · POD Lead. Current level on record: L4 – Senior. Change: ▲ Up.
Score 3.66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 s="12" t="inlineStr">
        <is>
          <r>
            <rPr>
              <rFont val="Calibri"/>
              <b val="1"/>
              <sz val="10"/>
            </rPr>
            <t>Complexity &amp; Expertise:</t>
          </r>
          <r>
            <rPr>
              <rFont val="Calibri"/>
              <sz val="10"/>
            </rPr>
            <t xml:space="preserve"> 3 of 12 — Start: 3.0 · senior practitioner title; Evidence reads like A3: Reviews test case docs, UAT preparation, production configuration, automation, demos and client queries across environments → matches the start; KRA: “1. Complete Playwright with TypeScript training and demonstrate proficiency by developing reusable automation scripts. 2. Maintain test…”
</t>
          </r>
          <r>
            <rPr>
              <rFont val="Calibri"/>
              <b val="1"/>
              <sz val="10"/>
            </rPr>
            <t>Autonomy &amp; Decision:</t>
          </r>
          <r>
            <rPr>
              <rFont val="Calibri"/>
              <sz val="10"/>
            </rPr>
            <t xml:space="preserve"> 3.5 of 12 · between A3 and B1 — Start: 3.0 · senior practitioner title; Evidence reads like B1: Handles team task assignment; decides task ownership, readiness and demo effort estimates → moved up 0.5
</t>
          </r>
          <r>
            <rPr>
              <rFont val="Calibri"/>
              <b val="1"/>
              <sz val="10"/>
            </rPr>
            <t>Accountability &amp; Impact:</t>
          </r>
          <r>
            <rPr>
              <rFont val="Calibri"/>
              <sz val="10"/>
            </rPr>
            <t xml:space="preserve"> 4 of 12 — Start: 4.0 · senior practitioner title; 2 direct reports; Evidence reads like B1: Test deliverables and sign-off, client query answers, demos, bugs found at UAT → matches the start; KRA: “1. Complete Playwright with TypeScript training and demonstrate proficiency by developing reusable automation scripts. 2. Maintain test…”
</t>
          </r>
          <r>
            <rPr>
              <rFont val="Calibri"/>
              <b val="1"/>
              <sz val="10"/>
            </rPr>
            <t>Leadership &amp; Strategy:</t>
          </r>
          <r>
            <rPr>
              <rFont val="Calibri"/>
              <sz val="10"/>
            </rPr>
            <t xml:space="preserve"> 4 of 12 — Start: 4.0; Evidence reads like B1: Team handling and assignment for two reports; runs KT sessions; reviews test documents → matches the start; Team: 2 direct reports · POD Lead
</t>
          </r>
          <r>
            <rPr>
              <rFont val="Calibri"/>
              <b val="1"/>
              <sz val="10"/>
            </rPr>
            <t>Experience &amp; Qualification:</t>
          </r>
          <r>
            <rPr>
              <rFont val="Calibri"/>
              <sz val="10"/>
            </rPr>
            <t xml:space="preserve"> 7 of 12 — Experience: 12.1 yrs total · 5.3 before IRIS + 6.8 at IRIS = 7.0 on the experience scale; Qualification: B.E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6"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QA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Y16" s="12" t="inlineStr">
        <is>
          <r>
            <rPr>
              <rFont val="Calibri"/>
              <sz val="10"/>
            </rPr>
            <t xml:space="preserve">✓ HRIS: 12.1 yrs, B.E, 2 direct reports
✓ Survey: 20 of 20 questions answered
✓ KRAs: self, manager-set, quarterly
✓ Manager mapping: rating, 9-box — filled from talent-mapping files: rating · tentative Q1
✗ Job description: not on file
</t>
          </r>
          <r>
            <rPr>
              <rFont val="Calibri"/>
              <b val="1"/>
              <sz val="10"/>
            </rPr>
            <t>Confidence:</t>
          </r>
          <r>
            <rPr>
              <rFont val="Calibri"/>
              <sz val="10"/>
            </rPr>
            <t xml:space="preserve"> High</t>
          </r>
        </is>
      </c>
      <c r="Z16" s="12" t="inlineStr">
        <is>
          <t>—</t>
        </is>
      </c>
      <c r="AA16" s="12" t="inlineStr">
        <is>
          <t>Nothing outstanding</t>
        </is>
      </c>
      <c r="AB1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From the survey and manager mapping — successor named: yes.
</t>
          </r>
          <r>
            <rPr>
              <rFont val="Calibri"/>
              <b val="1"/>
              <sz val="10"/>
            </rPr>
            <t>If the work is missed · role-holders' themes:</t>
          </r>
          <r>
            <rPr>
              <rFont val="Calibri"/>
              <sz val="10"/>
            </rPr>
            <t xml:space="preserve"> rework · additional.
</t>
          </r>
          <r>
            <rPr>
              <rFont val="Calibri"/>
              <b val="1"/>
              <sz val="10"/>
            </rPr>
            <t>Measured on · manager-set KRA themes:</t>
          </r>
          <r>
            <rPr>
              <rFont val="Calibri"/>
              <sz val="10"/>
            </rPr>
            <t xml:space="preserve"> business · portal · testing · maintained · resolution · automation.
Manager talent mapping — Latest rating: 4 · 9-Box Grid placement: Not placed · manager.</t>
          </r>
        </is>
      </c>
      <c r="AC16" s="82" t="n"/>
      <c r="AD16" s="82" t="n"/>
      <c r="AE16" s="82" t="n"/>
      <c r="AF16" s="12" t="n">
        <v>4</v>
      </c>
    </row>
    <row r="17" ht="379" customHeight="1">
      <c r="A17" s="12" t="inlineStr">
        <is>
          <t>IRIS2304</t>
        </is>
      </c>
      <c r="B17" s="10" t="inlineStr">
        <is>
          <t>Adnan Yakub Majgaonkar</t>
        </is>
      </c>
      <c r="C17" s="12" t="inlineStr">
        <is>
          <t>Quality Assurance</t>
        </is>
      </c>
      <c r="D17" s="12" t="inlineStr">
        <is>
          <t>QA Engineer</t>
        </is>
      </c>
      <c r="E17" s="78" t="inlineStr">
        <is>
          <t>Senior QA Automation Engineer</t>
        </is>
      </c>
      <c r="F17" s="12" t="inlineStr">
        <is>
          <t>Quality Assurance</t>
        </is>
      </c>
      <c r="G17" s="12" t="inlineStr">
        <is>
          <t>Test Automation</t>
        </is>
      </c>
      <c r="H17" s="12" t="inlineStr">
        <is>
          <t>IC</t>
        </is>
      </c>
      <c r="I17" s="42" t="inlineStr">
        <is>
          <t>L3 – Professional / Associate</t>
        </is>
      </c>
      <c r="J17" s="16" t="inlineStr">
        <is>
          <t>A3</t>
        </is>
      </c>
      <c r="K17" s="17" t="inlineStr">
        <is>
          <t>Senior Associate</t>
        </is>
      </c>
      <c r="L17" s="79" t="inlineStr">
        <is>
          <t>▲ Up</t>
        </is>
      </c>
      <c r="M17" s="12" t="inlineStr">
        <is>
          <t>iFile · Quality Assurance · Band A · Early career</t>
        </is>
      </c>
      <c r="N17" s="42" t="n">
        <v>2</v>
      </c>
      <c r="O17" s="42" t="n">
        <v>2</v>
      </c>
      <c r="P17" s="42" t="n">
        <v>2</v>
      </c>
      <c r="Q17" s="42" t="n">
        <v>1</v>
      </c>
      <c r="R17" s="42" t="n">
        <v>3.5</v>
      </c>
      <c r="S17" s="80" t="n">
        <v>2</v>
      </c>
      <c r="T17" s="81">
        <f>IF(OR($M17="",COUNT(N17,O17,P17,Q17,R17,S17)&lt;6),"",IFERROR(N17*INDEX(WM_C,MATCH($M17,WM_KEY,0))+O17*INDEX(WM_AU,MATCH($M17,WM_KEY,0))+P17*INDEX(WM_AC,MATCH($M17,WM_KEY,0))+Q17*INDEX(WM_L,MATCH($M17,WM_KEY,0))+R17*INDEX(WM_E,MATCH($M17,WM_KEY,0))+S17*INDEX(WM_BI,MATCH($M17,WM_KEY,0)),""))</f>
        <v>2.15</v>
      </c>
      <c r="U17" s="42" t="str">
        <f>IF(T17="","",INDEX({"A1","A2","A3","B1","B2","B3","C1","C2","D1","D2","E1","E2"},MAX(1,MIN(12,ROUND(T17,0)))))</f>
        <v>A2</v>
      </c>
      <c r="V17"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 years' experience is 2 years or more.
</t>
          </r>
          <r>
            <rPr>
              <rFont val="Calibri"/>
              <b val="1"/>
              <sz val="10"/>
            </rPr>
            <t>Final level:</t>
          </r>
          <r>
            <rPr>
              <rFont val="Calibri"/>
              <sz val="10"/>
            </rPr>
            <t xml:space="preserve"> A3.</t>
          </r>
        </is>
      </c>
      <c r="W17" s="12" t="inlineStr">
        <is>
          <r>
            <rPr>
              <rFont val="Calibri"/>
              <b val="1"/>
              <sz val="10"/>
            </rPr>
            <t>Complexity &amp; Expertise:</t>
          </r>
          <r>
            <rPr>
              <rFont val="Calibri"/>
              <sz val="10"/>
            </rPr>
            <t xml:space="preserve"> 2 of 12 — Start: 2.0 · practitioner title; Evidence reads like A2: Test case execution, regression, defect identification; KRA cites about 1,600 test cases on SBC portal → matches the start; KRA: “1. Adnan has consistently demonstrated strong analytical skills and has effectively managed the testing activities for the SBC project,…”
</t>
          </r>
          <r>
            <rPr>
              <rFont val="Calibri"/>
              <b val="1"/>
              <sz val="10"/>
            </rPr>
            <t>Autonomy &amp; Decision:</t>
          </r>
          <r>
            <rPr>
              <rFont val="Calibri"/>
              <sz val="10"/>
            </rPr>
            <t xml:space="preserve"> 2 of 12 — Start: 2.0 · practitioner title; Evidence reads like A2: Prioritises and executes own testing; no further calls described → matches the start
</t>
          </r>
          <r>
            <rPr>
              <rFont val="Calibri"/>
              <b val="1"/>
              <sz val="10"/>
            </rPr>
            <t>Accountability &amp; Impact:</t>
          </r>
          <r>
            <rPr>
              <rFont val="Calibri"/>
              <sz val="10"/>
            </rPr>
            <t xml:space="preserve"> 2 of 12 — Start: 2.0 · practitioner title; Evidence reads like A2: Own test quality, defect identification and validation on assigned SBC portal modules → matches the start; KRA: “1. Adnan has consistently demonstrated strong analytical skills and has effectively managed the testing activities for the SBC project,…”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4.0 yrs total · 2.0 before IRIS + 2.0 at IRIS = 3.4 on the experience scale; Qualification: B.Tech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7"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7" s="12" t="inlineStr">
        <is>
          <r>
            <rPr>
              <rFont val="Calibri"/>
              <sz val="10"/>
            </rPr>
            <t xml:space="preserve">✓ HRIS: 4.0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7" s="12" t="inlineStr">
        <is>
          <t>—</t>
        </is>
      </c>
      <c r="AA17" s="12" t="inlineStr">
        <is>
          <t>Nothing outstanding</t>
        </is>
      </c>
      <c r="AB1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4 · Potential: Medium · 9-Box Grid placement: Trusted Professional.</t>
          </r>
        </is>
      </c>
      <c r="AC17" s="82" t="n"/>
      <c r="AD17" s="82" t="n"/>
      <c r="AE17" s="82" t="n"/>
      <c r="AF17" s="12" t="n">
        <v>2</v>
      </c>
    </row>
    <row r="18" ht="379" customHeight="1">
      <c r="A18" s="12" t="inlineStr">
        <is>
          <t>IRIS2508</t>
        </is>
      </c>
      <c r="B18" s="10" t="inlineStr">
        <is>
          <t>Ayush Saurkar</t>
        </is>
      </c>
      <c r="C18" s="12" t="inlineStr">
        <is>
          <t>Quality Assurance</t>
        </is>
      </c>
      <c r="D18" s="12" t="inlineStr">
        <is>
          <t>QA Engineer</t>
        </is>
      </c>
      <c r="E18" s="78" t="inlineStr">
        <is>
          <t>Senior QA Engineer</t>
        </is>
      </c>
      <c r="F18" s="12" t="inlineStr">
        <is>
          <t>Quality Assurance</t>
        </is>
      </c>
      <c r="G18" s="12" t="inlineStr">
        <is>
          <t>Functional &amp; Domain Testing</t>
        </is>
      </c>
      <c r="H18" s="12" t="inlineStr">
        <is>
          <t>IC</t>
        </is>
      </c>
      <c r="I18" s="42" t="inlineStr">
        <is>
          <t>L3 – Professional / Associate</t>
        </is>
      </c>
      <c r="J18" s="16" t="inlineStr">
        <is>
          <t>A3</t>
        </is>
      </c>
      <c r="K18" s="17" t="inlineStr">
        <is>
          <t>Senior Associate</t>
        </is>
      </c>
      <c r="L18" s="79" t="inlineStr">
        <is>
          <t>▲ Up</t>
        </is>
      </c>
      <c r="M18" s="12" t="inlineStr">
        <is>
          <t>iFile · Quality Assurance · Band A · Early career</t>
        </is>
      </c>
      <c r="N18" s="42" t="n">
        <v>2</v>
      </c>
      <c r="O18" s="42" t="n">
        <v>2</v>
      </c>
      <c r="P18" s="42" t="n">
        <v>2</v>
      </c>
      <c r="Q18" s="42" t="n">
        <v>1</v>
      </c>
      <c r="R18" s="42" t="n">
        <v>3</v>
      </c>
      <c r="S18" s="80" t="n">
        <v>2</v>
      </c>
      <c r="T18" s="81">
        <f>IF(OR($M18="",COUNT(N18,O18,P18,Q18,R18,S18)&lt;6),"",IFERROR(N18*INDEX(WM_C,MATCH($M18,WM_KEY,0))+O18*INDEX(WM_AU,MATCH($M18,WM_KEY,0))+P18*INDEX(WM_AC,MATCH($M18,WM_KEY,0))+Q18*INDEX(WM_L,MATCH($M18,WM_KEY,0))+R18*INDEX(WM_E,MATCH($M18,WM_KEY,0))+S18*INDEX(WM_BI,MATCH($M18,WM_KEY,0)),""))</f>
        <v>2.1</v>
      </c>
      <c r="U18" s="42" t="str">
        <f>IF(T18="","",INDEX({"A1","A2","A3","B1","B2","B3","C1","C2","D1","D2","E1","E2"},MAX(1,MIN(12,ROUND(T18,0)))))</f>
        <v>A2</v>
      </c>
      <c r="V18"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2.7 years' experience is 2 years or more.
</t>
          </r>
          <r>
            <rPr>
              <rFont val="Calibri"/>
              <b val="1"/>
              <sz val="10"/>
            </rPr>
            <t>Final level:</t>
          </r>
          <r>
            <rPr>
              <rFont val="Calibri"/>
              <sz val="10"/>
            </rPr>
            <t xml:space="preserve"> A3.</t>
          </r>
        </is>
      </c>
      <c r="W18" s="12" t="inlineStr">
        <is>
          <r>
            <rPr>
              <rFont val="Calibri"/>
              <b val="1"/>
              <sz val="10"/>
            </rPr>
            <t>Complexity &amp; Expertise:</t>
          </r>
          <r>
            <rPr>
              <rFont val="Calibri"/>
              <sz val="10"/>
            </rPr>
            <t xml:space="preserve"> 2 of 12 — Start: 2.0 · practitioner title; Evidence reads like A2: Test case preparation, testing and retesting; smoke testing tracked in QuickScrum and Jira → matches the start; KRA: “1. Achieve &gt;=95% test case execution coverage for each assigned release 2. Keep defect detection effectiveness &gt;=90% (defects caught…”
</t>
          </r>
          <r>
            <rPr>
              <rFont val="Calibri"/>
              <b val="1"/>
              <sz val="10"/>
            </rPr>
            <t>Autonomy &amp; Decision:</t>
          </r>
          <r>
            <rPr>
              <rFont val="Calibri"/>
              <sz val="10"/>
            </rPr>
            <t xml:space="preserve"> 2 of 12 — Start: 2.0 · practitioner title; Evidence reads like A2: Only decides to investigate an issue → matches the start
</t>
          </r>
          <r>
            <rPr>
              <rFont val="Calibri"/>
              <b val="1"/>
              <sz val="10"/>
            </rPr>
            <t>Accountability &amp; Impact:</t>
          </r>
          <r>
            <rPr>
              <rFont val="Calibri"/>
              <sz val="10"/>
            </rPr>
            <t xml:space="preserve"> 2 of 12 — Start: 2.0 · practitioner title; Evidence reads like A2: Own test case preparation and testing → matches the start; KRA: “1. Achieve &gt;=95% test case execution coverage for each assigned release 2. Keep defect detection effectiveness &gt;=90% (defects caught…”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 of 12 — Experience: 2.7 yrs total · 2.2 before IRIS + 0.5 at IRIS = 2.9 on the experience scale; Qualification: B.Tech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8"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8" s="12" t="inlineStr">
        <is>
          <r>
            <rPr>
              <rFont val="Calibri"/>
              <sz val="10"/>
            </rPr>
            <t xml:space="preserve">✓ HRIS: 2.7 yrs, B.Tech, 0 direct reports
✓ Survey: 19 of 20 questions answered
✓ KRAs: self, manager-set, quarterly
✓ Manager mapping: rating, potential, 9-box
✗ Job description: not on file
</t>
          </r>
          <r>
            <rPr>
              <rFont val="Calibri"/>
              <b val="1"/>
              <sz val="10"/>
            </rPr>
            <t>Confidence:</t>
          </r>
          <r>
            <rPr>
              <rFont val="Calibri"/>
              <sz val="10"/>
            </rPr>
            <t xml:space="preserve"> Medium</t>
          </r>
        </is>
      </c>
      <c r="Z18" s="12" t="inlineStr">
        <is>
          <t>—</t>
        </is>
      </c>
      <c r="AA18" s="12" t="inlineStr">
        <is>
          <t>Nothing outstanding</t>
        </is>
      </c>
      <c r="AB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2 · Potential: Medium · 9-Box Grid placement: Emerging Talent.</t>
          </r>
        </is>
      </c>
      <c r="AC18" s="82" t="n"/>
      <c r="AD18" s="82" t="n"/>
      <c r="AE18" s="82" t="n"/>
      <c r="AF18" s="12" t="n">
        <v>2</v>
      </c>
    </row>
    <row r="19" ht="379" customHeight="1">
      <c r="A19" s="12" t="inlineStr">
        <is>
          <t>IRIS1984</t>
        </is>
      </c>
      <c r="B19" s="10" t="inlineStr">
        <is>
          <t>Bhagyshree Khedkar</t>
        </is>
      </c>
      <c r="C19" s="12" t="inlineStr">
        <is>
          <t>Quality Assurance</t>
        </is>
      </c>
      <c r="D19" s="12" t="inlineStr">
        <is>
          <t>QA Engineer</t>
        </is>
      </c>
      <c r="E19" s="78" t="inlineStr">
        <is>
          <t>Senior QA Engineer</t>
        </is>
      </c>
      <c r="F19" s="12" t="inlineStr">
        <is>
          <t>Quality Assurance</t>
        </is>
      </c>
      <c r="G19" s="12" t="inlineStr">
        <is>
          <t>Functional &amp; Domain Testing</t>
        </is>
      </c>
      <c r="H19" s="12" t="inlineStr">
        <is>
          <t>IC</t>
        </is>
      </c>
      <c r="I19" s="42" t="inlineStr">
        <is>
          <t>L3 – Professional / Associate</t>
        </is>
      </c>
      <c r="J19" s="16" t="inlineStr">
        <is>
          <t>A3</t>
        </is>
      </c>
      <c r="K19" s="17" t="inlineStr">
        <is>
          <t>Senior Associate</t>
        </is>
      </c>
      <c r="L19" s="79" t="inlineStr">
        <is>
          <t>▲ Up</t>
        </is>
      </c>
      <c r="M19" s="12" t="inlineStr">
        <is>
          <t>iFile · Quality Assurance · Band A · Early career</t>
        </is>
      </c>
      <c r="N19" s="42" t="n">
        <v>2.5</v>
      </c>
      <c r="O19" s="42" t="n">
        <v>2</v>
      </c>
      <c r="P19" s="42" t="n">
        <v>2.5</v>
      </c>
      <c r="Q19" s="42" t="n">
        <v>1</v>
      </c>
      <c r="R19" s="42" t="n">
        <v>5</v>
      </c>
      <c r="S19" s="80" t="n">
        <v>2.5</v>
      </c>
      <c r="T19" s="81">
        <f>IF(OR($M19="",COUNT(N19,O19,P19,Q19,R19,S19)&lt;6),"",IFERROR(N19*INDEX(WM_C,MATCH($M19,WM_KEY,0))+O19*INDEX(WM_AU,MATCH($M19,WM_KEY,0))+P19*INDEX(WM_AC,MATCH($M19,WM_KEY,0))+Q19*INDEX(WM_L,MATCH($M19,WM_KEY,0))+R19*INDEX(WM_E,MATCH($M19,WM_KEY,0))+S19*INDEX(WM_BI,MATCH($M19,WM_KEY,0)),""))</f>
        <v>2.67</v>
      </c>
      <c r="U19" s="42" t="str">
        <f>IF(T19="","",INDEX({"A1","A2","A3","B1","B2","B3","C1","C2","D1","D2","E1","E2"},MAX(1,MIN(12,ROUND(T19,0)))))</f>
        <v>A3</v>
      </c>
      <c r="V19" s="12" t="inlineStr">
        <is>
          <r>
            <rPr>
              <rFont val="Calibri"/>
              <sz val="10"/>
            </rPr>
            <t xml:space="preserve">New level A3 · Senior Associate. Current level on record: L3 – Professional / Associate. Change: ▲ Up.
Score 2.67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 s="12" t="inlineStr">
        <is>
          <r>
            <rPr>
              <rFont val="Calibri"/>
              <b val="1"/>
              <sz val="10"/>
            </rPr>
            <t>Complexity &amp; Expertise:</t>
          </r>
          <r>
            <rPr>
              <rFont val="Calibri"/>
              <sz val="10"/>
            </rPr>
            <t xml:space="preserve"> 2.5 of 12 · between A2 and A3 — Start: 2.0 · practitioner title; Evidence reads like A3: Functional and regression testing plus Kuwait client calls, CIP Portal client demos, go-live support · KRA → moved up 0.5; KRA: “1. Successfully managed the CMA Kuwait project as the sole QA resource, ensuring timely testing and delivery throughout the project…”
</t>
          </r>
          <r>
            <rPr>
              <rFont val="Calibri"/>
              <b val="1"/>
              <sz val="10"/>
            </rPr>
            <t>Autonomy &amp; Decision:</t>
          </r>
          <r>
            <rPr>
              <rFont val="Calibri"/>
              <sz val="10"/>
            </rPr>
            <t xml:space="preserve"> 2 of 12 — Start: 2.0 · practitioner title; Evidence reads like A2: Only prioritises own testing → matches the start
</t>
          </r>
          <r>
            <rPr>
              <rFont val="Calibri"/>
              <b val="1"/>
              <sz val="10"/>
            </rPr>
            <t>Accountability &amp; Impact:</t>
          </r>
          <r>
            <rPr>
              <rFont val="Calibri"/>
              <sz val="10"/>
            </rPr>
            <t xml:space="preserve"> 2.5 of 12 · between A2 and A3 — Start: 2.0 · practitioner title; Evidence reads like A3: Testing quality with direct client contact: client calls, demonstrations and go-live support → moved up 0.5; KRA: “1. Successfully managed the CMA Kuwait project as the sole QA resource, ensuring timely testing and delivery throughout the project…”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5 of 12 — Experience: 7.1 yrs total · 2.4 before IRIS + 4.7 at IRIS = 4.8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9"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9" s="12" t="inlineStr">
        <is>
          <r>
            <rPr>
              <rFont val="Calibri"/>
              <sz val="10"/>
            </rPr>
            <t xml:space="preserve">✓ HRIS: 7.1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9" s="12" t="inlineStr">
        <is>
          <t>—</t>
        </is>
      </c>
      <c r="AA19" s="12" t="inlineStr">
        <is>
          <t>Nothing outstanding</t>
        </is>
      </c>
      <c r="AB1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5 · Potential: Medium · 9-Box Grid placement: High Impact / Growth Talent.</t>
          </r>
        </is>
      </c>
      <c r="AC19" s="82" t="n"/>
      <c r="AD19" s="82" t="n"/>
      <c r="AE19" s="82" t="n"/>
      <c r="AF19" s="12" t="n">
        <v>2.5</v>
      </c>
    </row>
    <row r="20" ht="379" customHeight="1">
      <c r="A20" s="12" t="inlineStr">
        <is>
          <t>IRIS2075</t>
        </is>
      </c>
      <c r="B20" s="10" t="inlineStr">
        <is>
          <t>Deepika Bartwal</t>
        </is>
      </c>
      <c r="C20" s="12" t="inlineStr">
        <is>
          <t>Quality Assurance</t>
        </is>
      </c>
      <c r="D20" s="12" t="inlineStr">
        <is>
          <t>QA Engineer</t>
        </is>
      </c>
      <c r="E20" s="78" t="inlineStr">
        <is>
          <t>Senior QA Engineer</t>
        </is>
      </c>
      <c r="F20" s="12" t="inlineStr">
        <is>
          <t>Quality Assurance</t>
        </is>
      </c>
      <c r="G20" s="12" t="inlineStr">
        <is>
          <t>Functional &amp; Domain Testing</t>
        </is>
      </c>
      <c r="H20" s="12" t="inlineStr">
        <is>
          <t>IC</t>
        </is>
      </c>
      <c r="I20" s="42" t="inlineStr">
        <is>
          <t>L3 – Professional / Associate</t>
        </is>
      </c>
      <c r="J20" s="16" t="inlineStr">
        <is>
          <t>A3</t>
        </is>
      </c>
      <c r="K20" s="17" t="inlineStr">
        <is>
          <t>Senior Associate</t>
        </is>
      </c>
      <c r="L20" s="79" t="inlineStr">
        <is>
          <t>▲ Up</t>
        </is>
      </c>
      <c r="M20" s="12" t="inlineStr">
        <is>
          <t>iFile · Quality Assurance · Band A · Early career</t>
        </is>
      </c>
      <c r="N20" s="42" t="n">
        <v>2</v>
      </c>
      <c r="O20" s="42" t="n">
        <v>1.5</v>
      </c>
      <c r="P20" s="42" t="n">
        <v>2</v>
      </c>
      <c r="Q20" s="42" t="n">
        <v>1</v>
      </c>
      <c r="R20" s="42" t="n">
        <v>3.5</v>
      </c>
      <c r="S20" s="80" t="n">
        <v>2</v>
      </c>
      <c r="T20" s="81">
        <f>IF(OR($M20="",COUNT(N20,O20,P20,Q20,R20,S20)&lt;6),"",IFERROR(N20*INDEX(WM_C,MATCH($M20,WM_KEY,0))+O20*INDEX(WM_AU,MATCH($M20,WM_KEY,0))+P20*INDEX(WM_AC,MATCH($M20,WM_KEY,0))+Q20*INDEX(WM_L,MATCH($M20,WM_KEY,0))+R20*INDEX(WM_E,MATCH($M20,WM_KEY,0))+S20*INDEX(WM_BI,MATCH($M20,WM_KEY,0)),""))</f>
        <v>2.07</v>
      </c>
      <c r="U20" s="42" t="str">
        <f>IF(T20="","",INDEX({"A1","A2","A3","B1","B2","B3","C1","C2","D1","D2","E1","E2"},MAX(1,MIN(12,ROUND(T20,0)))))</f>
        <v>A2</v>
      </c>
      <c r="V20" s="12" t="inlineStr">
        <is>
          <r>
            <rPr>
              <rFont val="Calibri"/>
              <sz val="10"/>
            </rPr>
            <t xml:space="preserve">New level A3 · Senior Associate. Current level on record: L3 – Professional / Associate. Change: ▲ Up.
Score 2.07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3.9 years' experience is 2 years or more.
</t>
          </r>
          <r>
            <rPr>
              <rFont val="Calibri"/>
              <b val="1"/>
              <sz val="10"/>
            </rPr>
            <t>Final level:</t>
          </r>
          <r>
            <rPr>
              <rFont val="Calibri"/>
              <sz val="10"/>
            </rPr>
            <t xml:space="preserve"> A3.</t>
          </r>
        </is>
      </c>
      <c r="W20" s="12" t="inlineStr">
        <is>
          <r>
            <rPr>
              <rFont val="Calibri"/>
              <b val="1"/>
              <sz val="10"/>
            </rPr>
            <t>Complexity &amp; Expertise:</t>
          </r>
          <r>
            <rPr>
              <rFont val="Calibri"/>
              <sz val="10"/>
            </rPr>
            <t xml:space="preserve"> 2 of 12 — Start: 2.0 · practitioner title; Evidence reads like A2: Test case execution; installer and portal testing on QFCRA modules and RBI CIMS · KRA → matches the start; KRA: “1. Successfully delivered high-quality testing across the QFCRA and RBI CIMS projects, ensuring thorough validation of multiple modules…”
</t>
          </r>
          <r>
            <rPr>
              <rFont val="Calibri"/>
              <b val="1"/>
              <sz val="10"/>
            </rPr>
            <t>Autonomy &amp; Decision:</t>
          </r>
          <r>
            <rPr>
              <rFont val="Calibri"/>
              <sz val="10"/>
            </rPr>
            <t xml:space="preserve"> 1.5 of 12 · between A1 and A2 — Start: 2.0 · practitioner title; Evidence reads like A1: Names only 'checking mail' as an independent decision → moved down 0.5
</t>
          </r>
          <r>
            <rPr>
              <rFont val="Calibri"/>
              <b val="1"/>
              <sz val="10"/>
            </rPr>
            <t>Accountability &amp; Impact:</t>
          </r>
          <r>
            <rPr>
              <rFont val="Calibri"/>
              <sz val="10"/>
            </rPr>
            <t xml:space="preserve"> 2 of 12 — Start: 2.0 · practitioner title; Evidence reads like A2: Own testing; not missing major bugs before go-live → matches the start; KRA: “1. Successfully delivered high-quality testing across the QFCRA and RBI CIMS projects, ensuring thorough validation of multiple modules…”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3.9 yrs total · 3.9 at IRIS; none recorded before IRIS = 3.4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0" s="12" t="inlineStr">
        <is>
          <r>
            <rPr>
              <rFont val="Calibri"/>
              <sz val="10"/>
            </rPr>
            <t xml:space="preserve">✓ HRIS: 3.9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0" s="12" t="inlineStr">
        <is>
          <t>—</t>
        </is>
      </c>
      <c r="AA20" s="12" t="inlineStr">
        <is>
          <t>Nothing outstanding</t>
        </is>
      </c>
      <c r="AB2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Trusted Professional.</t>
          </r>
        </is>
      </c>
      <c r="AC20" s="82" t="n"/>
      <c r="AD20" s="82" t="n"/>
      <c r="AE20" s="82" t="n"/>
      <c r="AF20" s="12" t="n">
        <v>2</v>
      </c>
    </row>
    <row r="21" ht="379" customHeight="1">
      <c r="A21" s="12" t="inlineStr">
        <is>
          <t>IRIS1975</t>
        </is>
      </c>
      <c r="B21" s="10" t="inlineStr">
        <is>
          <t>Rahul Devarkonda</t>
        </is>
      </c>
      <c r="C21" s="12" t="inlineStr">
        <is>
          <t>Quality Assurance</t>
        </is>
      </c>
      <c r="D21" s="12" t="inlineStr">
        <is>
          <t>QA Engineer</t>
        </is>
      </c>
      <c r="E21" s="78" t="inlineStr">
        <is>
          <t>Senior QA Engineer</t>
        </is>
      </c>
      <c r="F21" s="12" t="inlineStr">
        <is>
          <t>Quality Assurance</t>
        </is>
      </c>
      <c r="G21" s="12" t="inlineStr">
        <is>
          <t>Functional &amp; Domain Testing</t>
        </is>
      </c>
      <c r="H21" s="12" t="inlineStr">
        <is>
          <t>IC</t>
        </is>
      </c>
      <c r="I21" s="42" t="inlineStr">
        <is>
          <t>L3 – Professional / Associate</t>
        </is>
      </c>
      <c r="J21" s="16" t="inlineStr">
        <is>
          <t>A3</t>
        </is>
      </c>
      <c r="K21" s="17" t="inlineStr">
        <is>
          <t>Senior Associate</t>
        </is>
      </c>
      <c r="L21" s="79" t="inlineStr">
        <is>
          <t>▲ Up</t>
        </is>
      </c>
      <c r="M21" s="12" t="inlineStr">
        <is>
          <t>iFile · Quality Assurance · Band A · Early career</t>
        </is>
      </c>
      <c r="N21" s="42" t="n">
        <v>2.5</v>
      </c>
      <c r="O21" s="42" t="n">
        <v>2</v>
      </c>
      <c r="P21" s="42" t="n">
        <v>2.5</v>
      </c>
      <c r="Q21" s="42" t="n">
        <v>1</v>
      </c>
      <c r="R21" s="42" t="n">
        <v>4.5</v>
      </c>
      <c r="S21" s="80" t="n">
        <v>2.5</v>
      </c>
      <c r="T21" s="81">
        <f>IF(OR($M21="",COUNT(N21,O21,P21,Q21,R21,S21)&lt;6),"",IFERROR(N21*INDEX(WM_C,MATCH($M21,WM_KEY,0))+O21*INDEX(WM_AU,MATCH($M21,WM_KEY,0))+P21*INDEX(WM_AC,MATCH($M21,WM_KEY,0))+Q21*INDEX(WM_L,MATCH($M21,WM_KEY,0))+R21*INDEX(WM_E,MATCH($M21,WM_KEY,0))+S21*INDEX(WM_BI,MATCH($M21,WM_KEY,0)),""))</f>
        <v>2.62</v>
      </c>
      <c r="U21" s="42" t="str">
        <f>IF(T21="","",INDEX({"A1","A2","A3","B1","B2","B3","C1","C2","D1","D2","E1","E2"},MAX(1,MIN(12,ROUND(T21,0)))))</f>
        <v>A3</v>
      </c>
      <c r="V21" s="12" t="inlineStr">
        <is>
          <r>
            <rPr>
              <rFont val="Calibri"/>
              <sz val="10"/>
            </rPr>
            <t xml:space="preserve">New level A3 · Senior Associate. Current level on record: L3 – Professional / Associate. Change: ▲ Up.
Score 2.62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 s="12" t="inlineStr">
        <is>
          <r>
            <rPr>
              <rFont val="Calibri"/>
              <b val="1"/>
              <sz val="10"/>
            </rPr>
            <t>Complexity &amp; Expertise:</t>
          </r>
          <r>
            <rPr>
              <rFont val="Calibri"/>
              <sz val="10"/>
            </rPr>
            <t xml:space="preserve"> 2.5 of 12 · between A2 and A3 — Start: 2.0 · practitioner title; Evidence reads like A3: Test planning, UAT, API and security/VAPT testing on SDMX Manager; knows the project's MySQL tables → moved up 0.5; KRA: “1. Rahul has been one of the top performers in the QA team, consistently demonstrating exceptional ownership, accountability, and…”
</t>
          </r>
          <r>
            <rPr>
              <rFont val="Calibri"/>
              <b val="1"/>
              <sz val="10"/>
            </rPr>
            <t>Autonomy &amp; Decision:</t>
          </r>
          <r>
            <rPr>
              <rFont val="Calibri"/>
              <sz val="10"/>
            </rPr>
            <t xml:space="preserve"> 2 of 12 — Start: 2.0 · practitioner title; Evidence reads like A2: Names only reading the BRD/FSD; estimates own effort; no wider calls → matches the start
</t>
          </r>
          <r>
            <rPr>
              <rFont val="Calibri"/>
              <b val="1"/>
              <sz val="10"/>
            </rPr>
            <t>Accountability &amp; Impact:</t>
          </r>
          <r>
            <rPr>
              <rFont val="Calibri"/>
              <sz val="10"/>
            </rPr>
            <t xml:space="preserve"> 2.5 of 12 · between A2 and A3 — Start: 2.0 · practitioner title; Evidence reads like A3: Valid test cases not missed before release; gives stakeholder demos; clients escalate misses → moved up 0.5; KRA: “1. Rahul has been one of the top performers in the QA team, consistently demonstrating exceptional ownership, accountability, and…”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4.5 of 12 · between B1 and B2 — Experience: 6.9 yrs total · 2.2 before IRIS + 4.7 at IRIS = 4.7 on the experience scale; Qualification: B.SC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1" s="12" t="inlineStr">
        <is>
          <r>
            <rPr>
              <rFont val="Calibri"/>
              <sz val="10"/>
            </rPr>
            <t xml:space="preserve">✓ HRIS: 6.9 yrs, B.SC,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1" s="12" t="inlineStr">
        <is>
          <t>—</t>
        </is>
      </c>
      <c r="AA21" s="12" t="inlineStr">
        <is>
          <t>Nothing outstanding</t>
        </is>
      </c>
      <c r="AB2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5 · Potential: High · 9-Box Grid placement: High Impact / Growth Talent.</t>
          </r>
        </is>
      </c>
      <c r="AC21" s="82" t="n"/>
      <c r="AD21" s="82" t="n"/>
      <c r="AE21" s="82" t="n"/>
      <c r="AF21" s="12" t="n">
        <v>2.5</v>
      </c>
    </row>
    <row r="22" ht="379" customHeight="1">
      <c r="A22" s="12" t="inlineStr">
        <is>
          <t>IRIS0651</t>
        </is>
      </c>
      <c r="B22" s="10" t="inlineStr">
        <is>
          <t>Sakina Rampurawala</t>
        </is>
      </c>
      <c r="C22" s="12" t="inlineStr">
        <is>
          <t>Quality Assurance</t>
        </is>
      </c>
      <c r="D22" s="12" t="inlineStr">
        <is>
          <t>Senior QA - Engineer</t>
        </is>
      </c>
      <c r="E22" s="78" t="inlineStr">
        <is>
          <t>QA Specialist</t>
        </is>
      </c>
      <c r="F22" s="12" t="inlineStr">
        <is>
          <t>Quality Assurance</t>
        </is>
      </c>
      <c r="G22" s="12" t="inlineStr">
        <is>
          <t>Functional &amp; Domain Testing</t>
        </is>
      </c>
      <c r="H22" s="12" t="inlineStr">
        <is>
          <t>IC</t>
        </is>
      </c>
      <c r="I22" s="42" t="inlineStr">
        <is>
          <t>L4 – Senior</t>
        </is>
      </c>
      <c r="J22" s="16" t="inlineStr">
        <is>
          <t>A3</t>
        </is>
      </c>
      <c r="K22" s="17" t="inlineStr">
        <is>
          <t>Senior Associate</t>
        </is>
      </c>
      <c r="L22" s="79" t="inlineStr">
        <is>
          <t>▲ Up</t>
        </is>
      </c>
      <c r="M22" s="12" t="inlineStr">
        <is>
          <t>iFile · Quality Assurance · Band A · Early career</t>
        </is>
      </c>
      <c r="N22" s="42" t="n">
        <v>3</v>
      </c>
      <c r="O22" s="42" t="n">
        <v>3</v>
      </c>
      <c r="P22" s="42" t="n">
        <v>3</v>
      </c>
      <c r="Q22" s="42" t="n">
        <v>1.5</v>
      </c>
      <c r="R22" s="42" t="n">
        <v>8.5</v>
      </c>
      <c r="S22" s="80" t="n">
        <v>3</v>
      </c>
      <c r="T22" s="81">
        <f>IF(OR($M22="",COUNT(N22,O22,P22,Q22,R22,S22)&lt;6),"",IFERROR(N22*INDEX(WM_C,MATCH($M22,WM_KEY,0))+O22*INDEX(WM_AU,MATCH($M22,WM_KEY,0))+P22*INDEX(WM_AC,MATCH($M22,WM_KEY,0))+Q22*INDEX(WM_L,MATCH($M22,WM_KEY,0))+R22*INDEX(WM_E,MATCH($M22,WM_KEY,0))+S22*INDEX(WM_BI,MATCH($M22,WM_KEY,0)),""))</f>
        <v>3.55</v>
      </c>
      <c r="U22" s="42" t="str">
        <f>IF(T22="","",INDEX({"A1","A2","A3","B1","B2","B3","C1","C2","D1","D2","E1","E2"},MAX(1,MIN(12,ROUND(T22,0)))))</f>
        <v>B1</v>
      </c>
      <c r="V22" s="12" t="inlineStr">
        <is>
          <r>
            <rPr>
              <rFont val="Calibri"/>
              <sz val="10"/>
            </rPr>
            <t xml:space="preserve">New level A3 · Senior Associate. Current level on record: L4 – Senior. Change: ▲ Up.
Score 3.55 on the ladder scale → indicated level B1.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W22" s="12" t="inlineStr">
        <is>
          <r>
            <rPr>
              <rFont val="Calibri"/>
              <b val="1"/>
              <sz val="10"/>
            </rPr>
            <t>Complexity &amp; Expertise:</t>
          </r>
          <r>
            <rPr>
              <rFont val="Calibri"/>
              <sz val="10"/>
            </rPr>
            <t xml:space="preserve"> 3 of 12 — Start: 3.0 · senior practitioner title; Evidence reads like A3: Webform and portal regression and UAT testing; analyses client production/UAT issues; wrote Webform user manual → matches the start; KRA: “1. Improve Product Knowledge &amp; Documentation Create and maintain Webform documentation covering 100% of new features and enhancements.…”
</t>
          </r>
          <r>
            <rPr>
              <rFont val="Calibri"/>
              <b val="1"/>
              <sz val="10"/>
            </rPr>
            <t>Autonomy &amp; Decision:</t>
          </r>
          <r>
            <rPr>
              <rFont val="Calibri"/>
              <sz val="10"/>
            </rPr>
            <t xml:space="preserve"> 3 of 12 — Start: 3.0 · senior practitioner title; Evidence reads like A3: Prioritises test scenarios; works directly with SBC clients to resolve issues · KRA → matches the start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KRA: “1. Improve Product Knowledge &amp; Documentation Create and maintain Webform documentation covering 100% of new features and enhancements.…”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of others described; user manual only aids onboarding → moved down 0.5; Team: 0 direct reports · IC
</t>
          </r>
          <r>
            <rPr>
              <rFont val="Calibri"/>
              <b val="1"/>
              <sz val="10"/>
            </rPr>
            <t>Experience &amp; Qualification:</t>
          </r>
          <r>
            <rPr>
              <rFont val="Calibri"/>
              <sz val="10"/>
            </rPr>
            <t xml:space="preserve"> 8.5 of 12 · between C2 and D1 — Experience: 15.3 yrs total · 15.3 at IRIS; none recorded before IRIS = 8.3 on the experience scale; Qualification: M.Com · postgraduate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2" s="12" t="inlineStr">
        <is>
          <r>
            <rPr>
              <rFont val="Calibri"/>
              <b val="1"/>
              <sz val="10"/>
            </rPr>
            <t>Market level:</t>
          </r>
          <r>
            <rPr>
              <rFont val="Calibri"/>
              <sz val="10"/>
            </rPr>
            <t xml:space="preserve"> P2 · SFIA 3 Apply
</t>
          </r>
          <r>
            <rPr>
              <rFont val="Calibri"/>
              <b val="1"/>
              <sz val="10"/>
            </rPr>
            <t>Typical title:</t>
          </r>
          <r>
            <rPr>
              <rFont val="Calibri"/>
              <sz val="10"/>
            </rPr>
            <t xml:space="preserve"> Senior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2" s="12" t="inlineStr">
        <is>
          <r>
            <rPr>
              <rFont val="Calibri"/>
              <sz val="10"/>
            </rPr>
            <t xml:space="preserve">✓ HRIS: 15.3 yrs, M.Com,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2" s="84" t="inlineStr">
        <is>
          <r>
            <rPr>
              <rFont val="Calibri"/>
              <color rgb="009C5700"/>
              <sz val="10"/>
            </rPr>
            <t xml:space="preserve">• </t>
          </r>
          <r>
            <rPr>
              <rFont val="Calibri"/>
              <b val="1"/>
              <color rgb="009C5700"/>
              <sz val="10"/>
            </rPr>
            <t>Near a gate:</t>
          </r>
          <r>
            <rPr>
              <rFont val="Calibri"/>
              <color rgb="009C5700"/>
              <sz val="10"/>
            </rPr>
            <t xml:space="preserve"> top of band: 3.48 on Band B's weights, 0.02 short of the 3.5 needed to enter Band B
• </t>
          </r>
          <r>
            <rPr>
              <rFont val="Calibri"/>
              <b val="1"/>
              <color rgb="009C5700"/>
              <sz val="10"/>
            </rPr>
            <t>Title check:</t>
          </r>
          <r>
            <rPr>
              <rFont val="Calibri"/>
              <color rgb="009C5700"/>
              <sz val="10"/>
            </rPr>
            <t xml:space="preserve"> Check title against ladder</t>
          </r>
        </is>
      </c>
      <c r="AA22" s="12" t="inlineStr">
        <is>
          <t>Nothing outstanding</t>
        </is>
      </c>
      <c r="AB2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Trusted Professional.</t>
          </r>
        </is>
      </c>
      <c r="AC22" s="82" t="n"/>
      <c r="AD22" s="82" t="n"/>
      <c r="AE22" s="82" t="n"/>
      <c r="AF22" s="12" t="n">
        <v>3</v>
      </c>
    </row>
    <row r="23" ht="379" customHeight="1">
      <c r="A23" s="12" t="inlineStr">
        <is>
          <t>IRIS1762</t>
        </is>
      </c>
      <c r="B23" s="10" t="inlineStr">
        <is>
          <t>Sanchi Pawaskar</t>
        </is>
      </c>
      <c r="C23" s="12" t="inlineStr">
        <is>
          <t>Quality Assurance</t>
        </is>
      </c>
      <c r="D23" s="12" t="inlineStr">
        <is>
          <t>QA Engineer</t>
        </is>
      </c>
      <c r="E23" s="78" t="inlineStr">
        <is>
          <t>Senior QA Engineer</t>
        </is>
      </c>
      <c r="F23" s="12" t="inlineStr">
        <is>
          <t>Quality Assurance</t>
        </is>
      </c>
      <c r="G23" s="12" t="inlineStr">
        <is>
          <t>Functional &amp; Domain Testing</t>
        </is>
      </c>
      <c r="H23" s="12" t="inlineStr">
        <is>
          <t>IC</t>
        </is>
      </c>
      <c r="I23" s="42" t="inlineStr">
        <is>
          <t>L3 – Professional / Associate</t>
        </is>
      </c>
      <c r="J23" s="16" t="inlineStr">
        <is>
          <t>A3</t>
        </is>
      </c>
      <c r="K23" s="17" t="inlineStr">
        <is>
          <t>Senior Associate</t>
        </is>
      </c>
      <c r="L23" s="79" t="inlineStr">
        <is>
          <t>▲ Up</t>
        </is>
      </c>
      <c r="M23" s="12" t="inlineStr">
        <is>
          <t>iFile · Quality Assurance · Band A · Early career</t>
        </is>
      </c>
      <c r="N23" s="42" t="n">
        <v>2</v>
      </c>
      <c r="O23" s="42" t="n">
        <v>2</v>
      </c>
      <c r="P23" s="42" t="n">
        <v>2.5</v>
      </c>
      <c r="Q23" s="42" t="n">
        <v>1</v>
      </c>
      <c r="R23" s="42" t="n">
        <v>5.5</v>
      </c>
      <c r="S23" s="80" t="n">
        <v>2.5</v>
      </c>
      <c r="T23" s="81">
        <f>IF(OR($M23="",COUNT(N23,O23,P23,Q23,R23,S23)&lt;6),"",IFERROR(N23*INDEX(WM_C,MATCH($M23,WM_KEY,0))+O23*INDEX(WM_AU,MATCH($M23,WM_KEY,0))+P23*INDEX(WM_AC,MATCH($M23,WM_KEY,0))+Q23*INDEX(WM_L,MATCH($M23,WM_KEY,0))+R23*INDEX(WM_E,MATCH($M23,WM_KEY,0))+S23*INDEX(WM_BI,MATCH($M23,WM_KEY,0)),""))</f>
        <v>2.4</v>
      </c>
      <c r="U23" s="42" t="str">
        <f>IF(T23="","",INDEX({"A1","A2","A3","B1","B2","B3","C1","C2","D1","D2","E1","E2"},MAX(1,MIN(12,ROUND(T23,0)))))</f>
        <v>A2</v>
      </c>
      <c r="V23" s="12" t="inlineStr">
        <is>
          <r>
            <rPr>
              <rFont val="Calibri"/>
              <sz val="10"/>
            </rPr>
            <t xml:space="preserve">New level A3 · Senior Associate. Current level on record: L3 – Professional / Associate. Change: ▲ Up.
Score 2.40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8.2 years' experience is 2 years or more.
</t>
          </r>
          <r>
            <rPr>
              <rFont val="Calibri"/>
              <b val="1"/>
              <sz val="10"/>
            </rPr>
            <t>Final level:</t>
          </r>
          <r>
            <rPr>
              <rFont val="Calibri"/>
              <sz val="10"/>
            </rPr>
            <t xml:space="preserve"> A3.</t>
          </r>
        </is>
      </c>
      <c r="W23" s="12" t="inlineStr">
        <is>
          <r>
            <rPr>
              <rFont val="Calibri"/>
              <b val="1"/>
              <sz val="10"/>
            </rPr>
            <t>Complexity &amp; Expertise:</t>
          </r>
          <r>
            <rPr>
              <rFont val="Calibri"/>
              <sz val="10"/>
            </rPr>
            <t xml:space="preserve"> 2 of 12 — Start: 2.0 · practitioner title; Evidence: rated like 10 colleagues in the same role and department · own answers too general to rate → no change; KRA: “1. Enhance Technical Skills · Automation &amp; API Testing Objective: Develop automation and API testing capabilities by completing structured…”
</t>
          </r>
          <r>
            <rPr>
              <rFont val="Calibri"/>
              <b val="1"/>
              <sz val="10"/>
            </rPr>
            <t>Autonomy &amp; Decision:</t>
          </r>
          <r>
            <rPr>
              <rFont val="Calibri"/>
              <sz val="10"/>
            </rPr>
            <t xml:space="preserve"> 2 of 12 — Start: 2.0 · practitioner title; Evidence: rated like 10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10 colleagues in the same role and department · own answers too general to rate → moved +0.5; KRA: “1. Enhance Technical Skills · Automation &amp; API Testing Objective: Develop automation and API testing capabilities by completing structured…”
</t>
          </r>
          <r>
            <rPr>
              <rFont val="Calibri"/>
              <b val="1"/>
              <sz val="10"/>
            </rPr>
            <t>Leadership &amp; Strategy:</t>
          </r>
          <r>
            <rPr>
              <rFont val="Calibri"/>
              <sz val="10"/>
            </rPr>
            <t xml:space="preserve"> 1 of 12 — not counted: the weight is 0% at this level — Start: 1.0 · individual contributor, so influence only; Evidence: rated like 10 colleagues in the same role and department · own answers too general to rate → no change; Team: 0 direct reports · IC
</t>
          </r>
          <r>
            <rPr>
              <rFont val="Calibri"/>
              <b val="1"/>
              <sz val="10"/>
            </rPr>
            <t>Experience &amp; Qualification:</t>
          </r>
          <r>
            <rPr>
              <rFont val="Calibri"/>
              <sz val="10"/>
            </rPr>
            <t xml:space="preserve"> 5.5 of 12 · between B2 and B3 — Experience: 8.2 yrs total · 0.5 before IRIS + 7.7 at IRIS = 5.3 on the experience scale; Qualification: B.SC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3"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3" s="12" t="inlineStr">
        <is>
          <r>
            <rPr>
              <rFont val="Calibri"/>
              <sz val="10"/>
            </rPr>
            <t xml:space="preserve">✓ HRIS: 8.2 yrs, B.SC, 0 direct reports
✓ Survey: 20 of 20 questions answered
✓ KRAs: self, manager-set, quarterly
✓ Manager mapping: rating, 9-box
✗ Job description: not on file
</t>
          </r>
          <r>
            <rPr>
              <rFont val="Calibri"/>
              <b val="1"/>
              <sz val="10"/>
            </rPr>
            <t>Confidence:</t>
          </r>
          <r>
            <rPr>
              <rFont val="Calibri"/>
              <sz val="10"/>
            </rPr>
            <t xml:space="preserve"> Low</t>
          </r>
        </is>
      </c>
      <c r="Z23" s="12" t="inlineStr">
        <is>
          <t>—</t>
        </is>
      </c>
      <c r="AA23" s="12" t="inlineStr">
        <is>
          <t>Nothing outstanding</t>
        </is>
      </c>
      <c r="AB2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9-Box Grid placement: Trusted Professional.</t>
          </r>
        </is>
      </c>
      <c r="AC23" s="82" t="n"/>
      <c r="AD23" s="82" t="n"/>
      <c r="AE23" s="82" t="n"/>
      <c r="AF23" s="12" t="n">
        <v>2.5</v>
      </c>
    </row>
    <row r="24" ht="379" customHeight="1">
      <c r="A24" s="12" t="inlineStr">
        <is>
          <t>IRIS2040</t>
        </is>
      </c>
      <c r="B24" s="10" t="inlineStr">
        <is>
          <t>Sandeep Padhi</t>
        </is>
      </c>
      <c r="C24" s="12" t="inlineStr">
        <is>
          <t>Quality Assurance</t>
        </is>
      </c>
      <c r="D24" s="12" t="inlineStr">
        <is>
          <t>QA Engineer</t>
        </is>
      </c>
      <c r="E24" s="78" t="inlineStr">
        <is>
          <t>Senior QA Engineer</t>
        </is>
      </c>
      <c r="F24" s="12" t="inlineStr">
        <is>
          <t>Quality Assurance</t>
        </is>
      </c>
      <c r="G24" s="12" t="inlineStr">
        <is>
          <t>Functional &amp; Domain Testing</t>
        </is>
      </c>
      <c r="H24" s="12" t="inlineStr">
        <is>
          <t>IC</t>
        </is>
      </c>
      <c r="I24" s="42" t="inlineStr">
        <is>
          <t>L3 – Professional / Associate</t>
        </is>
      </c>
      <c r="J24" s="16" t="inlineStr">
        <is>
          <t>A3</t>
        </is>
      </c>
      <c r="K24" s="17" t="inlineStr">
        <is>
          <t>Senior Associate</t>
        </is>
      </c>
      <c r="L24" s="79" t="inlineStr">
        <is>
          <t>▲ Up</t>
        </is>
      </c>
      <c r="M24" s="12" t="inlineStr">
        <is>
          <t>iFile · Quality Assurance · Band A · Early career</t>
        </is>
      </c>
      <c r="N24" s="42" t="n">
        <v>2.5</v>
      </c>
      <c r="O24" s="42" t="n">
        <v>2.5</v>
      </c>
      <c r="P24" s="42" t="n">
        <v>2.5</v>
      </c>
      <c r="Q24" s="42" t="n">
        <v>1.5</v>
      </c>
      <c r="R24" s="42" t="n">
        <v>4</v>
      </c>
      <c r="S24" s="80" t="n">
        <v>2.5</v>
      </c>
      <c r="T24" s="81">
        <f>IF(OR($M24="",COUNT(N24,O24,P24,Q24,R24,S24)&lt;6),"",IFERROR(N24*INDEX(WM_C,MATCH($M24,WM_KEY,0))+O24*INDEX(WM_AU,MATCH($M24,WM_KEY,0))+P24*INDEX(WM_AC,MATCH($M24,WM_KEY,0))+Q24*INDEX(WM_L,MATCH($M24,WM_KEY,0))+R24*INDEX(WM_E,MATCH($M24,WM_KEY,0))+S24*INDEX(WM_BI,MATCH($M24,WM_KEY,0)),""))</f>
        <v>2.65</v>
      </c>
      <c r="U24" s="42" t="str">
        <f>IF(T24="","",INDEX({"A1","A2","A3","B1","B2","B3","C1","C2","D1","D2","E1","E2"},MAX(1,MIN(12,ROUND(T24,0)))))</f>
        <v>A3</v>
      </c>
      <c r="V24" s="12" t="inlineStr">
        <is>
          <r>
            <rPr>
              <rFont val="Calibri"/>
              <sz val="10"/>
            </rPr>
            <t xml:space="preserve">New level A3 · Senior Associate. Current level on record: L3 – Professional / Associate. Change: ▲ Up.
Score 2.65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4" s="12" t="inlineStr">
        <is>
          <r>
            <rPr>
              <rFont val="Calibri"/>
              <b val="1"/>
              <sz val="10"/>
            </rPr>
            <t>Complexity &amp; Expertise:</t>
          </r>
          <r>
            <rPr>
              <rFont val="Calibri"/>
              <sz val="10"/>
            </rPr>
            <t xml:space="preserve"> 2.5 of 12 · between A2 and A3 — Start: 2.0 · practitioner title; Evidence reads like A3: Defined SBC API test approach; validates business rules and taxonomy mappings; Postman scripts, MySQL, Power BI → moved up 0.5; KRA: “1. Lead end-to-end testing of the SBC API by designing, executing, and validating comprehensive functional, integration, and regression…”
</t>
          </r>
          <r>
            <rPr>
              <rFont val="Calibri"/>
              <b val="1"/>
              <sz val="10"/>
            </rPr>
            <t>Autonomy &amp; Decision:</t>
          </r>
          <r>
            <rPr>
              <rFont val="Calibri"/>
              <sz val="10"/>
            </rPr>
            <t xml:space="preserve"> 2.5 of 12 · between A2 and A3 — Start: 2.0 · practitioner title; Evidence reads like A3: Defined the SBC API testing approach and built own Postman automation · KRA → moved up 0.5
</t>
          </r>
          <r>
            <rPr>
              <rFont val="Calibri"/>
              <b val="1"/>
              <sz val="10"/>
            </rPr>
            <t>Accountability &amp; Impact:</t>
          </r>
          <r>
            <rPr>
              <rFont val="Calibri"/>
              <sz val="10"/>
            </rPr>
            <t xml:space="preserve"> 2.5 of 12 · between A2 and A3 — Start: 2.0 · practitioner title; Evidence reads like A3: QA of the SBC API end to end; client demonstrations; missed bugs hit production → moved up 0.5; KRA: “1. Lead end-to-end testing of the SBC API by designing, executing, and validating comprehensive functional, integration, and regression…”
</t>
          </r>
          <r>
            <rPr>
              <rFont val="Calibri"/>
              <b val="1"/>
              <sz val="10"/>
            </rPr>
            <t>Leadership &amp; Strategy:</t>
          </r>
          <r>
            <rPr>
              <rFont val="Calibri"/>
              <sz val="10"/>
            </rPr>
            <t xml:space="preserve"> 1.5 of 12 · between A1 and A2 — not counted: the weight is 0% at this level — Start: 1.0 · individual contributor, so influence only; Evidence reads like A2: Knowledge-sharing noted in KRA; no team led → moved up 0.5; Team: 0 direct reports · IC
</t>
          </r>
          <r>
            <rPr>
              <rFont val="Calibri"/>
              <b val="1"/>
              <sz val="10"/>
            </rPr>
            <t>Experience &amp; Qualification:</t>
          </r>
          <r>
            <rPr>
              <rFont val="Calibri"/>
              <sz val="10"/>
            </rPr>
            <t xml:space="preserve"> 4 of 12 — Experience: 5.0 yrs total · 0.8 before IRIS + 4.2 at IRIS = 3.8 on the experience scale; Qualification: B.Tech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4"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4" s="12" t="inlineStr">
        <is>
          <r>
            <rPr>
              <rFont val="Calibri"/>
              <sz val="10"/>
            </rPr>
            <t xml:space="preserve">✓ HRIS: 5.0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4" s="12" t="inlineStr">
        <is>
          <t>—</t>
        </is>
      </c>
      <c r="AA24" s="12" t="inlineStr">
        <is>
          <t>Nothing outstanding</t>
        </is>
      </c>
      <c r="AB2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High Impact / Growth Talent.</t>
          </r>
        </is>
      </c>
      <c r="AC24" s="82" t="n"/>
      <c r="AD24" s="82" t="n"/>
      <c r="AE24" s="82" t="n"/>
      <c r="AF24" s="12" t="n">
        <v>2.5</v>
      </c>
    </row>
    <row r="25" ht="379" customHeight="1">
      <c r="A25" s="12" t="inlineStr">
        <is>
          <t>IRIS2041</t>
        </is>
      </c>
      <c r="B25" s="10" t="inlineStr">
        <is>
          <t>Sandip Potkule</t>
        </is>
      </c>
      <c r="C25" s="12" t="inlineStr">
        <is>
          <t>Quality Assurance</t>
        </is>
      </c>
      <c r="D25" s="12" t="inlineStr">
        <is>
          <t>QA Engineer</t>
        </is>
      </c>
      <c r="E25" s="78" t="inlineStr">
        <is>
          <t>Senior QA Engineer</t>
        </is>
      </c>
      <c r="F25" s="12" t="inlineStr">
        <is>
          <t>Quality Assurance</t>
        </is>
      </c>
      <c r="G25" s="12" t="inlineStr">
        <is>
          <t>Functional &amp; Domain Testing</t>
        </is>
      </c>
      <c r="H25" s="12" t="inlineStr">
        <is>
          <t>IC</t>
        </is>
      </c>
      <c r="I25" s="42" t="inlineStr">
        <is>
          <t>L3 – Professional / Associate</t>
        </is>
      </c>
      <c r="J25" s="16" t="inlineStr">
        <is>
          <t>A3</t>
        </is>
      </c>
      <c r="K25" s="17" t="inlineStr">
        <is>
          <t>Senior Associate</t>
        </is>
      </c>
      <c r="L25" s="79" t="inlineStr">
        <is>
          <t>▲ Up</t>
        </is>
      </c>
      <c r="M25" s="12" t="inlineStr">
        <is>
          <t>iFile · Quality Assurance · Band A · Early career</t>
        </is>
      </c>
      <c r="N25" s="42" t="n">
        <v>2</v>
      </c>
      <c r="O25" s="42" t="n">
        <v>2</v>
      </c>
      <c r="P25" s="42" t="n">
        <v>2.5</v>
      </c>
      <c r="Q25" s="42" t="n">
        <v>1</v>
      </c>
      <c r="R25" s="42" t="n">
        <v>3.5</v>
      </c>
      <c r="S25" s="80" t="n">
        <v>2.5</v>
      </c>
      <c r="T25" s="81">
        <f>IF(OR($M25="",COUNT(N25,O25,P25,Q25,R25,S25)&lt;6),"",IFERROR(N25*INDEX(WM_C,MATCH($M25,WM_KEY,0))+O25*INDEX(WM_AU,MATCH($M25,WM_KEY,0))+P25*INDEX(WM_AC,MATCH($M25,WM_KEY,0))+Q25*INDEX(WM_L,MATCH($M25,WM_KEY,0))+R25*INDEX(WM_E,MATCH($M25,WM_KEY,0))+S25*INDEX(WM_BI,MATCH($M25,WM_KEY,0)),""))</f>
        <v>2.2</v>
      </c>
      <c r="U25" s="42" t="str">
        <f>IF(T25="","",INDEX({"A1","A2","A3","B1","B2","B3","C1","C2","D1","D2","E1","E2"},MAX(1,MIN(12,ROUND(T25,0)))))</f>
        <v>A2</v>
      </c>
      <c r="V25"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W25" s="12" t="inlineStr">
        <is>
          <r>
            <rPr>
              <rFont val="Calibri"/>
              <b val="1"/>
              <sz val="10"/>
            </rPr>
            <t>Complexity &amp; Expertise:</t>
          </r>
          <r>
            <rPr>
              <rFont val="Calibri"/>
              <sz val="10"/>
            </rPr>
            <t xml:space="preserve"> 2 of 12 — Start: 2.0 · practitioner title; Evidence reads like A2: KRA only: test case writing, execution, API testing and production-issue retesting for SBC → matches the start; KRA: “1. Manage end-to-end testing activities for the assigned projects, including planning, execution, and coordination with stakeholders. 2.…”
</t>
          </r>
          <r>
            <rPr>
              <rFont val="Calibri"/>
              <b val="1"/>
              <sz val="10"/>
            </rPr>
            <t>Autonomy &amp; Decision:</t>
          </r>
          <r>
            <rPr>
              <rFont val="Calibri"/>
              <sz val="10"/>
            </rPr>
            <t xml:space="preserve"> 2 of 12 — Start: 2.0 · practitioner title; Evidence reads like A2: No survey; KRA implies planning own testing and giving QA sign-off → matches the start
</t>
          </r>
          <r>
            <rPr>
              <rFont val="Calibri"/>
              <b val="1"/>
              <sz val="10"/>
            </rPr>
            <t>Accountability &amp; Impact:</t>
          </r>
          <r>
            <rPr>
              <rFont val="Calibri"/>
              <sz val="10"/>
            </rPr>
            <t xml:space="preserve"> 2.5 of 12 · between A2 and A3 — Start: 2.0 · practitioner title; Evidence reads like A3: KRA: formal QA sign-off to the client for production deployment on SBC → moved up 0.5; KRA: “1. Manage end-to-end testing activities for the assigned projects, including planning, execution, and coordination with stakeholders. 2.…”
</t>
          </r>
          <r>
            <rPr>
              <rFont val="Calibri"/>
              <b val="1"/>
              <sz val="10"/>
            </rPr>
            <t>Leadership &amp; Strategy:</t>
          </r>
          <r>
            <rPr>
              <rFont val="Calibri"/>
              <sz val="10"/>
            </rPr>
            <t xml:space="preserve"> 1 of 12 — not counted: the weight is 0% at this level — Start: 1.0 · individual contributor, so influence only; Evidence reads like A1: No survey text; KRA describes no people leadership → matches the start; Team: 0 direct reports · IC
</t>
          </r>
          <r>
            <rPr>
              <rFont val="Calibri"/>
              <b val="1"/>
              <sz val="10"/>
            </rPr>
            <t>Experience &amp; Qualification:</t>
          </r>
          <r>
            <rPr>
              <rFont val="Calibri"/>
              <sz val="10"/>
            </rPr>
            <t xml:space="preserve"> 3.5 of 12 · between A3 and B1 — Experience: 4.2 yrs total · 4.2 at IRIS; none recorded before IRIS = 3.5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5"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5" s="12" t="inlineStr">
        <is>
          <r>
            <rPr>
              <rFont val="Calibri"/>
              <sz val="10"/>
            </rPr>
            <t xml:space="preserve">✓ HRIS: 4.2 yrs, B.E, 0 direct reports
✗ Survey: no response
✓ KRAs: self, manager-set, quarterly
✓ Manager mapping: rating, potential, 9-box
✗ Job description: not on file
</t>
          </r>
          <r>
            <rPr>
              <rFont val="Calibri"/>
              <b val="1"/>
              <sz val="10"/>
            </rPr>
            <t>Confidence:</t>
          </r>
          <r>
            <rPr>
              <rFont val="Calibri"/>
              <sz val="10"/>
            </rPr>
            <t xml:space="preserve"> Medium</t>
          </r>
        </is>
      </c>
      <c r="Z25" s="12" t="inlineStr">
        <is>
          <t>—</t>
        </is>
      </c>
      <c r="AA25" s="12" t="inlineStr">
        <is>
          <t>Nothing outstanding</t>
        </is>
      </c>
      <c r="AB2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Trusted Professional.</t>
          </r>
        </is>
      </c>
      <c r="AC25" s="82" t="n"/>
      <c r="AD25" s="82" t="n"/>
      <c r="AE25" s="82" t="n"/>
      <c r="AF25" s="12" t="n">
        <v>2.5</v>
      </c>
    </row>
    <row r="26" ht="379" customHeight="1">
      <c r="A26" s="12" t="inlineStr">
        <is>
          <t>IRIS2227</t>
        </is>
      </c>
      <c r="B26" s="10" t="inlineStr">
        <is>
          <t>Suraj Govind Walhekar</t>
        </is>
      </c>
      <c r="C26" s="12" t="inlineStr">
        <is>
          <t>Quality Assurance</t>
        </is>
      </c>
      <c r="D26" s="12" t="inlineStr">
        <is>
          <t>QA Engineer</t>
        </is>
      </c>
      <c r="E26" s="78" t="inlineStr">
        <is>
          <t>Senior QA Engineer</t>
        </is>
      </c>
      <c r="F26" s="12" t="inlineStr">
        <is>
          <t>Quality Assurance</t>
        </is>
      </c>
      <c r="G26" s="12" t="inlineStr">
        <is>
          <t>Functional &amp; Domain Testing</t>
        </is>
      </c>
      <c r="H26" s="12" t="inlineStr">
        <is>
          <t>IC</t>
        </is>
      </c>
      <c r="I26" s="42" t="inlineStr">
        <is>
          <t>L3 – Professional / Associate</t>
        </is>
      </c>
      <c r="J26" s="16" t="inlineStr">
        <is>
          <t>A3</t>
        </is>
      </c>
      <c r="K26" s="17" t="inlineStr">
        <is>
          <t>Senior Associate</t>
        </is>
      </c>
      <c r="L26" s="79" t="inlineStr">
        <is>
          <t>▲ Up</t>
        </is>
      </c>
      <c r="M26" s="12" t="inlineStr">
        <is>
          <t>iFile · Quality Assurance · Band A · Early career</t>
        </is>
      </c>
      <c r="N26" s="42" t="n">
        <v>2</v>
      </c>
      <c r="O26" s="42" t="n">
        <v>2</v>
      </c>
      <c r="P26" s="42" t="n">
        <v>2.5</v>
      </c>
      <c r="Q26" s="42" t="n">
        <v>1</v>
      </c>
      <c r="R26" s="42" t="n">
        <v>4</v>
      </c>
      <c r="S26" s="80" t="n">
        <v>2.5</v>
      </c>
      <c r="T26" s="81">
        <f>IF(OR($M26="",COUNT(N26,O26,P26,Q26,R26,S26)&lt;6),"",IFERROR(N26*INDEX(WM_C,MATCH($M26,WM_KEY,0))+O26*INDEX(WM_AU,MATCH($M26,WM_KEY,0))+P26*INDEX(WM_AC,MATCH($M26,WM_KEY,0))+Q26*INDEX(WM_L,MATCH($M26,WM_KEY,0))+R26*INDEX(WM_E,MATCH($M26,WM_KEY,0))+S26*INDEX(WM_BI,MATCH($M26,WM_KEY,0)),""))</f>
        <v>2.25</v>
      </c>
      <c r="U26" s="42" t="str">
        <f>IF(T26="","",INDEX({"A1","A2","A3","B1","B2","B3","C1","C2","D1","D2","E1","E2"},MAX(1,MIN(12,ROUND(T26,0)))))</f>
        <v>A2</v>
      </c>
      <c r="V26"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5.4 years' experience is 2 years or more.
</t>
          </r>
          <r>
            <rPr>
              <rFont val="Calibri"/>
              <b val="1"/>
              <sz val="10"/>
            </rPr>
            <t>Final level:</t>
          </r>
          <r>
            <rPr>
              <rFont val="Calibri"/>
              <sz val="10"/>
            </rPr>
            <t xml:space="preserve"> A3.</t>
          </r>
        </is>
      </c>
      <c r="W26" s="12" t="inlineStr">
        <is>
          <r>
            <rPr>
              <rFont val="Calibri"/>
              <b val="1"/>
              <sz val="10"/>
            </rPr>
            <t>Complexity &amp; Expertise:</t>
          </r>
          <r>
            <rPr>
              <rFont val="Calibri"/>
              <sz val="10"/>
            </rPr>
            <t xml:space="preserve"> 2 of 12 — Start: 2.0 · practitioner title; Evidence reads like A2: Writes test cases, verifies fixes, regression and exploratory testing on SARB Phase 4 and MSME modules → matches the start; KRA: “1. Successfully execute functional, integration, regression, and UAT testing for all assigned SARB Phase 4 development activities. Ensure…”
</t>
          </r>
          <r>
            <rPr>
              <rFont val="Calibri"/>
              <b val="1"/>
              <sz val="10"/>
            </rPr>
            <t>Autonomy &amp; Decision:</t>
          </r>
          <r>
            <rPr>
              <rFont val="Calibri"/>
              <sz val="10"/>
            </rPr>
            <t xml:space="preserve"> 2 of 12 — Start: 2.0 · practitioner title; Evidence reads like A2: Names only managing daily schedule and routine emails → matches the start
</t>
          </r>
          <r>
            <rPr>
              <rFont val="Calibri"/>
              <b val="1"/>
              <sz val="10"/>
            </rPr>
            <t>Accountability &amp; Impact:</t>
          </r>
          <r>
            <rPr>
              <rFont val="Calibri"/>
              <sz val="10"/>
            </rPr>
            <t xml:space="preserve"> 2.5 of 12 · between A2 and A3 — Start: 2.0 · practitioner title; Evidence reads like A3: Verifies releases meet acceptance criteria; KRA expects QA sign-off on SARB Phase 4 → moved up 0.5; KRA: “1. Successfully execute functional, integration, regression, and UAT testing for all assigned SARB Phase 4 development activities. Ensure…”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4 of 12 — Experience: 5.4 yrs total · 2.8 before IRIS + 2.6 at IRIS = 4.0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6"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6" s="12" t="inlineStr">
        <is>
          <r>
            <rPr>
              <rFont val="Calibri"/>
              <sz val="10"/>
            </rPr>
            <t xml:space="preserve">✓ HRIS: 5.4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6" s="12" t="inlineStr">
        <is>
          <t>—</t>
        </is>
      </c>
      <c r="AA26" s="12" t="inlineStr">
        <is>
          <t>Nothing outstanding</t>
        </is>
      </c>
      <c r="AB2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4 · Potential: Medium · 9-Box Grid placement: High Impact / Growth Talent.</t>
          </r>
        </is>
      </c>
      <c r="AC26" s="82" t="n"/>
      <c r="AD26" s="82" t="n"/>
      <c r="AE26" s="82" t="n"/>
      <c r="AF26" s="12" t="n">
        <v>2.5</v>
      </c>
    </row>
    <row r="27" ht="379" customHeight="1">
      <c r="A27" s="12" t="inlineStr">
        <is>
          <t>IRIS2496</t>
        </is>
      </c>
      <c r="B27" s="10" t="inlineStr">
        <is>
          <t>Tejas Rane</t>
        </is>
      </c>
      <c r="C27" s="12" t="inlineStr">
        <is>
          <t>Quality Assurance</t>
        </is>
      </c>
      <c r="D27" s="12" t="inlineStr">
        <is>
          <t>QA Engineer</t>
        </is>
      </c>
      <c r="E27" s="78" t="inlineStr">
        <is>
          <t>Senior QA Engineer</t>
        </is>
      </c>
      <c r="F27" s="12" t="inlineStr">
        <is>
          <t>Quality Assurance</t>
        </is>
      </c>
      <c r="G27" s="12" t="inlineStr">
        <is>
          <t>Functional &amp; Domain Testing</t>
        </is>
      </c>
      <c r="H27" s="12" t="inlineStr">
        <is>
          <t>IC</t>
        </is>
      </c>
      <c r="I27" s="42" t="inlineStr">
        <is>
          <t>L3 – Professional / Associate</t>
        </is>
      </c>
      <c r="J27" s="16" t="inlineStr">
        <is>
          <t>A3</t>
        </is>
      </c>
      <c r="K27" s="17" t="inlineStr">
        <is>
          <t>Senior Associate</t>
        </is>
      </c>
      <c r="L27" s="79" t="inlineStr">
        <is>
          <t>▲ Up</t>
        </is>
      </c>
      <c r="M27" s="12" t="inlineStr">
        <is>
          <t>iFile · Quality Assurance · Band A · Early career</t>
        </is>
      </c>
      <c r="N27" s="42" t="n">
        <v>2</v>
      </c>
      <c r="O27" s="42" t="n">
        <v>2</v>
      </c>
      <c r="P27" s="42" t="n">
        <v>2</v>
      </c>
      <c r="Q27" s="42" t="n">
        <v>1</v>
      </c>
      <c r="R27" s="42" t="n">
        <v>4.5</v>
      </c>
      <c r="S27" s="80" t="n">
        <v>2</v>
      </c>
      <c r="T27" s="81">
        <f>IF(OR($M27="",COUNT(N27,O27,P27,Q27,R27,S27)&lt;6),"",IFERROR(N27*INDEX(WM_C,MATCH($M27,WM_KEY,0))+O27*INDEX(WM_AU,MATCH($M27,WM_KEY,0))+P27*INDEX(WM_AC,MATCH($M27,WM_KEY,0))+Q27*INDEX(WM_L,MATCH($M27,WM_KEY,0))+R27*INDEX(WM_E,MATCH($M27,WM_KEY,0))+S27*INDEX(WM_BI,MATCH($M27,WM_KEY,0)),""))</f>
        <v>2.25</v>
      </c>
      <c r="U27" s="42" t="str">
        <f>IF(T27="","",INDEX({"A1","A2","A3","B1","B2","B3","C1","C2","D1","D2","E1","E2"},MAX(1,MIN(12,ROUND(T27,0)))))</f>
        <v>A2</v>
      </c>
      <c r="V27"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4.9 years' experience is 2 years or more.
</t>
          </r>
          <r>
            <rPr>
              <rFont val="Calibri"/>
              <b val="1"/>
              <sz val="10"/>
            </rPr>
            <t>Final level:</t>
          </r>
          <r>
            <rPr>
              <rFont val="Calibri"/>
              <sz val="10"/>
            </rPr>
            <t xml:space="preserve"> A3.</t>
          </r>
        </is>
      </c>
      <c r="W27" s="12" t="inlineStr">
        <is>
          <r>
            <rPr>
              <rFont val="Calibri"/>
              <b val="1"/>
              <sz val="10"/>
            </rPr>
            <t>Complexity &amp; Expertise:</t>
          </r>
          <r>
            <rPr>
              <rFont val="Calibri"/>
              <sz val="10"/>
            </rPr>
            <t xml:space="preserve"> 2 of 12 — Start: 2.0 · practitioner title; Evidence reads like A2: Test case design, manual execution, regression and requirement review on Teapot/DynaForm against documented rules → matches the start; KRA: “1.Develop in-depth knowledge of the Teapot Portal, DynaForm Builder, and DynaForm features to independently test all assigned…”
</t>
          </r>
          <r>
            <rPr>
              <rFont val="Calibri"/>
              <b val="1"/>
              <sz val="10"/>
            </rPr>
            <t>Autonomy &amp; Decision:</t>
          </r>
          <r>
            <rPr>
              <rFont val="Calibri"/>
              <sz val="10"/>
            </rPr>
            <t xml:space="preserve"> 2 of 12 — Start: 2.0 · practitioner title; Evidence reads like A2: Decides test 'scope' and flags spec gaps; no further authority shown → matches the start
</t>
          </r>
          <r>
            <rPr>
              <rFont val="Calibri"/>
              <b val="1"/>
              <sz val="10"/>
            </rPr>
            <t>Accountability &amp; Impact:</t>
          </r>
          <r>
            <rPr>
              <rFont val="Calibri"/>
              <sz val="10"/>
            </rPr>
            <t xml:space="preserve"> 2 of 12 — Start: 2.0 · practitioner title; Evidence reads like A2: Own coverage, execution and defect reporting → matches the start; KRA: “1.Develop in-depth knowledge of the Teapot Portal, DynaForm Builder, and DynaForm features to independently test all assigned…”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4.5 of 12 · between B1 and B2 — Experience: 4.9 yrs total · 4.4 before IRIS + 0.5 at IRIS = 3.8 on the experience scale; Qualification: PG-DAC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7"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7" s="12" t="inlineStr">
        <is>
          <r>
            <rPr>
              <rFont val="Calibri"/>
              <sz val="10"/>
            </rPr>
            <t xml:space="preserve">✓ HRIS: 4.9 yrs, PG-DAC,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7" s="12" t="inlineStr">
        <is>
          <t>—</t>
        </is>
      </c>
      <c r="AA27" s="12" t="inlineStr">
        <is>
          <t>Nothing outstanding</t>
        </is>
      </c>
      <c r="AB2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Trusted Professional.</t>
          </r>
        </is>
      </c>
      <c r="AC27" s="82" t="n"/>
      <c r="AD27" s="82" t="n"/>
      <c r="AE27" s="82" t="n"/>
      <c r="AF27" s="12" t="n">
        <v>2</v>
      </c>
    </row>
    <row r="28" ht="379" customHeight="1">
      <c r="A28" s="12" t="inlineStr">
        <is>
          <t>IRIS2456</t>
        </is>
      </c>
      <c r="B28" s="10" t="inlineStr">
        <is>
          <t>Vishal Khare</t>
        </is>
      </c>
      <c r="C28" s="12" t="inlineStr">
        <is>
          <t>Quality Assurance</t>
        </is>
      </c>
      <c r="D28" s="12" t="inlineStr">
        <is>
          <t>QA Engineer</t>
        </is>
      </c>
      <c r="E28" s="78" t="inlineStr">
        <is>
          <t>Senior QA Engineer</t>
        </is>
      </c>
      <c r="F28" s="12" t="inlineStr">
        <is>
          <t>Quality Assurance</t>
        </is>
      </c>
      <c r="G28" s="12" t="inlineStr">
        <is>
          <t>Functional &amp; Domain Testing</t>
        </is>
      </c>
      <c r="H28" s="12" t="inlineStr">
        <is>
          <t>IC</t>
        </is>
      </c>
      <c r="I28" s="42" t="inlineStr">
        <is>
          <t>L3 – Professional / Associate</t>
        </is>
      </c>
      <c r="J28" s="16" t="inlineStr">
        <is>
          <t>A3</t>
        </is>
      </c>
      <c r="K28" s="17" t="inlineStr">
        <is>
          <t>Senior Associate</t>
        </is>
      </c>
      <c r="L28" s="79" t="inlineStr">
        <is>
          <t>▲ Up</t>
        </is>
      </c>
      <c r="M28" s="12" t="inlineStr">
        <is>
          <t>iFile · Quality Assurance · Band A · Early career</t>
        </is>
      </c>
      <c r="N28" s="42" t="n">
        <v>2.5</v>
      </c>
      <c r="O28" s="42" t="n">
        <v>2</v>
      </c>
      <c r="P28" s="42" t="n">
        <v>2.5</v>
      </c>
      <c r="Q28" s="42" t="n">
        <v>1</v>
      </c>
      <c r="R28" s="42" t="n">
        <v>3.5</v>
      </c>
      <c r="S28" s="80" t="n">
        <v>2.5</v>
      </c>
      <c r="T28" s="81">
        <f>IF(OR($M28="",COUNT(N28,O28,P28,Q28,R28,S28)&lt;6),"",IFERROR(N28*INDEX(WM_C,MATCH($M28,WM_KEY,0))+O28*INDEX(WM_AU,MATCH($M28,WM_KEY,0))+P28*INDEX(WM_AC,MATCH($M28,WM_KEY,0))+Q28*INDEX(WM_L,MATCH($M28,WM_KEY,0))+R28*INDEX(WM_E,MATCH($M28,WM_KEY,0))+S28*INDEX(WM_BI,MATCH($M28,WM_KEY,0)),""))</f>
        <v>2.52</v>
      </c>
      <c r="U28" s="42" t="str">
        <f>IF(T28="","",INDEX({"A1","A2","A3","B1","B2","B3","C1","C2","D1","D2","E1","E2"},MAX(1,MIN(12,ROUND(T28,0)))))</f>
        <v>A3</v>
      </c>
      <c r="V28" s="12" t="inlineStr">
        <is>
          <r>
            <rPr>
              <rFont val="Calibri"/>
              <sz val="10"/>
            </rPr>
            <t xml:space="preserve">New level A3 · Senior Associate. Current level on record: L3 – Professional / Associate. Change: ▲ Up.
Score 2.52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8" s="12" t="inlineStr">
        <is>
          <r>
            <rPr>
              <rFont val="Calibri"/>
              <b val="1"/>
              <sz val="10"/>
            </rPr>
            <t>Complexity &amp; Expertise:</t>
          </r>
          <r>
            <rPr>
              <rFont val="Calibri"/>
              <sz val="10"/>
            </rPr>
            <t xml:space="preserve"> 2.5 of 12 · between A2 and A3 — Start: 2.0 · practitioner title; Evidence reads like A3: Functional/regression testing plus UAT at client site, installer and XBRL return testing, client issue reproduction → moved up 0.5; KRA: “1. Vishal has shown excellent progress over the past six months by quickly understanding one of the organization's most complex projects…”
</t>
          </r>
          <r>
            <rPr>
              <rFont val="Calibri"/>
              <b val="1"/>
              <sz val="10"/>
            </rPr>
            <t>Autonomy &amp; Decision:</t>
          </r>
          <r>
            <rPr>
              <rFont val="Calibri"/>
              <sz val="10"/>
            </rPr>
            <t xml:space="preserve"> 2 of 12 — Start: 2.0 · practitioner title; Evidence reads like A2: Names only test case writing as own decision → matches the start
</t>
          </r>
          <r>
            <rPr>
              <rFont val="Calibri"/>
              <b val="1"/>
              <sz val="10"/>
            </rPr>
            <t>Accountability &amp; Impact:</t>
          </r>
          <r>
            <rPr>
              <rFont val="Calibri"/>
              <sz val="10"/>
            </rPr>
            <t xml:space="preserve"> 2.5 of 12 · between A2 and A3 — Start: 2.0 · practitioner title; Evidence reads like A3: Performs UAT on the client's own environment; product demonstrations; client support → moved up 0.5; KRA: “1. Vishal has shown excellent progress over the past six months by quickly understanding one of the organization's most complex projects…”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4.1 yrs total · 3.3 before IRIS + 0.8 at IRIS = 3.4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8"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8" s="12" t="inlineStr">
        <is>
          <r>
            <rPr>
              <rFont val="Calibri"/>
              <sz val="10"/>
            </rPr>
            <t xml:space="preserve">✓ HRIS: 4.1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8" s="84" t="inlineStr">
        <is>
          <r>
            <rPr>
              <rFont val="Calibri"/>
              <color rgb="009C5700"/>
              <sz val="10"/>
            </rPr>
            <t xml:space="preserve">• </t>
          </r>
          <r>
            <rPr>
              <rFont val="Calibri"/>
              <b val="1"/>
              <color rgb="009C5700"/>
              <sz val="10"/>
            </rPr>
            <t>Close call:</t>
          </r>
          <r>
            <rPr>
              <rFont val="Calibri"/>
              <color rgb="009C5700"/>
              <sz val="10"/>
            </rPr>
            <t xml:space="preserve"> score 2.52 is within 0.05 of a rounding point</t>
          </r>
        </is>
      </c>
      <c r="AA28" s="12" t="inlineStr">
        <is>
          <t>Nothing outstanding</t>
        </is>
      </c>
      <c r="AB2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Emerging Talent.</t>
          </r>
        </is>
      </c>
      <c r="AC28" s="82" t="n"/>
      <c r="AD28" s="82" t="n"/>
      <c r="AE28" s="82" t="n"/>
      <c r="AF28" s="12" t="n">
        <v>2.5</v>
      </c>
    </row>
    <row r="29" ht="379" customHeight="1">
      <c r="A29" s="12" t="inlineStr">
        <is>
          <t>IRIS2562</t>
        </is>
      </c>
      <c r="B29" s="10" t="inlineStr">
        <is>
          <t>Sanskruti Varade</t>
        </is>
      </c>
      <c r="C29" s="12" t="inlineStr">
        <is>
          <t>Quality Assurance</t>
        </is>
      </c>
      <c r="D29" s="12" t="inlineStr">
        <is>
          <t>QA Engineer</t>
        </is>
      </c>
      <c r="E29" s="12" t="inlineStr">
        <is>
          <t>QA Engineer</t>
        </is>
      </c>
      <c r="F29" s="12" t="inlineStr">
        <is>
          <t>Quality Assurance</t>
        </is>
      </c>
      <c r="G29" s="12" t="inlineStr">
        <is>
          <t>Functional &amp; Domain Testing</t>
        </is>
      </c>
      <c r="H29" s="12" t="inlineStr">
        <is>
          <t>IC</t>
        </is>
      </c>
      <c r="I29" s="42" t="inlineStr">
        <is>
          <t>Not in current mapping files</t>
        </is>
      </c>
      <c r="J29" s="16" t="inlineStr">
        <is>
          <t>A2</t>
        </is>
      </c>
      <c r="K29" s="17" t="inlineStr">
        <is>
          <t>Associate</t>
        </is>
      </c>
      <c r="L29" s="85" t="inlineStr">
        <is>
          <t>● Newly mapped</t>
        </is>
      </c>
      <c r="M29" s="12" t="inlineStr">
        <is>
          <t>iFile · Quality Assurance · Band A · Early career</t>
        </is>
      </c>
      <c r="N29" s="42" t="n">
        <v>2</v>
      </c>
      <c r="O29" s="42" t="n">
        <v>2</v>
      </c>
      <c r="P29" s="42" t="n">
        <v>2.5</v>
      </c>
      <c r="Q29" s="42" t="n">
        <v>1</v>
      </c>
      <c r="R29" s="42" t="n">
        <v>2</v>
      </c>
      <c r="S29" s="80" t="n">
        <v>2.5</v>
      </c>
      <c r="T29" s="81">
        <f>IF(OR($M29="",COUNT(N29,O29,P29,Q29,R29,S29)&lt;6),"",IFERROR(N29*INDEX(WM_C,MATCH($M29,WM_KEY,0))+O29*INDEX(WM_AU,MATCH($M29,WM_KEY,0))+P29*INDEX(WM_AC,MATCH($M29,WM_KEY,0))+Q29*INDEX(WM_L,MATCH($M29,WM_KEY,0))+R29*INDEX(WM_E,MATCH($M29,WM_KEY,0))+S29*INDEX(WM_BI,MATCH($M29,WM_KEY,0)),""))</f>
        <v>2.05</v>
      </c>
      <c r="U29" s="42" t="str">
        <f>IF(T29="","",INDEX({"A1","A2","A3","B1","B2","B3","C1","C2","D1","D2","E1","E2"},MAX(1,MIN(12,ROUND(T29,0)))))</f>
        <v>A2</v>
      </c>
      <c r="V29" s="12" t="inlineStr">
        <is>
          <r>
            <rPr>
              <rFont val="Calibri"/>
              <sz val="10"/>
            </rPr>
            <t xml:space="preserve">New level A2 · Associate. Current level on record: Not in current mapping files. Change: ● Newly mapped.
Score 2.05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A2.</t>
          </r>
        </is>
      </c>
      <c r="W29" s="12" t="inlineStr">
        <is>
          <r>
            <rPr>
              <rFont val="Calibri"/>
              <b val="1"/>
              <sz val="10"/>
            </rPr>
            <t>Complexity &amp; Expertise:</t>
          </r>
          <r>
            <rPr>
              <rFont val="Calibri"/>
              <sz val="10"/>
            </rPr>
            <t xml:space="preserve"> 2 of 12 — Start: 2.0 · practitioner title; Evidence: rated like 10 colleagues in the same role and department · own answers too general to rate → no change
</t>
          </r>
          <r>
            <rPr>
              <rFont val="Calibri"/>
              <b val="1"/>
              <sz val="10"/>
            </rPr>
            <t>Autonomy &amp; Decision:</t>
          </r>
          <r>
            <rPr>
              <rFont val="Calibri"/>
              <sz val="10"/>
            </rPr>
            <t xml:space="preserve"> 2 of 12 — Start: 2.0 · practitioner title; Evidence: rated like 10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10 colleagues in the same role and department · own answers too general to rate → moved +0.5
</t>
          </r>
          <r>
            <rPr>
              <rFont val="Calibri"/>
              <b val="1"/>
              <sz val="10"/>
            </rPr>
            <t>Leadership &amp; Strategy:</t>
          </r>
          <r>
            <rPr>
              <rFont val="Calibri"/>
              <sz val="10"/>
            </rPr>
            <t xml:space="preserve"> 1 of 12 — not counted: the weight is 0% at this level — Start: 1.0 · individual contributor, so influence only; Evidence: rated like 10 colleagues in the same role and department · own answers too general to rate → no change; Team: 0 direct reports · IC
</t>
          </r>
          <r>
            <rPr>
              <rFont val="Calibri"/>
              <b val="1"/>
              <sz val="10"/>
            </rPr>
            <t>Experience &amp; Qualification:</t>
          </r>
          <r>
            <rPr>
              <rFont val="Calibri"/>
              <sz val="10"/>
            </rPr>
            <t xml:space="preserve"> 2 of 12 — Experience: not on record · input needed from HR, so set at the role's own level: it neither helps nor hurts; Qualification: B.Sc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9"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QA Engineer / QA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ISTQB Foundation → Advanced → Expert; SFIA testing</t>
          </r>
        </is>
      </c>
      <c r="Y29" s="12" t="inlineStr">
        <is>
          <r>
            <rPr>
              <rFont val="Calibri"/>
              <sz val="10"/>
            </rPr>
            <t xml:space="preserve">✗ HRIS: experience missing, B.Sc, 0 direct reports
✓ Survey: 20 of 20 questions answered
✗ KRAs: none on file
✓ Manager mapping: rating, 9-box
✗ Job description: not on file
</t>
          </r>
          <r>
            <rPr>
              <rFont val="Calibri"/>
              <b val="1"/>
              <sz val="10"/>
            </rPr>
            <t>Confidence:</t>
          </r>
          <r>
            <rPr>
              <rFont val="Calibri"/>
              <sz val="10"/>
            </rPr>
            <t xml:space="preserve"> Low</t>
          </r>
        </is>
      </c>
      <c r="Z29" s="84" t="inlineStr">
        <is>
          <r>
            <rPr>
              <rFont val="Calibri"/>
              <color rgb="009C5700"/>
              <sz val="10"/>
            </rPr>
            <t xml:space="preserve">• </t>
          </r>
          <r>
            <rPr>
              <rFont val="Calibri"/>
              <b val="1"/>
              <color rgb="009C5700"/>
              <sz val="10"/>
            </rPr>
            <t>Provisional:</t>
          </r>
          <r>
            <rPr>
              <rFont val="Calibri"/>
              <color rgb="009C5700"/>
              <sz val="10"/>
            </rPr>
            <t xml:space="preserve"> experience to be confirmed by HR</t>
          </r>
        </is>
      </c>
      <c r="AA29" s="86" t="inlineStr">
        <is>
          <t>• Total experience · outside + at IRIS — HR — HRIS
• Confirm prior experience · provisional placement — HR</t>
        </is>
      </c>
      <c r="AB2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production · issues · client.
Manager talent mapping — Latest rating: Not rated · manager · 9-Box Grid placement: Not placed · manager.</t>
          </r>
        </is>
      </c>
      <c r="AC29" s="82" t="n"/>
      <c r="AD29" s="82" t="n"/>
      <c r="AE29" s="82" t="n"/>
      <c r="AF29" s="12" t="n">
        <v>2.5</v>
      </c>
    </row>
    <row r="30" ht="132" customHeight="1">
      <c r="A30" s="12" t="inlineStr">
        <is>
          <t>IRIS2452</t>
        </is>
      </c>
      <c r="B30" s="10" t="inlineStr">
        <is>
          <t>Chinmay Dambe</t>
        </is>
      </c>
      <c r="C30" s="12" t="inlineStr">
        <is>
          <t>Quality Assurance</t>
        </is>
      </c>
      <c r="D30" s="12" t="inlineStr">
        <is>
          <t>Trainee QA Engineer</t>
        </is>
      </c>
      <c r="E30" s="78" t="inlineStr">
        <is>
          <t>Trainee QA Automation Engineer</t>
        </is>
      </c>
      <c r="F30" s="12" t="inlineStr">
        <is>
          <t>Quality Assurance</t>
        </is>
      </c>
      <c r="G30" s="12" t="inlineStr">
        <is>
          <t>Test Automation</t>
        </is>
      </c>
      <c r="H30" s="12" t="inlineStr">
        <is>
          <t>IC</t>
        </is>
      </c>
      <c r="I30" s="42" t="inlineStr">
        <is>
          <t>L2 – Trainee</t>
        </is>
      </c>
      <c r="J30" s="16" t="inlineStr">
        <is>
          <t>A1</t>
        </is>
      </c>
      <c r="K30" s="17" t="inlineStr">
        <is>
          <t>Intern / Trainee</t>
        </is>
      </c>
      <c r="L30" s="87" t="inlineStr">
        <is>
          <t>• Same level</t>
        </is>
      </c>
      <c r="M30" s="12" t="inlineStr">
        <is>
          <t>—</t>
        </is>
      </c>
      <c r="N30" s="42" t="inlineStr">
        <is>
          <t>—</t>
        </is>
      </c>
      <c r="O30" s="42" t="inlineStr">
        <is>
          <t>—</t>
        </is>
      </c>
      <c r="P30" s="42" t="inlineStr">
        <is>
          <t>—</t>
        </is>
      </c>
      <c r="Q30" s="42" t="inlineStr">
        <is>
          <t>—</t>
        </is>
      </c>
      <c r="R30" s="42" t="inlineStr">
        <is>
          <t>—</t>
        </is>
      </c>
      <c r="S30" s="80" t="inlineStr">
        <is>
          <t>—</t>
        </is>
      </c>
      <c r="T30" s="81" t="inlineStr">
        <is>
          <t>—</t>
        </is>
      </c>
      <c r="U30" s="42" t="inlineStr">
        <is>
          <t>Not scored</t>
        </is>
      </c>
      <c r="V30" s="12" t="inlineStr">
        <is>
          <t>New level A1 · Intern / Trainee. Current level on record: L2 – Trainee. Change: • Same level.
Interns and first-year trainees start at A1.</t>
        </is>
      </c>
      <c r="W30" s="12" t="inlineStr">
        <is>
          <r>
            <rPr>
              <rFont val="Calibri"/>
              <b val="1"/>
              <sz val="10"/>
            </rPr>
            <t>Not scored:</t>
          </r>
          <r>
            <rPr>
              <rFont val="Calibri"/>
              <sz val="10"/>
            </rPr>
            <t xml:space="preserve"> interns and first-year trainees start at A1.</t>
          </r>
        </is>
      </c>
      <c r="X30"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QA Engineer
</t>
          </r>
          <r>
            <rPr>
              <rFont val="Calibri"/>
              <b val="1"/>
              <sz val="10"/>
            </rPr>
            <t>Standard:</t>
          </r>
          <r>
            <rPr>
              <rFont val="Calibri"/>
              <sz val="10"/>
            </rPr>
            <t xml:space="preserve"> ISTQB Foundation → Advanced → Expert; SFIA testing</t>
          </r>
        </is>
      </c>
      <c r="Y30" s="12" t="inlineStr">
        <is>
          <r>
            <rPr>
              <rFont val="Calibri"/>
              <sz val="10"/>
            </rPr>
            <t xml:space="preserve">✓ HRIS: 0.8 yrs, B.E, 0 direct reports
✓ Survey: 19 of 20 questions answered
✓ KRAs: self, manager-set, quarterly
✓ Manager mapping: rating, potential, 9-box
✗ Job description: not on file
</t>
          </r>
          <r>
            <rPr>
              <rFont val="Calibri"/>
              <b val="1"/>
              <sz val="10"/>
            </rPr>
            <t>Confidence:</t>
          </r>
          <r>
            <rPr>
              <rFont val="Calibri"/>
              <sz val="10"/>
            </rPr>
            <t xml:space="preserve"> Medium</t>
          </r>
        </is>
      </c>
      <c r="Z30" s="12" t="inlineStr">
        <is>
          <t>—</t>
        </is>
      </c>
      <c r="AA30" s="12" t="inlineStr">
        <is>
          <t>Nothing outstanding</t>
        </is>
      </c>
      <c r="AB30"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defects · production · delays · rework.
</t>
          </r>
          <r>
            <rPr>
              <rFont val="Calibri"/>
              <b val="1"/>
              <sz val="10"/>
            </rPr>
            <t>Measured on · manager-set KRA themes:</t>
          </r>
          <r>
            <rPr>
              <rFont val="Calibri"/>
              <sz val="10"/>
            </rPr>
            <t xml:space="preserve"> learning · defect · test · assigned · execution · resolve.
Manager talent mapping — Latest rating: 3 · Potential: Medium · 9-Box Grid placement: High Impact / Growth Talent.</t>
          </r>
        </is>
      </c>
      <c r="AC30" s="82" t="n"/>
      <c r="AD30" s="82" t="n"/>
      <c r="AE30" s="82" t="n"/>
      <c r="AF30" s="12" t="inlineStr">
        <is>
          <t>—</t>
        </is>
      </c>
    </row>
    <row r="31" ht="132" customHeight="1">
      <c r="A31" s="12" t="inlineStr">
        <is>
          <t>IRIS2453</t>
        </is>
      </c>
      <c r="B31" s="10" t="inlineStr">
        <is>
          <t>Mahesh Dhokale</t>
        </is>
      </c>
      <c r="C31" s="12" t="inlineStr">
        <is>
          <t>Quality Assurance</t>
        </is>
      </c>
      <c r="D31" s="12" t="inlineStr">
        <is>
          <t>Trainee QA Engineer</t>
        </is>
      </c>
      <c r="E31" s="78" t="inlineStr">
        <is>
          <t>Trainee QA Automation Engineer</t>
        </is>
      </c>
      <c r="F31" s="12" t="inlineStr">
        <is>
          <t>Quality Assurance</t>
        </is>
      </c>
      <c r="G31" s="12" t="inlineStr">
        <is>
          <t>Test Automation</t>
        </is>
      </c>
      <c r="H31" s="12" t="inlineStr">
        <is>
          <t>IC</t>
        </is>
      </c>
      <c r="I31" s="42" t="inlineStr">
        <is>
          <t>L2 – Trainee</t>
        </is>
      </c>
      <c r="J31" s="16" t="inlineStr">
        <is>
          <t>A1</t>
        </is>
      </c>
      <c r="K31" s="17" t="inlineStr">
        <is>
          <t>Intern / Trainee</t>
        </is>
      </c>
      <c r="L31" s="87" t="inlineStr">
        <is>
          <t>• Same level</t>
        </is>
      </c>
      <c r="M31" s="12" t="inlineStr">
        <is>
          <t>—</t>
        </is>
      </c>
      <c r="N31" s="42" t="inlineStr">
        <is>
          <t>—</t>
        </is>
      </c>
      <c r="O31" s="42" t="inlineStr">
        <is>
          <t>—</t>
        </is>
      </c>
      <c r="P31" s="42" t="inlineStr">
        <is>
          <t>—</t>
        </is>
      </c>
      <c r="Q31" s="42" t="inlineStr">
        <is>
          <t>—</t>
        </is>
      </c>
      <c r="R31" s="42" t="inlineStr">
        <is>
          <t>—</t>
        </is>
      </c>
      <c r="S31" s="80" t="inlineStr">
        <is>
          <t>—</t>
        </is>
      </c>
      <c r="T31" s="81" t="inlineStr">
        <is>
          <t>—</t>
        </is>
      </c>
      <c r="U31" s="42" t="inlineStr">
        <is>
          <t>Not scored</t>
        </is>
      </c>
      <c r="V31" s="12" t="inlineStr">
        <is>
          <t>New level A1 · Intern / Trainee. Current level on record: L2 – Trainee. Change: • Same level.
Interns and first-year trainees start at A1.</t>
        </is>
      </c>
      <c r="W31" s="12" t="inlineStr">
        <is>
          <r>
            <rPr>
              <rFont val="Calibri"/>
              <b val="1"/>
              <sz val="10"/>
            </rPr>
            <t>Not scored:</t>
          </r>
          <r>
            <rPr>
              <rFont val="Calibri"/>
              <sz val="10"/>
            </rPr>
            <t xml:space="preserve"> interns and first-year trainees start at A1.</t>
          </r>
        </is>
      </c>
      <c r="X31"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QA Engineer
</t>
          </r>
          <r>
            <rPr>
              <rFont val="Calibri"/>
              <b val="1"/>
              <sz val="10"/>
            </rPr>
            <t>Standard:</t>
          </r>
          <r>
            <rPr>
              <rFont val="Calibri"/>
              <sz val="10"/>
            </rPr>
            <t xml:space="preserve"> ISTQB Foundation → Advanced → Expert; SFIA testing</t>
          </r>
        </is>
      </c>
      <c r="Y31" s="12" t="inlineStr">
        <is>
          <r>
            <rPr>
              <rFont val="Calibri"/>
              <sz val="10"/>
            </rPr>
            <t xml:space="preserve">✓ HRIS: 0.8 yrs, MCA, 0 direct reports
✓ Survey: 20 of 20 questions answered
✓ KRAs: manager-set, quarterly
✓ Manager mapping: rating, potential, 9-box
✗ Job description: not on file
</t>
          </r>
          <r>
            <rPr>
              <rFont val="Calibri"/>
              <b val="1"/>
              <sz val="10"/>
            </rPr>
            <t>Confidence:</t>
          </r>
          <r>
            <rPr>
              <rFont val="Calibri"/>
              <sz val="10"/>
            </rPr>
            <t xml:space="preserve"> Low</t>
          </r>
        </is>
      </c>
      <c r="Z31" s="12" t="inlineStr">
        <is>
          <t>—</t>
        </is>
      </c>
      <c r="AA31" s="12" t="inlineStr">
        <is>
          <t>Nothing outstanding</t>
        </is>
      </c>
      <c r="AB31"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defects · production · delays · rework.
</t>
          </r>
          <r>
            <rPr>
              <rFont val="Calibri"/>
              <b val="1"/>
              <sz val="10"/>
            </rPr>
            <t>Measured on · manager-set KRA themes:</t>
          </r>
          <r>
            <rPr>
              <rFont val="Calibri"/>
              <sz val="10"/>
            </rPr>
            <t xml:space="preserve"> learning · defect · test · assigned · execution · resolve.
Manager talent mapping — Latest rating: 3 · Potential: Medium · 9-Box Grid placement: Core Contributor.</t>
          </r>
        </is>
      </c>
      <c r="AC31" s="82" t="n"/>
      <c r="AD31" s="82" t="n"/>
      <c r="AE31" s="82" t="n"/>
      <c r="AF31" s="12" t="inlineStr">
        <is>
          <t>—</t>
        </is>
      </c>
    </row>
    <row r="32" ht="93" customHeight="1">
      <c r="A32" s="12" t="inlineStr">
        <is>
          <t>INTN0288</t>
        </is>
      </c>
      <c r="B32" s="10" t="inlineStr">
        <is>
          <t>Yugal Kishore Singh</t>
        </is>
      </c>
      <c r="C32" s="12" t="inlineStr">
        <is>
          <t>Quality Assurance</t>
        </is>
      </c>
      <c r="D32" s="12" t="inlineStr">
        <is>
          <t>Intern</t>
        </is>
      </c>
      <c r="E32" s="78" t="inlineStr">
        <is>
          <t>Intern – Functional &amp; Domain Testing</t>
        </is>
      </c>
      <c r="F32" s="12" t="inlineStr">
        <is>
          <t>Quality Assurance</t>
        </is>
      </c>
      <c r="G32" s="12" t="inlineStr">
        <is>
          <t>Functional &amp; Domain Testing</t>
        </is>
      </c>
      <c r="H32" s="12" t="inlineStr">
        <is>
          <t>IC</t>
        </is>
      </c>
      <c r="I32" s="42" t="inlineStr">
        <is>
          <t>L1 – Intern</t>
        </is>
      </c>
      <c r="J32" s="16" t="inlineStr">
        <is>
          <t>A1</t>
        </is>
      </c>
      <c r="K32" s="17" t="inlineStr">
        <is>
          <t>Intern / Trainee</t>
        </is>
      </c>
      <c r="L32" s="87" t="inlineStr">
        <is>
          <t>• Same level</t>
        </is>
      </c>
      <c r="M32" s="12" t="inlineStr">
        <is>
          <t>—</t>
        </is>
      </c>
      <c r="N32" s="42" t="inlineStr">
        <is>
          <t>—</t>
        </is>
      </c>
      <c r="O32" s="42" t="inlineStr">
        <is>
          <t>—</t>
        </is>
      </c>
      <c r="P32" s="42" t="inlineStr">
        <is>
          <t>—</t>
        </is>
      </c>
      <c r="Q32" s="42" t="inlineStr">
        <is>
          <t>—</t>
        </is>
      </c>
      <c r="R32" s="42" t="inlineStr">
        <is>
          <t>—</t>
        </is>
      </c>
      <c r="S32" s="80" t="inlineStr">
        <is>
          <t>—</t>
        </is>
      </c>
      <c r="T32" s="81" t="inlineStr">
        <is>
          <t>—</t>
        </is>
      </c>
      <c r="U32" s="42" t="inlineStr">
        <is>
          <t>Not scored</t>
        </is>
      </c>
      <c r="V32" s="12" t="inlineStr">
        <is>
          <t>New level A1 · Intern / Trainee. Current level on record: L1 – Intern. Change: • Same level.
Interns and first-year trainees start at A1.</t>
        </is>
      </c>
      <c r="W32" s="12" t="inlineStr">
        <is>
          <r>
            <rPr>
              <rFont val="Calibri"/>
              <b val="1"/>
              <sz val="10"/>
            </rPr>
            <t>Not scored:</t>
          </r>
          <r>
            <rPr>
              <rFont val="Calibri"/>
              <sz val="10"/>
            </rPr>
            <t xml:space="preserve"> interns and first-year trainees start at A1.</t>
          </r>
        </is>
      </c>
      <c r="X32"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QA Engineer
</t>
          </r>
          <r>
            <rPr>
              <rFont val="Calibri"/>
              <b val="1"/>
              <sz val="10"/>
            </rPr>
            <t>Standard:</t>
          </r>
          <r>
            <rPr>
              <rFont val="Calibri"/>
              <sz val="10"/>
            </rPr>
            <t xml:space="preserve"> ISTQB Foundation → Advanced → Expert; SFIA testing</t>
          </r>
        </is>
      </c>
      <c r="Y32" s="12" t="inlineStr">
        <is>
          <r>
            <rPr>
              <rFont val="Calibri"/>
              <sz val="10"/>
            </rPr>
            <t xml:space="preserve">✓ HRIS: 4.3 yrs, B.Sc,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32" s="12" t="inlineStr">
        <is>
          <t>—</t>
        </is>
      </c>
      <c r="AA32" s="12" t="inlineStr">
        <is>
          <t>Nothing outstanding</t>
        </is>
      </c>
      <c r="AB32"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production · issues · client.
Manager talent mapping — Latest rating: 3 · Potential: Medium · 9-Box Grid placement: High Impact / Growth Talent.</t>
          </r>
        </is>
      </c>
      <c r="AC32" s="82" t="n"/>
      <c r="AD32" s="82" t="n"/>
      <c r="AE32" s="82" t="n"/>
      <c r="AF32" s="12" t="inlineStr">
        <is>
          <t>—</t>
        </is>
      </c>
    </row>
    <row r="33" ht="379" customHeight="1">
      <c r="A33" s="12" t="inlineStr">
        <is>
          <t>IRIS0012</t>
        </is>
      </c>
      <c r="B33" s="10" t="inlineStr">
        <is>
          <t>Shailesh Gupta</t>
        </is>
      </c>
      <c r="C33" s="12" t="inlineStr">
        <is>
          <t>Sales</t>
        </is>
      </c>
      <c r="D33" s="12" t="inlineStr">
        <is>
          <t>Business Head – SupTech &amp; Bank-RegTech</t>
        </is>
      </c>
      <c r="E33" s="12" t="inlineStr">
        <is>
          <t>Business Head – SupTech &amp; Bank-RegTech</t>
        </is>
      </c>
      <c r="F33" s="12" t="inlineStr">
        <is>
          <t>Executive Leadership</t>
        </is>
      </c>
      <c r="G33" s="12" t="inlineStr">
        <is>
          <t>Business &amp; Functional Leadership</t>
        </is>
      </c>
      <c r="H33" s="12" t="inlineStr">
        <is>
          <t>People Manager</t>
        </is>
      </c>
      <c r="I33" s="42" t="inlineStr">
        <is>
          <t>Not in current mapping files</t>
        </is>
      </c>
      <c r="J33" s="32" t="inlineStr">
        <is>
          <t>D2</t>
        </is>
      </c>
      <c r="K33" s="33" t="inlineStr">
        <is>
          <t>Vice President</t>
        </is>
      </c>
      <c r="L33" s="85" t="inlineStr">
        <is>
          <t>● Newly mapped</t>
        </is>
      </c>
      <c r="M33" s="12" t="inlineStr">
        <is>
          <t>iFile · Sales · Bands D–E · Leadership</t>
        </is>
      </c>
      <c r="N33" s="42" t="n">
        <v>9</v>
      </c>
      <c r="O33" s="42" t="n">
        <v>9</v>
      </c>
      <c r="P33" s="42" t="n">
        <v>9</v>
      </c>
      <c r="Q33" s="42" t="n">
        <v>9</v>
      </c>
      <c r="R33" s="42" t="n">
        <v>11</v>
      </c>
      <c r="S33" s="80" t="n">
        <v>9</v>
      </c>
      <c r="T33" s="81">
        <f>IF(OR($M33="",COUNT(N33,O33,P33,Q33,R33,S33)&lt;6),"",IFERROR(N33*INDEX(WM_C,MATCH($M33,WM_KEY,0))+O33*INDEX(WM_AU,MATCH($M33,WM_KEY,0))+P33*INDEX(WM_AC,MATCH($M33,WM_KEY,0))+Q33*INDEX(WM_L,MATCH($M33,WM_KEY,0))+R33*INDEX(WM_E,MATCH($M33,WM_KEY,0))+S33*INDEX(WM_BI,MATCH($M33,WM_KEY,0)),""))</f>
        <v>9.1</v>
      </c>
      <c r="U33" s="42" t="str">
        <f>IF(T33="","",INDEX({"A1","A2","A3","B1","B2","B3","C1","C2","D1","D2","E1","E2"},MAX(1,MIN(12,ROUND(T33,0)))))</f>
        <v>D1</v>
      </c>
      <c r="V33" s="12" t="inlineStr">
        <is>
          <r>
            <rPr>
              <rFont val="Calibri"/>
              <sz val="10"/>
            </rPr>
            <t xml:space="preserve">New level D2 · Vice President. Current level on record: Not in current mapping files. Change: ● Newly mapped.
Score 9.10 on the ladder scale → indicated level D1.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D2:</t>
          </r>
          <r>
            <rPr>
              <rFont val="Calibri"/>
              <sz val="10"/>
            </rPr>
            <t xml:space="preserve"> reports directly to Balachandran K; anyone in Band D reporting to an E1 or E2 sits at D2.
</t>
          </r>
          <r>
            <rPr>
              <rFont val="Calibri"/>
              <b val="1"/>
              <sz val="10"/>
            </rPr>
            <t>Final level:</t>
          </r>
          <r>
            <rPr>
              <rFont val="Calibri"/>
              <sz val="10"/>
            </rPr>
            <t xml:space="preserve"> D2.</t>
          </r>
        </is>
      </c>
      <c r="W33" s="12" t="inlineStr">
        <is>
          <r>
            <rPr>
              <rFont val="Calibri"/>
              <b val="1"/>
              <sz val="10"/>
            </rPr>
            <t>Complexity &amp; Expertise:</t>
          </r>
          <r>
            <rPr>
              <rFont val="Calibri"/>
              <sz val="10"/>
            </rPr>
            <t xml:space="preserve"> 9 of 12 — Start: 9.0 · business head / director title; Evidence: no survey answers or KRAs on file → rating stays at the start
</t>
          </r>
          <r>
            <rPr>
              <rFont val="Calibri"/>
              <b val="1"/>
              <sz val="10"/>
            </rPr>
            <t>Autonomy &amp; Decision:</t>
          </r>
          <r>
            <rPr>
              <rFont val="Calibri"/>
              <sz val="10"/>
            </rPr>
            <t xml:space="preserve"> 9 of 12 — Start: 9.0 · business head / director title; Evidence: no survey answers or KRAs on file → rating stays at the start
</t>
          </r>
          <r>
            <rPr>
              <rFont val="Calibri"/>
              <b val="1"/>
              <sz val="10"/>
            </rPr>
            <t>Accountability &amp; Impact:</t>
          </r>
          <r>
            <rPr>
              <rFont val="Calibri"/>
              <sz val="10"/>
            </rPr>
            <t xml:space="preserve"> 9 of 12 — Start: 9.0 · business head / director title; 4 direct reports, 217 people in the organisation; Evidence: no survey answers or KRAs on file → rating stays at the start
</t>
          </r>
          <r>
            <rPr>
              <rFont val="Calibri"/>
              <b val="1"/>
              <sz val="10"/>
            </rPr>
            <t>Leadership &amp; Strategy:</t>
          </r>
          <r>
            <rPr>
              <rFont val="Calibri"/>
              <sz val="10"/>
            </rPr>
            <t xml:space="preserve"> 9 of 12 — Start: 9.0; Evidence: no survey answers or KRAs on file → rating stays at the start; Team: 4 direct reports · People Manager
</t>
          </r>
          <r>
            <rPr>
              <rFont val="Calibri"/>
              <b val="1"/>
              <sz val="10"/>
            </rPr>
            <t>Experience &amp; Qualification:</t>
          </r>
          <r>
            <rPr>
              <rFont val="Calibri"/>
              <sz val="10"/>
            </rPr>
            <t xml:space="preserve"> 11 of 12 — Experience: 22.0 yrs total · 22.0 at IRIS; none recorded before IRIS = 10.3 on the experience scale; Qualification: MBA · postgraduate, relevant to the work → +0.5
</t>
          </r>
          <r>
            <rPr>
              <rFont val="Calibri"/>
              <b val="1"/>
              <sz val="10"/>
            </rPr>
            <t>Business Impact:</t>
          </r>
          <r>
            <rPr>
              <rFont val="Calibri"/>
              <sz val="10"/>
            </rPr>
            <t xml:space="preserve"> 9 of 12 — a starting estimate. —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r>
        </is>
      </c>
      <c r="X33" s="12" t="inlineStr">
        <is>
          <r>
            <rPr>
              <rFont val="Calibri"/>
              <b val="1"/>
              <sz val="10"/>
            </rPr>
            <t>Market level:</t>
          </r>
          <r>
            <rPr>
              <rFont val="Calibri"/>
              <sz val="10"/>
            </rPr>
            <t xml:space="preserve"> E3–E4 · SFIA 7 Set strategy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E3–E4 SVP · IRIS Vs Competitor Benchmark — regtech / SaaS executive titles: SVP
</t>
          </r>
          <r>
            <rPr>
              <rFont val="Calibri"/>
              <b val="1"/>
              <sz val="10"/>
            </rPr>
            <t>Standard:</t>
          </r>
          <r>
            <rPr>
              <rFont val="Calibri"/>
              <sz val="10"/>
            </rPr>
            <t xml:space="preserve"> Aon Radford executive levels E1–E6; Mercer ET1–ET3</t>
          </r>
        </is>
      </c>
      <c r="Y33" s="12" t="inlineStr">
        <is>
          <r>
            <rPr>
              <rFont val="Calibri"/>
              <sz val="10"/>
            </rPr>
            <t xml:space="preserve">✓ HRIS: 22.0 yrs, MBA, 4 direct reports
✗ Survey: no response
✗ KRAs: none on file
✓ Manager mapping: rating, 9-box
✗ Job description: not on file
</t>
          </r>
          <r>
            <rPr>
              <rFont val="Calibri"/>
              <b val="1"/>
              <sz val="10"/>
            </rPr>
            <t>Confidence:</t>
          </r>
          <r>
            <rPr>
              <rFont val="Calibri"/>
              <sz val="10"/>
            </rPr>
            <t xml:space="preserve"> Low</t>
          </r>
        </is>
      </c>
      <c r="Z33" s="84"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33" s="86" t="inlineStr">
        <is>
          <t>• Survey response or KRAs describing the work · nothing on file — Employee + manager</t>
        </is>
      </c>
      <c r="AB33" s="12"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9 of 12 · D1-level impact.
Leads 4 direct reports.
Manager talent mapping — Latest rating: Not rated · manager · 9-Box Grid placement: Not placed · manager.</t>
          </r>
        </is>
      </c>
      <c r="AC33" s="82" t="n"/>
      <c r="AD33" s="82" t="n"/>
      <c r="AE33" s="82" t="n"/>
      <c r="AF33" s="12" t="n">
        <v>9</v>
      </c>
    </row>
    <row r="34" ht="379" customHeight="1">
      <c r="A34" s="12" t="inlineStr">
        <is>
          <t>IRIS0242</t>
        </is>
      </c>
      <c r="B34" s="10" t="inlineStr">
        <is>
          <t>Arup Ganguly</t>
        </is>
      </c>
      <c r="C34" s="12" t="inlineStr">
        <is>
          <t>Sales</t>
        </is>
      </c>
      <c r="D34" s="12" t="inlineStr">
        <is>
          <t>Head Sales - SupTech</t>
        </is>
      </c>
      <c r="E34" s="78" t="inlineStr">
        <is>
          <t>Head – Sales</t>
        </is>
      </c>
      <c r="F34" s="12" t="inlineStr">
        <is>
          <t>Sales &amp; Business Development</t>
        </is>
      </c>
      <c r="G34" s="12" t="inlineStr">
        <is>
          <t>Sales Leadership</t>
        </is>
      </c>
      <c r="H34" s="12" t="inlineStr">
        <is>
          <t>People Manager</t>
        </is>
      </c>
      <c r="I34" s="42" t="inlineStr">
        <is>
          <t>Not in current mapping files</t>
        </is>
      </c>
      <c r="J34" s="28" t="inlineStr">
        <is>
          <t>C2</t>
        </is>
      </c>
      <c r="K34" s="29" t="inlineStr">
        <is>
          <t>Head of Function</t>
        </is>
      </c>
      <c r="L34" s="85" t="inlineStr">
        <is>
          <t>● Newly mapped</t>
        </is>
      </c>
      <c r="M34" s="12" t="inlineStr">
        <is>
          <t>iFile · Sales · Band C · Head / Manager</t>
        </is>
      </c>
      <c r="N34" s="42" t="n">
        <v>8</v>
      </c>
      <c r="O34" s="42" t="n">
        <v>8</v>
      </c>
      <c r="P34" s="42" t="n">
        <v>7.5</v>
      </c>
      <c r="Q34" s="42" t="n">
        <v>7</v>
      </c>
      <c r="R34" s="42" t="n">
        <v>11.5</v>
      </c>
      <c r="S34" s="80" t="n">
        <v>7.5</v>
      </c>
      <c r="T34" s="81">
        <f>IF(OR($M34="",COUNT(N34,O34,P34,Q34,R34,S34)&lt;6),"",IFERROR(N34*INDEX(WM_C,MATCH($M34,WM_KEY,0))+O34*INDEX(WM_AU,MATCH($M34,WM_KEY,0))+P34*INDEX(WM_AC,MATCH($M34,WM_KEY,0))+Q34*INDEX(WM_L,MATCH($M34,WM_KEY,0))+R34*INDEX(WM_E,MATCH($M34,WM_KEY,0))+S34*INDEX(WM_BI,MATCH($M34,WM_KEY,0)),""))</f>
        <v>7.93</v>
      </c>
      <c r="U34" s="42" t="str">
        <f>IF(T34="","",INDEX({"A1","A2","A3","B1","B2","B3","C1","C2","D1","D2","E1","E2"},MAX(1,MIN(12,ROUND(T34,0)))))</f>
        <v>C2</v>
      </c>
      <c r="V34" s="12" t="inlineStr">
        <is>
          <r>
            <rPr>
              <rFont val="Calibri"/>
              <sz val="10"/>
            </rPr>
            <t xml:space="preserve">New level C2 · Head of Function. Current level on record: Not in current mapping files. Change: ● Newly mapped.
Score 7.93 on the ladder scale → indicated level C2.
</t>
          </r>
          <r>
            <rPr>
              <rFont val="Calibri"/>
              <b val="1"/>
              <sz val="10"/>
            </rPr>
            <t>Weights:</t>
          </r>
          <r>
            <rPr>
              <rFont val="Calibri"/>
              <sz val="10"/>
            </rPr>
            <t xml:space="preserve"> Complexity 38% · Autonomy 23% · Leadership 15% · Business impact 13% · Accountability 6%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4"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7.5 of 12 · between C1 and C2 — Start: 7.5 · head-of-function title; 4 direct reports, 21 people below, 3 of them lead teams; Evidence: no survey answers or KRAs on file → rating stays at the start
</t>
          </r>
          <r>
            <rPr>
              <rFont val="Calibri"/>
              <b val="1"/>
              <sz val="10"/>
            </rPr>
            <t>Leadership &amp; Strategy:</t>
          </r>
          <r>
            <rPr>
              <rFont val="Calibri"/>
              <sz val="10"/>
            </rPr>
            <t xml:space="preserve"> 7 of 12 — Start: 7.0; Evidence: no survey answers or KRAs on file → rating stays at the start; Team: 4 direct reports · People Manager
</t>
          </r>
          <r>
            <rPr>
              <rFont val="Calibri"/>
              <b val="1"/>
              <sz val="10"/>
            </rPr>
            <t>Experience &amp; Qualification:</t>
          </r>
          <r>
            <rPr>
              <rFont val="Calibri"/>
              <sz val="10"/>
            </rPr>
            <t xml:space="preserve"> 11.5 of 12 · between E1 and E2 — Experience: 24.1 yrs total · 6.2 before IRIS + 17.9 at IRIS = 11.0 on the experience scale; Qualification: MBA · postgraduate, relevant to the work → +0.5
</t>
          </r>
          <r>
            <rPr>
              <rFont val="Calibri"/>
              <b val="1"/>
              <sz val="10"/>
            </rPr>
            <t>Business Impact:</t>
          </r>
          <r>
            <rPr>
              <rFont val="Calibri"/>
              <sz val="10"/>
            </rPr>
            <t xml:space="preserve"> 7.5 of 12 — a starting estimate. —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r>
        </is>
      </c>
      <c r="X34" s="12"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IRIS Vs Competitor Benchmark — SaaS sales ladder — management: Director of Sales
</t>
          </r>
          <r>
            <rPr>
              <rFont val="Calibri"/>
              <b val="1"/>
              <sz val="10"/>
            </rPr>
            <t>Standard:</t>
          </r>
          <r>
            <rPr>
              <rFont val="Calibri"/>
              <sz val="10"/>
            </rPr>
            <t xml:space="preserve"> SaaS sales ladder; MEDDICC-style qualification</t>
          </r>
        </is>
      </c>
      <c r="Y34" s="12" t="inlineStr">
        <is>
          <r>
            <rPr>
              <rFont val="Calibri"/>
              <sz val="10"/>
            </rPr>
            <t xml:space="preserve">✓ HRIS: 24.1 yrs, MBA, 4 direct reports
✗ Survey: no response
✗ KRAs: none on file
✓ Manager mapping: rating, 9-box
✗ Job description: not on file
</t>
          </r>
          <r>
            <rPr>
              <rFont val="Calibri"/>
              <b val="1"/>
              <sz val="10"/>
            </rPr>
            <t>Confidence:</t>
          </r>
          <r>
            <rPr>
              <rFont val="Calibri"/>
              <sz val="10"/>
            </rPr>
            <t xml:space="preserve"> Low</t>
          </r>
        </is>
      </c>
      <c r="Z34" s="84" t="inlineStr">
        <is>
          <r>
            <rPr>
              <rFont val="Calibri"/>
              <color rgb="009C5700"/>
              <sz val="10"/>
            </rPr>
            <t xml:space="preserve">• </t>
          </r>
          <r>
            <rPr>
              <rFont val="Calibri"/>
              <b val="1"/>
              <color rgb="009C5700"/>
              <sz val="10"/>
            </rPr>
            <t>C+ watch:</t>
          </r>
          <r>
            <rPr>
              <rFont val="Calibri"/>
              <color rgb="009C5700"/>
              <sz val="10"/>
            </rPr>
            <t xml:space="preserve"> leads people, Player-Coach score 7.88 · needs 8.25, C–A average 7.75 · needs 7.5</t>
          </r>
        </is>
      </c>
      <c r="AA34" s="86" t="inlineStr">
        <is>
          <t>• Survey response or KRAs describing the work · nothing on file — Employee + manager</t>
        </is>
      </c>
      <c r="AB34" s="12"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7.5 of 12 · C2-level impact.
Leads 4 direct reports.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AC34" s="82" t="n"/>
      <c r="AD34" s="82" t="n"/>
      <c r="AE34" s="82" t="n"/>
      <c r="AF34" s="12" t="n">
        <v>7.5</v>
      </c>
    </row>
    <row r="35" ht="379" customHeight="1">
      <c r="A35" s="12" t="inlineStr">
        <is>
          <t>IRIS2428</t>
        </is>
      </c>
      <c r="B35" s="10" t="inlineStr">
        <is>
          <t>Ajay Singh Chauhan</t>
        </is>
      </c>
      <c r="C35" s="12" t="inlineStr">
        <is>
          <t>Sales</t>
        </is>
      </c>
      <c r="D35" s="12" t="inlineStr">
        <is>
          <t>Vice President Sales</t>
        </is>
      </c>
      <c r="E35" s="78" t="inlineStr">
        <is>
          <t>Principal – Enterprise Sales</t>
        </is>
      </c>
      <c r="F35" s="12" t="inlineStr">
        <is>
          <t>Sales &amp; Business Development</t>
        </is>
      </c>
      <c r="G35" s="12" t="inlineStr">
        <is>
          <t>Sales Leadership</t>
        </is>
      </c>
      <c r="H35" s="12" t="inlineStr">
        <is>
          <t>IC</t>
        </is>
      </c>
      <c r="I35" s="42" t="inlineStr">
        <is>
          <t>L8 – Vice President</t>
        </is>
      </c>
      <c r="J35" s="28" t="inlineStr">
        <is>
          <t>C1</t>
        </is>
      </c>
      <c r="K35" s="29" t="inlineStr">
        <is>
          <t>Principal</t>
        </is>
      </c>
      <c r="L35" s="83" t="inlineStr">
        <is>
          <t>▼ Down · pay &amp; title protected</t>
        </is>
      </c>
      <c r="M35" s="12" t="inlineStr">
        <is>
          <t>iFile · Sales · Band C · Principal expert</t>
        </is>
      </c>
      <c r="N35" s="42" t="n">
        <v>9.5</v>
      </c>
      <c r="O35" s="42" t="n">
        <v>9.5</v>
      </c>
      <c r="P35" s="42" t="n">
        <v>9.5</v>
      </c>
      <c r="Q35" s="42" t="n">
        <v>9.5</v>
      </c>
      <c r="R35" s="42" t="n">
        <v>9</v>
      </c>
      <c r="S35" s="80" t="n">
        <v>10</v>
      </c>
      <c r="T35" s="81">
        <f>IF(OR($M35="",COUNT(N35,O35,P35,Q35,R35,S35)&lt;6),"",IFERROR(N35*INDEX(WM_C,MATCH($M35,WM_KEY,0))+O35*INDEX(WM_AU,MATCH($M35,WM_KEY,0))+P35*INDEX(WM_AC,MATCH($M35,WM_KEY,0))+Q35*INDEX(WM_L,MATCH($M35,WM_KEY,0))+R35*INDEX(WM_E,MATCH($M35,WM_KEY,0))+S35*INDEX(WM_BI,MATCH($M35,WM_KEY,0)),""))</f>
        <v>9.54</v>
      </c>
      <c r="U35" s="42" t="str">
        <f>IF(T35="","",INDEX({"A1","A2","A3","B1","B2","B3","C1","C2","D1","D2","E1","E2"},MAX(1,MIN(12,ROUND(T35,0)))))</f>
        <v>D2</v>
      </c>
      <c r="V35" s="12" t="inlineStr">
        <is>
          <r>
            <rPr>
              <rFont val="Calibri"/>
              <sz val="10"/>
            </rPr>
            <t xml:space="preserve">New level C1 · Principal. Current level on record: L8 – Vice President. Change: ▼ Down · pay &amp; title protected.
Score 9.54 on the ladder scale → indicated level D2.
</t>
          </r>
          <r>
            <rPr>
              <rFont val="Calibri"/>
              <b val="1"/>
              <sz val="10"/>
            </rPr>
            <t>Weights:</t>
          </r>
          <r>
            <rPr>
              <rFont val="Calibri"/>
              <sz val="10"/>
            </rPr>
            <t xml:space="preserve"> Complexity 49% · Autonomy 23% · Business impact 13%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C1 instead of D2:</t>
          </r>
          <r>
            <rPr>
              <rFont val="Calibri"/>
              <sz val="10"/>
            </rPr>
            <t xml:space="preserve"> C2 needs a whole function or a company-wide discipline, and the org chart does not show this yet.
</t>
          </r>
          <r>
            <rPr>
              <rFont val="Calibri"/>
              <b val="1"/>
              <sz val="10"/>
            </rPr>
            <t>Final level:</t>
          </r>
          <r>
            <rPr>
              <rFont val="Calibri"/>
              <sz val="10"/>
            </rPr>
            <t xml:space="preserve"> C1.
</t>
          </r>
          <r>
            <rPr>
              <rFont val="Calibri"/>
              <b val="1"/>
              <sz val="10"/>
            </rPr>
            <t>The new level is below the current one:</t>
          </r>
          <r>
            <rPr>
              <rFont val="Calibri"/>
              <sz val="10"/>
            </rPr>
            <t xml:space="preserve"> pay and title are protected for one cycle, with a review date.</t>
          </r>
        </is>
      </c>
      <c r="W35" s="12" t="inlineStr">
        <is>
          <r>
            <rPr>
              <rFont val="Calibri"/>
              <b val="1"/>
              <sz val="10"/>
            </rPr>
            <t>Complexity &amp; Expertise:</t>
          </r>
          <r>
            <rPr>
              <rFont val="Calibri"/>
              <sz val="10"/>
            </rPr>
            <t xml:space="preserve"> 9.5 of 12 · between D1 and D2 — Start: 10.0 · vice president title; Evidence reads like B2: KRA only: prepare and roll out sales/GTM plan, build partner ecosystem, RFP submissions → moved down 0.5; KRA: “1. Sales/GTM plan Prepare, collaborate and roll out overall plan for the organization Spearhead/Contribute to acquire at least 1 new client…”
</t>
          </r>
          <r>
            <rPr>
              <rFont val="Calibri"/>
              <b val="1"/>
              <sz val="10"/>
            </rPr>
            <t>Autonomy &amp; Decision:</t>
          </r>
          <r>
            <rPr>
              <rFont val="Calibri"/>
              <sz val="10"/>
            </rPr>
            <t xml:space="preserve"> 9.5 of 12 · between D1 and D2 — Start: 10.0 · vice president title; Evidence reads like B1: No survey; KRA implies closing partnership agreements and shaping the GTM plan collaboratively → moved down 0.5
</t>
          </r>
          <r>
            <rPr>
              <rFont val="Calibri"/>
              <b val="1"/>
              <sz val="10"/>
            </rPr>
            <t>Accountability &amp; Impact:</t>
          </r>
          <r>
            <rPr>
              <rFont val="Calibri"/>
              <sz val="10"/>
            </rPr>
            <t xml:space="preserve"> 9.5 of 12 · between D1 and D2 — Start: 10.0 · vice president title; Evidence reads like B2: KRA targets: one new client by Dec 2026, 8-12 partnership agreements a year → moved down 0.5; KRA: “1. Sales/GTM plan Prepare, collaborate and roll out overall plan for the organization Spearhead/Contribute to acquire at least 1 new client…”
</t>
          </r>
          <r>
            <rPr>
              <rFont val="Calibri"/>
              <b val="1"/>
              <sz val="10"/>
            </rPr>
            <t>Leadership &amp; Strategy:</t>
          </r>
          <r>
            <rPr>
              <rFont val="Calibri"/>
              <sz val="10"/>
            </rPr>
            <t xml:space="preserve"> 9.5 of 12 · between D1 and D2 — Start: 10.0 · individual contributor, so influence only; Evidence reads like A1: No survey; KRA mentions no team or people leadership; zero reports → moved down 0.5; Team: 0 direct reports · IC
</t>
          </r>
          <r>
            <rPr>
              <rFont val="Calibri"/>
              <b val="1"/>
              <sz val="10"/>
            </rPr>
            <t>Experience &amp; Qualification:</t>
          </r>
          <r>
            <rPr>
              <rFont val="Calibri"/>
              <sz val="10"/>
            </rPr>
            <t xml:space="preserve"> 9 of 12 — Experience: 16.1 yrs total · 15.0 before IRIS + 1.1 at IRIS = 8.5 on the experience scale; Qualification: PGDBA · postgraduate, relevant to the work → +0.5
</t>
          </r>
          <r>
            <rPr>
              <rFont val="Calibri"/>
              <b val="1"/>
              <sz val="10"/>
            </rPr>
            <t>Business Impact:</t>
          </r>
          <r>
            <rPr>
              <rFont val="Calibri"/>
              <sz val="10"/>
            </rPr>
            <t xml:space="preserve"> 10 of 12 — a starting estimate. — Start: 9.5, the role's accountability scope — what it answers for.; Moved +0.5: the survey / manager mapping marks it business-critical.; Managers and heads: overwrite this rating on the Weightage sheet with the business impact you see — the score updates at once.; Ladder: D2 = Owns the results of several business lines</t>
          </r>
        </is>
      </c>
      <c r="X35" s="12"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SaaS sales ladder — IC: Strategic / Principal AE · IRIS Vs Competitor Benchmark — SaaS sales ladder — management: Regional Sales Head
</t>
          </r>
          <r>
            <rPr>
              <rFont val="Calibri"/>
              <b val="1"/>
              <sz val="10"/>
            </rPr>
            <t>Typical experience:</t>
          </r>
          <r>
            <rPr>
              <rFont val="Calibri"/>
              <sz val="10"/>
            </rPr>
            <t xml:space="preserve"> 12–17 yrs · IRIS guide 10–14
</t>
          </r>
          <r>
            <rPr>
              <rFont val="Calibri"/>
              <b val="1"/>
              <sz val="10"/>
            </rPr>
            <t>Standard:</t>
          </r>
          <r>
            <rPr>
              <rFont val="Calibri"/>
              <sz val="10"/>
            </rPr>
            <t xml:space="preserve"> SaaS sales ladder; MEDDICC-style qualification</t>
          </r>
        </is>
      </c>
      <c r="Y35" s="12" t="inlineStr">
        <is>
          <r>
            <rPr>
              <rFont val="Calibri"/>
              <sz val="10"/>
            </rPr>
            <t xml:space="preserve">✓ HRIS: 16.1 yrs, PGDBA, 0 direct reports
✗ Survey: no response
✓ KRAs: manager-set, quarterly
✓ Manager mapping: rating, potential, 9-box
✗ Job description: not on file
</t>
          </r>
          <r>
            <rPr>
              <rFont val="Calibri"/>
              <b val="1"/>
              <sz val="10"/>
            </rPr>
            <t>Confidence:</t>
          </r>
          <r>
            <rPr>
              <rFont val="Calibri"/>
              <sz val="10"/>
            </rPr>
            <t xml:space="preserve"> Medium</t>
          </r>
        </is>
      </c>
      <c r="Z35" s="84"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Senior title held at this level by the structural gate:</t>
          </r>
          <r>
            <rPr>
              <rFont val="Calibri"/>
              <color rgb="009C5700"/>
              <sz val="10"/>
            </rPr>
            <t xml:space="preserve"> confirm the scope</t>
          </r>
        </is>
      </c>
      <c r="AA35" s="86" t="inlineStr">
        <is>
          <t>• Confirm structure behind the senior title · org chart — Business head</t>
        </is>
      </c>
      <c r="AB35"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9.5 of 12 · D2-level impact.
From the survey and manager mapping — critical role: yes; successor named: no.
</t>
          </r>
          <r>
            <rPr>
              <rFont val="Calibri"/>
              <b val="1"/>
              <sz val="10"/>
            </rPr>
            <t>If the work is missed · role-holders' themes:</t>
          </r>
          <r>
            <rPr>
              <rFont val="Calibri"/>
              <sz val="10"/>
            </rPr>
            <t xml:space="preserve"> revenue · opportunities · lost.
Manager talent mapping — Latest rating: 4 · Potential: High · 9-Box Grid placement: Trusted Professional.</t>
          </r>
        </is>
      </c>
      <c r="AC35" s="82" t="n"/>
      <c r="AD35" s="82" t="n"/>
      <c r="AE35" s="82" t="n"/>
      <c r="AF35" s="12" t="n">
        <v>10</v>
      </c>
    </row>
    <row r="36" ht="379" customHeight="1">
      <c r="A36" s="12" t="inlineStr">
        <is>
          <t>IRIS1687</t>
        </is>
      </c>
      <c r="B36" s="10" t="inlineStr">
        <is>
          <t>Amit Jaidka</t>
        </is>
      </c>
      <c r="C36" s="12" t="inlineStr">
        <is>
          <t>Sales</t>
        </is>
      </c>
      <c r="D36" s="12" t="inlineStr">
        <is>
          <t>Manager Sales</t>
        </is>
      </c>
      <c r="E36" s="78" t="inlineStr">
        <is>
          <t>Lead Alliances Specialist – POD Lead</t>
        </is>
      </c>
      <c r="F36" s="12" t="inlineStr">
        <is>
          <t>Sales &amp; Business Development</t>
        </is>
      </c>
      <c r="G36" s="12" t="inlineStr">
        <is>
          <t>Partnerships &amp; Alliances</t>
        </is>
      </c>
      <c r="H36" s="12" t="inlineStr">
        <is>
          <t>POD Lead</t>
        </is>
      </c>
      <c r="I36" s="42" t="inlineStr">
        <is>
          <t>L5 – Manager</t>
        </is>
      </c>
      <c r="J36" s="20" t="inlineStr">
        <is>
          <t>B3</t>
        </is>
      </c>
      <c r="K36" s="21" t="inlineStr">
        <is>
          <t>Lead Specialist · POD Lead</t>
        </is>
      </c>
      <c r="L36" s="79" t="inlineStr">
        <is>
          <t>▲ Up</t>
        </is>
      </c>
      <c r="M36" s="12" t="inlineStr">
        <is>
          <t>iFile · Sales · Band B · Expert / POD Lead</t>
        </is>
      </c>
      <c r="N36" s="42" t="n">
        <v>5</v>
      </c>
      <c r="O36" s="42" t="n">
        <v>5</v>
      </c>
      <c r="P36" s="42" t="n">
        <v>5</v>
      </c>
      <c r="Q36" s="42" t="n">
        <v>4</v>
      </c>
      <c r="R36" s="42" t="n">
        <v>10</v>
      </c>
      <c r="S36" s="80" t="n">
        <v>5.5</v>
      </c>
      <c r="T36" s="81">
        <f>IF(OR($M36="",COUNT(N36,O36,P36,Q36,R36,S36)&lt;6),"",IFERROR(N36*INDEX(WM_C,MATCH($M36,WM_KEY,0))+O36*INDEX(WM_AU,MATCH($M36,WM_KEY,0))+P36*INDEX(WM_AC,MATCH($M36,WM_KEY,0))+Q36*INDEX(WM_L,MATCH($M36,WM_KEY,0))+R36*INDEX(WM_E,MATCH($M36,WM_KEY,0))+S36*INDEX(WM_BI,MATCH($M36,WM_KEY,0)),""))</f>
        <v>5.51</v>
      </c>
      <c r="U36" s="42" t="str">
        <f>IF(T36="","",INDEX({"A1","A2","A3","B1","B2","B3","C1","C2","D1","D2","E1","E2"},MAX(1,MIN(12,ROUND(T36,0)))))</f>
        <v>B3</v>
      </c>
      <c r="V36" s="12" t="inlineStr">
        <is>
          <r>
            <rPr>
              <rFont val="Calibri"/>
              <sz val="10"/>
            </rPr>
            <t xml:space="preserve">New level B3 · Lead Specialist · POD Lead. Current level on record: L5 – Manager. Change: ▲ Up.
Score 5.51 on the ladder scale → indicated level B3.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6" s="12" t="inlineStr">
        <is>
          <r>
            <rPr>
              <rFont val="Calibri"/>
              <b val="1"/>
              <sz val="10"/>
            </rPr>
            <t>Complexity &amp; Expertise:</t>
          </r>
          <r>
            <rPr>
              <rFont val="Calibri"/>
              <sz val="10"/>
            </rPr>
            <t xml:space="preserve"> 5 of 12 — Start: 5.0 · manager / senior specialist title; Evidence reads like B2: Multi-country, multi-product MEA selling to regulators, banks and partners; tender strategy and negotiation → matches the start; KRA: “1. Achieve assigned MEA revenue and pipeline targets across iFile/SupTech/iDEAL and related opportunities. 2. Convert priority…”
</t>
          </r>
          <r>
            <rPr>
              <rFont val="Calibri"/>
              <b val="1"/>
              <sz val="10"/>
            </rPr>
            <t>Autonomy &amp; Decision:</t>
          </r>
          <r>
            <rPr>
              <rFont val="Calibri"/>
              <sz val="10"/>
            </rPr>
            <t xml:space="preserve"> 5 of 12 — Start: 5.0 · manager / senior specialist title; Evidence reads like B2: Decides client strategy; KRA: leads tender strategy, pricing inputs, commercial negotiation, team weekly reviews → matches the start
</t>
          </r>
          <r>
            <rPr>
              <rFont val="Calibri"/>
              <b val="1"/>
              <sz val="10"/>
            </rPr>
            <t>Accountability &amp; Impact:</t>
          </r>
          <r>
            <rPr>
              <rFont val="Calibri"/>
              <sz val="10"/>
            </rPr>
            <t xml:space="preserve"> 5 of 12 — Start: 4.5 · manager / senior specialist title; 3 direct reports, 5 people below, 1 of them leads a team; Evidence reads like B3: MEA revenue and pipeline target · INR 5 Cr, market expansion and new business wins → moved up 0.5; KRA: “1. Achieve assigned MEA revenue and pipeline targets across iFile/SupTech/iDEAL and related opportunities. 2. Convert priority…”
</t>
          </r>
          <r>
            <rPr>
              <rFont val="Calibri"/>
              <b val="1"/>
              <sz val="10"/>
            </rPr>
            <t>Leadership &amp; Strategy:</t>
          </r>
          <r>
            <rPr>
              <rFont val="Calibri"/>
              <sz val="10"/>
            </rPr>
            <t xml:space="preserve"> 4 of 12 — Start: 4.0; Evidence reads like B1: Three direct reports; KRA: manages team productivity, weekly reviews and forecasts → matches the start; Team: 3 direct reports · POD Lead
</t>
          </r>
          <r>
            <rPr>
              <rFont val="Calibri"/>
              <b val="1"/>
              <sz val="10"/>
            </rPr>
            <t>Experience &amp; Qualification:</t>
          </r>
          <r>
            <rPr>
              <rFont val="Calibri"/>
              <sz val="10"/>
            </rPr>
            <t xml:space="preserve"> 10 of 12 — Experience: 19.8 yrs total · 11.0 before IRIS + 8.8 at IRIS = 9.7 on the experience scale; Qualification: MBA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36"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Enterprise / Strategic AE
</t>
          </r>
          <r>
            <rPr>
              <rFont val="Calibri"/>
              <b val="1"/>
              <sz val="10"/>
            </rPr>
            <t>At peers:</t>
          </r>
          <r>
            <rPr>
              <rFont val="Calibri"/>
              <sz val="10"/>
            </rPr>
            <t xml:space="preserve"> IRIS Vs Competitor Benchmark — SaaS sales ladder — IC: Enterprise AE · IRIS Vs Competitor Benchmark — SaaS sales ladder — management: Senior Sales Manager
</t>
          </r>
          <r>
            <rPr>
              <rFont val="Calibri"/>
              <b val="1"/>
              <sz val="10"/>
            </rPr>
            <t>Typical experience:</t>
          </r>
          <r>
            <rPr>
              <rFont val="Calibri"/>
              <sz val="10"/>
            </rPr>
            <t xml:space="preserve"> 8–13 yrs · IRIS guide 8–12
</t>
          </r>
          <r>
            <rPr>
              <rFont val="Calibri"/>
              <b val="1"/>
              <sz val="10"/>
            </rPr>
            <t>Standard:</t>
          </r>
          <r>
            <rPr>
              <rFont val="Calibri"/>
              <sz val="10"/>
            </rPr>
            <t xml:space="preserve"> SaaS sales ladder; MEDDICC-style qualification</t>
          </r>
        </is>
      </c>
      <c r="Y36" s="12" t="inlineStr">
        <is>
          <r>
            <rPr>
              <rFont val="Calibri"/>
              <sz val="10"/>
            </rPr>
            <t xml:space="preserve">✓ HRIS: 19.8 yrs, MBA, 3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36" s="84" t="inlineStr">
        <is>
          <r>
            <rPr>
              <rFont val="Calibri"/>
              <color rgb="009C5700"/>
              <sz val="10"/>
            </rPr>
            <t xml:space="preserve">• </t>
          </r>
          <r>
            <rPr>
              <rFont val="Calibri"/>
              <b val="1"/>
              <color rgb="009C5700"/>
              <sz val="10"/>
            </rPr>
            <t>Close call:</t>
          </r>
          <r>
            <rPr>
              <rFont val="Calibri"/>
              <color rgb="009C5700"/>
              <sz val="10"/>
            </rPr>
            <t xml:space="preserve"> score 5.51 is within 0.05 of a rounding point</t>
          </r>
        </is>
      </c>
      <c r="AA36" s="12" t="inlineStr">
        <is>
          <t>Nothing outstanding</t>
        </is>
      </c>
      <c r="AB36"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 of 12 · B2-level impact.
Leads 3 direct reports.
From the survey and manager mapping — critical role: yes; successor named: no.
Manager talent mapping — Latest rating: 5 · Potential: High · 9-Box Grid placement: Future Leader.</t>
          </r>
        </is>
      </c>
      <c r="AC36" s="82" t="n"/>
      <c r="AD36" s="82" t="n"/>
      <c r="AE36" s="82" t="n"/>
      <c r="AF36" s="12" t="n">
        <v>5.5</v>
      </c>
    </row>
    <row r="37" ht="379" customHeight="1">
      <c r="A37" s="12" t="inlineStr">
        <is>
          <t>IRIS1982</t>
        </is>
      </c>
      <c r="B37" s="10" t="inlineStr">
        <is>
          <t>Apurva Kirtikar</t>
        </is>
      </c>
      <c r="C37" s="12" t="inlineStr">
        <is>
          <t>Sales</t>
        </is>
      </c>
      <c r="D37" s="12" t="inlineStr">
        <is>
          <t>Senior Manager- Pre sales</t>
        </is>
      </c>
      <c r="E37" s="78" t="inlineStr">
        <is>
          <t>Senior Account Executive – POD Lead</t>
        </is>
      </c>
      <c r="F37" s="12" t="inlineStr">
        <is>
          <t>Sales &amp; Business Development</t>
        </is>
      </c>
      <c r="G37" s="12" t="inlineStr">
        <is>
          <t>Sales Leadership</t>
        </is>
      </c>
      <c r="H37" s="12" t="inlineStr">
        <is>
          <t>POD Lead</t>
        </is>
      </c>
      <c r="I37" s="42" t="inlineStr">
        <is>
          <t>L6 – Senior Manager</t>
        </is>
      </c>
      <c r="J37" s="20" t="inlineStr">
        <is>
          <t>B2</t>
        </is>
      </c>
      <c r="K37" s="21" t="inlineStr">
        <is>
          <t>Senior Specialist · POD Lead</t>
        </is>
      </c>
      <c r="L37" s="83" t="inlineStr">
        <is>
          <t>▼ Down · pay &amp; title protected</t>
        </is>
      </c>
      <c r="M37" s="12" t="inlineStr">
        <is>
          <t>iFile · Sales · Band B · Expert / POD Lead</t>
        </is>
      </c>
      <c r="N37" s="42" t="n">
        <v>5</v>
      </c>
      <c r="O37" s="42" t="n">
        <v>5</v>
      </c>
      <c r="P37" s="42" t="n">
        <v>4.5</v>
      </c>
      <c r="Q37" s="42" t="n">
        <v>4</v>
      </c>
      <c r="R37" s="42" t="n">
        <v>8</v>
      </c>
      <c r="S37" s="80" t="n">
        <v>4.5</v>
      </c>
      <c r="T37" s="81">
        <f>IF(OR($M37="",COUNT(N37,O37,P37,Q37,R37,S37)&lt;6),"",IFERROR(N37*INDEX(WM_C,MATCH($M37,WM_KEY,0))+O37*INDEX(WM_AU,MATCH($M37,WM_KEY,0))+P37*INDEX(WM_AC,MATCH($M37,WM_KEY,0))+Q37*INDEX(WM_L,MATCH($M37,WM_KEY,0))+R37*INDEX(WM_E,MATCH($M37,WM_KEY,0))+S37*INDEX(WM_BI,MATCH($M37,WM_KEY,0)),""))</f>
        <v>5.165</v>
      </c>
      <c r="U37" s="42" t="str">
        <f>IF(T37="","",INDEX({"A1","A2","A3","B1","B2","B3","C1","C2","D1","D2","E1","E2"},MAX(1,MIN(12,ROUND(T37,0)))))</f>
        <v>B2</v>
      </c>
      <c r="V37" s="12" t="inlineStr">
        <is>
          <r>
            <rPr>
              <rFont val="Calibri"/>
              <sz val="10"/>
            </rPr>
            <t xml:space="preserve">New level B2 · Senior Specialist · POD Lead. Current level on record: L6 – Senior Manager. Change: ▼ Down · pay &amp; title protected.
Score 5.17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37" s="12" t="inlineStr">
        <is>
          <r>
            <rPr>
              <rFont val="Calibri"/>
              <b val="1"/>
              <sz val="10"/>
            </rPr>
            <t>Complexity &amp; Expertise:</t>
          </r>
          <r>
            <rPr>
              <rFont val="Calibri"/>
              <sz val="10"/>
            </rPr>
            <t xml:space="preserve"> 5 of 12 — Start: 6.0 · senior manager / lead specialist title; Evidence reads like B1: Manages iFile bids: RFP responses, solutioning and client demos in XBRL / SupTech domain → moved down 1; KRA: “1. Maintain healthy win rate on qualified opportunities 2. Keep CRM hygiene at 100% (all opportunities &amp; activities logged &amp;…”
</t>
          </r>
          <r>
            <rPr>
              <rFont val="Calibri"/>
              <b val="1"/>
              <sz val="10"/>
            </rPr>
            <t>Autonomy &amp; Decision:</t>
          </r>
          <r>
            <rPr>
              <rFont val="Calibri"/>
              <sz val="10"/>
            </rPr>
            <t xml:space="preserve"> 5 of 12 — Start: 6.0 · senior manager / lead specialist title; Evidence reads like B1: Decides how to respond to clients and to RFPs for iFile bids → moved down 1
</t>
          </r>
          <r>
            <rPr>
              <rFont val="Calibri"/>
              <b val="1"/>
              <sz val="10"/>
            </rPr>
            <t>Accountability &amp; Impact:</t>
          </r>
          <r>
            <rPr>
              <rFont val="Calibri"/>
              <sz val="10"/>
            </rPr>
            <t xml:space="preserve"> 4.5 of 12 · between B1 and B2 — Start: 4.8 · senior manager / lead specialist title; 1 direct report; Evidence reads like B1: Ultimately responsible for timely iFile RFP submissions; also sales records and client meetings → moved down 0.2; KRA: “1. Maintain healthy win rate on qualified opportunities 2. Keep CRM hygiene at 100% (all opportunities &amp; activities logged &amp;…”
</t>
          </r>
          <r>
            <rPr>
              <rFont val="Calibri"/>
              <b val="1"/>
              <sz val="10"/>
            </rPr>
            <t>Leadership &amp; Strategy:</t>
          </r>
          <r>
            <rPr>
              <rFont val="Calibri"/>
              <sz val="10"/>
            </rPr>
            <t xml:space="preserve"> 4 of 12 — Start: 5.0; Evidence reads like A2: One direct report in HR data; only follow-ups with teams described → moved down 1; Team: 1 direct report · POD Lead
</t>
          </r>
          <r>
            <rPr>
              <rFont val="Calibri"/>
              <b val="1"/>
              <sz val="10"/>
            </rPr>
            <t>Experience &amp; Qualification:</t>
          </r>
          <r>
            <rPr>
              <rFont val="Calibri"/>
              <sz val="10"/>
            </rPr>
            <t xml:space="preserve"> 8 of 12 — Experience: 12.7 yrs total · 8.0 before IRIS + 4.7 at IRIS = 7.3 on the experience scale; Qualification: M.Com · postgraduate, relevant to the work → +0.5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37" s="12"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Y37" s="12" t="inlineStr">
        <is>
          <r>
            <rPr>
              <rFont val="Calibri"/>
              <sz val="10"/>
            </rPr>
            <t xml:space="preserve">✓ HRIS: 12.7 yrs, M.Com, 1 direct report
✓ Survey: 20 of 20 questions answered
✓ KRAs: manager-set, quarterly
✓ Manager mapping: rating, potential, 9-box
✗ Job description: not on file
</t>
          </r>
          <r>
            <rPr>
              <rFont val="Calibri"/>
              <b val="1"/>
              <sz val="10"/>
            </rPr>
            <t>Confidence:</t>
          </r>
          <r>
            <rPr>
              <rFont val="Calibri"/>
              <sz val="10"/>
            </rPr>
            <t xml:space="preserve"> High</t>
          </r>
        </is>
      </c>
      <c r="Z37"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37" s="12" t="inlineStr">
        <is>
          <t>Nothing outstanding</t>
        </is>
      </c>
      <c r="AB3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1 direct report.
</t>
          </r>
          <r>
            <rPr>
              <rFont val="Calibri"/>
              <b val="1"/>
              <sz val="10"/>
            </rPr>
            <t>If the work is missed · role-holders' themes:</t>
          </r>
          <r>
            <rPr>
              <rFont val="Calibri"/>
              <sz val="10"/>
            </rPr>
            <t xml:space="preserve"> revenue · opportunities · lost.
Manager talent mapping — Latest rating: 4 · Potential: Medium · 9-Box Grid placement: High Impact / Growth Talent.</t>
          </r>
        </is>
      </c>
      <c r="AC37" s="82" t="n"/>
      <c r="AD37" s="82" t="n"/>
      <c r="AE37" s="82" t="n"/>
      <c r="AF37" s="12" t="n">
        <v>4.5</v>
      </c>
    </row>
    <row r="38" ht="379" customHeight="1">
      <c r="A38" s="12" t="inlineStr">
        <is>
          <t>IRIS2551</t>
        </is>
      </c>
      <c r="B38" s="10" t="inlineStr">
        <is>
          <t>Devam Khatri</t>
        </is>
      </c>
      <c r="C38" s="12" t="inlineStr">
        <is>
          <t>Sales</t>
        </is>
      </c>
      <c r="D38" s="12" t="inlineStr">
        <is>
          <t>Manager - Pre Sales</t>
        </is>
      </c>
      <c r="E38" s="78" t="inlineStr">
        <is>
          <t>Pre-Sales Specialist</t>
        </is>
      </c>
      <c r="F38" s="12" t="inlineStr">
        <is>
          <t>Sales &amp; Business Development</t>
        </is>
      </c>
      <c r="G38" s="12" t="inlineStr">
        <is>
          <t>Pre-Sales &amp; Solution Demos</t>
        </is>
      </c>
      <c r="H38" s="12" t="inlineStr">
        <is>
          <t>IC</t>
        </is>
      </c>
      <c r="I38" s="42" t="inlineStr">
        <is>
          <t>Not in current mapping files</t>
        </is>
      </c>
      <c r="J38" s="20" t="inlineStr">
        <is>
          <t>B1</t>
        </is>
      </c>
      <c r="K38" s="21" t="inlineStr">
        <is>
          <t>Specialist</t>
        </is>
      </c>
      <c r="L38" s="85" t="inlineStr">
        <is>
          <t>● Newly mapped</t>
        </is>
      </c>
      <c r="M38" s="12" t="inlineStr">
        <is>
          <t>iFile · Sales · Band B · Expert / POD Lead</t>
        </is>
      </c>
      <c r="N38" s="42" t="n">
        <v>4</v>
      </c>
      <c r="O38" s="42" t="n">
        <v>4</v>
      </c>
      <c r="P38" s="42" t="n">
        <v>4</v>
      </c>
      <c r="Q38" s="42" t="n">
        <v>3</v>
      </c>
      <c r="R38" s="42" t="n">
        <v>4.5</v>
      </c>
      <c r="S38" s="80" t="n">
        <v>4</v>
      </c>
      <c r="T38" s="81">
        <f>IF(OR($M38="",COUNT(N38,O38,P38,Q38,R38,S38)&lt;6),"",IFERROR(N38*INDEX(WM_C,MATCH($M38,WM_KEY,0))+O38*INDEX(WM_AU,MATCH($M38,WM_KEY,0))+P38*INDEX(WM_AC,MATCH($M38,WM_KEY,0))+Q38*INDEX(WM_L,MATCH($M38,WM_KEY,0))+R38*INDEX(WM_E,MATCH($M38,WM_KEY,0))+S38*INDEX(WM_BI,MATCH($M38,WM_KEY,0)),""))</f>
        <v>4</v>
      </c>
      <c r="U38" s="42" t="str">
        <f>IF(T38="","",INDEX({"A1","A2","A3","B1","B2","B3","C1","C2","D1","D2","E1","E2"},MAX(1,MIN(12,ROUND(T38,0)))))</f>
        <v>B1</v>
      </c>
      <c r="V38" s="12" t="inlineStr">
        <is>
          <r>
            <rPr>
              <rFont val="Calibri"/>
              <sz val="10"/>
            </rPr>
            <t xml:space="preserve">New level B1 · Specialist. Current level on record: Not in current mapping files. Change: ● Newly mapped.
Score 4.00 on the ladder scale → indicated level B1.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8" s="12" t="inlineStr">
        <is>
          <r>
            <rPr>
              <rFont val="Calibri"/>
              <b val="1"/>
              <sz val="10"/>
            </rPr>
            <t>Complexity &amp; Expertise:</t>
          </r>
          <r>
            <rPr>
              <rFont val="Calibri"/>
              <sz val="10"/>
            </rPr>
            <t xml:space="preserve"> 4 of 12 — Start: 5.0 · manager / senior specialist title; Evidence reads like A3: Maps client requirements to product features; RFP responses, mapping documents and demos across several proposals → moved down 1
</t>
          </r>
          <r>
            <rPr>
              <rFont val="Calibri"/>
              <b val="1"/>
              <sz val="10"/>
            </rPr>
            <t>Autonomy &amp; Decision:</t>
          </r>
          <r>
            <rPr>
              <rFont val="Calibri"/>
              <sz val="10"/>
            </rPr>
            <t xml:space="preserve"> 4 of 12 — Start: 5.0 · manager / senior specialist title; Evidence reads like A2: Decides NDA signing and lead follow-ups; nothing larger stated → moved down 1
</t>
          </r>
          <r>
            <rPr>
              <rFont val="Calibri"/>
              <b val="1"/>
              <sz val="10"/>
            </rPr>
            <t>Accountability &amp; Impact:</t>
          </r>
          <r>
            <rPr>
              <rFont val="Calibri"/>
              <sz val="10"/>
            </rPr>
            <t xml:space="preserve"> 4 of 12 — Start: 5.0 · manager / senior specialist title; Evidence reads like A3: RFP submissions, weekly meeting and monthly tracker; misses escalate and cost revenue → moved down 1
</t>
          </r>
          <r>
            <rPr>
              <rFont val="Calibri"/>
              <b val="1"/>
              <sz val="10"/>
            </rPr>
            <t>Leadership &amp; Strategy:</t>
          </r>
          <r>
            <rPr>
              <rFont val="Calibri"/>
              <sz val="10"/>
            </rPr>
            <t xml:space="preserve"> 3 of 12 — Start: 4.0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4.5 of 12 · between B1 and B2 — Experience: 5.1 yrs total · 5.0 before IRIS + 0.1 at IRIS = 3.8 on the experience scale; Qualification: MBA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38" s="12"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38" s="12" t="inlineStr">
        <is>
          <r>
            <rPr>
              <rFont val="Calibri"/>
              <sz val="10"/>
            </rPr>
            <t xml:space="preserve">✓ HRIS: 5.1 yrs, MBA, 0 direct reports
✓ Survey: 20 of 20 questions answered
✗ KRAs: none on file
✓ Manager mapping: rating, 9-box
✗ Job description: not on file
</t>
          </r>
          <r>
            <rPr>
              <rFont val="Calibri"/>
              <b val="1"/>
              <sz val="10"/>
            </rPr>
            <t>Confidence:</t>
          </r>
          <r>
            <rPr>
              <rFont val="Calibri"/>
              <sz val="10"/>
            </rPr>
            <t xml:space="preserve"> High</t>
          </r>
        </is>
      </c>
      <c r="Z38" s="12" t="inlineStr">
        <is>
          <t>—</t>
        </is>
      </c>
      <c r="AA38" s="12" t="inlineStr">
        <is>
          <t>Nothing outstanding</t>
        </is>
      </c>
      <c r="AB3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Manager talent mapping — Latest rating: Not rated · manager · 9-Box Grid placement: Not placed · manager.</t>
          </r>
        </is>
      </c>
      <c r="AC38" s="82" t="n"/>
      <c r="AD38" s="82" t="n"/>
      <c r="AE38" s="82" t="n"/>
      <c r="AF38" s="12" t="n">
        <v>4</v>
      </c>
    </row>
    <row r="39" ht="379" customHeight="1">
      <c r="A39" s="12" t="inlineStr">
        <is>
          <t>IRIS2070</t>
        </is>
      </c>
      <c r="B39" s="10" t="inlineStr">
        <is>
          <t>Shreya Jolly</t>
        </is>
      </c>
      <c r="C39" s="12" t="inlineStr">
        <is>
          <t>Sales</t>
        </is>
      </c>
      <c r="D39" s="12" t="inlineStr">
        <is>
          <t>Assistant Manager Sales</t>
        </is>
      </c>
      <c r="E39" s="78" t="inlineStr">
        <is>
          <t>Account Executive – POD Lead</t>
        </is>
      </c>
      <c r="F39" s="12" t="inlineStr">
        <is>
          <t>Sales &amp; Business Development</t>
        </is>
      </c>
      <c r="G39" s="12" t="inlineStr">
        <is>
          <t>Enterprise Sales &amp; Account Management</t>
        </is>
      </c>
      <c r="H39" s="12" t="inlineStr">
        <is>
          <t>POD Lead</t>
        </is>
      </c>
      <c r="I39" s="42" t="inlineStr">
        <is>
          <t>L5 – Assistant Manager</t>
        </is>
      </c>
      <c r="J39" s="20" t="inlineStr">
        <is>
          <t>B1</t>
        </is>
      </c>
      <c r="K39" s="21" t="inlineStr">
        <is>
          <t>Specialist · POD Lead</t>
        </is>
      </c>
      <c r="L39" s="87" t="inlineStr">
        <is>
          <t>• Same level</t>
        </is>
      </c>
      <c r="M39" s="12" t="inlineStr">
        <is>
          <t>iFile · Sales · Band B · Expert / POD Lead</t>
        </is>
      </c>
      <c r="N39" s="42" t="n">
        <v>4</v>
      </c>
      <c r="O39" s="42" t="n">
        <v>4</v>
      </c>
      <c r="P39" s="42" t="n">
        <v>4.5</v>
      </c>
      <c r="Q39" s="42" t="n">
        <v>4</v>
      </c>
      <c r="R39" s="42" t="n">
        <v>4.5</v>
      </c>
      <c r="S39" s="80" t="n">
        <v>5</v>
      </c>
      <c r="T39" s="81">
        <f>IF(OR($M39="",COUNT(N39,O39,P39,Q39,R39,S39)&lt;6),"",IFERROR(N39*INDEX(WM_C,MATCH($M39,WM_KEY,0))+O39*INDEX(WM_AU,MATCH($M39,WM_KEY,0))+P39*INDEX(WM_AC,MATCH($M39,WM_KEY,0))+Q39*INDEX(WM_L,MATCH($M39,WM_KEY,0))+R39*INDEX(WM_E,MATCH($M39,WM_KEY,0))+S39*INDEX(WM_BI,MATCH($M39,WM_KEY,0)),""))</f>
        <v>4.195</v>
      </c>
      <c r="U39" s="42" t="str">
        <f>IF(T39="","",INDEX({"A1","A2","A3","B1","B2","B3","C1","C2","D1","D2","E1","E2"},MAX(1,MIN(12,ROUND(T39,0)))))</f>
        <v>B1</v>
      </c>
      <c r="V39" s="12" t="inlineStr">
        <is>
          <r>
            <rPr>
              <rFont val="Calibri"/>
              <sz val="10"/>
            </rPr>
            <t xml:space="preserve">New level B1 · Specialist · POD Lead. Current level on record: L5 – Assistant Manager. Change: • Same level.
Score 4.20 on the ladder scale → indicated level B1.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9" s="12" t="inlineStr">
        <is>
          <r>
            <rPr>
              <rFont val="Calibri"/>
              <b val="1"/>
              <sz val="10"/>
            </rPr>
            <t>Complexity &amp; Expertise:</t>
          </r>
          <r>
            <rPr>
              <rFont val="Calibri"/>
              <sz val="10"/>
            </rPr>
            <t xml:space="preserve"> 4 of 12 — Start: 4.0 · lead / specialist title; Evidence reads like B1: Compliance-driven sales across Africa/ASEAN regulators: proposals, pricing negotiation, contract clauses, onboarding, renewals → matches the start; KRA: “Q1: Deliver assigned sales pipeline and revenue contribution across iFile/INSTANT/CARBON accounts. Q1: Lead customer engagement and ensure…”
</t>
          </r>
          <r>
            <rPr>
              <rFont val="Calibri"/>
              <b val="1"/>
              <sz val="10"/>
            </rPr>
            <t>Autonomy &amp; Decision:</t>
          </r>
          <r>
            <rPr>
              <rFont val="Calibri"/>
              <sz val="10"/>
            </rPr>
            <t xml:space="preserve"> 4 of 12 — Start: 4.0 · lead / specialist title; Evidence reads like B1: Decides deal priorities, negotiation approach, proposal structure; allocates tasks to two reports → matches the start
</t>
          </r>
          <r>
            <rPr>
              <rFont val="Calibri"/>
              <b val="1"/>
              <sz val="10"/>
            </rPr>
            <t>Accountability &amp; Impact:</t>
          </r>
          <r>
            <rPr>
              <rFont val="Calibri"/>
              <sz val="10"/>
            </rPr>
            <t xml:space="preserve"> 4.5 of 12 · between B1 and B2 — Start: 4.0 · lead / specialist title; 2 direct reports; Evidence reads like B2: Revenue against target · 1 Cr personal quota, signed contracts' commercial terms, renewals, reports' quotas → moved up 0.5; KRA: “Q1: Deliver assigned sales pipeline and revenue contribution across iFile/INSTANT/CARBON accounts. Q1: Lead customer engagement and ensure…”
</t>
          </r>
          <r>
            <rPr>
              <rFont val="Calibri"/>
              <b val="1"/>
              <sz val="10"/>
            </rPr>
            <t>Leadership &amp; Strategy:</t>
          </r>
          <r>
            <rPr>
              <rFont val="Calibri"/>
              <sz val="10"/>
            </rPr>
            <t xml:space="preserve"> 4 of 12 — Start: 4.0; Evidence reads like B1: Manages two sales reports: task allocation and monthly pipeline reviews → matches the start; Team: 2 direct reports · POD Lead
</t>
          </r>
          <r>
            <rPr>
              <rFont val="Calibri"/>
              <b val="1"/>
              <sz val="10"/>
            </rPr>
            <t>Experience &amp; Qualification:</t>
          </r>
          <r>
            <rPr>
              <rFont val="Calibri"/>
              <sz val="10"/>
            </rPr>
            <t xml:space="preserve"> 4.5 of 12 · between B1 and B2 — Experience: 5.0 yrs total · 1.1 before IRIS + 3.9 at IRIS = 3.8 on the experience scale; Qualification: MBA · postgraduate, relevant to the work → +0.5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39" s="12"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39" s="12" t="inlineStr">
        <is>
          <r>
            <rPr>
              <rFont val="Calibri"/>
              <sz val="10"/>
            </rPr>
            <t xml:space="preserve">✓ HRIS: 5.0 yrs, MBA, 2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39" s="84"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39" s="12" t="inlineStr">
        <is>
          <t>Nothing outstanding</t>
        </is>
      </c>
      <c r="AB3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Leads 2 direct reports.
From the survey and manager mapping — critical role: yes; successor named: no.
Manager talent mapping — Latest rating: 4 · Potential: High · 9-Box Grid placement: High Impact / Growth Talent.</t>
          </r>
        </is>
      </c>
      <c r="AC39" s="82" t="n"/>
      <c r="AD39" s="82" t="n"/>
      <c r="AE39" s="82" t="n"/>
      <c r="AF39" s="12" t="n">
        <v>5</v>
      </c>
    </row>
    <row r="40" ht="93" customHeight="1">
      <c r="A40" s="12" t="inlineStr">
        <is>
          <t>INTN0304</t>
        </is>
      </c>
      <c r="B40" s="10" t="inlineStr">
        <is>
          <t>Anushka Chaturvedi</t>
        </is>
      </c>
      <c r="C40" s="12" t="inlineStr">
        <is>
          <t>Sales</t>
        </is>
      </c>
      <c r="D40" s="12" t="inlineStr">
        <is>
          <t>Intern</t>
        </is>
      </c>
      <c r="E40" s="78" t="inlineStr">
        <is>
          <t>Intern – Application &amp; Product Support</t>
        </is>
      </c>
      <c r="F40" s="12" t="inlineStr">
        <is>
          <t>Customer Success &amp; Support</t>
        </is>
      </c>
      <c r="G40" s="12" t="inlineStr">
        <is>
          <t>Application &amp; Product Support</t>
        </is>
      </c>
      <c r="H40" s="12" t="inlineStr">
        <is>
          <t>IC</t>
        </is>
      </c>
      <c r="I40" s="42" t="inlineStr">
        <is>
          <t>L1 – Intern</t>
        </is>
      </c>
      <c r="J40" s="16" t="inlineStr">
        <is>
          <t>A1</t>
        </is>
      </c>
      <c r="K40" s="17" t="inlineStr">
        <is>
          <t>Intern / Trainee</t>
        </is>
      </c>
      <c r="L40" s="87" t="inlineStr">
        <is>
          <t>• Same level</t>
        </is>
      </c>
      <c r="M40" s="12" t="inlineStr">
        <is>
          <t>—</t>
        </is>
      </c>
      <c r="N40" s="42" t="inlineStr">
        <is>
          <t>—</t>
        </is>
      </c>
      <c r="O40" s="42" t="inlineStr">
        <is>
          <t>—</t>
        </is>
      </c>
      <c r="P40" s="42" t="inlineStr">
        <is>
          <t>—</t>
        </is>
      </c>
      <c r="Q40" s="42" t="inlineStr">
        <is>
          <t>—</t>
        </is>
      </c>
      <c r="R40" s="42" t="inlineStr">
        <is>
          <t>—</t>
        </is>
      </c>
      <c r="S40" s="80" t="inlineStr">
        <is>
          <t>—</t>
        </is>
      </c>
      <c r="T40" s="81" t="inlineStr">
        <is>
          <t>—</t>
        </is>
      </c>
      <c r="U40" s="42" t="inlineStr">
        <is>
          <t>Not scored</t>
        </is>
      </c>
      <c r="V40" s="12" t="inlineStr">
        <is>
          <t>New level A1 · Intern / Trainee. Current level on record: L1 – Intern. Change: • Same level.
Interns and first-year trainees start at A1.</t>
        </is>
      </c>
      <c r="W40" s="12" t="inlineStr">
        <is>
          <r>
            <rPr>
              <rFont val="Calibri"/>
              <b val="1"/>
              <sz val="10"/>
            </rPr>
            <t>Not scored:</t>
          </r>
          <r>
            <rPr>
              <rFont val="Calibri"/>
              <sz val="10"/>
            </rPr>
            <t xml:space="preserve"> interns and first-year trainees start at A1.</t>
          </r>
        </is>
      </c>
      <c r="X40"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Support Associate
</t>
          </r>
          <r>
            <rPr>
              <rFont val="Calibri"/>
              <b val="1"/>
              <sz val="10"/>
            </rPr>
            <t>At peers:</t>
          </r>
          <r>
            <rPr>
              <rFont val="Calibri"/>
              <sz val="10"/>
            </rPr>
            <t xml:space="preserve"> Workiva – Customer Success intern
</t>
          </r>
          <r>
            <rPr>
              <rFont val="Calibri"/>
              <b val="1"/>
              <sz val="10"/>
            </rPr>
            <t>Standard:</t>
          </r>
          <r>
            <rPr>
              <rFont val="Calibri"/>
              <sz val="10"/>
            </rPr>
            <t xml:space="preserve"> TSIA frameworks and benchmarks; ITIL 4 service desk</t>
          </r>
        </is>
      </c>
      <c r="Y40" s="12" t="inlineStr">
        <is>
          <r>
            <rPr>
              <rFont val="Calibri"/>
              <sz val="10"/>
            </rPr>
            <t xml:space="preserve">✓ HRIS: 0.4 yrs, MBA,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0" s="12" t="inlineStr">
        <is>
          <t>—</t>
        </is>
      </c>
      <c r="AA40" s="12" t="inlineStr">
        <is>
          <t>Nothing outstanding</t>
        </is>
      </c>
      <c r="AB40"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customer · rework · client · delays · incorrect.
Manager talent mapping — Latest rating: 4 · Potential: Medium · 9-Box Grid placement: Emerging Talent.</t>
          </r>
        </is>
      </c>
      <c r="AC40" s="82" t="n"/>
      <c r="AD40" s="82" t="n"/>
      <c r="AE40" s="82" t="n"/>
      <c r="AF40" s="12" t="inlineStr">
        <is>
          <t>—</t>
        </is>
      </c>
    </row>
    <row r="41" ht="158" customHeight="1">
      <c r="A41" s="12" t="inlineStr">
        <is>
          <t>IRISSG001</t>
        </is>
      </c>
      <c r="B41" s="10" t="inlineStr">
        <is>
          <t>Anand Padmanabhan</t>
        </is>
      </c>
      <c r="C41" s="12" t="inlineStr">
        <is>
          <t>Sales</t>
        </is>
      </c>
      <c r="D41" s="12" t="inlineStr">
        <is>
          <t>President</t>
        </is>
      </c>
      <c r="E41" s="78" t="inlineStr">
        <is>
          <t>Senior Consultant – Enterprise Leadership</t>
        </is>
      </c>
      <c r="F41" s="12" t="inlineStr">
        <is>
          <t>Executive Leadership</t>
        </is>
      </c>
      <c r="G41" s="12" t="inlineStr">
        <is>
          <t>Enterprise Leadership</t>
        </is>
      </c>
      <c r="H41" s="12" t="inlineStr">
        <is>
          <t>Consultant</t>
        </is>
      </c>
      <c r="I41" s="42" t="inlineStr">
        <is>
          <t>Not in current mapping files</t>
        </is>
      </c>
      <c r="J41" s="36" t="inlineStr">
        <is>
          <t>X3</t>
        </is>
      </c>
      <c r="K41" s="37" t="inlineStr">
        <is>
          <t>Senior Consultant / Advisor</t>
        </is>
      </c>
      <c r="L41" s="85" t="inlineStr">
        <is>
          <t>● Newly mapped</t>
        </is>
      </c>
      <c r="M41" s="12" t="inlineStr">
        <is>
          <t>—</t>
        </is>
      </c>
      <c r="N41" s="42" t="inlineStr">
        <is>
          <t>—</t>
        </is>
      </c>
      <c r="O41" s="42" t="inlineStr">
        <is>
          <t>—</t>
        </is>
      </c>
      <c r="P41" s="42" t="inlineStr">
        <is>
          <t>—</t>
        </is>
      </c>
      <c r="Q41" s="42" t="inlineStr">
        <is>
          <t>—</t>
        </is>
      </c>
      <c r="R41" s="42" t="inlineStr">
        <is>
          <t>—</t>
        </is>
      </c>
      <c r="S41" s="80" t="inlineStr">
        <is>
          <t>—</t>
        </is>
      </c>
      <c r="T41" s="81" t="inlineStr">
        <is>
          <t>—</t>
        </is>
      </c>
      <c r="U41" s="42" t="inlineStr">
        <is>
          <t>Not scored</t>
        </is>
      </c>
      <c r="V41" s="12" t="inlineStr">
        <is>
          <r>
            <rPr>
              <rFont val="Calibri"/>
              <sz val="10"/>
            </rPr>
            <t xml:space="preserve">New level X3 · Senior Consultant / Advisor. Current level on record: Not in current mapping files. Change: ● Newly mapped.
• Placed at X3 · consultant, outside the employee ladder by leadership decision: Engaged as a consultant, not an employee: moves from Band E to Band X · senior consultant.
</t>
          </r>
          <r>
            <rPr>
              <rFont val="Calibri"/>
              <b val="1"/>
              <sz val="10"/>
            </rPr>
            <t>Final level:</t>
          </r>
          <r>
            <rPr>
              <rFont val="Calibri"/>
              <sz val="10"/>
            </rPr>
            <t xml:space="preserve"> X3.</t>
          </r>
        </is>
      </c>
      <c r="W41" s="12" t="inlineStr">
        <is>
          <r>
            <rPr>
              <rFont val="Calibri"/>
              <b val="1"/>
              <sz val="10"/>
            </rPr>
            <t>Not scored:</t>
          </r>
          <r>
            <rPr>
              <rFont val="Calibri"/>
              <sz val="10"/>
            </rPr>
            <t xml:space="preserve"> consultants sit outside the career ladder · X1–X3, by the scope of their statement of work.</t>
          </r>
        </is>
      </c>
      <c r="X41" s="12" t="inlineStr">
        <is>
          <r>
            <rPr>
              <rFont val="Calibri"/>
              <b val="1"/>
              <sz val="10"/>
            </rPr>
            <t>Consultant:</t>
          </r>
          <r>
            <rPr>
              <rFont val="Calibri"/>
              <sz val="10"/>
            </rPr>
            <t xml:space="preserve"> priced by rate card under the statement of work.</t>
          </r>
        </is>
      </c>
      <c r="Y41" s="12" t="inlineStr">
        <is>
          <r>
            <rPr>
              <rFont val="Calibri"/>
              <sz val="10"/>
            </rPr>
            <t xml:space="preserve">✗ HRIS: experience missing, CA, 0 direct reports
✗ Survey: no response
✗ KRAs: none on file
✓ Manager mapping: rating, 9-box
✗ Job description: not on file
✓ Validated inputs: Approved level: E1 → X3 · Engaged as a consultant, not an employee: moves from Band E to Band X · senior consultant · Leadership decision · HR review of 9 Oct 2026 · 2026-10-09
</t>
          </r>
          <r>
            <rPr>
              <rFont val="Calibri"/>
              <b val="1"/>
              <sz val="10"/>
            </rPr>
            <t>Confidence:</t>
          </r>
          <r>
            <rPr>
              <rFont val="Calibri"/>
              <sz val="10"/>
            </rPr>
            <t xml:space="preserve"> Low</t>
          </r>
        </is>
      </c>
      <c r="Z41" s="12" t="inlineStr">
        <is>
          <t>—</t>
        </is>
      </c>
      <c r="AA41" s="12" t="inlineStr">
        <is>
          <t>Nothing outstanding</t>
        </is>
      </c>
      <c r="AB41" s="12" t="inlineStr">
        <is>
          <r>
            <rPr>
              <rFont val="Calibri"/>
              <b val="1"/>
              <sz val="10"/>
            </rPr>
            <t>What the role answers for:</t>
          </r>
          <r>
            <rPr>
              <rFont val="Calibri"/>
              <sz val="10"/>
            </rPr>
            <t xml:space="preserve"> —.
Manager talent mapping — Latest rating: Not rated · manager · 9-Box Grid placement: Not placed · manager.</t>
          </r>
        </is>
      </c>
      <c r="AC41" s="82" t="n"/>
      <c r="AD41" s="82" t="n"/>
      <c r="AE41" s="82" t="n"/>
      <c r="AF41" s="12" t="inlineStr">
        <is>
          <t>—</t>
        </is>
      </c>
    </row>
    <row r="42" ht="80" customHeight="1">
      <c r="A42" s="12" t="inlineStr">
        <is>
          <t>IRISC312</t>
        </is>
      </c>
      <c r="B42" s="10" t="inlineStr">
        <is>
          <t>Rajesh Nair</t>
        </is>
      </c>
      <c r="C42" s="12" t="inlineStr">
        <is>
          <t>Sales</t>
        </is>
      </c>
      <c r="D42" s="12" t="inlineStr">
        <is>
          <t>Consultant</t>
        </is>
      </c>
      <c r="E42" s="78" t="inlineStr">
        <is>
          <t>Consultant – Enterprise Sales &amp; Account Management</t>
        </is>
      </c>
      <c r="F42" s="12" t="inlineStr">
        <is>
          <t>Sales &amp; Business Development</t>
        </is>
      </c>
      <c r="G42" s="12" t="inlineStr">
        <is>
          <t>Enterprise Sales &amp; Account Management</t>
        </is>
      </c>
      <c r="H42" s="12" t="inlineStr">
        <is>
          <t>Consultant</t>
        </is>
      </c>
      <c r="I42" s="42" t="inlineStr">
        <is>
          <t>L3 – Professional / Associate</t>
        </is>
      </c>
      <c r="J42" s="36" t="inlineStr">
        <is>
          <t>X2</t>
        </is>
      </c>
      <c r="K42" s="37" t="inlineStr">
        <is>
          <t>Consultant</t>
        </is>
      </c>
      <c r="L42" s="87" t="inlineStr">
        <is>
          <t>• Same level</t>
        </is>
      </c>
      <c r="M42" s="12" t="inlineStr">
        <is>
          <t>—</t>
        </is>
      </c>
      <c r="N42" s="42" t="inlineStr">
        <is>
          <t>—</t>
        </is>
      </c>
      <c r="O42" s="42" t="inlineStr">
        <is>
          <t>—</t>
        </is>
      </c>
      <c r="P42" s="42" t="inlineStr">
        <is>
          <t>—</t>
        </is>
      </c>
      <c r="Q42" s="42" t="inlineStr">
        <is>
          <t>—</t>
        </is>
      </c>
      <c r="R42" s="42" t="inlineStr">
        <is>
          <t>—</t>
        </is>
      </c>
      <c r="S42" s="80" t="inlineStr">
        <is>
          <t>—</t>
        </is>
      </c>
      <c r="T42" s="81" t="inlineStr">
        <is>
          <t>—</t>
        </is>
      </c>
      <c r="U42" s="42" t="inlineStr">
        <is>
          <t>Not scored</t>
        </is>
      </c>
      <c r="V42" s="12" t="inlineStr">
        <is>
          <t>New level X2 · Consultant. Current level on record: L3 – Professional / Associate. Change: • Same level.
Consultants sit outside the career ladder, at X1–X3 by the scope of their statement of work.</t>
        </is>
      </c>
      <c r="W42" s="12" t="inlineStr">
        <is>
          <r>
            <rPr>
              <rFont val="Calibri"/>
              <b val="1"/>
              <sz val="10"/>
            </rPr>
            <t>Not scored:</t>
          </r>
          <r>
            <rPr>
              <rFont val="Calibri"/>
              <sz val="10"/>
            </rPr>
            <t xml:space="preserve"> consultants sit outside the career ladder · X1–X3, by the scope of their statement of work.</t>
          </r>
        </is>
      </c>
      <c r="X42" s="12" t="inlineStr">
        <is>
          <r>
            <rPr>
              <rFont val="Calibri"/>
              <b val="1"/>
              <sz val="10"/>
            </rPr>
            <t>Consultant:</t>
          </r>
          <r>
            <rPr>
              <rFont val="Calibri"/>
              <sz val="10"/>
            </rPr>
            <t xml:space="preserve"> priced by rate card under the statement of work.</t>
          </r>
        </is>
      </c>
      <c r="Y42" s="12" t="inlineStr">
        <is>
          <r>
            <rPr>
              <rFont val="Calibri"/>
              <sz val="10"/>
            </rPr>
            <t xml:space="preserve">✓ HRIS: 15.3 yrs, MBA, 0 direct reports
✓ Survey: 20 of 20 questions answered
✓ KRAs: self, manager-set, quarterly
✓ Manager mapping: rating, potential, 9-box
✗ Job description: not on file
</t>
          </r>
          <r>
            <rPr>
              <rFont val="Calibri"/>
              <b val="1"/>
              <sz val="10"/>
            </rPr>
            <t>Confidence:</t>
          </r>
          <r>
            <rPr>
              <rFont val="Calibri"/>
              <sz val="10"/>
            </rPr>
            <t xml:space="preserve"> —</t>
          </r>
        </is>
      </c>
      <c r="Z42" s="12" t="inlineStr">
        <is>
          <t>—</t>
        </is>
      </c>
      <c r="AA42" s="12" t="inlineStr">
        <is>
          <t>Nothing outstanding</t>
        </is>
      </c>
      <c r="AB42" s="12" t="inlineStr">
        <is>
          <r>
            <rPr>
              <rFont val="Calibri"/>
              <b val="1"/>
              <sz val="10"/>
            </rPr>
            <t>What the role answers for:</t>
          </r>
          <r>
            <rPr>
              <rFont val="Calibri"/>
              <sz val="10"/>
            </rPr>
            <t xml:space="preserve"> —.
From the survey and manager mapping — critical role: yes; successor named: no.
Manager talent mapping — Latest rating: 3 · Potential: Medium · 9-Box Grid placement: Core Contributor.</t>
          </r>
        </is>
      </c>
      <c r="AC42" s="82" t="n"/>
      <c r="AD42" s="82" t="n"/>
      <c r="AE42" s="82" t="n"/>
      <c r="AF42" s="12" t="inlineStr">
        <is>
          <t>—</t>
        </is>
      </c>
    </row>
    <row r="43" ht="379" customHeight="1">
      <c r="A43" s="12" t="inlineStr">
        <is>
          <t>IRIS1833</t>
        </is>
      </c>
      <c r="B43" s="10" t="inlineStr">
        <is>
          <t>Shraddha Gawali</t>
        </is>
      </c>
      <c r="C43" s="12" t="inlineStr">
        <is>
          <t>Support</t>
        </is>
      </c>
      <c r="D43" s="12" t="inlineStr">
        <is>
          <t>Team Lead</t>
        </is>
      </c>
      <c r="E43" s="78" t="inlineStr">
        <is>
          <t>Support Specialist</t>
        </is>
      </c>
      <c r="F43" s="12" t="inlineStr">
        <is>
          <t>Customer Success &amp; Support</t>
        </is>
      </c>
      <c r="G43" s="12" t="inlineStr">
        <is>
          <t>Application &amp; Product Support</t>
        </is>
      </c>
      <c r="H43" s="12" t="inlineStr">
        <is>
          <t>IC</t>
        </is>
      </c>
      <c r="I43" s="42" t="inlineStr">
        <is>
          <t>L5 – Lead · IC</t>
        </is>
      </c>
      <c r="J43" s="20" t="inlineStr">
        <is>
          <t>B1</t>
        </is>
      </c>
      <c r="K43" s="21" t="inlineStr">
        <is>
          <t>Specialist</t>
        </is>
      </c>
      <c r="L43" s="83" t="inlineStr">
        <is>
          <t>▼ Down · pay &amp; title protected</t>
        </is>
      </c>
      <c r="M43" s="12" t="inlineStr">
        <is>
          <t>iFile · Support · Band B · Expert / POD Lead</t>
        </is>
      </c>
      <c r="N43" s="42" t="n">
        <v>3.5</v>
      </c>
      <c r="O43" s="42" t="n">
        <v>3.5</v>
      </c>
      <c r="P43" s="42" t="n">
        <v>3.5</v>
      </c>
      <c r="Q43" s="42" t="n">
        <v>2.5</v>
      </c>
      <c r="R43" s="42" t="n">
        <v>4.5</v>
      </c>
      <c r="S43" s="80" t="n">
        <v>3.5</v>
      </c>
      <c r="T43" s="81">
        <f>IF(OR($M43="",COUNT(N43,O43,P43,Q43,R43,S43)&lt;6),"",IFERROR(N43*INDEX(WM_C,MATCH($M43,WM_KEY,0))+O43*INDEX(WM_AU,MATCH($M43,WM_KEY,0))+P43*INDEX(WM_AC,MATCH($M43,WM_KEY,0))+Q43*INDEX(WM_L,MATCH($M43,WM_KEY,0))+R43*INDEX(WM_E,MATCH($M43,WM_KEY,0))+S43*INDEX(WM_BI,MATCH($M43,WM_KEY,0)),""))</f>
        <v>3.55</v>
      </c>
      <c r="U43" s="42" t="str">
        <f>IF(T43="","",INDEX({"A1","A2","A3","B1","B2","B3","C1","C2","D1","D2","E1","E2"},MAX(1,MIN(12,ROUND(T43,0)))))</f>
        <v>B1</v>
      </c>
      <c r="V43" s="12" t="inlineStr">
        <is>
          <r>
            <rPr>
              <rFont val="Calibri"/>
              <sz val="10"/>
            </rPr>
            <t xml:space="preserve">New level B1 · Specialist. Current level on record: L5 – Lead · IC. Change: ▼ Down · pay &amp; title protected.
Score 3.55 on the ladder scale → indicated level B1.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43" s="12" t="inlineStr">
        <is>
          <r>
            <rPr>
              <rFont val="Calibri"/>
              <b val="1"/>
              <sz val="10"/>
            </rPr>
            <t>Complexity &amp; Expertise:</t>
          </r>
          <r>
            <rPr>
              <rFont val="Calibri"/>
              <sz val="10"/>
            </rPr>
            <t xml:space="preserve"> 3.5 of 12 · between A3 and B1 — Start: 4.0 · lead / specialist title; Evidence reads like A2: Ticket management on the IRP project using Faveo; issue analysis → moved down 0.5; KRA: “1. Keep team CSAT &gt;=4.2/5 and NPS trending positive 2. Ensure &gt;=95% team SLA adherence on resolution &amp; first response 3. Drive…”
</t>
          </r>
          <r>
            <rPr>
              <rFont val="Calibri"/>
              <b val="1"/>
              <sz val="10"/>
            </rPr>
            <t>Autonomy &amp; Decision:</t>
          </r>
          <r>
            <rPr>
              <rFont val="Calibri"/>
              <sz val="10"/>
            </rPr>
            <t xml:space="preserve"> 3.5 of 12 · between A3 and B1 — Start: 4.0 · lead / specialist title; Evidence reads like A2: No concrete decisions stated · 'ownership' only; routine ticket handling → moved down 0.5
</t>
          </r>
          <r>
            <rPr>
              <rFont val="Calibri"/>
              <b val="1"/>
              <sz val="10"/>
            </rPr>
            <t>Accountability &amp; Impact:</t>
          </r>
          <r>
            <rPr>
              <rFont val="Calibri"/>
              <sz val="10"/>
            </rPr>
            <t xml:space="preserve"> 3.5 of 12 · between A3 and B1 — Start: 4.0 · lead / specialist title; Evidence reads like A2: Ticket responses, including covering a colleague's tickets → moved down 0.5; KRA: “1. Keep team CSAT &gt;=4.2/5 and NPS trending positive 2. Ensure &gt;=95% team SLA adherence on resolution &amp; first response 3. Drive…”
</t>
          </r>
          <r>
            <rPr>
              <rFont val="Calibri"/>
              <b val="1"/>
              <sz val="10"/>
            </rPr>
            <t>Leadership &amp; Strategy:</t>
          </r>
          <r>
            <rPr>
              <rFont val="Calibri"/>
              <sz val="10"/>
            </rPr>
            <t xml:space="preserve"> 2.5 of 12 · between A2 and A3 — Start: 3.0 · individual contributor, so influence only; Evidence reads like A1: No team leadership described; self-describes as client solution executive → moved down 0.5; Team: 0 direct reports · IC
</t>
          </r>
          <r>
            <rPr>
              <rFont val="Calibri"/>
              <b val="1"/>
              <sz val="10"/>
            </rPr>
            <t>Experience &amp; Qualification:</t>
          </r>
          <r>
            <rPr>
              <rFont val="Calibri"/>
              <sz val="10"/>
            </rPr>
            <t xml:space="preserve"> 4.5 of 12 · between B1 and B2 — Experience: 6.7 yrs total · 6.7 at IRIS; none recorded before IRIS = 4.6 on the experience scale; Qualification: B.Com · graduate → no change
</t>
          </r>
          <r>
            <rPr>
              <rFont val="Calibri"/>
              <b val="1"/>
              <sz val="10"/>
            </rPr>
            <t>Business Impact:</t>
          </r>
          <r>
            <rPr>
              <rFont val="Calibri"/>
              <sz val="10"/>
            </rPr>
            <t xml:space="preserve"> 3.5 of 12 — a starting estimate. —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r>
        </is>
      </c>
      <c r="X43"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Y43" s="12" t="inlineStr">
        <is>
          <r>
            <rPr>
              <rFont val="Calibri"/>
              <sz val="10"/>
            </rPr>
            <t xml:space="preserve">✓ HRIS: 6.7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3"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43" s="12" t="inlineStr">
        <is>
          <t>Nothing outstanding</t>
        </is>
      </c>
      <c r="AB4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work only this person does: no; successor named: yes.
</t>
          </r>
          <r>
            <rPr>
              <rFont val="Calibri"/>
              <b val="1"/>
              <sz val="10"/>
            </rPr>
            <t>If the work is missed · role-holders' themes:</t>
          </r>
          <r>
            <rPr>
              <rFont val="Calibri"/>
              <sz val="10"/>
            </rPr>
            <t xml:space="preserve"> tracking · client · result.
</t>
          </r>
          <r>
            <rPr>
              <rFont val="Calibri"/>
              <b val="1"/>
              <sz val="10"/>
            </rPr>
            <t>Measured on · manager-set KRA themes:</t>
          </r>
          <r>
            <rPr>
              <rFont val="Calibri"/>
              <sz val="10"/>
            </rPr>
            <t xml:space="preserve"> accounts · csat · documentation · reduce · drive · keep.
Manager talent mapping — Latest rating: 3 · Potential: Medium · 9-Box Grid placement: Core Contributor.</t>
          </r>
        </is>
      </c>
      <c r="AC43" s="82" t="n"/>
      <c r="AD43" s="82" t="n"/>
      <c r="AE43" s="82" t="n"/>
      <c r="AF43" s="12" t="n">
        <v>3.5</v>
      </c>
    </row>
    <row r="44" ht="379" customHeight="1">
      <c r="A44" s="12" t="inlineStr">
        <is>
          <t>IRIS1728</t>
        </is>
      </c>
      <c r="B44" s="10" t="inlineStr">
        <is>
          <t>Vijay Sakpal</t>
        </is>
      </c>
      <c r="C44" s="12" t="inlineStr">
        <is>
          <t>Support</t>
        </is>
      </c>
      <c r="D44" s="12" t="inlineStr">
        <is>
          <t>Team Lead</t>
        </is>
      </c>
      <c r="E44" s="78" t="inlineStr">
        <is>
          <t>Support Specialist</t>
        </is>
      </c>
      <c r="F44" s="12" t="inlineStr">
        <is>
          <t>Customer Success &amp; Support</t>
        </is>
      </c>
      <c r="G44" s="12" t="inlineStr">
        <is>
          <t>Application &amp; Product Support</t>
        </is>
      </c>
      <c r="H44" s="12" t="inlineStr">
        <is>
          <t>IC</t>
        </is>
      </c>
      <c r="I44" s="42" t="inlineStr">
        <is>
          <t>L5 – Lead · IC</t>
        </is>
      </c>
      <c r="J44" s="20" t="inlineStr">
        <is>
          <t>B1</t>
        </is>
      </c>
      <c r="K44" s="21" t="inlineStr">
        <is>
          <t>Specialist</t>
        </is>
      </c>
      <c r="L44" s="83" t="inlineStr">
        <is>
          <t>▼ Down · pay &amp; title protected</t>
        </is>
      </c>
      <c r="M44" s="12" t="inlineStr">
        <is>
          <t>iFile · Support · Band B · Expert / POD Lead</t>
        </is>
      </c>
      <c r="N44" s="42" t="n">
        <v>3.5</v>
      </c>
      <c r="O44" s="42" t="n">
        <v>3</v>
      </c>
      <c r="P44" s="42" t="n">
        <v>3.5</v>
      </c>
      <c r="Q44" s="42" t="n">
        <v>2</v>
      </c>
      <c r="R44" s="42" t="n">
        <v>8</v>
      </c>
      <c r="S44" s="80" t="n">
        <v>3.5</v>
      </c>
      <c r="T44" s="81">
        <f>IF(OR($M44="",COUNT(N44,O44,P44,Q44,R44,S44)&lt;6),"",IFERROR(N44*INDEX(WM_C,MATCH($M44,WM_KEY,0))+O44*INDEX(WM_AU,MATCH($M44,WM_KEY,0))+P44*INDEX(WM_AC,MATCH($M44,WM_KEY,0))+Q44*INDEX(WM_L,MATCH($M44,WM_KEY,0))+R44*INDEX(WM_E,MATCH($M44,WM_KEY,0))+S44*INDEX(WM_BI,MATCH($M44,WM_KEY,0)),""))</f>
        <v>3.79</v>
      </c>
      <c r="U44" s="42" t="str">
        <f>IF(T44="","",INDEX({"A1","A2","A3","B1","B2","B3","C1","C2","D1","D2","E1","E2"},MAX(1,MIN(12,ROUND(T44,0)))))</f>
        <v>B1</v>
      </c>
      <c r="V44" s="12" t="inlineStr">
        <is>
          <r>
            <rPr>
              <rFont val="Calibri"/>
              <sz val="10"/>
            </rPr>
            <t xml:space="preserve">New level B1 · Specialist. Current level on record: L5 – Lead · IC. Change: ▼ Down · pay &amp; title protected.
Score 3.79 on the ladder scale → indicated level B1.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44" s="12" t="inlineStr">
        <is>
          <r>
            <rPr>
              <rFont val="Calibri"/>
              <b val="1"/>
              <sz val="10"/>
            </rPr>
            <t>Complexity &amp; Expertise:</t>
          </r>
          <r>
            <rPr>
              <rFont val="Calibri"/>
              <sz val="10"/>
            </rPr>
            <t xml:space="preserve"> 3.5 of 12 · between A3 and B1 — Start: 4.0 · lead / specialist title; Evidence reads like A3: Sole owner of defect-SLA tracking between developers and client; analyses and comments on defects → moved down 0.5; KRA: “1. Maintain client/customer satisfaction · CSAT of &gt;=4.2 / 5 2. Resolve &gt;=95% of assigned tickets/queries within SLA 3. Keep first-response…”
</t>
          </r>
          <r>
            <rPr>
              <rFont val="Calibri"/>
              <b val="1"/>
              <sz val="10"/>
            </rPr>
            <t>Autonomy &amp; Decision:</t>
          </r>
          <r>
            <rPr>
              <rFont val="Calibri"/>
              <sz val="10"/>
            </rPr>
            <t xml:space="preserve"> 3 of 12 — Start: 4.0 · lead / specialist title; Evidence reads like A2: Follows up developers and prioritises SLA risks; escalates when SLA is threatened → moved down 1
</t>
          </r>
          <r>
            <rPr>
              <rFont val="Calibri"/>
              <b val="1"/>
              <sz val="10"/>
            </rPr>
            <t>Accountability &amp; Impact:</t>
          </r>
          <r>
            <rPr>
              <rFont val="Calibri"/>
              <sz val="10"/>
            </rPr>
            <t xml:space="preserve"> 3.5 of 12 · between A3 and B1 — Start: 4.0 · lead / specialist title; Evidence reads like A3: Defect SLA tracking and daily client report end to end; breaches bring penalty → moved down 0.5; KRA: “1. Maintain client/customer satisfaction · CSAT of &gt;=4.2 / 5 2. Resolve &gt;=95% of assigned tickets/queries within SLA 3. Keep first-response…”
</t>
          </r>
          <r>
            <rPr>
              <rFont val="Calibri"/>
              <b val="1"/>
              <sz val="10"/>
            </rPr>
            <t>Leadership &amp; Strategy:</t>
          </r>
          <r>
            <rPr>
              <rFont val="Calibri"/>
              <sz val="10"/>
            </rPr>
            <t xml:space="preserve"> 2 of 12 — Start: 3.0 · individual contributor, so influence only; Evidence reads like A1: Coordinates developers but no team guidance described → moved down 1; Team: 0 direct reports · IC
</t>
          </r>
          <r>
            <rPr>
              <rFont val="Calibri"/>
              <b val="1"/>
              <sz val="10"/>
            </rPr>
            <t>Experience &amp; Qualification:</t>
          </r>
          <r>
            <rPr>
              <rFont val="Calibri"/>
              <sz val="10"/>
            </rPr>
            <t xml:space="preserve"> 8 of 12 — Experience: 14.8 yrs total · 6.6 before IRIS + 8.2 at IRIS = 8.1 on the experience scale; Qualification: B.SC · graduate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4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Y44" s="12" t="inlineStr">
        <is>
          <r>
            <rPr>
              <rFont val="Calibri"/>
              <sz val="10"/>
            </rPr>
            <t xml:space="preserve">✓ HRIS: 14.8 yrs, B.SC,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44"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44" s="12" t="inlineStr">
        <is>
          <t>Nothing outstanding</t>
        </is>
      </c>
      <c r="AB4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tracking · client · result.
</t>
          </r>
          <r>
            <rPr>
              <rFont val="Calibri"/>
              <b val="1"/>
              <sz val="10"/>
            </rPr>
            <t>Measured on · manager-set KRA themes:</t>
          </r>
          <r>
            <rPr>
              <rFont val="Calibri"/>
              <sz val="10"/>
            </rPr>
            <t xml:space="preserve"> accounts · csat · documentation · reduce · drive · keep.
Manager talent mapping — Latest rating: 3 · Potential: Low · 9-Box Grid placement: Reliable Specialist.</t>
          </r>
        </is>
      </c>
      <c r="AC44" s="82" t="n"/>
      <c r="AD44" s="82" t="n"/>
      <c r="AE44" s="82" t="n"/>
      <c r="AF44" s="12" t="n">
        <v>3.5</v>
      </c>
    </row>
    <row r="45" ht="379" customHeight="1">
      <c r="A45" s="12" t="inlineStr">
        <is>
          <t>IRIS2046</t>
        </is>
      </c>
      <c r="B45" s="10" t="inlineStr">
        <is>
          <t>Bhagyashree Bauskar</t>
        </is>
      </c>
      <c r="C45" s="12" t="inlineStr">
        <is>
          <t>Support</t>
        </is>
      </c>
      <c r="D45" s="12" t="inlineStr">
        <is>
          <t>Client Solutions Executive</t>
        </is>
      </c>
      <c r="E45" s="78" t="inlineStr">
        <is>
          <t>Senior Support Executive</t>
        </is>
      </c>
      <c r="F45" s="12" t="inlineStr">
        <is>
          <t>Customer Success &amp; Support</t>
        </is>
      </c>
      <c r="G45" s="12" t="inlineStr">
        <is>
          <t>Application &amp; Product Support</t>
        </is>
      </c>
      <c r="H45" s="12" t="inlineStr">
        <is>
          <t>IC</t>
        </is>
      </c>
      <c r="I45" s="42" t="inlineStr">
        <is>
          <t>L3 – Professional / Associate</t>
        </is>
      </c>
      <c r="J45" s="16" t="inlineStr">
        <is>
          <t>A3</t>
        </is>
      </c>
      <c r="K45" s="17" t="inlineStr">
        <is>
          <t>Senior Associate</t>
        </is>
      </c>
      <c r="L45" s="79" t="inlineStr">
        <is>
          <t>▲ Up</t>
        </is>
      </c>
      <c r="M45" s="12" t="inlineStr">
        <is>
          <t>iFile · Support · Band A · Early career</t>
        </is>
      </c>
      <c r="N45" s="42" t="n">
        <v>2.5</v>
      </c>
      <c r="O45" s="42" t="n">
        <v>2</v>
      </c>
      <c r="P45" s="42" t="n">
        <v>2</v>
      </c>
      <c r="Q45" s="42" t="n">
        <v>1.5</v>
      </c>
      <c r="R45" s="42" t="n">
        <v>5</v>
      </c>
      <c r="S45" s="80" t="n">
        <v>2</v>
      </c>
      <c r="T45" s="81">
        <f>IF(OR($M45="",COUNT(N45,O45,P45,Q45,R45,S45)&lt;6),"",IFERROR(N45*INDEX(WM_C,MATCH($M45,WM_KEY,0))+O45*INDEX(WM_AU,MATCH($M45,WM_KEY,0))+P45*INDEX(WM_AC,MATCH($M45,WM_KEY,0))+Q45*INDEX(WM_L,MATCH($M45,WM_KEY,0))+R45*INDEX(WM_E,MATCH($M45,WM_KEY,0))+S45*INDEX(WM_BI,MATCH($M45,WM_KEY,0)),""))</f>
        <v>2.57</v>
      </c>
      <c r="U45" s="42" t="str">
        <f>IF(T45="","",INDEX({"A1","A2","A3","B1","B2","B3","C1","C2","D1","D2","E1","E2"},MAX(1,MIN(12,ROUND(T45,0)))))</f>
        <v>A3</v>
      </c>
      <c r="V45" s="12" t="inlineStr">
        <is>
          <r>
            <rPr>
              <rFont val="Calibri"/>
              <sz val="10"/>
            </rPr>
            <t xml:space="preserve">New level A3 · Senior Associate. Current level on record: L3 – Professional / Associate. Change: ▲ Up.
Score 2.57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5" s="12" t="inlineStr">
        <is>
          <r>
            <rPr>
              <rFont val="Calibri"/>
              <b val="1"/>
              <sz val="10"/>
            </rPr>
            <t>Complexity &amp; Expertise:</t>
          </r>
          <r>
            <rPr>
              <rFont val="Calibri"/>
              <sz val="10"/>
            </rPr>
            <t xml:space="preserve"> 2.5 of 12 · between A2 and A3 — Start: 2.0 · practitioner title; Evidence reads like A3: Data modelling · CMS and item master creation, root-cause finding; manager cites EBR domain expertise → moved up 0.5;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Decides only on resolving errors → matches the start
</t>
          </r>
          <r>
            <rPr>
              <rFont val="Calibri"/>
              <b val="1"/>
              <sz val="10"/>
            </rPr>
            <t>Accountability &amp; Impact:</t>
          </r>
          <r>
            <rPr>
              <rFont val="Calibri"/>
              <sz val="10"/>
            </rPr>
            <t xml:space="preserve"> 2 of 12 — Start: 2.0 · practitioner title; Evidence reads like A2: CR returns and domain queries; errors mean rework and client delay → matches the start; KRA: “1. Maintain client/customer satisfaction · CSAT of &gt;=4.2 / 5 2. Resolve &gt;=95% of assigned tickets/queries within SLA 3. Keep first-response…”
</t>
          </r>
          <r>
            <rPr>
              <rFont val="Calibri"/>
              <b val="1"/>
              <sz val="10"/>
            </rPr>
            <t>Leadership &amp; Strategy:</t>
          </r>
          <r>
            <rPr>
              <rFont val="Calibri"/>
              <sz val="10"/>
            </rPr>
            <t xml:space="preserve"> 1.5 of 12 · between A1 and A2 — not counted: the weight is 0% at this level — Start: 1.0 · individual contributor, so influence only; Evidence reads like A2: Lists 'problem solving of team'; no formal guiding role → moved up 0.5; Team: 0 direct reports · IC
</t>
          </r>
          <r>
            <rPr>
              <rFont val="Calibri"/>
              <b val="1"/>
              <sz val="10"/>
            </rPr>
            <t>Experience &amp; Qualification:</t>
          </r>
          <r>
            <rPr>
              <rFont val="Calibri"/>
              <sz val="10"/>
            </rPr>
            <t xml:space="preserve"> 5 of 12 — Experience: 6.1 yrs total · 2.0 before IRIS + 4.1 at IRIS = 4.3 on the experience scale; Qualification: MBA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45"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45" s="12" t="inlineStr">
        <is>
          <r>
            <rPr>
              <rFont val="Calibri"/>
              <sz val="10"/>
            </rPr>
            <t xml:space="preserve">✓ HRIS: 6.1 yrs, MBA,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45" s="12" t="inlineStr">
        <is>
          <t>—</t>
        </is>
      </c>
      <c r="AA45" s="12" t="inlineStr">
        <is>
          <t>Nothing outstanding</t>
        </is>
      </c>
      <c r="AB4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5 · Potential: High · 9-Box Grid placement: High Impact / Growth Talent.</t>
          </r>
        </is>
      </c>
      <c r="AC45" s="82" t="n"/>
      <c r="AD45" s="82" t="n"/>
      <c r="AE45" s="82" t="n"/>
      <c r="AF45" s="12" t="n">
        <v>2</v>
      </c>
    </row>
    <row r="46" ht="379" customHeight="1">
      <c r="A46" s="12" t="inlineStr">
        <is>
          <t>IRIS2047</t>
        </is>
      </c>
      <c r="B46" s="10" t="inlineStr">
        <is>
          <t>Dipeeka Yewale</t>
        </is>
      </c>
      <c r="C46" s="12" t="inlineStr">
        <is>
          <t>Support</t>
        </is>
      </c>
      <c r="D46" s="12" t="inlineStr">
        <is>
          <t>Client Solutions Executive</t>
        </is>
      </c>
      <c r="E46" s="78" t="inlineStr">
        <is>
          <t>Senior Support Executive</t>
        </is>
      </c>
      <c r="F46" s="12" t="inlineStr">
        <is>
          <t>Customer Success &amp; Support</t>
        </is>
      </c>
      <c r="G46" s="12" t="inlineStr">
        <is>
          <t>Application &amp; Product Support</t>
        </is>
      </c>
      <c r="H46" s="12" t="inlineStr">
        <is>
          <t>IC</t>
        </is>
      </c>
      <c r="I46" s="42" t="inlineStr">
        <is>
          <t>L3 – Professional / Associate</t>
        </is>
      </c>
      <c r="J46" s="16" t="inlineStr">
        <is>
          <t>A3</t>
        </is>
      </c>
      <c r="K46" s="17" t="inlineStr">
        <is>
          <t>Senior Associate</t>
        </is>
      </c>
      <c r="L46" s="79" t="inlineStr">
        <is>
          <t>▲ Up</t>
        </is>
      </c>
      <c r="M46" s="12" t="inlineStr">
        <is>
          <t>iFile · Support · Band A · Early career</t>
        </is>
      </c>
      <c r="N46" s="42" t="n">
        <v>2</v>
      </c>
      <c r="O46" s="42" t="n">
        <v>2</v>
      </c>
      <c r="P46" s="42" t="n">
        <v>2</v>
      </c>
      <c r="Q46" s="42" t="n">
        <v>1</v>
      </c>
      <c r="R46" s="42" t="n">
        <v>3.5</v>
      </c>
      <c r="S46" s="80" t="n">
        <v>2</v>
      </c>
      <c r="T46" s="81">
        <f>IF(OR($M46="",COUNT(N46,O46,P46,Q46,R46,S46)&lt;6),"",IFERROR(N46*INDEX(WM_C,MATCH($M46,WM_KEY,0))+O46*INDEX(WM_AU,MATCH($M46,WM_KEY,0))+P46*INDEX(WM_AC,MATCH($M46,WM_KEY,0))+Q46*INDEX(WM_L,MATCH($M46,WM_KEY,0))+R46*INDEX(WM_E,MATCH($M46,WM_KEY,0))+S46*INDEX(WM_BI,MATCH($M46,WM_KEY,0)),""))</f>
        <v>2.15</v>
      </c>
      <c r="U46" s="42" t="str">
        <f>IF(T46="","",INDEX({"A1","A2","A3","B1","B2","B3","C1","C2","D1","D2","E1","E2"},MAX(1,MIN(12,ROUND(T46,0)))))</f>
        <v>A2</v>
      </c>
      <c r="V46"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W46" s="12" t="inlineStr">
        <is>
          <r>
            <rPr>
              <rFont val="Calibri"/>
              <b val="1"/>
              <sz val="10"/>
            </rPr>
            <t>Complexity &amp; Expertise:</t>
          </r>
          <r>
            <rPr>
              <rFont val="Calibri"/>
              <sz val="10"/>
            </rPr>
            <t xml:space="preserve"> 2 of 12 — Start: 2.0 · practitioner title; Evidence reads like A2: Implements assigned CMS changes for client change requests and verifies DQ issues → matches the start;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Decides only on resolving DQ issues → matches the start
</t>
          </r>
          <r>
            <rPr>
              <rFont val="Calibri"/>
              <b val="1"/>
              <sz val="10"/>
            </rPr>
            <t>Accountability &amp; Impact:</t>
          </r>
          <r>
            <rPr>
              <rFont val="Calibri"/>
              <sz val="10"/>
            </rPr>
            <t xml:space="preserve"> 2 of 12 — Start: 2.0 · practitioner title; Evidence reads like A2: Assigned changes implemented accurately and tested; mistakes create rework → matches the start; KRA: “1. Maintain client/customer satisfaction · CSAT of &gt;=4.2 / 5 2. Resolve &gt;=95% of assigned tickets/queries within SLA 3. Keep first-response…”
</t>
          </r>
          <r>
            <rPr>
              <rFont val="Calibri"/>
              <b val="1"/>
              <sz val="10"/>
            </rPr>
            <t>Leadership &amp; Strategy:</t>
          </r>
          <r>
            <rPr>
              <rFont val="Calibri"/>
              <sz val="10"/>
            </rPr>
            <t xml:space="preserve"> 1 of 12 — not counted: the weight is 0% at this level — Start: 1.0 · individual contributor, so influence only; Evidence reads like A1: Mentions team coordination only; no guidance described → matches the start; Team: 0 direct reports · IC
</t>
          </r>
          <r>
            <rPr>
              <rFont val="Calibri"/>
              <b val="1"/>
              <sz val="10"/>
            </rPr>
            <t>Experience &amp; Qualification:</t>
          </r>
          <r>
            <rPr>
              <rFont val="Calibri"/>
              <sz val="10"/>
            </rPr>
            <t xml:space="preserve"> 3.5 of 12 · between A3 and B1 — Experience: 4.1 yrs total · 4.1 at IRIS; none recorded before IRIS = 3.4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46"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46" s="12" t="inlineStr">
        <is>
          <r>
            <rPr>
              <rFont val="Calibri"/>
              <sz val="10"/>
            </rPr>
            <t xml:space="preserve">✓ HRIS: 4.1 yrs, B.Com, 0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46" s="12" t="inlineStr">
        <is>
          <t>—</t>
        </is>
      </c>
      <c r="AA46" s="12" t="inlineStr">
        <is>
          <t>Nothing outstanding</t>
        </is>
      </c>
      <c r="AB4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AC46" s="82" t="n"/>
      <c r="AD46" s="82" t="n"/>
      <c r="AE46" s="82" t="n"/>
      <c r="AF46" s="12" t="n">
        <v>2</v>
      </c>
    </row>
    <row r="47" ht="379" customHeight="1">
      <c r="A47" s="12" t="inlineStr">
        <is>
          <t>IRIS1919</t>
        </is>
      </c>
      <c r="B47" s="10" t="inlineStr">
        <is>
          <t>Jyoti Patil</t>
        </is>
      </c>
      <c r="C47" s="12" t="inlineStr">
        <is>
          <t>Support</t>
        </is>
      </c>
      <c r="D47" s="12" t="inlineStr">
        <is>
          <t>Tech Support Executive</t>
        </is>
      </c>
      <c r="E47" s="78" t="inlineStr">
        <is>
          <t>Senior Support Executive</t>
        </is>
      </c>
      <c r="F47" s="12" t="inlineStr">
        <is>
          <t>Customer Success &amp; Support</t>
        </is>
      </c>
      <c r="G47" s="12" t="inlineStr">
        <is>
          <t>Application &amp; Product Support</t>
        </is>
      </c>
      <c r="H47" s="12" t="inlineStr">
        <is>
          <t>IC</t>
        </is>
      </c>
      <c r="I47" s="42" t="inlineStr">
        <is>
          <t>L3 – Professional / Associate</t>
        </is>
      </c>
      <c r="J47" s="16" t="inlineStr">
        <is>
          <t>A3</t>
        </is>
      </c>
      <c r="K47" s="17" t="inlineStr">
        <is>
          <t>Senior Associate</t>
        </is>
      </c>
      <c r="L47" s="79" t="inlineStr">
        <is>
          <t>▲ Up</t>
        </is>
      </c>
      <c r="M47" s="12" t="inlineStr">
        <is>
          <t>iFile · Support · Band A · Early career</t>
        </is>
      </c>
      <c r="N47" s="42" t="n">
        <v>2.5</v>
      </c>
      <c r="O47" s="42" t="n">
        <v>2</v>
      </c>
      <c r="P47" s="42" t="n">
        <v>2</v>
      </c>
      <c r="Q47" s="42" t="n">
        <v>1</v>
      </c>
      <c r="R47" s="42" t="n">
        <v>5.5</v>
      </c>
      <c r="S47" s="80" t="n">
        <v>2</v>
      </c>
      <c r="T47" s="81">
        <f>IF(OR($M47="",COUNT(N47,O47,P47,Q47,R47,S47)&lt;6),"",IFERROR(N47*INDEX(WM_C,MATCH($M47,WM_KEY,0))+O47*INDEX(WM_AU,MATCH($M47,WM_KEY,0))+P47*INDEX(WM_AC,MATCH($M47,WM_KEY,0))+Q47*INDEX(WM_L,MATCH($M47,WM_KEY,0))+R47*INDEX(WM_E,MATCH($M47,WM_KEY,0))+S47*INDEX(WM_BI,MATCH($M47,WM_KEY,0)),""))</f>
        <v>2.62</v>
      </c>
      <c r="U47" s="42" t="str">
        <f>IF(T47="","",INDEX({"A1","A2","A3","B1","B2","B3","C1","C2","D1","D2","E1","E2"},MAX(1,MIN(12,ROUND(T47,0)))))</f>
        <v>A3</v>
      </c>
      <c r="V47" s="12" t="inlineStr">
        <is>
          <r>
            <rPr>
              <rFont val="Calibri"/>
              <sz val="10"/>
            </rPr>
            <t xml:space="preserve">New level A3 · Senior Associate. Current level on record: L3 – Professional / Associate. Change: ▲ Up.
Score 2.62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7" s="12" t="inlineStr">
        <is>
          <r>
            <rPr>
              <rFont val="Calibri"/>
              <b val="1"/>
              <sz val="10"/>
            </rPr>
            <t>Complexity &amp; Expertise:</t>
          </r>
          <r>
            <rPr>
              <rFont val="Calibri"/>
              <sz val="10"/>
            </rPr>
            <t xml:space="preserve"> 2.5 of 12 · between A2 and A3 — Start: 2.0 · practitioner title; Evidence reads like A3: Designs web forms and validations for demos, gathers requirements, tests portal, writes documentation → moved up 0.5;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Decides form design and layouts only → matches the start
</t>
          </r>
          <r>
            <rPr>
              <rFont val="Calibri"/>
              <b val="1"/>
              <sz val="10"/>
            </rPr>
            <t>Accountability &amp; Impact:</t>
          </r>
          <r>
            <rPr>
              <rFont val="Calibri"/>
              <sz val="10"/>
            </rPr>
            <t xml:space="preserve"> 2 of 12 — Start: 2.0 · practitioner title; Evidence reads like A2: Catching validation or design defects in own forms before deployment to higher environments → matches the start; KRA: “1. Maintain client/customer satisfaction · CSAT of &gt;=4.2 / 5 2. Resolve &gt;=95% of assigned tickets/queries within SLA 3. Keep first-response…”
</t>
          </r>
          <r>
            <rPr>
              <rFont val="Calibri"/>
              <b val="1"/>
              <sz val="10"/>
            </rPr>
            <t>Leadership &amp; Strategy:</t>
          </r>
          <r>
            <rPr>
              <rFont val="Calibri"/>
              <sz val="10"/>
            </rPr>
            <t xml:space="preserve"> 1 of 12 — not counted: the weight is 0% at this level — Start: 1.0 · individual contributor, so influence only; Evidence reads like A1: Mentions team coordination; no guidance of others described → matches the start; Team: 0 direct reports · IC
</t>
          </r>
          <r>
            <rPr>
              <rFont val="Calibri"/>
              <b val="1"/>
              <sz val="10"/>
            </rPr>
            <t>Experience &amp; Qualification:</t>
          </r>
          <r>
            <rPr>
              <rFont val="Calibri"/>
              <sz val="10"/>
            </rPr>
            <t xml:space="preserve"> 5.5 of 12 · between B2 and B3 — Experience: 8.3 yrs total · 3.0 before IRIS + 5.3 at IRIS = 5.3 on the experience scale; Qualification: B.E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47"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47" s="12" t="inlineStr">
        <is>
          <r>
            <rPr>
              <rFont val="Calibri"/>
              <sz val="10"/>
            </rPr>
            <t xml:space="preserve">✓ HRIS: 8.3 yrs, B.E,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47" s="12" t="inlineStr">
        <is>
          <t>—</t>
        </is>
      </c>
      <c r="AA47" s="12" t="inlineStr">
        <is>
          <t>Nothing outstanding</t>
        </is>
      </c>
      <c r="AB4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AC47" s="82" t="n"/>
      <c r="AD47" s="82" t="n"/>
      <c r="AE47" s="82" t="n"/>
      <c r="AF47" s="12" t="n">
        <v>2</v>
      </c>
    </row>
    <row r="48" ht="379" customHeight="1">
      <c r="A48" s="12" t="inlineStr">
        <is>
          <t>IRIS1931</t>
        </is>
      </c>
      <c r="B48" s="10" t="inlineStr">
        <is>
          <t>Manohar Golbane</t>
        </is>
      </c>
      <c r="C48" s="12" t="inlineStr">
        <is>
          <t>Support</t>
        </is>
      </c>
      <c r="D48" s="12" t="inlineStr">
        <is>
          <t>Analyst</t>
        </is>
      </c>
      <c r="E48" s="78" t="inlineStr">
        <is>
          <t>Senior Support Executive</t>
        </is>
      </c>
      <c r="F48" s="12" t="inlineStr">
        <is>
          <t>Customer Success &amp; Support</t>
        </is>
      </c>
      <c r="G48" s="12" t="inlineStr">
        <is>
          <t>Application &amp; Product Support</t>
        </is>
      </c>
      <c r="H48" s="12" t="inlineStr">
        <is>
          <t>IC</t>
        </is>
      </c>
      <c r="I48" s="42" t="inlineStr">
        <is>
          <t>L3 – Professional / Associate</t>
        </is>
      </c>
      <c r="J48" s="16" t="inlineStr">
        <is>
          <t>A3</t>
        </is>
      </c>
      <c r="K48" s="17" t="inlineStr">
        <is>
          <t>Senior Associate</t>
        </is>
      </c>
      <c r="L48" s="79" t="inlineStr">
        <is>
          <t>▲ Up</t>
        </is>
      </c>
      <c r="M48" s="12" t="inlineStr">
        <is>
          <t>iFile · Support · Band A · Early career</t>
        </is>
      </c>
      <c r="N48" s="42" t="n">
        <v>2.5</v>
      </c>
      <c r="O48" s="42" t="n">
        <v>2</v>
      </c>
      <c r="P48" s="42" t="n">
        <v>2.5</v>
      </c>
      <c r="Q48" s="42" t="n">
        <v>1</v>
      </c>
      <c r="R48" s="42" t="n">
        <v>7.5</v>
      </c>
      <c r="S48" s="80" t="n">
        <v>2.5</v>
      </c>
      <c r="T48" s="81">
        <f>IF(OR($M48="",COUNT(N48,O48,P48,Q48,R48,S48)&lt;6),"",IFERROR(N48*INDEX(WM_C,MATCH($M48,WM_KEY,0))+O48*INDEX(WM_AU,MATCH($M48,WM_KEY,0))+P48*INDEX(WM_AC,MATCH($M48,WM_KEY,0))+Q48*INDEX(WM_L,MATCH($M48,WM_KEY,0))+R48*INDEX(WM_E,MATCH($M48,WM_KEY,0))+S48*INDEX(WM_BI,MATCH($M48,WM_KEY,0)),""))</f>
        <v>2.92</v>
      </c>
      <c r="U48" s="42" t="str">
        <f>IF(T48="","",INDEX({"A1","A2","A3","B1","B2","B3","C1","C2","D1","D2","E1","E2"},MAX(1,MIN(12,ROUND(T48,0)))))</f>
        <v>A3</v>
      </c>
      <c r="V48" s="12" t="inlineStr">
        <is>
          <r>
            <rPr>
              <rFont val="Calibri"/>
              <sz val="10"/>
            </rPr>
            <t xml:space="preserve">New level A3 · Senior Associate. Current level on record: L3 – Professional / Associate. Change: ▲ Up.
Score 2.92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8" s="12" t="inlineStr">
        <is>
          <r>
            <rPr>
              <rFont val="Calibri"/>
              <b val="1"/>
              <sz val="10"/>
            </rPr>
            <t>Complexity &amp; Expertise:</t>
          </r>
          <r>
            <rPr>
              <rFont val="Calibri"/>
              <sz val="10"/>
            </rPr>
            <t xml:space="preserve"> 2.5 of 12 · between A2 and A3 — Start: 2.0 · practitioner title; Evidence reads like A3: own survey / KRA answers · summarised by the rater; not quoted → moved up 0.5;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Decides only on returns testing; coordinates with TCS and ReBIT teams → matches the start
</t>
          </r>
          <r>
            <rPr>
              <rFont val="Calibri"/>
              <b val="1"/>
              <sz val="10"/>
            </rPr>
            <t>Accountability &amp; Impact:</t>
          </r>
          <r>
            <rPr>
              <rFont val="Calibri"/>
              <sz val="10"/>
            </rPr>
            <t xml:space="preserve"> 2.5 of 12 · between A2 and A3 — Start: 2.0 · practitioner title; Evidence reads like A3: Tests returns before release; answerable for client-side issues after testing → moved up 0.5; KRA: “1. Maintain client/customer satisfaction · CSAT of &gt;=4.2 / 5 2. Resolve &gt;=95% of assigned tickets/queries within SLA 3. Keep first-response…”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7.5 of 12 · between C1 and C2 — Experience: 13.6 yrs total · 8.4 before IRIS + 5.2 at IRIS = 7.6 on the experience scale; Qualification: B.Com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48"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48" s="12" t="inlineStr">
        <is>
          <r>
            <rPr>
              <rFont val="Calibri"/>
              <sz val="10"/>
            </rPr>
            <t xml:space="preserve">✓ HRIS: 13.6 yrs, B.Com,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48" s="12" t="inlineStr">
        <is>
          <t>—</t>
        </is>
      </c>
      <c r="AA48" s="12" t="inlineStr">
        <is>
          <t>Nothing outstanding</t>
        </is>
      </c>
      <c r="AB4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4 · Potential: High · 9-Box Grid placement: High Impact / Growth Talent.</t>
          </r>
        </is>
      </c>
      <c r="AC48" s="82" t="n"/>
      <c r="AD48" s="82" t="n"/>
      <c r="AE48" s="82" t="n"/>
      <c r="AF48" s="12" t="n">
        <v>2.5</v>
      </c>
    </row>
    <row r="49" ht="379" customHeight="1">
      <c r="A49" s="12" t="inlineStr">
        <is>
          <t>IRIS2203</t>
        </is>
      </c>
      <c r="B49" s="10" t="inlineStr">
        <is>
          <t>Prajakta Mandhare</t>
        </is>
      </c>
      <c r="C49" s="12" t="inlineStr">
        <is>
          <t>Support</t>
        </is>
      </c>
      <c r="D49" s="12" t="inlineStr">
        <is>
          <t>Client Solutions Executive</t>
        </is>
      </c>
      <c r="E49" s="78" t="inlineStr">
        <is>
          <t>Senior Support Executive</t>
        </is>
      </c>
      <c r="F49" s="12" t="inlineStr">
        <is>
          <t>Customer Success &amp; Support</t>
        </is>
      </c>
      <c r="G49" s="12" t="inlineStr">
        <is>
          <t>Application &amp; Product Support</t>
        </is>
      </c>
      <c r="H49" s="12" t="inlineStr">
        <is>
          <t>IC</t>
        </is>
      </c>
      <c r="I49" s="42" t="inlineStr">
        <is>
          <t>L3 – Professional / Associate</t>
        </is>
      </c>
      <c r="J49" s="16" t="inlineStr">
        <is>
          <t>A3</t>
        </is>
      </c>
      <c r="K49" s="17" t="inlineStr">
        <is>
          <t>Senior Associate</t>
        </is>
      </c>
      <c r="L49" s="79" t="inlineStr">
        <is>
          <t>▲ Up</t>
        </is>
      </c>
      <c r="M49" s="12" t="inlineStr">
        <is>
          <t>iFile · Support · Band A · Early career</t>
        </is>
      </c>
      <c r="N49" s="42" t="n">
        <v>2</v>
      </c>
      <c r="O49" s="42" t="n">
        <v>2</v>
      </c>
      <c r="P49" s="42" t="n">
        <v>2</v>
      </c>
      <c r="Q49" s="42" t="n">
        <v>1</v>
      </c>
      <c r="R49" s="42" t="n">
        <v>5</v>
      </c>
      <c r="S49" s="80" t="n">
        <v>2</v>
      </c>
      <c r="T49" s="81">
        <f>IF(OR($M49="",COUNT(N49,O49,P49,Q49,R49,S49)&lt;6),"",IFERROR(N49*INDEX(WM_C,MATCH($M49,WM_KEY,0))+O49*INDEX(WM_AU,MATCH($M49,WM_KEY,0))+P49*INDEX(WM_AC,MATCH($M49,WM_KEY,0))+Q49*INDEX(WM_L,MATCH($M49,WM_KEY,0))+R49*INDEX(WM_E,MATCH($M49,WM_KEY,0))+S49*INDEX(WM_BI,MATCH($M49,WM_KEY,0)),""))</f>
        <v>2.3</v>
      </c>
      <c r="U49" s="42" t="str">
        <f>IF(T49="","",INDEX({"A1","A2","A3","B1","B2","B3","C1","C2","D1","D2","E1","E2"},MAX(1,MIN(12,ROUND(T49,0)))))</f>
        <v>A2</v>
      </c>
      <c r="V49" s="12" t="inlineStr">
        <is>
          <r>
            <rPr>
              <rFont val="Calibri"/>
              <sz val="10"/>
            </rPr>
            <t xml:space="preserve">New level A3 · Senior Associate. Current level on record: L3 – Professional / Associate. Change: ▲ Up.
Score 2.30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7.1 years' experience is 2 years or more.
</t>
          </r>
          <r>
            <rPr>
              <rFont val="Calibri"/>
              <b val="1"/>
              <sz val="10"/>
            </rPr>
            <t>Final level:</t>
          </r>
          <r>
            <rPr>
              <rFont val="Calibri"/>
              <sz val="10"/>
            </rPr>
            <t xml:space="preserve"> A3.</t>
          </r>
        </is>
      </c>
      <c r="W49" s="12" t="inlineStr">
        <is>
          <r>
            <rPr>
              <rFont val="Calibri"/>
              <b val="1"/>
              <sz val="10"/>
            </rPr>
            <t>Complexity &amp; Expertise:</t>
          </r>
          <r>
            <rPr>
              <rFont val="Calibri"/>
              <sz val="10"/>
            </rPr>
            <t xml:space="preserve"> 2 of 12 — Start: 2.0 · practitioner title; Evidence reads like A2: Creates and executes test cases; handles queries, escalating unresolved technical issues → matches the start;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Resolves validation errors; escalates to technical team when basic checks fail → matches the start
</t>
          </r>
          <r>
            <rPr>
              <rFont val="Calibri"/>
              <b val="1"/>
              <sz val="10"/>
            </rPr>
            <t>Accountability &amp; Impact:</t>
          </r>
          <r>
            <rPr>
              <rFont val="Calibri"/>
              <sz val="10"/>
            </rPr>
            <t xml:space="preserve"> 2 of 12 — Start: 2.0 · practitioner title; Evidence reads like A2: Correctness of own resolutions and test results; wrong resolution leads to escalation → matches the start; KRA: “1. Maintain client/customer satisfaction · CSAT of &gt;=4.2 / 5 2. Resolve &gt;=95% of assigned tickets/queries within SLA 3. Keep first-response…”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5 of 12 — Experience: 7.1 yrs total · 4.2 before IRIS + 2.9 at IRIS = 4.8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49"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49" s="12" t="inlineStr">
        <is>
          <r>
            <rPr>
              <rFont val="Calibri"/>
              <sz val="10"/>
            </rPr>
            <t xml:space="preserve">✓ HRIS: 7.1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49" s="12" t="inlineStr">
        <is>
          <t>—</t>
        </is>
      </c>
      <c r="AA49" s="12" t="inlineStr">
        <is>
          <t>Nothing outstanding</t>
        </is>
      </c>
      <c r="AB4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High · 9-Box Grid placement: Emerging Talent.</t>
          </r>
        </is>
      </c>
      <c r="AC49" s="82" t="n"/>
      <c r="AD49" s="82" t="n"/>
      <c r="AE49" s="82" t="n"/>
      <c r="AF49" s="12" t="n">
        <v>2</v>
      </c>
    </row>
    <row r="50" ht="379" customHeight="1">
      <c r="A50" s="12" t="inlineStr">
        <is>
          <t>IRIS1873</t>
        </is>
      </c>
      <c r="B50" s="10" t="inlineStr">
        <is>
          <t>Sayed Ibrahim</t>
        </is>
      </c>
      <c r="C50" s="12" t="inlineStr">
        <is>
          <t>Support</t>
        </is>
      </c>
      <c r="D50" s="12" t="inlineStr">
        <is>
          <t>Analyst</t>
        </is>
      </c>
      <c r="E50" s="78" t="inlineStr">
        <is>
          <t>Senior Support Executive</t>
        </is>
      </c>
      <c r="F50" s="12" t="inlineStr">
        <is>
          <t>Customer Success &amp; Support</t>
        </is>
      </c>
      <c r="G50" s="12" t="inlineStr">
        <is>
          <t>Application &amp; Product Support</t>
        </is>
      </c>
      <c r="H50" s="12" t="inlineStr">
        <is>
          <t>IC</t>
        </is>
      </c>
      <c r="I50" s="42" t="inlineStr">
        <is>
          <t>L3 – Professional / Associate</t>
        </is>
      </c>
      <c r="J50" s="16" t="inlineStr">
        <is>
          <t>A3</t>
        </is>
      </c>
      <c r="K50" s="17" t="inlineStr">
        <is>
          <t>Senior Associate</t>
        </is>
      </c>
      <c r="L50" s="79" t="inlineStr">
        <is>
          <t>▲ Up</t>
        </is>
      </c>
      <c r="M50" s="12" t="inlineStr">
        <is>
          <t>iFile · Support · Band A · Early career</t>
        </is>
      </c>
      <c r="N50" s="42" t="n">
        <v>2</v>
      </c>
      <c r="O50" s="42" t="n">
        <v>2</v>
      </c>
      <c r="P50" s="42" t="n">
        <v>2</v>
      </c>
      <c r="Q50" s="42" t="n">
        <v>1</v>
      </c>
      <c r="R50" s="42" t="n">
        <v>7</v>
      </c>
      <c r="S50" s="80" t="n">
        <v>2</v>
      </c>
      <c r="T50" s="81">
        <f>IF(OR($M50="",COUNT(N50,O50,P50,Q50,R50,S50)&lt;6),"",IFERROR(N50*INDEX(WM_C,MATCH($M50,WM_KEY,0))+O50*INDEX(WM_AU,MATCH($M50,WM_KEY,0))+P50*INDEX(WM_AC,MATCH($M50,WM_KEY,0))+Q50*INDEX(WM_L,MATCH($M50,WM_KEY,0))+R50*INDEX(WM_E,MATCH($M50,WM_KEY,0))+S50*INDEX(WM_BI,MATCH($M50,WM_KEY,0)),""))</f>
        <v>2.5</v>
      </c>
      <c r="U50" s="42" t="str">
        <f>IF(T50="","",INDEX({"A1","A2","A3","B1","B2","B3","C1","C2","D1","D2","E1","E2"},MAX(1,MIN(12,ROUND(T50,0)))))</f>
        <v>A3</v>
      </c>
      <c r="V50" s="12" t="inlineStr">
        <is>
          <r>
            <rPr>
              <rFont val="Calibri"/>
              <sz val="10"/>
            </rPr>
            <t xml:space="preserve">New level A3 · Senior Associate. Current level on record: L3 – Professional / Associate. Change: ▲ Up.
Score 2.50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0" s="12" t="inlineStr">
        <is>
          <r>
            <rPr>
              <rFont val="Calibri"/>
              <b val="1"/>
              <sz val="10"/>
            </rPr>
            <t>Complexity &amp; Expertise:</t>
          </r>
          <r>
            <rPr>
              <rFont val="Calibri"/>
              <sz val="10"/>
            </rPr>
            <t xml:space="preserve"> 2 of 12 — Start: 2.0 · practitioner title; Evidence reads like A2: Client demos, email query support, ticket monitoring and a weekly pivot-table ticket report → matches the start;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Assigns tickets to appropriate agents and resolves validation errors; routine decisions → matches the start
</t>
          </r>
          <r>
            <rPr>
              <rFont val="Calibri"/>
              <b val="1"/>
              <sz val="10"/>
            </rPr>
            <t>Accountability &amp; Impact:</t>
          </r>
          <r>
            <rPr>
              <rFont val="Calibri"/>
              <sz val="10"/>
            </rPr>
            <t xml:space="preserve"> 2 of 12 — Start: 2.0 · practitioner title; Evidence reads like A2: Timely monitoring and correct assignment of tickets; weekly open-ticket count report → matches the start; KRA: “1. Maintain client/customer satisfaction · CSAT of &gt;=4.2 / 5 2. Resolve &gt;=95% of assigned tickets/queries within SLA 3. Keep first-response…”
</t>
          </r>
          <r>
            <rPr>
              <rFont val="Calibri"/>
              <b val="1"/>
              <sz val="10"/>
            </rPr>
            <t>Leadership &amp; Strategy:</t>
          </r>
          <r>
            <rPr>
              <rFont val="Calibri"/>
              <sz val="10"/>
            </rPr>
            <t xml:space="preserve"> 1 of 12 — not counted: the weight is 0% at this level — Start: 1.0 · individual contributor, so influence only; Evidence reads like A1: Routes tickets to agents but no guidance or leadership described → matches the start; Team: 0 direct reports · IC
</t>
          </r>
          <r>
            <rPr>
              <rFont val="Calibri"/>
              <b val="1"/>
              <sz val="10"/>
            </rPr>
            <t>Experience &amp; Qualification:</t>
          </r>
          <r>
            <rPr>
              <rFont val="Calibri"/>
              <sz val="10"/>
            </rPr>
            <t xml:space="preserve"> 7 of 12 — Experience: 10.9 yrs total · 4.9 before IRIS + 6.0 at IRIS = 6.5 on the experience scale; Qualification: MBA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50"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50" s="12" t="inlineStr">
        <is>
          <r>
            <rPr>
              <rFont val="Calibri"/>
              <sz val="10"/>
            </rPr>
            <t xml:space="preserve">✓ HRIS: 10.9 yrs, MBA,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50" s="84" t="inlineStr">
        <is>
          <r>
            <rPr>
              <rFont val="Calibri"/>
              <color rgb="009C5700"/>
              <sz val="10"/>
            </rPr>
            <t xml:space="preserve">• </t>
          </r>
          <r>
            <rPr>
              <rFont val="Calibri"/>
              <b val="1"/>
              <color rgb="009C5700"/>
              <sz val="10"/>
            </rPr>
            <t>Close call:</t>
          </r>
          <r>
            <rPr>
              <rFont val="Calibri"/>
              <color rgb="009C5700"/>
              <sz val="10"/>
            </rPr>
            <t xml:space="preserve"> score 2.50 is within 0.05 of a rounding point</t>
          </r>
        </is>
      </c>
      <c r="AA50" s="12" t="inlineStr">
        <is>
          <t>Nothing outstanding</t>
        </is>
      </c>
      <c r="AB5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AC50" s="82" t="n"/>
      <c r="AD50" s="82" t="n"/>
      <c r="AE50" s="82" t="n"/>
      <c r="AF50" s="12" t="n">
        <v>2</v>
      </c>
    </row>
    <row r="51" ht="379" customHeight="1">
      <c r="A51" s="12" t="inlineStr">
        <is>
          <t>IRIS2202</t>
        </is>
      </c>
      <c r="B51" s="10" t="inlineStr">
        <is>
          <t>Shreya Shinde</t>
        </is>
      </c>
      <c r="C51" s="12" t="inlineStr">
        <is>
          <t>Support</t>
        </is>
      </c>
      <c r="D51" s="12" t="inlineStr">
        <is>
          <t>Client Solutions Executive</t>
        </is>
      </c>
      <c r="E51" s="78" t="inlineStr">
        <is>
          <t>Senior Support Executive</t>
        </is>
      </c>
      <c r="F51" s="12" t="inlineStr">
        <is>
          <t>Customer Success &amp; Support</t>
        </is>
      </c>
      <c r="G51" s="12" t="inlineStr">
        <is>
          <t>Application &amp; Product Support</t>
        </is>
      </c>
      <c r="H51" s="12" t="inlineStr">
        <is>
          <t>IC</t>
        </is>
      </c>
      <c r="I51" s="42" t="inlineStr">
        <is>
          <t>L3 – Professional / Associate</t>
        </is>
      </c>
      <c r="J51" s="16" t="inlineStr">
        <is>
          <t>A3</t>
        </is>
      </c>
      <c r="K51" s="17" t="inlineStr">
        <is>
          <t>Senior Associate</t>
        </is>
      </c>
      <c r="L51" s="79" t="inlineStr">
        <is>
          <t>▲ Up</t>
        </is>
      </c>
      <c r="M51" s="12" t="inlineStr">
        <is>
          <t>iFile · Support · Band A · Early career</t>
        </is>
      </c>
      <c r="N51" s="42" t="n">
        <v>2</v>
      </c>
      <c r="O51" s="42" t="n">
        <v>2</v>
      </c>
      <c r="P51" s="42" t="n">
        <v>2</v>
      </c>
      <c r="Q51" s="42" t="n">
        <v>1.5</v>
      </c>
      <c r="R51" s="42" t="n">
        <v>7.5</v>
      </c>
      <c r="S51" s="80" t="n">
        <v>2</v>
      </c>
      <c r="T51" s="81">
        <f>IF(OR($M51="",COUNT(N51,O51,P51,Q51,R51,S51)&lt;6),"",IFERROR(N51*INDEX(WM_C,MATCH($M51,WM_KEY,0))+O51*INDEX(WM_AU,MATCH($M51,WM_KEY,0))+P51*INDEX(WM_AC,MATCH($M51,WM_KEY,0))+Q51*INDEX(WM_L,MATCH($M51,WM_KEY,0))+R51*INDEX(WM_E,MATCH($M51,WM_KEY,0))+S51*INDEX(WM_BI,MATCH($M51,WM_KEY,0)),""))</f>
        <v>2.55</v>
      </c>
      <c r="U51" s="42" t="str">
        <f>IF(T51="","",INDEX({"A1","A2","A3","B1","B2","B3","C1","C2","D1","D2","E1","E2"},MAX(1,MIN(12,ROUND(T51,0)))))</f>
        <v>A3</v>
      </c>
      <c r="V51" s="12" t="inlineStr">
        <is>
          <r>
            <rPr>
              <rFont val="Calibri"/>
              <sz val="10"/>
            </rPr>
            <t xml:space="preserve">New level A3 · Senior Associate. Current level on record: L3 – Professional / Associate. Change: ▲ Up.
Score 2.55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1" s="12" t="inlineStr">
        <is>
          <r>
            <rPr>
              <rFont val="Calibri"/>
              <b val="1"/>
              <sz val="10"/>
            </rPr>
            <t>Complexity &amp; Expertise:</t>
          </r>
          <r>
            <rPr>
              <rFont val="Calibri"/>
              <sz val="10"/>
            </rPr>
            <t xml:space="preserve"> 2 of 12 — Start: 2.0 · practitioner title; Evidence reads like A2: Resolves support tickets, prepares test cases, runs functional and API testing → matches the start;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Resolves tickets, prepares test cases and fixes validation errors independently → matches the start
</t>
          </r>
          <r>
            <rPr>
              <rFont val="Calibri"/>
              <b val="1"/>
              <sz val="10"/>
            </rPr>
            <t>Accountability &amp; Impact:</t>
          </r>
          <r>
            <rPr>
              <rFont val="Calibri"/>
              <sz val="10"/>
            </rPr>
            <t xml:space="preserve"> 2 of 12 — Start: 2.0 · practitioner title; Evidence reads like A2: Follow-up of issues to closure and accuracy of test cases and results → matches the start; KRA: “1. Maintain client/customer satisfaction · CSAT of &gt;=4.2 / 5 2. Resolve &gt;=95% of assigned tickets/queries within SLA 3. Keep first-response…”
</t>
          </r>
          <r>
            <rPr>
              <rFont val="Calibri"/>
              <b val="1"/>
              <sz val="10"/>
            </rPr>
            <t>Leadership &amp; Strategy:</t>
          </r>
          <r>
            <rPr>
              <rFont val="Calibri"/>
              <sz val="10"/>
            </rPr>
            <t xml:space="preserve"> 1.5 of 12 · between A1 and A2 — not counted: the weight is 0% at this level — Start: 1.0 · individual contributor, so influence only; Evidence reads like A2: Provides KT sessions and team knowledge sharing → moved up 0.5; Team: 0 direct reports · IC
</t>
          </r>
          <r>
            <rPr>
              <rFont val="Calibri"/>
              <b val="1"/>
              <sz val="10"/>
            </rPr>
            <t>Experience &amp; Qualification:</t>
          </r>
          <r>
            <rPr>
              <rFont val="Calibri"/>
              <sz val="10"/>
            </rPr>
            <t xml:space="preserve"> 7.5 of 12 · between C1 and C2 — Experience: 12.8 yrs total · 9.9 before IRIS + 2.9 at IRIS = 7.3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r>
        </is>
      </c>
      <c r="X51"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51" s="12" t="inlineStr">
        <is>
          <r>
            <rPr>
              <rFont val="Calibri"/>
              <sz val="10"/>
            </rPr>
            <t xml:space="preserve">✓ HRIS: 12.8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51" s="12" t="inlineStr">
        <is>
          <t>—</t>
        </is>
      </c>
      <c r="AA51" s="12" t="inlineStr">
        <is>
          <t>Nothing outstanding</t>
        </is>
      </c>
      <c r="AB5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no; successor named: yes.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AC51" s="82" t="n"/>
      <c r="AD51" s="82" t="n"/>
      <c r="AE51" s="82" t="n"/>
      <c r="AF51" s="12" t="n">
        <v>2</v>
      </c>
    </row>
    <row r="52" ht="379" customHeight="1">
      <c r="A52" s="12" t="inlineStr">
        <is>
          <t>IRIS1907</t>
        </is>
      </c>
      <c r="B52" s="10" t="inlineStr">
        <is>
          <t>Varsha Kambale</t>
        </is>
      </c>
      <c r="C52" s="12" t="inlineStr">
        <is>
          <t>Support</t>
        </is>
      </c>
      <c r="D52" s="12" t="inlineStr">
        <is>
          <t>Client Solutions Executive</t>
        </is>
      </c>
      <c r="E52" s="78" t="inlineStr">
        <is>
          <t>Senior Support Executive</t>
        </is>
      </c>
      <c r="F52" s="12" t="inlineStr">
        <is>
          <t>Customer Success &amp; Support</t>
        </is>
      </c>
      <c r="G52" s="12" t="inlineStr">
        <is>
          <t>Application &amp; Product Support</t>
        </is>
      </c>
      <c r="H52" s="12" t="inlineStr">
        <is>
          <t>IC</t>
        </is>
      </c>
      <c r="I52" s="42" t="inlineStr">
        <is>
          <t>L3 – Professional / Associate</t>
        </is>
      </c>
      <c r="J52" s="16" t="inlineStr">
        <is>
          <t>A3</t>
        </is>
      </c>
      <c r="K52" s="17" t="inlineStr">
        <is>
          <t>Senior Associate</t>
        </is>
      </c>
      <c r="L52" s="79" t="inlineStr">
        <is>
          <t>▲ Up</t>
        </is>
      </c>
      <c r="M52" s="12" t="inlineStr">
        <is>
          <t>iFile · Support · Band A · Early career</t>
        </is>
      </c>
      <c r="N52" s="42" t="n">
        <v>2.5</v>
      </c>
      <c r="O52" s="42" t="n">
        <v>2</v>
      </c>
      <c r="P52" s="42" t="n">
        <v>2.5</v>
      </c>
      <c r="Q52" s="42" t="n">
        <v>1</v>
      </c>
      <c r="R52" s="42" t="n">
        <v>6</v>
      </c>
      <c r="S52" s="80" t="n">
        <v>3</v>
      </c>
      <c r="T52" s="81">
        <f>IF(OR($M52="",COUNT(N52,O52,P52,Q52,R52,S52)&lt;6),"",IFERROR(N52*INDEX(WM_C,MATCH($M52,WM_KEY,0))+O52*INDEX(WM_AU,MATCH($M52,WM_KEY,0))+P52*INDEX(WM_AC,MATCH($M52,WM_KEY,0))+Q52*INDEX(WM_L,MATCH($M52,WM_KEY,0))+R52*INDEX(WM_E,MATCH($M52,WM_KEY,0))+S52*INDEX(WM_BI,MATCH($M52,WM_KEY,0)),""))</f>
        <v>2.825</v>
      </c>
      <c r="U52" s="42" t="str">
        <f>IF(T52="","",INDEX({"A1","A2","A3","B1","B2","B3","C1","C2","D1","D2","E1","E2"},MAX(1,MIN(12,ROUND(T52,0)))))</f>
        <v>A3</v>
      </c>
      <c r="V52" s="12" t="inlineStr">
        <is>
          <r>
            <rPr>
              <rFont val="Calibri"/>
              <sz val="10"/>
            </rPr>
            <t xml:space="preserve">New level A3 · Senior Associate. Current level on record: L3 – Professional / Associate. Change: ▲ Up.
Score 2.83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2" s="12" t="inlineStr">
        <is>
          <r>
            <rPr>
              <rFont val="Calibri"/>
              <b val="1"/>
              <sz val="10"/>
            </rPr>
            <t>Complexity &amp; Expertise:</t>
          </r>
          <r>
            <rPr>
              <rFont val="Calibri"/>
              <sz val="10"/>
            </rPr>
            <t xml:space="preserve"> 2.5 of 12 · between A2 and A3 — Start: 2.0 · practitioner title; Evidence reads like A3: Functional and regression testing, UAT release validation, root cause analysis, production issue support → moved up 0.5; KRA: “1. Maintain client/customer satisfaction · CSAT of &gt;=4.2 / 5 2. Resolve &gt;=95% of assigned tickets/queries within SLA 3. Keep first-response…”
</t>
          </r>
          <r>
            <rPr>
              <rFont val="Calibri"/>
              <b val="1"/>
              <sz val="10"/>
            </rPr>
            <t>Autonomy &amp; Decision:</t>
          </r>
          <r>
            <rPr>
              <rFont val="Calibri"/>
              <sz val="10"/>
            </rPr>
            <t xml:space="preserve"> 2 of 12 — Start: 2.0 · practitioner title; Evidence reads like A2: Decides daily QA support, initial troubleshooting, reproducing issues and documenting results → matches the start
</t>
          </r>
          <r>
            <rPr>
              <rFont val="Calibri"/>
              <b val="1"/>
              <sz val="10"/>
            </rPr>
            <t>Accountability &amp; Impact:</t>
          </r>
          <r>
            <rPr>
              <rFont val="Calibri"/>
              <sz val="10"/>
            </rPr>
            <t xml:space="preserve"> 2.5 of 12 · between A2 and A3 — Start: 2.0 · practitioner title; Evidence reads like A3: UAT and release validation, production issue resolution, support SLAs and SLA reporting → moved up 0.5; KRA: “1. Maintain client/customer satisfaction · CSAT of &gt;=4.2 / 5 2. Resolve &gt;=95% of assigned tickets/queries within SLA 3. Keep first-response…”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6 of 12 — Experience: 10.4 yrs total · 5.0 before IRIS + 5.4 at IRIS = 6.2 on the experience scale; Qualification: B.E · graduate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52"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52" s="12" t="inlineStr">
        <is>
          <r>
            <rPr>
              <rFont val="Calibri"/>
              <sz val="10"/>
            </rPr>
            <t xml:space="preserve">✓ HRIS: 10.4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52" s="12" t="inlineStr">
        <is>
          <t>—</t>
        </is>
      </c>
      <c r="AA52" s="12" t="inlineStr">
        <is>
          <t>Nothing outstanding</t>
        </is>
      </c>
      <c r="AB5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yes.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Reliable Specialist.</t>
          </r>
        </is>
      </c>
      <c r="AC52" s="82" t="n"/>
      <c r="AD52" s="82" t="n"/>
      <c r="AE52" s="82" t="n"/>
      <c r="AF52" s="12" t="n">
        <v>3</v>
      </c>
    </row>
    <row r="53" ht="379" customHeight="1">
      <c r="A53" s="12" t="inlineStr">
        <is>
          <t>IRISC348</t>
        </is>
      </c>
      <c r="B53" s="10" t="inlineStr">
        <is>
          <t>Uzma Shaikh</t>
        </is>
      </c>
      <c r="C53" s="12" t="inlineStr">
        <is>
          <t>Support</t>
        </is>
      </c>
      <c r="D53" s="12" t="inlineStr">
        <is>
          <t>Consultant</t>
        </is>
      </c>
      <c r="E53" s="78" t="inlineStr">
        <is>
          <t>Support Executive</t>
        </is>
      </c>
      <c r="F53" s="12" t="inlineStr">
        <is>
          <t>Customer Success &amp; Support</t>
        </is>
      </c>
      <c r="G53" s="12" t="inlineStr">
        <is>
          <t>Application &amp; Product Support</t>
        </is>
      </c>
      <c r="H53" s="12" t="inlineStr">
        <is>
          <t>IC</t>
        </is>
      </c>
      <c r="I53" s="42" t="inlineStr">
        <is>
          <t>Not in current mapping files</t>
        </is>
      </c>
      <c r="J53" s="16" t="inlineStr">
        <is>
          <t>A2</t>
        </is>
      </c>
      <c r="K53" s="17" t="inlineStr">
        <is>
          <t>Associate</t>
        </is>
      </c>
      <c r="L53" s="85" t="inlineStr">
        <is>
          <t>● Newly mapped</t>
        </is>
      </c>
      <c r="M53" s="12" t="inlineStr">
        <is>
          <t>iFile · Support · Band A · Early career</t>
        </is>
      </c>
      <c r="N53" s="42" t="n">
        <v>2</v>
      </c>
      <c r="O53" s="42" t="n">
        <v>2</v>
      </c>
      <c r="P53" s="42" t="n">
        <v>2</v>
      </c>
      <c r="Q53" s="42" t="n">
        <v>1.5</v>
      </c>
      <c r="R53" s="42" t="n">
        <v>1.5</v>
      </c>
      <c r="S53" s="80" t="n">
        <v>2</v>
      </c>
      <c r="T53" s="81">
        <f>IF(OR($M53="",COUNT(N53,O53,P53,Q53,R53,S53)&lt;6),"",IFERROR(N53*INDEX(WM_C,MATCH($M53,WM_KEY,0))+O53*INDEX(WM_AU,MATCH($M53,WM_KEY,0))+P53*INDEX(WM_AC,MATCH($M53,WM_KEY,0))+Q53*INDEX(WM_L,MATCH($M53,WM_KEY,0))+R53*INDEX(WM_E,MATCH($M53,WM_KEY,0))+S53*INDEX(WM_BI,MATCH($M53,WM_KEY,0)),""))</f>
        <v>1.95</v>
      </c>
      <c r="U53" s="42" t="str">
        <f>IF(T53="","",INDEX({"A1","A2","A3","B1","B2","B3","C1","C2","D1","D2","E1","E2"},MAX(1,MIN(12,ROUND(T53,0)))))</f>
        <v>A2</v>
      </c>
      <c r="V53" s="12" t="inlineStr">
        <is>
          <r>
            <rPr>
              <rFont val="Calibri"/>
              <sz val="10"/>
            </rPr>
            <t xml:space="preserve">New level A2 · Associate. Current level on record: Not in current mapping files. Change: ● Newly mapped.
Score 1.95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3" s="12" t="inlineStr">
        <is>
          <r>
            <rPr>
              <rFont val="Calibri"/>
              <b val="1"/>
              <sz val="10"/>
            </rPr>
            <t>Complexity &amp; Expertise:</t>
          </r>
          <r>
            <rPr>
              <rFont val="Calibri"/>
              <sz val="10"/>
            </rPr>
            <t xml:space="preserve"> 2 of 12 — Start: 2.0 · practitioner title; Evidence reads like A2: Checks tickets, tests scenarios and produces test cases and results → matches the start
</t>
          </r>
          <r>
            <rPr>
              <rFont val="Calibri"/>
              <b val="1"/>
              <sz val="10"/>
            </rPr>
            <t>Autonomy &amp; Decision:</t>
          </r>
          <r>
            <rPr>
              <rFont val="Calibri"/>
              <sz val="10"/>
            </rPr>
            <t xml:space="preserve"> 2 of 12 — Start: 2.0 · practitioner title; Evidence reads like A2: Decides only on handling the portal → matches the start
</t>
          </r>
          <r>
            <rPr>
              <rFont val="Calibri"/>
              <b val="1"/>
              <sz val="10"/>
            </rPr>
            <t>Accountability &amp; Impact:</t>
          </r>
          <r>
            <rPr>
              <rFont val="Calibri"/>
              <sz val="10"/>
            </rPr>
            <t xml:space="preserve"> 2 of 12 — Start: 2.0 · practitioner title; Evidence reads like A2: Test results and timely client responses; errors delay deployment → matches the start
</t>
          </r>
          <r>
            <rPr>
              <rFont val="Calibri"/>
              <b val="1"/>
              <sz val="10"/>
            </rPr>
            <t>Leadership &amp; Strategy:</t>
          </r>
          <r>
            <rPr>
              <rFont val="Calibri"/>
              <sz val="10"/>
            </rPr>
            <t xml:space="preserve"> 1.5 of 12 · between A1 and A2 — not counted: the weight is 0% at this level — Start: 1.0 · individual contributor, so influence only; Evidence reads like A2: Assists team members and developers with portal work → moved up 0.5; Team: 0 direct reports · IC
</t>
          </r>
          <r>
            <rPr>
              <rFont val="Calibri"/>
              <b val="1"/>
              <sz val="10"/>
            </rPr>
            <t>Experience &amp; Qualification:</t>
          </r>
          <r>
            <rPr>
              <rFont val="Calibri"/>
              <sz val="10"/>
            </rPr>
            <t xml:space="preserve"> 1.5 of 12 · between A1 and A2 — Experience: 0.3 yrs total · 0.3 at IRIS; none recorded before IRIS = 1.3 on the experience scale; Qualification: B.Tech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53" s="12" t="inlineStr">
        <is>
          <r>
            <rPr>
              <rFont val="Calibri"/>
              <b val="1"/>
              <sz val="10"/>
            </rPr>
            <t>Market level:</t>
          </r>
          <r>
            <rPr>
              <rFont val="Calibri"/>
              <sz val="10"/>
            </rPr>
            <t xml:space="preserve"> P1–P2 · SFIA 2 Assist
</t>
          </r>
          <r>
            <rPr>
              <rFont val="Calibri"/>
              <b val="1"/>
              <sz val="10"/>
            </rPr>
            <t>Typical title:</t>
          </r>
          <r>
            <rPr>
              <rFont val="Calibri"/>
              <sz val="10"/>
            </rPr>
            <t xml:space="preserve"> Support Associate / Support / CS Executive
</t>
          </r>
          <r>
            <rPr>
              <rFont val="Calibri"/>
              <b val="1"/>
              <sz val="10"/>
            </rPr>
            <t>At peers:</t>
          </r>
          <r>
            <rPr>
              <rFont val="Calibri"/>
              <sz val="10"/>
            </rPr>
            <t xml:space="preserve"> IRIS Vs Competitor Benchmark — SaaS customer-success ladder: Support Associate · IRIS Vs Competitor Benchmark — support tiers: L1 Service Desk
</t>
          </r>
          <r>
            <rPr>
              <rFont val="Calibri"/>
              <b val="1"/>
              <sz val="10"/>
            </rPr>
            <t>Typical experience:</t>
          </r>
          <r>
            <rPr>
              <rFont val="Calibri"/>
              <sz val="10"/>
            </rPr>
            <t xml:space="preserve"> 0–3 yrs · IRIS guide 0–2
</t>
          </r>
          <r>
            <rPr>
              <rFont val="Calibri"/>
              <b val="1"/>
              <sz val="10"/>
            </rPr>
            <t>Standard:</t>
          </r>
          <r>
            <rPr>
              <rFont val="Calibri"/>
              <sz val="10"/>
            </rPr>
            <t xml:space="preserve"> TSIA frameworks and benchmarks; ITIL 4 service desk</t>
          </r>
        </is>
      </c>
      <c r="Y53" s="12" t="inlineStr">
        <is>
          <r>
            <rPr>
              <rFont val="Calibri"/>
              <sz val="10"/>
            </rPr>
            <t xml:space="preserve">✓ HRIS: 0.3 yrs, B.Tech, 0 direct reports
✓ Survey: 20 of 20 questions answered
✗ KRAs: none on file
✓ Manager mapping: rating, 9-box
✗ Job description: not on file
</t>
          </r>
          <r>
            <rPr>
              <rFont val="Calibri"/>
              <b val="1"/>
              <sz val="10"/>
            </rPr>
            <t>Confidence:</t>
          </r>
          <r>
            <rPr>
              <rFont val="Calibri"/>
              <sz val="10"/>
            </rPr>
            <t xml:space="preserve"> Medium</t>
          </r>
        </is>
      </c>
      <c r="Z53" s="12" t="inlineStr">
        <is>
          <t>—</t>
        </is>
      </c>
      <c r="AA53" s="12" t="inlineStr">
        <is>
          <t>Nothing outstanding</t>
        </is>
      </c>
      <c r="AB5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customer · rework · client · delays · incorrect.
Manager talent mapping — Latest rating: Not rated · manager · 9-Box Grid placement: Not placed · manager.</t>
          </r>
        </is>
      </c>
      <c r="AC53" s="82" t="n"/>
      <c r="AD53" s="82" t="n"/>
      <c r="AE53" s="82" t="n"/>
      <c r="AF53" s="12" t="n">
        <v>2</v>
      </c>
    </row>
    <row r="54" ht="379" customHeight="1">
      <c r="A54" s="12" t="inlineStr">
        <is>
          <t>IRISC223</t>
        </is>
      </c>
      <c r="B54" s="10" t="inlineStr">
        <is>
          <t>Pradip Dey</t>
        </is>
      </c>
      <c r="C54" s="12" t="inlineStr">
        <is>
          <t>Technology</t>
        </is>
      </c>
      <c r="D54" s="12" t="inlineStr">
        <is>
          <t>Head Delivery</t>
        </is>
      </c>
      <c r="E54" s="78" t="inlineStr">
        <is>
          <t>Head – Delivery</t>
        </is>
      </c>
      <c r="F54" s="12" t="inlineStr">
        <is>
          <t>Project &amp; Program Management</t>
        </is>
      </c>
      <c r="G54" s="12" t="inlineStr">
        <is>
          <t>Delivery Leadership</t>
        </is>
      </c>
      <c r="H54" s="12" t="inlineStr">
        <is>
          <t>People Manager</t>
        </is>
      </c>
      <c r="I54" s="42" t="inlineStr">
        <is>
          <t>L7 – Head / Sr Director</t>
        </is>
      </c>
      <c r="J54" s="28" t="inlineStr">
        <is>
          <t>C2</t>
        </is>
      </c>
      <c r="K54" s="29" t="inlineStr">
        <is>
          <t>Head of Function</t>
        </is>
      </c>
      <c r="L54" s="87" t="inlineStr">
        <is>
          <t>• Same level</t>
        </is>
      </c>
      <c r="M54" s="12" t="inlineStr">
        <is>
          <t>iFile · Technology · Band C · Head / Manager</t>
        </is>
      </c>
      <c r="N54" s="42" t="n">
        <v>8</v>
      </c>
      <c r="O54" s="42" t="n">
        <v>8</v>
      </c>
      <c r="P54" s="42" t="n">
        <v>8</v>
      </c>
      <c r="Q54" s="42" t="n">
        <v>8</v>
      </c>
      <c r="R54" s="42" t="n">
        <v>11.5</v>
      </c>
      <c r="S54" s="80" t="n">
        <v>8</v>
      </c>
      <c r="T54" s="81">
        <f>IF(OR($M54="",COUNT(N54,O54,P54,Q54,R54,S54)&lt;6),"",IFERROR(N54*INDEX(WM_C,MATCH($M54,WM_KEY,0))+O54*INDEX(WM_AU,MATCH($M54,WM_KEY,0))+P54*INDEX(WM_AC,MATCH($M54,WM_KEY,0))+Q54*INDEX(WM_L,MATCH($M54,WM_KEY,0))+R54*INDEX(WM_E,MATCH($M54,WM_KEY,0))+S54*INDEX(WM_BI,MATCH($M54,WM_KEY,0)),""))</f>
        <v>8.175</v>
      </c>
      <c r="U54" s="42" t="str">
        <f>IF(T54="","",INDEX({"A1","A2","A3","B1","B2","B3","C1","C2","D1","D2","E1","E2"},MAX(1,MIN(12,ROUND(T54,0)))))</f>
        <v>C2</v>
      </c>
      <c r="V54" s="12" t="inlineStr">
        <is>
          <r>
            <rPr>
              <rFont val="Calibri"/>
              <sz val="10"/>
            </rPr>
            <t xml:space="preserve">New level C2 · Head of Function. Current level on record: L7 – Head / Sr Director. Change: • Same level.
Score 8.18 on the ladder scale → indicated level C2.
</t>
          </r>
          <r>
            <rPr>
              <rFont val="Calibri"/>
              <b val="1"/>
              <sz val="10"/>
            </rPr>
            <t>Weights:</t>
          </r>
          <r>
            <rPr>
              <rFont val="Calibri"/>
              <sz val="10"/>
            </rPr>
            <t xml:space="preserve"> Complexity 48% · Autonomy 18% · Leadership 15% · Business impact 8% · Accountability 6%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4"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8 of 12 — Start: 8.0 · head-of-function title; 21 direct reports, 149 people below, 12 of them lead teams; Evidence: no survey answers or KRAs on file → rating stays at the start
</t>
          </r>
          <r>
            <rPr>
              <rFont val="Calibri"/>
              <b val="1"/>
              <sz val="10"/>
            </rPr>
            <t>Leadership &amp; Strategy:</t>
          </r>
          <r>
            <rPr>
              <rFont val="Calibri"/>
              <sz val="10"/>
            </rPr>
            <t xml:space="preserve"> 8 of 12 — Start: 8.0; Evidence: no survey answers or KRAs on file → rating stays at the start; Team: 21 direct reports · People Manager
</t>
          </r>
          <r>
            <rPr>
              <rFont val="Calibri"/>
              <b val="1"/>
              <sz val="10"/>
            </rPr>
            <t>Experience &amp; Qualification:</t>
          </r>
          <r>
            <rPr>
              <rFont val="Calibri"/>
              <sz val="10"/>
            </rPr>
            <t xml:space="preserve"> 11.5 of 12 · between E1 and E2 — Experience: 24.6 yrs total · 20.0 before IRIS + 4.6 at IRIS = 11.2 on the experience scale; Qualification: MCA · postgraduate, relevant to the work → +0.5
</t>
          </r>
          <r>
            <rPr>
              <rFont val="Calibri"/>
              <b val="1"/>
              <sz val="10"/>
            </rPr>
            <t>Business Impact:</t>
          </r>
          <r>
            <rPr>
              <rFont val="Calibri"/>
              <sz val="10"/>
            </rPr>
            <t xml:space="preserve"> 8 of 12 — a starting estimate. —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r>
        </is>
      </c>
      <c r="X54" s="12"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IRIS Vs Competitor Benchmark — PMI pathway + SaaS delivery ladder: Director PMO / Delivery
</t>
          </r>
          <r>
            <rPr>
              <rFont val="Calibri"/>
              <b val="1"/>
              <sz val="10"/>
            </rPr>
            <t>Standard:</t>
          </r>
          <r>
            <rPr>
              <rFont val="Calibri"/>
              <sz val="10"/>
            </rPr>
            <t xml:space="preserve"> PMI PMBOK and Talent Triangle; CAPM → PMP → PgMP</t>
          </r>
        </is>
      </c>
      <c r="Y54" s="12" t="inlineStr">
        <is>
          <r>
            <rPr>
              <rFont val="Calibri"/>
              <sz val="10"/>
            </rPr>
            <t xml:space="preserve">✓ HRIS: 24.6 yrs, MCA, 21 direct reports
✗ Survey: no response
✗ KRAs: none on file
✓ Manager mapping: rating, 9-box
✗ Job description: not on file
</t>
          </r>
          <r>
            <rPr>
              <rFont val="Calibri"/>
              <b val="1"/>
              <sz val="10"/>
            </rPr>
            <t>Confidence:</t>
          </r>
          <r>
            <rPr>
              <rFont val="Calibri"/>
              <sz val="10"/>
            </rPr>
            <t xml:space="preserve"> Low</t>
          </r>
        </is>
      </c>
      <c r="Z54" s="84" t="inlineStr">
        <is>
          <r>
            <rPr>
              <rFont val="Calibri"/>
              <color rgb="009C5700"/>
              <sz val="10"/>
            </rPr>
            <t xml:space="preserve">• </t>
          </r>
          <r>
            <rPr>
              <rFont val="Calibri"/>
              <b val="1"/>
              <color rgb="009C5700"/>
              <sz val="10"/>
            </rPr>
            <t>C+ candidate:</t>
          </r>
          <r>
            <rPr>
              <rFont val="Calibri"/>
              <color rgb="009C5700"/>
              <sz val="10"/>
            </rPr>
            <t xml:space="preserve"> leads people and scores 8.18 on the Player-Coach weights, but no survey / KRA evidence of own delivery — manager to confirm the person still delivers hands-on</t>
          </r>
        </is>
      </c>
      <c r="AA54" s="86" t="inlineStr">
        <is>
          <t>• Survey response or KRAs describing the work · nothing on file — Employee + manager
• Confirm hands-on delivery share · Player-Coach candidate — Manager</t>
        </is>
      </c>
      <c r="AB54" s="12"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8 of 12 · C2-level impact.
Leads 21 direct reports.
Manager talent mapping — Latest rating: Not rated · manager · 9-Box Grid placement: Not placed · manager.</t>
          </r>
        </is>
      </c>
      <c r="AC54" s="82" t="n"/>
      <c r="AD54" s="82" t="n"/>
      <c r="AE54" s="82" t="n"/>
      <c r="AF54" s="12" t="n">
        <v>8</v>
      </c>
    </row>
    <row r="55" ht="379" customHeight="1">
      <c r="A55" s="12" t="inlineStr">
        <is>
          <t>IRIS1690</t>
        </is>
      </c>
      <c r="B55" s="10" t="inlineStr">
        <is>
          <t>Sharanagouda Patil</t>
        </is>
      </c>
      <c r="C55" s="12" t="inlineStr">
        <is>
          <t>Technology</t>
        </is>
      </c>
      <c r="D55" s="12" t="inlineStr">
        <is>
          <t>Technical Architect</t>
        </is>
      </c>
      <c r="E55" s="12" t="inlineStr">
        <is>
          <t>Technical Architect</t>
        </is>
      </c>
      <c r="F55" s="12" t="inlineStr">
        <is>
          <t>Engineering &amp; Architecture</t>
        </is>
      </c>
      <c r="G55" s="12" t="inlineStr">
        <is>
          <t>Solution &amp; Technical Architecture</t>
        </is>
      </c>
      <c r="H55" s="12" t="inlineStr">
        <is>
          <t>IC</t>
        </is>
      </c>
      <c r="I55" s="42" t="inlineStr">
        <is>
          <t>L3 – Professional / Associate</t>
        </is>
      </c>
      <c r="J55" s="28" t="inlineStr">
        <is>
          <t>C1</t>
        </is>
      </c>
      <c r="K55" s="29" t="inlineStr">
        <is>
          <t>Principal</t>
        </is>
      </c>
      <c r="L55" s="79" t="inlineStr">
        <is>
          <t>▲ Up</t>
        </is>
      </c>
      <c r="M55" s="12" t="inlineStr">
        <is>
          <t>iFile · Technology · Band C · Principal expert</t>
        </is>
      </c>
      <c r="N55" s="42" t="n">
        <v>6.5</v>
      </c>
      <c r="O55" s="42" t="n">
        <v>6.5</v>
      </c>
      <c r="P55" s="42" t="n">
        <v>6</v>
      </c>
      <c r="Q55" s="42" t="n">
        <v>5.5</v>
      </c>
      <c r="R55" s="42" t="n">
        <v>10</v>
      </c>
      <c r="S55" s="80" t="n">
        <v>6.5</v>
      </c>
      <c r="T55" s="81">
        <f>IF(OR($M55="",COUNT(N55,O55,P55,Q55,R55,S55)&lt;6),"",IFERROR(N55*INDEX(WM_C,MATCH($M55,WM_KEY,0))+O55*INDEX(WM_AU,MATCH($M55,WM_KEY,0))+P55*INDEX(WM_AC,MATCH($M55,WM_KEY,0))+Q55*INDEX(WM_L,MATCH($M55,WM_KEY,0))+R55*INDEX(WM_E,MATCH($M55,WM_KEY,0))+S55*INDEX(WM_BI,MATCH($M55,WM_KEY,0)),""))</f>
        <v>6.6</v>
      </c>
      <c r="U55" s="42" t="str">
        <f>IF(T55="","",INDEX({"A1","A2","A3","B1","B2","B3","C1","C2","D1","D2","E1","E2"},MAX(1,MIN(12,ROUND(T55,0)))))</f>
        <v>C1</v>
      </c>
      <c r="V55" s="12" t="inlineStr">
        <is>
          <r>
            <rPr>
              <rFont val="Calibri"/>
              <sz val="10"/>
            </rPr>
            <t xml:space="preserve">New level C1 · Principal. Current level on record: L3 – Professional / Associate. Change: ▲ Up.
Score 6.60 on the ladder scale → indicated level C1.
</t>
          </r>
          <r>
            <rPr>
              <rFont val="Calibri"/>
              <b val="1"/>
              <sz val="10"/>
            </rPr>
            <t>Weights:</t>
          </r>
          <r>
            <rPr>
              <rFont val="Calibri"/>
              <sz val="10"/>
            </rPr>
            <t xml:space="preserve"> Complexity 59% · Autonomy 18% · Business impact 8%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5" s="12" t="inlineStr">
        <is>
          <r>
            <rPr>
              <rFont val="Calibri"/>
              <b val="1"/>
              <sz val="10"/>
            </rPr>
            <t>Complexity &amp; Expertise:</t>
          </r>
          <r>
            <rPr>
              <rFont val="Calibri"/>
              <sz val="10"/>
            </rPr>
            <t xml:space="preserve"> 6.5 of 12 · between B3 and C1 — Start: 7.0 · principal / architect title; Evidence reads like B1: Application development needing XBRL knowledge, client-specific requirements, legacy modernisation; no design detail given → moved down 0.5; KRA: “1. SBC project completion Provide technical leadership and ensure SBC project work is getting completed without major escalations Train…”
</t>
          </r>
          <r>
            <rPr>
              <rFont val="Calibri"/>
              <b val="1"/>
              <sz val="10"/>
            </rPr>
            <t>Autonomy &amp; Decision:</t>
          </r>
          <r>
            <rPr>
              <rFont val="Calibri"/>
              <sz val="10"/>
            </rPr>
            <t xml:space="preserve"> 6.5 of 12 · between B3 and C1 — Start: 7.0 · principal / architect title; Evidence reads like B1: States only 'Technical' decisions; manages a 9-person team, so calls apply to them → moved down 0.5
</t>
          </r>
          <r>
            <rPr>
              <rFont val="Calibri"/>
              <b val="1"/>
              <sz val="10"/>
            </rPr>
            <t>Accountability &amp; Impact:</t>
          </r>
          <r>
            <rPr>
              <rFont val="Calibri"/>
              <sz val="10"/>
            </rPr>
            <t xml:space="preserve"> 6 of 12 — Start: 6.5 · principal / architect title; 9 direct reports, 16 people below, 3 of them lead teams; Evidence reads like B1: Accountable for technical quality, timelines and compatibility of work owned; manages a team → moved down 0.5; KRA: “1. SBC project completion Provide technical leadership and ensure SBC project work is getting completed without major escalations Train…”
</t>
          </r>
          <r>
            <rPr>
              <rFont val="Calibri"/>
              <b val="1"/>
              <sz val="10"/>
            </rPr>
            <t>Leadership &amp; Strategy:</t>
          </r>
          <r>
            <rPr>
              <rFont val="Calibri"/>
              <sz val="10"/>
            </rPr>
            <t xml:space="preserve"> 5.5 of 12 · between B2 and B3 — Start: 6.0; Evidence reads like B2: States 'managing team'; HR shows 9 direct reports; no detail on how → moved down 0.5; Team: 9 direct reports · IC
</t>
          </r>
          <r>
            <rPr>
              <rFont val="Calibri"/>
              <b val="1"/>
              <sz val="10"/>
            </rPr>
            <t>Experience &amp; Qualification:</t>
          </r>
          <r>
            <rPr>
              <rFont val="Calibri"/>
              <sz val="10"/>
            </rPr>
            <t xml:space="preserve"> 10 of 12 — Experience: 19.0 yrs total · 10.2 before IRIS + 8.8 at IRIS = 9.4 on the experience scale; Qualification: MCA · postgraduate, relevant to the work → +0.5
</t>
          </r>
          <r>
            <rPr>
              <rFont val="Calibri"/>
              <b val="1"/>
              <sz val="10"/>
            </rPr>
            <t>Business Impact:</t>
          </r>
          <r>
            <rPr>
              <rFont val="Calibri"/>
              <sz val="10"/>
            </rPr>
            <t xml:space="preserve"> 6.5 of 12 — a starting estimate. —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r>
        </is>
      </c>
      <c r="X55" s="12" t="inlineStr">
        <is>
          <r>
            <rPr>
              <rFont val="Calibri"/>
              <b val="1"/>
              <sz val="10"/>
            </rPr>
            <t>Market level:</t>
          </r>
          <r>
            <rPr>
              <rFont val="Calibri"/>
              <sz val="10"/>
            </rPr>
            <t xml:space="preserve"> P6 / M5 · SFIA 5–6
</t>
          </r>
          <r>
            <rPr>
              <rFont val="Calibri"/>
              <b val="1"/>
              <sz val="10"/>
            </rPr>
            <t>Typical title:</t>
          </r>
          <r>
            <rPr>
              <rFont val="Calibri"/>
              <sz val="10"/>
            </rPr>
            <t xml:space="preserve"> Chief / Enterprise Architect
</t>
          </r>
          <r>
            <rPr>
              <rFont val="Calibri"/>
              <b val="1"/>
              <sz val="10"/>
            </rPr>
            <t>At peers:</t>
          </r>
          <r>
            <rPr>
              <rFont val="Calibri"/>
              <sz val="10"/>
            </rPr>
            <t xml:space="preserve"> Nasdaq / AxiomSL – Principal SE · Salesforce – PMTS · Atlassian – P60 Principal · 10+ yrs
</t>
          </r>
          <r>
            <rPr>
              <rFont val="Calibri"/>
              <b val="1"/>
              <sz val="10"/>
            </rPr>
            <t>Typical experience:</t>
          </r>
          <r>
            <rPr>
              <rFont val="Calibri"/>
              <sz val="10"/>
            </rPr>
            <t xml:space="preserve"> 12–17 yrs · IRIS guide 10–14
</t>
          </r>
          <r>
            <rPr>
              <rFont val="Calibri"/>
              <b val="1"/>
              <sz val="10"/>
            </rPr>
            <t>Standard:</t>
          </r>
          <r>
            <rPr>
              <rFont val="Calibri"/>
              <sz val="10"/>
            </rPr>
            <t xml:space="preserve"> SFIA 9; TOGAF</t>
          </r>
        </is>
      </c>
      <c r="Y55" s="12" t="inlineStr">
        <is>
          <r>
            <rPr>
              <rFont val="Calibri"/>
              <sz val="10"/>
            </rPr>
            <t xml:space="preserve">✓ HRIS: 19.0 yrs, MCA, 9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55" s="12" t="inlineStr">
        <is>
          <t>—</t>
        </is>
      </c>
      <c r="AA55" s="12" t="inlineStr">
        <is>
          <t>Nothing outstanding</t>
        </is>
      </c>
      <c r="AB55"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 of 12 · B3-level impact.
Leads 9 direct reports.
From the survey and manager mapping — critical role: yes; successor named: no.
</t>
          </r>
          <r>
            <rPr>
              <rFont val="Calibri"/>
              <b val="1"/>
              <sz val="10"/>
            </rPr>
            <t>If the work is missed · role-holders' themes:</t>
          </r>
          <r>
            <rPr>
              <rFont val="Calibri"/>
              <sz val="10"/>
            </rPr>
            <t xml:space="preserve"> client · time · rework.
Manager talent mapping — Latest rating: 4 · Potential: High · 9-Box Grid placement: High Impact / Growth Talent.</t>
          </r>
        </is>
      </c>
      <c r="AC55" s="82" t="n"/>
      <c r="AD55" s="82" t="n"/>
      <c r="AE55" s="82" t="n"/>
      <c r="AF55" s="12" t="n">
        <v>6.5</v>
      </c>
    </row>
    <row r="56" ht="379" customHeight="1">
      <c r="A56" s="12" t="inlineStr">
        <is>
          <t>IRIS0211</t>
        </is>
      </c>
      <c r="B56" s="10" t="inlineStr">
        <is>
          <t>Brij Kishor Singh</t>
        </is>
      </c>
      <c r="C56" s="12" t="inlineStr">
        <is>
          <t>Technology</t>
        </is>
      </c>
      <c r="D56" s="12" t="inlineStr">
        <is>
          <t>Technical Architect</t>
        </is>
      </c>
      <c r="E56" s="78" t="inlineStr">
        <is>
          <t>Practice Lead – Solution &amp; Technical Architecture · Player-Coach</t>
        </is>
      </c>
      <c r="F56" s="12" t="inlineStr">
        <is>
          <t>Engineering &amp; Architecture</t>
        </is>
      </c>
      <c r="G56" s="12" t="inlineStr">
        <is>
          <t>Solution &amp; Technical Architecture</t>
        </is>
      </c>
      <c r="H56" s="12" t="inlineStr">
        <is>
          <t>Player-Coach</t>
        </is>
      </c>
      <c r="I56" s="42" t="inlineStr">
        <is>
          <t>L3 – Professional / Associate</t>
        </is>
      </c>
      <c r="J56" s="88" t="inlineStr">
        <is>
          <t>B+</t>
        </is>
      </c>
      <c r="K56" s="25" t="inlineStr">
        <is>
          <t>Practice Lead · Player-Coach</t>
        </is>
      </c>
      <c r="L56" s="79" t="inlineStr">
        <is>
          <t>▲ Up</t>
        </is>
      </c>
      <c r="M56" s="12" t="inlineStr">
        <is>
          <t>iFile · Technology · B+ · Player-Coach</t>
        </is>
      </c>
      <c r="N56" s="42" t="n">
        <v>6.5</v>
      </c>
      <c r="O56" s="42" t="n">
        <v>6</v>
      </c>
      <c r="P56" s="42" t="n">
        <v>6</v>
      </c>
      <c r="Q56" s="42" t="n">
        <v>5</v>
      </c>
      <c r="R56" s="42" t="n">
        <v>9.5</v>
      </c>
      <c r="S56" s="80" t="n">
        <v>6.5</v>
      </c>
      <c r="T56" s="81">
        <f>IF(OR($M56="",COUNT(N56,O56,P56,Q56,R56,S56)&lt;6),"",IFERROR(N56*INDEX(WM_C,MATCH($M56,WM_KEY,0))+O56*INDEX(WM_AU,MATCH($M56,WM_KEY,0))+P56*INDEX(WM_AC,MATCH($M56,WM_KEY,0))+Q56*INDEX(WM_L,MATCH($M56,WM_KEY,0))+R56*INDEX(WM_E,MATCH($M56,WM_KEY,0))+S56*INDEX(WM_BI,MATCH($M56,WM_KEY,0)),""))</f>
        <v>6.535</v>
      </c>
      <c r="U56" s="42" t="str">
        <f>IF(T56="","",INDEX({"A1","A2","A3","B1","B2","B3","C1","C2","D1","D2","E1","E2"},MAX(1,MIN(12,ROUND(T56,0)))))</f>
        <v>C1</v>
      </c>
      <c r="V56" s="12" t="inlineStr">
        <is>
          <r>
            <rPr>
              <rFont val="Calibri"/>
              <sz val="10"/>
            </rPr>
            <t xml:space="preserve">New level B+ · Practice Lead · Player-Coach. Current level on record: L3 – Professional / Associate. Change: ▲ Up.
Score 6.54 on the ladder scale → indicated level C1.
</t>
          </r>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B3, the top of Band B:</t>
          </r>
          <r>
            <rPr>
              <rFont val="Calibri"/>
              <sz val="10"/>
            </rPr>
            <t xml:space="preserve"> to enter Band C the score must reach 6.5 on Band C's own weights, and it is 6.46.
• </t>
          </r>
          <r>
            <rPr>
              <rFont val="Calibri"/>
              <b val="1"/>
              <sz val="10"/>
            </rPr>
            <t>Moved up to the B+ Player-Coach transition step:</t>
          </r>
          <r>
            <rPr>
              <rFont val="Calibri"/>
              <sz val="10"/>
            </rPr>
            <t xml:space="preserve"> leads people and still does hands-on work; Player-Coach score 6.54 · needs 6.25 and complexity–accountability average 6.25 · needs 5.5.
</t>
          </r>
          <r>
            <rPr>
              <rFont val="Calibri"/>
              <b val="1"/>
              <sz val="10"/>
            </rPr>
            <t>Final level:</t>
          </r>
          <r>
            <rPr>
              <rFont val="Calibri"/>
              <sz val="10"/>
            </rPr>
            <t xml:space="preserve"> B+.</t>
          </r>
        </is>
      </c>
      <c r="W56" s="12" t="inlineStr">
        <is>
          <r>
            <rPr>
              <rFont val="Calibri"/>
              <b val="1"/>
              <sz val="10"/>
            </rPr>
            <t>Complexity &amp; Expertise:</t>
          </r>
          <r>
            <rPr>
              <rFont val="Calibri"/>
              <sz val="10"/>
            </rPr>
            <t xml:space="preserve"> 6.5 of 12 · between B3 and C1 — Start: 7.0 · principal / architect title; Evidence reads like B3: Designs solution architecture and integrations for client implementations in Bhutan, Jordan, Malaysia; assesses change-request impact → moved down 0.5; KRA: “1. Account/Project Management Ensure constant touch with clients and rapport building, especially SSM, RMA, IFSCA Ensure project activities…”
</t>
          </r>
          <r>
            <rPr>
              <rFont val="Calibri"/>
              <b val="1"/>
              <sz val="10"/>
            </rPr>
            <t>Autonomy &amp; Decision:</t>
          </r>
          <r>
            <rPr>
              <rFont val="Calibri"/>
              <sz val="10"/>
            </rPr>
            <t xml:space="preserve"> 6 of 12 — Start: 7.0 · principal / architect title; Evidence reads like B2: Decides architecture patterns, integration methods and technology options; gives CR effort estimates to clients → moved down 1
</t>
          </r>
          <r>
            <rPr>
              <rFont val="Calibri"/>
              <b val="1"/>
              <sz val="10"/>
            </rPr>
            <t>Accountability &amp; Impact:</t>
          </r>
          <r>
            <rPr>
              <rFont val="Calibri"/>
              <sz val="10"/>
            </rPr>
            <t xml:space="preserve"> 6 of 12 — Start: 6.5 · principal / architect title; 4 direct reports, 10 people below, 2 of them lead teams; Evidence reads like B2: Owns solution design, CR impact assessment and estimates across several client accounts → moved down 0.5; KRA: “1. Account/Project Management Ensure constant touch with clients and rapport building, especially SSM, RMA, IFSCA Ensure project activities…”
</t>
          </r>
          <r>
            <rPr>
              <rFont val="Calibri"/>
              <b val="1"/>
              <sz val="10"/>
            </rPr>
            <t>Leadership &amp; Strategy:</t>
          </r>
          <r>
            <rPr>
              <rFont val="Calibri"/>
              <sz val="10"/>
            </rPr>
            <t xml:space="preserve"> 5 of 12 — Start: 6.0; Evidence reads like B1: Four direct reports; KRA: team building and developing future leaders; survey describes little people leadership → moved down 1; Team: 4 direct reports · Player-Coach
</t>
          </r>
          <r>
            <rPr>
              <rFont val="Calibri"/>
              <b val="1"/>
              <sz val="10"/>
            </rPr>
            <t>Experience &amp; Qualification:</t>
          </r>
          <r>
            <rPr>
              <rFont val="Calibri"/>
              <sz val="10"/>
            </rPr>
            <t xml:space="preserve"> 9.5 of 12 · between D1 and D2 — Experience: 18.2 yrs total · 18.2 at IRIS; none recorded before IRIS = 9.2 on the experience scale; Qualification: MCA · postgraduate, relevant to the work → +0.5
</t>
          </r>
          <r>
            <rPr>
              <rFont val="Calibri"/>
              <b val="1"/>
              <sz val="10"/>
            </rPr>
            <t>Business Impact:</t>
          </r>
          <r>
            <rPr>
              <rFont val="Calibri"/>
              <sz val="10"/>
            </rPr>
            <t xml:space="preserve"> 6.5 of 12 — a starting estimate. —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r>
        </is>
      </c>
      <c r="X56" s="12"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Y56" s="12" t="inlineStr">
        <is>
          <r>
            <rPr>
              <rFont val="Calibri"/>
              <sz val="10"/>
            </rPr>
            <t xml:space="preserve">✓ HRIS: 18.2 yrs, MCA, 4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56" s="84" t="inlineStr">
        <is>
          <r>
            <rPr>
              <rFont val="Calibri"/>
              <color rgb="009C5700"/>
              <sz val="10"/>
            </rPr>
            <t xml:space="preserve">• Player-Coach transition step B+: leads people and still does hands-on work
• </t>
          </r>
          <r>
            <rPr>
              <rFont val="Calibri"/>
              <b val="1"/>
              <color rgb="009C5700"/>
              <sz val="10"/>
            </rPr>
            <t>Near a gate:</t>
          </r>
          <r>
            <rPr>
              <rFont val="Calibri"/>
              <color rgb="009C5700"/>
              <sz val="10"/>
            </rPr>
            <t xml:space="preserve"> top of band: 6.46 on Band C's weights, 0.04 short of the 6.5 needed to enter Band C</t>
          </r>
        </is>
      </c>
      <c r="AA56" s="12" t="inlineStr">
        <is>
          <t>Nothing outstanding</t>
        </is>
      </c>
      <c r="AB56" s="12"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 of 12 · B3-level impact.
Leads 4 direct reports.
From the survey and manager mapping — critical role: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Potential: High · 9-Box Grid placement: Trusted Professional.</t>
          </r>
        </is>
      </c>
      <c r="AC56" s="82" t="n"/>
      <c r="AD56" s="82" t="n"/>
      <c r="AE56" s="82" t="n"/>
      <c r="AF56" s="12" t="n">
        <v>6.5</v>
      </c>
    </row>
    <row r="57" ht="379" customHeight="1">
      <c r="A57" s="12" t="inlineStr">
        <is>
          <t>IRIS0217</t>
        </is>
      </c>
      <c r="B57" s="10" t="inlineStr">
        <is>
          <t>Hemant Trivedi</t>
        </is>
      </c>
      <c r="C57" s="12" t="inlineStr">
        <is>
          <t>Technology</t>
        </is>
      </c>
      <c r="D57" s="12" t="inlineStr">
        <is>
          <t>Technical Architect</t>
        </is>
      </c>
      <c r="E57" s="78" t="inlineStr">
        <is>
          <t>Practice Lead – Solution &amp; Technical Architecture · Player-Coach</t>
        </is>
      </c>
      <c r="F57" s="12" t="inlineStr">
        <is>
          <t>Engineering &amp; Architecture</t>
        </is>
      </c>
      <c r="G57" s="12" t="inlineStr">
        <is>
          <t>Solution &amp; Technical Architecture</t>
        </is>
      </c>
      <c r="H57" s="12" t="inlineStr">
        <is>
          <t>Player-Coach</t>
        </is>
      </c>
      <c r="I57" s="42" t="inlineStr">
        <is>
          <t>L3 – Professional / Associate</t>
        </is>
      </c>
      <c r="J57" s="88" t="inlineStr">
        <is>
          <t>B+</t>
        </is>
      </c>
      <c r="K57" s="25" t="inlineStr">
        <is>
          <t>Practice Lead · Player-Coach</t>
        </is>
      </c>
      <c r="L57" s="79" t="inlineStr">
        <is>
          <t>▲ Up</t>
        </is>
      </c>
      <c r="M57" s="12" t="inlineStr">
        <is>
          <t>iFile · Technology · B+ · Player-Coach</t>
        </is>
      </c>
      <c r="N57" s="42" t="n">
        <v>6.5</v>
      </c>
      <c r="O57" s="42" t="n">
        <v>6.5</v>
      </c>
      <c r="P57" s="42" t="n">
        <v>5</v>
      </c>
      <c r="Q57" s="42" t="n">
        <v>5.5</v>
      </c>
      <c r="R57" s="42" t="n">
        <v>9.5</v>
      </c>
      <c r="S57" s="80" t="n">
        <v>6</v>
      </c>
      <c r="T57" s="81">
        <f>IF(OR($M57="",COUNT(N57,O57,P57,Q57,R57,S57)&lt;6),"",IFERROR(N57*INDEX(WM_C,MATCH($M57,WM_KEY,0))+O57*INDEX(WM_AU,MATCH($M57,WM_KEY,0))+P57*INDEX(WM_AC,MATCH($M57,WM_KEY,0))+Q57*INDEX(WM_L,MATCH($M57,WM_KEY,0))+R57*INDEX(WM_E,MATCH($M57,WM_KEY,0))+S57*INDEX(WM_BI,MATCH($M57,WM_KEY,0)),""))</f>
        <v>6.585</v>
      </c>
      <c r="U57" s="42" t="str">
        <f>IF(T57="","",INDEX({"A1","A2","A3","B1","B2","B3","C1","C2","D1","D2","E1","E2"},MAX(1,MIN(12,ROUND(T57,0)))))</f>
        <v>C1</v>
      </c>
      <c r="V57" s="12" t="inlineStr">
        <is>
          <r>
            <rPr>
              <rFont val="Calibri"/>
              <sz val="10"/>
            </rPr>
            <t xml:space="preserve">New level B+ · Practice Lead · Player-Coach. Current level on record: L3 – Professional / Associate. Change: ▲ Up.
Score 6.58 on the ladder scale → indicated level C1.
</t>
          </r>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B3, the top of Band B:</t>
          </r>
          <r>
            <rPr>
              <rFont val="Calibri"/>
              <sz val="10"/>
            </rPr>
            <t xml:space="preserve"> to enter Band C the score must reach 6.5 on Band C's own weights, and it is 6.49.
• </t>
          </r>
          <r>
            <rPr>
              <rFont val="Calibri"/>
              <b val="1"/>
              <sz val="10"/>
            </rPr>
            <t>Moved up to the B+ Player-Coach transition step:</t>
          </r>
          <r>
            <rPr>
              <rFont val="Calibri"/>
              <sz val="10"/>
            </rPr>
            <t xml:space="preserve"> leads people and still does hands-on work; Player-Coach score 6.58 · needs 6.25 and complexity–accountability average 5.75 · needs 5.5.
</t>
          </r>
          <r>
            <rPr>
              <rFont val="Calibri"/>
              <b val="1"/>
              <sz val="10"/>
            </rPr>
            <t>Final level:</t>
          </r>
          <r>
            <rPr>
              <rFont val="Calibri"/>
              <sz val="10"/>
            </rPr>
            <t xml:space="preserve"> B+.</t>
          </r>
        </is>
      </c>
      <c r="W57" s="12" t="inlineStr">
        <is>
          <r>
            <rPr>
              <rFont val="Calibri"/>
              <b val="1"/>
              <sz val="10"/>
            </rPr>
            <t>Complexity &amp; Expertise:</t>
          </r>
          <r>
            <rPr>
              <rFont val="Calibri"/>
              <sz val="10"/>
            </rPr>
            <t xml:space="preserve"> 6.5 of 12 · between B3 and C1 — Start: 7.0 · principal / architect title; Evidence reads like B1: Coding, security testing, deployment automation and impact analysis across 5 projects; design claim is generic → moved down 0.5; KRA: “1. QFCRA project Complete QFCRA Taxonomy upgrade and Tech Refresh project implementation in a timely manner Provide technical leadership,…”
</t>
          </r>
          <r>
            <rPr>
              <rFont val="Calibri"/>
              <b val="1"/>
              <sz val="10"/>
            </rPr>
            <t>Autonomy &amp; Decision:</t>
          </r>
          <r>
            <rPr>
              <rFont val="Calibri"/>
              <sz val="10"/>
            </rPr>
            <t xml:space="preserve"> 6.5 of 12 · between B3 and C1 — Start: 7.0 · principal / architect title; Evidence reads like A3: Decides how to complete unclear requirements and own development; no team-level calls stated → moved down 0.5
</t>
          </r>
          <r>
            <rPr>
              <rFont val="Calibri"/>
              <b val="1"/>
              <sz val="10"/>
            </rPr>
            <t>Accountability &amp; Impact:</t>
          </r>
          <r>
            <rPr>
              <rFont val="Calibri"/>
              <sz val="10"/>
            </rPr>
            <t xml:space="preserve"> 5 of 12 — Start: 5.5 · principal / architect title; 3 direct reports, 6 people below, 1 of them leads a team; Evidence reads like B1: Answers for product/project releases via CI/CD; KRA names him SPOC for QSE account → moved down 0.5; KRA: “1. QFCRA project Complete QFCRA Taxonomy upgrade and Tech Refresh project implementation in a timely manner Provide technical leadership,…”
</t>
          </r>
          <r>
            <rPr>
              <rFont val="Calibri"/>
              <b val="1"/>
              <sz val="10"/>
            </rPr>
            <t>Leadership &amp; Strategy:</t>
          </r>
          <r>
            <rPr>
              <rFont val="Calibri"/>
              <sz val="10"/>
            </rPr>
            <t xml:space="preserve"> 5.5 of 12 · between B2 and B3 — Start: 6.0; Evidence reads like B1: KT to the team; 3 direct reports; KRA expects coaching and mentoring of the team → moved down 0.5; Team: 3 direct reports · Player-Coach
</t>
          </r>
          <r>
            <rPr>
              <rFont val="Calibri"/>
              <b val="1"/>
              <sz val="10"/>
            </rPr>
            <t>Experience &amp; Qualification:</t>
          </r>
          <r>
            <rPr>
              <rFont val="Calibri"/>
              <sz val="10"/>
            </rPr>
            <t xml:space="preserve"> 9.5 of 12 · between D1 and D2 — Experience: 19.1 yrs total · 1.0 before IRIS + 18.1 at IRIS = 9.5 on the experience scale; Qualification: B.E · graduate, relevant to the work → no change
</t>
          </r>
          <r>
            <rPr>
              <rFont val="Calibri"/>
              <b val="1"/>
              <sz val="10"/>
            </rPr>
            <t>Business Impact:</t>
          </r>
          <r>
            <rPr>
              <rFont val="Calibri"/>
              <sz val="10"/>
            </rPr>
            <t xml:space="preserve"> 6 of 12 — a starting estimate. — Start: 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t>
          </r>
        </is>
      </c>
      <c r="X57" s="12"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Y57" s="12" t="inlineStr">
        <is>
          <r>
            <rPr>
              <rFont val="Calibri"/>
              <sz val="10"/>
            </rPr>
            <t xml:space="preserve">✓ HRIS: 19.1 yrs, B.E, 3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57" s="84" t="inlineStr">
        <is>
          <r>
            <rPr>
              <rFont val="Calibri"/>
              <color rgb="009C5700"/>
              <sz val="10"/>
            </rPr>
            <t xml:space="preserve">• Player-Coach transition step B+: leads people and still does hands-on work
• </t>
          </r>
          <r>
            <rPr>
              <rFont val="Calibri"/>
              <b val="1"/>
              <color rgb="009C5700"/>
              <sz val="10"/>
            </rPr>
            <t>Near a gate:</t>
          </r>
          <r>
            <rPr>
              <rFont val="Calibri"/>
              <color rgb="009C5700"/>
              <sz val="10"/>
            </rPr>
            <t xml:space="preserve"> top of band: 6.49 on Band C's weights, 0.01 short of the 6.5 needed to enter Band C</t>
          </r>
        </is>
      </c>
      <c r="AA57" s="12" t="inlineStr">
        <is>
          <t>Nothing outstanding</t>
        </is>
      </c>
      <c r="AB57" s="12"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5 of 12 · B2-level impact.
Leads 3 direct reports.
From the survey and manager mapping — critical role: yes; work only this person does: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Potential: High · 9-Box Grid placement: Trusted Professional.</t>
          </r>
        </is>
      </c>
      <c r="AC57" s="82" t="n"/>
      <c r="AD57" s="82" t="n"/>
      <c r="AE57" s="82" t="n"/>
      <c r="AF57" s="12" t="n">
        <v>6</v>
      </c>
    </row>
    <row r="58" ht="379" customHeight="1">
      <c r="A58" s="12" t="inlineStr">
        <is>
          <t>IRIS2133</t>
        </is>
      </c>
      <c r="B58" s="10" t="inlineStr">
        <is>
          <t>Pushpendra Singh</t>
        </is>
      </c>
      <c r="C58" s="12" t="inlineStr">
        <is>
          <t>Technology</t>
        </is>
      </c>
      <c r="D58" s="12" t="inlineStr">
        <is>
          <t>Technical Architect</t>
        </is>
      </c>
      <c r="E58" s="78" t="inlineStr">
        <is>
          <t>Practice Lead – Solution &amp; Technical Architecture · Player-Coach</t>
        </is>
      </c>
      <c r="F58" s="12" t="inlineStr">
        <is>
          <t>Engineering &amp; Architecture</t>
        </is>
      </c>
      <c r="G58" s="12" t="inlineStr">
        <is>
          <t>Solution &amp; Technical Architecture</t>
        </is>
      </c>
      <c r="H58" s="12" t="inlineStr">
        <is>
          <t>Player-Coach</t>
        </is>
      </c>
      <c r="I58" s="42" t="inlineStr">
        <is>
          <t>L3 – Professional / Associate</t>
        </is>
      </c>
      <c r="J58" s="88" t="inlineStr">
        <is>
          <t>B+</t>
        </is>
      </c>
      <c r="K58" s="25" t="inlineStr">
        <is>
          <t>Practice Lead · Player-Coach</t>
        </is>
      </c>
      <c r="L58" s="79" t="inlineStr">
        <is>
          <t>▲ Up</t>
        </is>
      </c>
      <c r="M58" s="12" t="inlineStr">
        <is>
          <t>iFile · Technology · B+ · Player-Coach</t>
        </is>
      </c>
      <c r="N58" s="42" t="n">
        <v>6.5</v>
      </c>
      <c r="O58" s="42" t="n">
        <v>6.5</v>
      </c>
      <c r="P58" s="42" t="n">
        <v>5</v>
      </c>
      <c r="Q58" s="42" t="n">
        <v>5.5</v>
      </c>
      <c r="R58" s="42" t="n">
        <v>9</v>
      </c>
      <c r="S58" s="80" t="n">
        <v>5.5</v>
      </c>
      <c r="T58" s="81">
        <f>IF(OR($M58="",COUNT(N58,O58,P58,Q58,R58,S58)&lt;6),"",IFERROR(N58*INDEX(WM_C,MATCH($M58,WM_KEY,0))+O58*INDEX(WM_AU,MATCH($M58,WM_KEY,0))+P58*INDEX(WM_AC,MATCH($M58,WM_KEY,0))+Q58*INDEX(WM_L,MATCH($M58,WM_KEY,0))+R58*INDEX(WM_E,MATCH($M58,WM_KEY,0))+S58*INDEX(WM_BI,MATCH($M58,WM_KEY,0)),""))</f>
        <v>6.495</v>
      </c>
      <c r="U58" s="42" t="str">
        <f>IF(T58="","",INDEX({"A1","A2","A3","B1","B2","B3","C1","C2","D1","D2","E1","E2"},MAX(1,MIN(12,ROUND(T58,0)))))</f>
        <v>B3</v>
      </c>
      <c r="V58" s="12" t="inlineStr">
        <is>
          <r>
            <rPr>
              <rFont val="Calibri"/>
              <sz val="10"/>
            </rPr>
            <t xml:space="preserve">New level B+ · Practice Lead · Player-Coach. Current level on record: L3 – Professional / Associate. Change: ▲ Up.
Score 6.50 on the ladder scale → indicated level B3.
</t>
          </r>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B3, the top of Band B:</t>
          </r>
          <r>
            <rPr>
              <rFont val="Calibri"/>
              <sz val="10"/>
            </rPr>
            <t xml:space="preserve"> to enter Band C the score must reach 6.5 on Band C's own weights, and it is 6.42.
• </t>
          </r>
          <r>
            <rPr>
              <rFont val="Calibri"/>
              <b val="1"/>
              <sz val="10"/>
            </rPr>
            <t>Moved up to the B+ Player-Coach transition step:</t>
          </r>
          <r>
            <rPr>
              <rFont val="Calibri"/>
              <sz val="10"/>
            </rPr>
            <t xml:space="preserve"> leads people and still does hands-on work; Player-Coach score 6.50 · needs 6.25 and complexity–accountability average 5.75 · needs 5.5.
</t>
          </r>
          <r>
            <rPr>
              <rFont val="Calibri"/>
              <b val="1"/>
              <sz val="10"/>
            </rPr>
            <t>Final level:</t>
          </r>
          <r>
            <rPr>
              <rFont val="Calibri"/>
              <sz val="10"/>
            </rPr>
            <t xml:space="preserve"> B+.</t>
          </r>
        </is>
      </c>
      <c r="W58" s="12" t="inlineStr">
        <is>
          <r>
            <rPr>
              <rFont val="Calibri"/>
              <b val="1"/>
              <sz val="10"/>
            </rPr>
            <t>Complexity &amp; Expertise:</t>
          </r>
          <r>
            <rPr>
              <rFont val="Calibri"/>
              <sz val="10"/>
            </rPr>
            <t xml:space="preserve"> 6.5 of 12 · between B3 and C1 — Start: 7.0 · principal / architect title; Evidence reads like B2: Application and core component design, security, performance tuning, evaluating new libraries for the validator product → moved down 0.5; KRA: “1. Validator Work towards improving performance of validator product and coverage. Set target and present metrics Ensure Validator product…”
</t>
          </r>
          <r>
            <rPr>
              <rFont val="Calibri"/>
              <b val="1"/>
              <sz val="10"/>
            </rPr>
            <t>Autonomy &amp; Decision:</t>
          </r>
          <r>
            <rPr>
              <rFont val="Calibri"/>
              <sz val="10"/>
            </rPr>
            <t xml:space="preserve"> 6.5 of 12 · between B3 and C1 — Start: 7.0 · principal / architect title; Evidence reads like B1: Decides on build failures, feature breaks and adding automation for the product → moved down 0.5
</t>
          </r>
          <r>
            <rPr>
              <rFont val="Calibri"/>
              <b val="1"/>
              <sz val="10"/>
            </rPr>
            <t>Accountability &amp; Impact:</t>
          </r>
          <r>
            <rPr>
              <rFont val="Calibri"/>
              <sz val="10"/>
            </rPr>
            <t xml:space="preserve"> 5 of 12 — Start: 5.5 · principal / architect title; 3 direct reports; Evidence reads like B1: own survey / KRA answers · summarised by the rater; not quoted → moved down 0.5; KRA: “1. Validator Work towards improving performance of validator product and coverage. Set target and present metrics Ensure Validator product…”
</t>
          </r>
          <r>
            <rPr>
              <rFont val="Calibri"/>
              <b val="1"/>
              <sz val="10"/>
            </rPr>
            <t>Leadership &amp; Strategy:</t>
          </r>
          <r>
            <rPr>
              <rFont val="Calibri"/>
              <sz val="10"/>
            </rPr>
            <t xml:space="preserve"> 5.5 of 12 · between B2 and B3 — Start: 6.0; Evidence reads like A3: No leadership described; 3 direct reports and KRA expects mentoring of team members → moved down 0.5; Team: 3 direct reports · Player-Coach
</t>
          </r>
          <r>
            <rPr>
              <rFont val="Calibri"/>
              <b val="1"/>
              <sz val="10"/>
            </rPr>
            <t>Experience &amp; Qualification:</t>
          </r>
          <r>
            <rPr>
              <rFont val="Calibri"/>
              <sz val="10"/>
            </rPr>
            <t xml:space="preserve"> 9 of 12 — Experience: 17.3 yrs total · 14.0 before IRIS + 3.3 at IRIS = 8.9 on the experience scale; Qualification: MBA · postgraduate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58" s="12"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Y58" s="12" t="inlineStr">
        <is>
          <r>
            <rPr>
              <rFont val="Calibri"/>
              <sz val="10"/>
            </rPr>
            <t xml:space="preserve">✓ HRIS: 17.3 yrs, MBA, 3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58" s="84" t="inlineStr">
        <is>
          <r>
            <rPr>
              <rFont val="Calibri"/>
              <color rgb="009C5700"/>
              <sz val="10"/>
            </rPr>
            <t xml:space="preserve">• Player-Coach transition step B+: leads people and still does hands-on work
• </t>
          </r>
          <r>
            <rPr>
              <rFont val="Calibri"/>
              <b val="1"/>
              <color rgb="009C5700"/>
              <sz val="10"/>
            </rPr>
            <t>Near a gate:</t>
          </r>
          <r>
            <rPr>
              <rFont val="Calibri"/>
              <color rgb="009C5700"/>
              <sz val="10"/>
            </rPr>
            <t xml:space="preserve"> top of band: 6.42 on Band C's weights, 0.08 short of the 6.5 needed to enter Band C</t>
          </r>
        </is>
      </c>
      <c r="AA58" s="12" t="inlineStr">
        <is>
          <t>Nothing outstanding</t>
        </is>
      </c>
      <c r="AB58" s="12"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5 of 12 · B2-level impact.
Leads 3 direct reports.
From the survey and manager mapping — critical role: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Potential: Medium · 9-Box Grid placement: Core Contributor.</t>
          </r>
        </is>
      </c>
      <c r="AC58" s="82" t="n"/>
      <c r="AD58" s="82" t="n"/>
      <c r="AE58" s="82" t="n"/>
      <c r="AF58" s="12" t="n">
        <v>5.5</v>
      </c>
    </row>
    <row r="59" ht="379" customHeight="1">
      <c r="A59" s="12" t="inlineStr">
        <is>
          <t>IRIS1689</t>
        </is>
      </c>
      <c r="B59" s="10" t="inlineStr">
        <is>
          <t>Suman Kumar</t>
        </is>
      </c>
      <c r="C59" s="12" t="inlineStr">
        <is>
          <t>Technology</t>
        </is>
      </c>
      <c r="D59" s="12" t="inlineStr">
        <is>
          <t>Technical Architect</t>
        </is>
      </c>
      <c r="E59" s="78" t="inlineStr">
        <is>
          <t>Practice Lead – Solution &amp; Technical Architecture · Player-Coach</t>
        </is>
      </c>
      <c r="F59" s="12" t="inlineStr">
        <is>
          <t>Engineering &amp; Architecture</t>
        </is>
      </c>
      <c r="G59" s="12" t="inlineStr">
        <is>
          <t>Solution &amp; Technical Architecture</t>
        </is>
      </c>
      <c r="H59" s="12" t="inlineStr">
        <is>
          <t>Player-Coach</t>
        </is>
      </c>
      <c r="I59" s="42" t="inlineStr">
        <is>
          <t>L3 – Professional / Associate</t>
        </is>
      </c>
      <c r="J59" s="88" t="inlineStr">
        <is>
          <t>B+</t>
        </is>
      </c>
      <c r="K59" s="25" t="inlineStr">
        <is>
          <t>Practice Lead · Player-Coach</t>
        </is>
      </c>
      <c r="L59" s="79" t="inlineStr">
        <is>
          <t>▲ Up</t>
        </is>
      </c>
      <c r="M59" s="12" t="inlineStr">
        <is>
          <t>iFile · Technology · B+ · Player-Coach</t>
        </is>
      </c>
      <c r="N59" s="42" t="n">
        <v>6.5</v>
      </c>
      <c r="O59" s="42" t="n">
        <v>6</v>
      </c>
      <c r="P59" s="42" t="n">
        <v>6</v>
      </c>
      <c r="Q59" s="42" t="n">
        <v>5.5</v>
      </c>
      <c r="R59" s="42" t="n">
        <v>9</v>
      </c>
      <c r="S59" s="80" t="n">
        <v>6.5</v>
      </c>
      <c r="T59" s="81">
        <f>IF(OR($M59="",COUNT(N59,O59,P59,Q59,R59,S59)&lt;6),"",IFERROR(N59*INDEX(WM_C,MATCH($M59,WM_KEY,0))+O59*INDEX(WM_AU,MATCH($M59,WM_KEY,0))+P59*INDEX(WM_AC,MATCH($M59,WM_KEY,0))+Q59*INDEX(WM_L,MATCH($M59,WM_KEY,0))+R59*INDEX(WM_E,MATCH($M59,WM_KEY,0))+S59*INDEX(WM_BI,MATCH($M59,WM_KEY,0)),""))</f>
        <v>6.535</v>
      </c>
      <c r="U59" s="42" t="str">
        <f>IF(T59="","",INDEX({"A1","A2","A3","B1","B2","B3","C1","C2","D1","D2","E1","E2"},MAX(1,MIN(12,ROUND(T59,0)))))</f>
        <v>C1</v>
      </c>
      <c r="V59" s="12" t="inlineStr">
        <is>
          <r>
            <rPr>
              <rFont val="Calibri"/>
              <sz val="10"/>
            </rPr>
            <t xml:space="preserve">New level B+ · Practice Lead · Player-Coach. Current level on record: L3 – Professional / Associate. Change: ▲ Up.
Score 6.54 on the ladder scale → indicated level C1.
</t>
          </r>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B3, the top of Band B:</t>
          </r>
          <r>
            <rPr>
              <rFont val="Calibri"/>
              <sz val="10"/>
            </rPr>
            <t xml:space="preserve"> to enter Band C the score must reach 6.5 on Band C's own weights, and it is 6.46.
• </t>
          </r>
          <r>
            <rPr>
              <rFont val="Calibri"/>
              <b val="1"/>
              <sz val="10"/>
            </rPr>
            <t>Moved up to the B+ Player-Coach transition step:</t>
          </r>
          <r>
            <rPr>
              <rFont val="Calibri"/>
              <sz val="10"/>
            </rPr>
            <t xml:space="preserve"> leads people and still does hands-on work; Player-Coach score 6.54 · needs 6.25 and complexity–accountability average 6.25 · needs 5.5.
</t>
          </r>
          <r>
            <rPr>
              <rFont val="Calibri"/>
              <b val="1"/>
              <sz val="10"/>
            </rPr>
            <t>Final level:</t>
          </r>
          <r>
            <rPr>
              <rFont val="Calibri"/>
              <sz val="10"/>
            </rPr>
            <t xml:space="preserve"> B+.</t>
          </r>
        </is>
      </c>
      <c r="W59" s="12" t="inlineStr">
        <is>
          <r>
            <rPr>
              <rFont val="Calibri"/>
              <b val="1"/>
              <sz val="10"/>
            </rPr>
            <t>Complexity &amp; Expertise:</t>
          </r>
          <r>
            <rPr>
              <rFont val="Calibri"/>
              <sz val="10"/>
            </rPr>
            <t xml:space="preserve"> 6.5 of 12 · between B3 and C1 — Start: 7.0 · principal / architect title; Evidence reads like B3: Architects complex client solutions with datasets up to 30GB; KRA spans several regulator programmes → moved down 0.5; KRA: “1. SARB Program Lead architecture, execution, and delivery governance for SARB program including Phase 4 &gt;90% milestone adherence for…”
</t>
          </r>
          <r>
            <rPr>
              <rFont val="Calibri"/>
              <b val="1"/>
              <sz val="10"/>
            </rPr>
            <t>Autonomy &amp; Decision:</t>
          </r>
          <r>
            <rPr>
              <rFont val="Calibri"/>
              <sz val="10"/>
            </rPr>
            <t xml:space="preserve"> 6 of 12 — Start: 7.0 · principal / architect title; Evidence reads like B1: Decides the solution approach that technical and functional teams then implement → moved down 1
</t>
          </r>
          <r>
            <rPr>
              <rFont val="Calibri"/>
              <b val="1"/>
              <sz val="10"/>
            </rPr>
            <t>Accountability &amp; Impact:</t>
          </r>
          <r>
            <rPr>
              <rFont val="Calibri"/>
              <sz val="10"/>
            </rPr>
            <t xml:space="preserve"> 6 of 12 — Start: 6.5 · principal / architect title; 6 direct reports, 14 people below, 2 of them lead teams; Evidence reads like B2: Accountable for solution architecture meeting complex requirements; KRA adds delivery governance of SARB programme → moved down 0.5; KRA: “1. SARB Program Lead architecture, execution, and delivery governance for SARB program including Phase 4 &gt;90% milestone adherence for…”
</t>
          </r>
          <r>
            <rPr>
              <rFont val="Calibri"/>
              <b val="1"/>
              <sz val="10"/>
            </rPr>
            <t>Leadership &amp; Strategy:</t>
          </r>
          <r>
            <rPr>
              <rFont val="Calibri"/>
              <sz val="10"/>
            </rPr>
            <t xml:space="preserve"> 5.5 of 12 · between B2 and B3 — Start: 6.0; Evidence reads like B2: Guides the technical and the functional team; 6 direct reports → moved down 0.5; Team: 6 direct reports · Player-Coach
</t>
          </r>
          <r>
            <rPr>
              <rFont val="Calibri"/>
              <b val="1"/>
              <sz val="10"/>
            </rPr>
            <t>Experience &amp; Qualification:</t>
          </r>
          <r>
            <rPr>
              <rFont val="Calibri"/>
              <sz val="10"/>
            </rPr>
            <t xml:space="preserve"> 9 of 12 — Experience: 17.2 yrs total · 8.4 before IRIS + 8.8 at IRIS = 8.9 on the experience scale; Qualification: B.E · graduate, relevant to the work → no change
</t>
          </r>
          <r>
            <rPr>
              <rFont val="Calibri"/>
              <b val="1"/>
              <sz val="10"/>
            </rPr>
            <t>Business Impact:</t>
          </r>
          <r>
            <rPr>
              <rFont val="Calibri"/>
              <sz val="10"/>
            </rPr>
            <t xml:space="preserve"> 6.5 of 12 — a starting estimate. —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r>
        </is>
      </c>
      <c r="X59" s="12"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Y59" s="12" t="inlineStr">
        <is>
          <r>
            <rPr>
              <rFont val="Calibri"/>
              <sz val="10"/>
            </rPr>
            <t xml:space="preserve">✓ HRIS: 17.2 yrs, B.E, 6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59" s="84" t="inlineStr">
        <is>
          <r>
            <rPr>
              <rFont val="Calibri"/>
              <color rgb="009C5700"/>
              <sz val="10"/>
            </rPr>
            <t xml:space="preserve">• Player-Coach transition step B+: leads people and still does hands-on work
• </t>
          </r>
          <r>
            <rPr>
              <rFont val="Calibri"/>
              <b val="1"/>
              <color rgb="009C5700"/>
              <sz val="10"/>
            </rPr>
            <t>Near a gate:</t>
          </r>
          <r>
            <rPr>
              <rFont val="Calibri"/>
              <color rgb="009C5700"/>
              <sz val="10"/>
            </rPr>
            <t xml:space="preserve"> top of band: 6.46 on Band C's weights, 0.04 short of the 6.5 needed to enter Band C</t>
          </r>
        </is>
      </c>
      <c r="AA59" s="12" t="inlineStr">
        <is>
          <t>Nothing outstanding</t>
        </is>
      </c>
      <c r="AB59" s="12"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 of 12 · B3-level impact.
Leads 6 direct reports.
From the survey and manager mapping — critical role: yes; successor named: no.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5 · Potential: High · 9-Box Grid placement: Future Leader.</t>
          </r>
        </is>
      </c>
      <c r="AC59" s="82" t="n"/>
      <c r="AD59" s="82" t="n"/>
      <c r="AE59" s="82" t="n"/>
      <c r="AF59" s="12" t="n">
        <v>6.5</v>
      </c>
    </row>
    <row r="60" ht="379" customHeight="1">
      <c r="A60" s="12" t="inlineStr">
        <is>
          <t>IRIS1712</t>
        </is>
      </c>
      <c r="B60" s="10" t="inlineStr">
        <is>
          <t>Izharuddin Shaikh</t>
        </is>
      </c>
      <c r="C60" s="12" t="inlineStr">
        <is>
          <t>Technology</t>
        </is>
      </c>
      <c r="D60" s="12" t="inlineStr">
        <is>
          <t>Program Manager</t>
        </is>
      </c>
      <c r="E60" s="78" t="inlineStr">
        <is>
          <t>Practice Lead – Project &amp; Program Delivery · Player-Coach</t>
        </is>
      </c>
      <c r="F60" s="12" t="inlineStr">
        <is>
          <t>Project &amp; Program Management</t>
        </is>
      </c>
      <c r="G60" s="12" t="inlineStr">
        <is>
          <t>Project &amp; Program Delivery</t>
        </is>
      </c>
      <c r="H60" s="12" t="inlineStr">
        <is>
          <t>Player-Coach</t>
        </is>
      </c>
      <c r="I60" s="42" t="inlineStr">
        <is>
          <t>L5 – Manager</t>
        </is>
      </c>
      <c r="J60" s="88" t="inlineStr">
        <is>
          <t>B+</t>
        </is>
      </c>
      <c r="K60" s="25" t="inlineStr">
        <is>
          <t>Practice Lead · Player-Coach</t>
        </is>
      </c>
      <c r="L60" s="79" t="inlineStr">
        <is>
          <t>▲ Up</t>
        </is>
      </c>
      <c r="M60" s="12" t="inlineStr">
        <is>
          <t>iFile · Technology · B+ · Player-Coach</t>
        </is>
      </c>
      <c r="N60" s="42" t="n">
        <v>5.5</v>
      </c>
      <c r="O60" s="42" t="n">
        <v>5.5</v>
      </c>
      <c r="P60" s="42" t="n">
        <v>6.5</v>
      </c>
      <c r="Q60" s="42" t="n">
        <v>6.5</v>
      </c>
      <c r="R60" s="42" t="n">
        <v>10</v>
      </c>
      <c r="S60" s="80" t="n">
        <v>7</v>
      </c>
      <c r="T60" s="81">
        <f>IF(OR($M60="",COUNT(N60,O60,P60,Q60,R60,S60)&lt;6),"",IFERROR(N60*INDEX(WM_C,MATCH($M60,WM_KEY,0))+O60*INDEX(WM_AU,MATCH($M60,WM_KEY,0))+P60*INDEX(WM_AC,MATCH($M60,WM_KEY,0))+Q60*INDEX(WM_L,MATCH($M60,WM_KEY,0))+R60*INDEX(WM_E,MATCH($M60,WM_KEY,0))+S60*INDEX(WM_BI,MATCH($M60,WM_KEY,0)),""))</f>
        <v>6.22</v>
      </c>
      <c r="U60" s="42" t="str">
        <f>IF(T60="","",INDEX({"A1","A2","A3","B1","B2","B3","C1","C2","D1","D2","E1","E2"},MAX(1,MIN(12,ROUND(T60,0)))))</f>
        <v>B3</v>
      </c>
      <c r="V60" s="12" t="inlineStr">
        <is>
          <r>
            <rPr>
              <rFont val="Calibri"/>
              <sz val="10"/>
            </rPr>
            <t xml:space="preserve">New level B+ · Practice Lead · Player-Coach. Current level on record: L5 – Manager. Change: ▲ Up.
Score 6.22 on the ladder scale → indicated level B3.
</t>
          </r>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Placed with tolerance:</t>
          </r>
          <r>
            <rPr>
              <rFont val="Calibri"/>
              <sz val="10"/>
            </rPr>
            <t xml:space="preserve"> Player-Coach score 6.22 vs 6.25. A small shortfall or a wider span is accepted and confirmed in calibration.
• </t>
          </r>
          <r>
            <rPr>
              <rFont val="Calibri"/>
              <b val="1"/>
              <sz val="10"/>
            </rPr>
            <t>Moved up to the B+ Player-Coach transition step:</t>
          </r>
          <r>
            <rPr>
              <rFont val="Calibri"/>
              <sz val="10"/>
            </rPr>
            <t xml:space="preserve"> leads people and still does hands-on work; Player-Coach score 6.22 · needs 6.25 and complexity–accountability average 6.00 · needs 5.5.
</t>
          </r>
          <r>
            <rPr>
              <rFont val="Calibri"/>
              <b val="1"/>
              <sz val="10"/>
            </rPr>
            <t>Final level:</t>
          </r>
          <r>
            <rPr>
              <rFont val="Calibri"/>
              <sz val="10"/>
            </rPr>
            <t xml:space="preserve"> B+.</t>
          </r>
        </is>
      </c>
      <c r="W60" s="12" t="inlineStr">
        <is>
          <r>
            <rPr>
              <rFont val="Calibri"/>
              <b val="1"/>
              <sz val="10"/>
            </rPr>
            <t>Complexity &amp; Expertise:</t>
          </r>
          <r>
            <rPr>
              <rFont val="Calibri"/>
              <sz val="10"/>
            </rPr>
            <t xml:space="preserve"> 5.5 of 12 · between B2 and B3 — Start: 6.0 · senior manager / lead specialist title; Evidence reads like B1: Defines product requirements, backlog priorities and solution from business needs; uses software architecture knowledge → moved down 0.5; KRA: “1. Product Management Provide leadership for iFile Platform product components, especially DynaForm. Gain deeper level knowedge, finaize…”
</t>
          </r>
          <r>
            <rPr>
              <rFont val="Calibri"/>
              <b val="1"/>
              <sz val="10"/>
            </rPr>
            <t>Autonomy &amp; Decision:</t>
          </r>
          <r>
            <rPr>
              <rFont val="Calibri"/>
              <sz val="10"/>
            </rPr>
            <t xml:space="preserve"> 5.5 of 12 · between B2 and B3 — Start: 6.0 · senior manager / lead specialist title; Evidence reads like B2: Decides product expectations and backlog priorities; accepts delivery → moved down 0.5
</t>
          </r>
          <r>
            <rPr>
              <rFont val="Calibri"/>
              <b val="1"/>
              <sz val="10"/>
            </rPr>
            <t>Accountability &amp; Impact:</t>
          </r>
          <r>
            <rPr>
              <rFont val="Calibri"/>
              <sz val="10"/>
            </rPr>
            <t xml:space="preserve"> 6.5 of 12 · between B3 and C1 — Start: 7.0 · senior manager / lead specialist title; 5 direct reports, 28 people below, 2 of them lead teams; Evidence reads like B2: Solution meeting business requirements; manager note adds DynaForm roadmap and Qatar GTA project → moved down 0.5; KRA: “1. Product Management Provide leadership for iFile Platform product components, especially DynaForm. Gain deeper level knowedge, finaize…”
</t>
          </r>
          <r>
            <rPr>
              <rFont val="Calibri"/>
              <b val="1"/>
              <sz val="10"/>
            </rPr>
            <t>Leadership &amp; Strategy:</t>
          </r>
          <r>
            <rPr>
              <rFont val="Calibri"/>
              <sz val="10"/>
            </rPr>
            <t xml:space="preserve"> 6.5 of 12 · between B3 and C1 — Start: 7.0; Evidence reads like B1: 5 direct reports; survey itself describes no people leadership → moved down 0.5; Team: 5 direct reports · Player-Coach
</t>
          </r>
          <r>
            <rPr>
              <rFont val="Calibri"/>
              <b val="1"/>
              <sz val="10"/>
            </rPr>
            <t>Experience &amp; Qualification:</t>
          </r>
          <r>
            <rPr>
              <rFont val="Calibri"/>
              <sz val="10"/>
            </rPr>
            <t xml:space="preserve"> 10 of 12 — Experience: 20.6 yrs total · 12.1 before IRIS + 8.5 at IRIS = 9.9 on the experience scale; Qualification: MBA · postgraduate → no change
</t>
          </r>
          <r>
            <rPr>
              <rFont val="Calibri"/>
              <b val="1"/>
              <sz val="10"/>
            </rPr>
            <t>Business Impact:</t>
          </r>
          <r>
            <rPr>
              <rFont val="Calibri"/>
              <sz val="10"/>
            </rPr>
            <t xml:space="preserve"> 7 of 12 — a starting estimate. —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r>
        </is>
      </c>
      <c r="X60" s="12"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PMI PMBOK and Talent Triangle; CAPM → PMP → PgMP</t>
          </r>
        </is>
      </c>
      <c r="Y60" s="12" t="inlineStr">
        <is>
          <r>
            <rPr>
              <rFont val="Calibri"/>
              <sz val="10"/>
            </rPr>
            <t xml:space="preserve">✓ HRIS: 20.6 yrs, MBA, 5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60" s="84" t="inlineStr">
        <is>
          <r>
            <rPr>
              <rFont val="Calibri"/>
              <color rgb="009C5700"/>
              <sz val="10"/>
            </rPr>
            <t xml:space="preserve">• Player-Coach transition step B+: leads people and still does hands-on work — placed within tolerance: Player-Coach score 6.22 vs 6.25
• </t>
          </r>
          <r>
            <rPr>
              <rFont val="Calibri"/>
              <b val="1"/>
              <color rgb="009C5700"/>
              <sz val="10"/>
            </rPr>
            <t>Near a gate:</t>
          </r>
          <r>
            <rPr>
              <rFont val="Calibri"/>
              <color rgb="009C5700"/>
              <sz val="10"/>
            </rPr>
            <t xml:space="preserve"> Player-Coach transition step placed within tolerance: Player-Coach score 6.22 vs 6.25</t>
          </r>
        </is>
      </c>
      <c r="AA60" s="12" t="inlineStr">
        <is>
          <t>Nothing outstanding</t>
        </is>
      </c>
      <c r="AB60" s="12"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6.5 of 12 · B3-level impact.
Leads 5 direct reports.
From the survey and manager mapping — critical role: yes; successor named: no.
</t>
          </r>
          <r>
            <rPr>
              <rFont val="Calibri"/>
              <b val="1"/>
              <sz val="10"/>
            </rPr>
            <t>If the work is missed · role-holders' themes:</t>
          </r>
          <r>
            <rPr>
              <rFont val="Calibri"/>
              <sz val="10"/>
            </rPr>
            <t xml:space="preserve"> client · delivery · delays · project.
Manager talent mapping — Latest rating: 4 · Potential: High · 9-Box Grid placement: High Impact / Growth Talent.</t>
          </r>
        </is>
      </c>
      <c r="AC60" s="82" t="n"/>
      <c r="AD60" s="82" t="n"/>
      <c r="AE60" s="82" t="n"/>
      <c r="AF60" s="12" t="n">
        <v>7</v>
      </c>
    </row>
    <row r="61" ht="379" customHeight="1">
      <c r="A61" s="12" t="inlineStr">
        <is>
          <t>IRIS2082</t>
        </is>
      </c>
      <c r="B61" s="10" t="inlineStr">
        <is>
          <t>Giridhar Singh</t>
        </is>
      </c>
      <c r="C61" s="12" t="inlineStr">
        <is>
          <t>Technology</t>
        </is>
      </c>
      <c r="D61" s="12" t="inlineStr">
        <is>
          <t>Technical Architect</t>
        </is>
      </c>
      <c r="E61" s="12" t="inlineStr">
        <is>
          <t>Technical Architect</t>
        </is>
      </c>
      <c r="F61" s="12" t="inlineStr">
        <is>
          <t>Engineering &amp; Architecture</t>
        </is>
      </c>
      <c r="G61" s="12" t="inlineStr">
        <is>
          <t>Solution &amp; Technical Architecture</t>
        </is>
      </c>
      <c r="H61" s="12" t="inlineStr">
        <is>
          <t>IC</t>
        </is>
      </c>
      <c r="I61" s="42" t="inlineStr">
        <is>
          <t>L3 – Professional / Associate</t>
        </is>
      </c>
      <c r="J61" s="20" t="inlineStr">
        <is>
          <t>B3</t>
        </is>
      </c>
      <c r="K61" s="21" t="inlineStr">
        <is>
          <t>Lead Specialist</t>
        </is>
      </c>
      <c r="L61" s="79" t="inlineStr">
        <is>
          <t>▲ Up</t>
        </is>
      </c>
      <c r="M61" s="12" t="inlineStr">
        <is>
          <t>iFile · Technology · Band B · Expert / POD Lead</t>
        </is>
      </c>
      <c r="N61" s="42" t="n">
        <v>6.5</v>
      </c>
      <c r="O61" s="42" t="n">
        <v>6</v>
      </c>
      <c r="P61" s="42" t="n">
        <v>6</v>
      </c>
      <c r="Q61" s="42" t="n">
        <v>5</v>
      </c>
      <c r="R61" s="42" t="n">
        <v>9</v>
      </c>
      <c r="S61" s="80" t="n">
        <v>6.5</v>
      </c>
      <c r="T61" s="81">
        <f>IF(OR($M61="",COUNT(N61,O61,P61,Q61,R61,S61)&lt;6),"",IFERROR(N61*INDEX(WM_C,MATCH($M61,WM_KEY,0))+O61*INDEX(WM_AU,MATCH($M61,WM_KEY,0))+P61*INDEX(WM_AC,MATCH($M61,WM_KEY,0))+Q61*INDEX(WM_L,MATCH($M61,WM_KEY,0))+R61*INDEX(WM_E,MATCH($M61,WM_KEY,0))+S61*INDEX(WM_BI,MATCH($M61,WM_KEY,0)),""))</f>
        <v>6.565</v>
      </c>
      <c r="U61" s="42" t="str">
        <f>IF(T61="","",INDEX({"A1","A2","A3","B1","B2","B3","C1","C2","D1","D2","E1","E2"},MAX(1,MIN(12,ROUND(T61,0)))))</f>
        <v>C1</v>
      </c>
      <c r="V61" s="12" t="inlineStr">
        <is>
          <r>
            <rPr>
              <rFont val="Calibri"/>
              <sz val="10"/>
            </rPr>
            <t xml:space="preserve">New level B3 · Lead Specialist. Current level on record: L3 – Professional / Associate. Change: ▲ Up.
Score 6.57 on the ladder scale → indicated level C1.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B3, the top of Band B:</t>
          </r>
          <r>
            <rPr>
              <rFont val="Calibri"/>
              <sz val="10"/>
            </rPr>
            <t xml:space="preserve"> to enter Band C the score must reach 6.5 on Band C's own weights, and it is 6.44.
</t>
          </r>
          <r>
            <rPr>
              <rFont val="Calibri"/>
              <b val="1"/>
              <sz val="10"/>
            </rPr>
            <t>Final level:</t>
          </r>
          <r>
            <rPr>
              <rFont val="Calibri"/>
              <sz val="10"/>
            </rPr>
            <t xml:space="preserve"> B3.</t>
          </r>
        </is>
      </c>
      <c r="W61" s="12" t="inlineStr">
        <is>
          <r>
            <rPr>
              <rFont val="Calibri"/>
              <b val="1"/>
              <sz val="10"/>
            </rPr>
            <t>Complexity &amp; Expertise:</t>
          </r>
          <r>
            <rPr>
              <rFont val="Calibri"/>
              <sz val="10"/>
            </rPr>
            <t xml:space="preserve"> 6.5 of 12 · between B3 and C1 — Start: 7.0 · principal / architect title; Evidence reads like B3: Architecture for Mini iFile: HLD, LLD, database design for all modules, Tadawul and WebForm integrations → moved down 0.5; KRA: “1. Deliver committed sprint stories with &gt;=90% sprint commitment adherence across the year 2. Maintain code quality: defect leakage to…”
</t>
          </r>
          <r>
            <rPr>
              <rFont val="Calibri"/>
              <b val="1"/>
              <sz val="10"/>
            </rPr>
            <t>Autonomy &amp; Decision:</t>
          </r>
          <r>
            <rPr>
              <rFont val="Calibri"/>
              <sz val="10"/>
            </rPr>
            <t xml:space="preserve"> 6 of 12 — Start: 7.0 · principal / architect title; Evidence reads like B1: Decides technical design, implementation approach and code standards for the platform → moved down 1
</t>
          </r>
          <r>
            <rPr>
              <rFont val="Calibri"/>
              <b val="1"/>
              <sz val="10"/>
            </rPr>
            <t>Accountability &amp; Impact:</t>
          </r>
          <r>
            <rPr>
              <rFont val="Calibri"/>
              <sz val="10"/>
            </rPr>
            <t xml:space="preserve"> 6 of 12 — Start: 7.0 · principal / architect title; Evidence reads like B1: Accountable for technical architecture, solution design and technical decisions of the Mini iFile platform → moved down 1; KRA: “1. Deliver committed sprint stories with &gt;=90% sprint commitment adherence across the year 2. Maintain code quality: defect leakage to…”
</t>
          </r>
          <r>
            <rPr>
              <rFont val="Calibri"/>
              <b val="1"/>
              <sz val="10"/>
            </rPr>
            <t>Leadership &amp; Strategy:</t>
          </r>
          <r>
            <rPr>
              <rFont val="Calibri"/>
              <sz val="10"/>
            </rPr>
            <t xml:space="preserve"> 5 of 12 — Start: 6.0 · individual contributor, so influence only; Evidence reads like B1: Provides technical leadership to the build team; leads design and implementation; no direct reports → moved down 1; Team: 0 direct reports · IC
</t>
          </r>
          <r>
            <rPr>
              <rFont val="Calibri"/>
              <b val="1"/>
              <sz val="10"/>
            </rPr>
            <t>Experience &amp; Qualification:</t>
          </r>
          <r>
            <rPr>
              <rFont val="Calibri"/>
              <sz val="10"/>
            </rPr>
            <t xml:space="preserve"> 9 of 12 — Experience: 17.9 yrs total · 14.1 before IRIS + 3.8 at IRIS = 9.1 on the experience scale; Qualification: B.SC · graduate, relevant to the work → no change
</t>
          </r>
          <r>
            <rPr>
              <rFont val="Calibri"/>
              <b val="1"/>
              <sz val="10"/>
            </rPr>
            <t>Business Impact:</t>
          </r>
          <r>
            <rPr>
              <rFont val="Calibri"/>
              <sz val="10"/>
            </rPr>
            <t xml:space="preserve"> 6.5 of 12 — a starting estimate. —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r>
        </is>
      </c>
      <c r="X61"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Chief / Enterprise Architect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TOGAF</t>
          </r>
        </is>
      </c>
      <c r="Y61" s="12" t="inlineStr">
        <is>
          <r>
            <rPr>
              <rFont val="Calibri"/>
              <sz val="10"/>
            </rPr>
            <t xml:space="preserve">✓ HRIS: 17.9 yrs, B.SC,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61" s="84" t="inlineStr">
        <is>
          <r>
            <rPr>
              <rFont val="Calibri"/>
              <color rgb="009C5700"/>
              <sz val="10"/>
            </rPr>
            <t xml:space="preserve">• </t>
          </r>
          <r>
            <rPr>
              <rFont val="Calibri"/>
              <b val="1"/>
              <color rgb="009C5700"/>
              <sz val="10"/>
            </rPr>
            <t>B+ watch:</t>
          </r>
          <r>
            <rPr>
              <rFont val="Calibri"/>
              <color rgb="009C5700"/>
              <sz val="10"/>
            </rPr>
            <t xml:space="preserve"> substance and score qualify but no one reports in — qualifies once leading people
• </t>
          </r>
          <r>
            <rPr>
              <rFont val="Calibri"/>
              <b val="1"/>
              <color rgb="009C5700"/>
              <sz val="10"/>
            </rPr>
            <t>Near a gate:</t>
          </r>
          <r>
            <rPr>
              <rFont val="Calibri"/>
              <color rgb="009C5700"/>
              <sz val="10"/>
            </rPr>
            <t xml:space="preserve"> top of band: 6.44 on Band C's weights, 0.06 short of the 6.5 needed to enter Band C
• </t>
          </r>
          <r>
            <rPr>
              <rFont val="Calibri"/>
              <b val="1"/>
              <color rgb="009C5700"/>
              <sz val="10"/>
            </rPr>
            <t>Title check:</t>
          </r>
          <r>
            <rPr>
              <rFont val="Calibri"/>
              <color rgb="009C5700"/>
              <sz val="10"/>
            </rPr>
            <t xml:space="preserve"> Market-standard role title</t>
          </r>
        </is>
      </c>
      <c r="AA61" s="86" t="inlineStr">
        <is>
          <t>• Confirm the reporting line — Manager</t>
        </is>
      </c>
      <c r="AB61"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From the survey and manager mapping — critical role: yes; successor named: no.
</t>
          </r>
          <r>
            <rPr>
              <rFont val="Calibri"/>
              <b val="1"/>
              <sz val="10"/>
            </rPr>
            <t>If the work is missed · role-holders' themes:</t>
          </r>
          <r>
            <rPr>
              <rFont val="Calibri"/>
              <sz val="10"/>
            </rPr>
            <t xml:space="preserve"> impact · cause · delivery.
</t>
          </r>
          <r>
            <rPr>
              <rFont val="Calibri"/>
              <b val="1"/>
              <sz val="10"/>
            </rPr>
            <t>Measured on · manager-set KRA themes:</t>
          </r>
          <r>
            <rPr>
              <rFont val="Calibri"/>
              <sz val="10"/>
            </rPr>
            <t xml:space="preserve"> code · leakage qa/uat · defect · technical · quality · agreed.
Manager talent mapping — Latest rating: 2 · Potential: Low · 9-Box Grid placement: Performance Risk.</t>
          </r>
        </is>
      </c>
      <c r="AC61" s="82" t="n"/>
      <c r="AD61" s="82" t="n"/>
      <c r="AE61" s="82" t="n"/>
      <c r="AF61" s="12" t="n">
        <v>6.5</v>
      </c>
    </row>
    <row r="62" ht="379" customHeight="1">
      <c r="A62" s="12" t="inlineStr">
        <is>
          <t>IRIS2215</t>
        </is>
      </c>
      <c r="B62" s="10" t="inlineStr">
        <is>
          <t>Shiveshdhar Dubey</t>
        </is>
      </c>
      <c r="C62" s="12" t="inlineStr">
        <is>
          <t>Technology</t>
        </is>
      </c>
      <c r="D62" s="12" t="inlineStr">
        <is>
          <t>Principal Software Engineer</t>
        </is>
      </c>
      <c r="E62" s="78" t="inlineStr">
        <is>
          <t>Associate Technical Architect – POD Lead</t>
        </is>
      </c>
      <c r="F62" s="12" t="inlineStr">
        <is>
          <t>Engineering &amp; Architecture</t>
        </is>
      </c>
      <c r="G62" s="12" t="inlineStr">
        <is>
          <t>Solution &amp; Technical Architecture</t>
        </is>
      </c>
      <c r="H62" s="12" t="inlineStr">
        <is>
          <t>POD Lead</t>
        </is>
      </c>
      <c r="I62" s="42" t="inlineStr">
        <is>
          <t>L6 – Principal · IC</t>
        </is>
      </c>
      <c r="J62" s="20" t="inlineStr">
        <is>
          <t>B3</t>
        </is>
      </c>
      <c r="K62" s="21" t="inlineStr">
        <is>
          <t>Lead Specialist · POD Lead</t>
        </is>
      </c>
      <c r="L62" s="83" t="inlineStr">
        <is>
          <t>▼ Down · pay &amp; title protected</t>
        </is>
      </c>
      <c r="M62" s="12" t="inlineStr">
        <is>
          <t>iFile · Technology · Band B · Expert / POD Lead</t>
        </is>
      </c>
      <c r="N62" s="42" t="n">
        <v>6</v>
      </c>
      <c r="O62" s="42" t="n">
        <v>6</v>
      </c>
      <c r="P62" s="42" t="n">
        <v>5</v>
      </c>
      <c r="Q62" s="42" t="n">
        <v>5</v>
      </c>
      <c r="R62" s="42" t="n">
        <v>6.5</v>
      </c>
      <c r="S62" s="80" t="n">
        <v>5</v>
      </c>
      <c r="T62" s="81">
        <f>IF(OR($M62="",COUNT(N62,O62,P62,Q62,R62,S62)&lt;6),"",IFERROR(N62*INDEX(WM_C,MATCH($M62,WM_KEY,0))+O62*INDEX(WM_AU,MATCH($M62,WM_KEY,0))+P62*INDEX(WM_AC,MATCH($M62,WM_KEY,0))+Q62*INDEX(WM_L,MATCH($M62,WM_KEY,0))+R62*INDEX(WM_E,MATCH($M62,WM_KEY,0))+S62*INDEX(WM_BI,MATCH($M62,WM_KEY,0)),""))</f>
        <v>5.88</v>
      </c>
      <c r="U62" s="42" t="str">
        <f>IF(T62="","",INDEX({"A1","A2","A3","B1","B2","B3","C1","C2","D1","D2","E1","E2"},MAX(1,MIN(12,ROUND(T62,0)))))</f>
        <v>B3</v>
      </c>
      <c r="V62" s="12" t="inlineStr">
        <is>
          <r>
            <rPr>
              <rFont val="Calibri"/>
              <sz val="10"/>
            </rPr>
            <t xml:space="preserve">New level B3 · Lead Specialist · POD Lead. Current level on record: L6 – Principal · IC. Change: ▼ Down · pay &amp; title protected.
Score 5.88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62" s="12" t="inlineStr">
        <is>
          <r>
            <rPr>
              <rFont val="Calibri"/>
              <b val="1"/>
              <sz val="10"/>
            </rPr>
            <t>Complexity &amp; Expertise:</t>
          </r>
          <r>
            <rPr>
              <rFont val="Calibri"/>
              <sz val="10"/>
            </rPr>
            <t xml:space="preserve"> 6 of 12 — Start: 7.0 · principal / architect title; Evidence reads like B1: Finalises software approach for CMA Kuwait-Boursa disclosure integration; technical calls with client; AI integration → moved down 1; KRA: “1. Establish and govern engineering review and release management processes by ensuring design reviews, code reviews, release readiness…”
</t>
          </r>
          <r>
            <rPr>
              <rFont val="Calibri"/>
              <b val="1"/>
              <sz val="10"/>
            </rPr>
            <t>Autonomy &amp; Decision:</t>
          </r>
          <r>
            <rPr>
              <rFont val="Calibri"/>
              <sz val="10"/>
            </rPr>
            <t xml:space="preserve"> 6 of 12 — Start: 7.0 · principal / architect title; Evidence reads like B1: Decides technical approach for the project team; makes technical calls with client → moved down 1
</t>
          </r>
          <r>
            <rPr>
              <rFont val="Calibri"/>
              <b val="1"/>
              <sz val="10"/>
            </rPr>
            <t>Accountability &amp; Impact:</t>
          </r>
          <r>
            <rPr>
              <rFont val="Calibri"/>
              <sz val="10"/>
            </rPr>
            <t xml:space="preserve"> 5 of 12 — Start: 5.5 · principal / architect title; 3 direct reports; Evidence reads like B1: Timelines and functionality of the dev team's deliverables; integration failure blocks filings → moved down 0.5; KRA: “1. Establish and govern engineering review and release management processes by ensuring design reviews, code reviews, release readiness…”
</t>
          </r>
          <r>
            <rPr>
              <rFont val="Calibri"/>
              <b val="1"/>
              <sz val="10"/>
            </rPr>
            <t>Leadership &amp; Strategy:</t>
          </r>
          <r>
            <rPr>
              <rFont val="Calibri"/>
              <sz val="10"/>
            </rPr>
            <t xml:space="preserve"> 5 of 12 — Start: 6.0; Evidence reads like B1: Leads the project's software development team; 3 direct reports → moved down 1; Team: 3 direct reports · POD Lead
</t>
          </r>
          <r>
            <rPr>
              <rFont val="Calibri"/>
              <b val="1"/>
              <sz val="10"/>
            </rPr>
            <t>Experience &amp; Qualification:</t>
          </r>
          <r>
            <rPr>
              <rFont val="Calibri"/>
              <sz val="10"/>
            </rPr>
            <t xml:space="preserve"> 6.5 of 12 · between B3 and C1 — Experience: 10.8 yrs total · 8.0 before IRIS + 2.8 at IRIS = 6.4 on the experience scale; Qualification: B.E · graduate, relevant to the work → no change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62"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Architect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TOGAF</t>
          </r>
        </is>
      </c>
      <c r="Y62" s="12" t="inlineStr">
        <is>
          <r>
            <rPr>
              <rFont val="Calibri"/>
              <sz val="10"/>
            </rPr>
            <t xml:space="preserve">✓ HRIS: 10.8 yrs, B.E, 3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62"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62" s="12" t="inlineStr">
        <is>
          <t>Nothing outstanding</t>
        </is>
      </c>
      <c r="AB62"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 of 12 · B2-level impact.
Leads 3 direct reports.
From the survey and manager mapping — successor named: yes.
</t>
          </r>
          <r>
            <rPr>
              <rFont val="Calibri"/>
              <b val="1"/>
              <sz val="10"/>
            </rPr>
            <t>If the work is missed · role-holders' themes:</t>
          </r>
          <r>
            <rPr>
              <rFont val="Calibri"/>
              <sz val="10"/>
            </rPr>
            <t xml:space="preserve"> impact · cause · delivery.
</t>
          </r>
          <r>
            <rPr>
              <rFont val="Calibri"/>
              <b val="1"/>
              <sz val="10"/>
            </rPr>
            <t>Measured on · manager-set KRA themes:</t>
          </r>
          <r>
            <rPr>
              <rFont val="Calibri"/>
              <sz val="10"/>
            </rPr>
            <t xml:space="preserve"> code · leakage qa/uat · defect · technical · quality · agreed.
Manager talent mapping — Latest rating: 3 · Potential: Medium · 9-Box Grid placement: Reliable Specialist.</t>
          </r>
        </is>
      </c>
      <c r="AC62" s="82" t="n"/>
      <c r="AD62" s="82" t="n"/>
      <c r="AE62" s="82" t="n"/>
      <c r="AF62" s="12" t="n">
        <v>5</v>
      </c>
    </row>
    <row r="63" ht="379" customHeight="1">
      <c r="A63" s="12" t="inlineStr">
        <is>
          <t>IRIS1773</t>
        </is>
      </c>
      <c r="B63" s="10" t="inlineStr">
        <is>
          <t>Virendra Kumar Ray</t>
        </is>
      </c>
      <c r="C63" s="12" t="inlineStr">
        <is>
          <t>Technology</t>
        </is>
      </c>
      <c r="D63" s="12" t="inlineStr">
        <is>
          <t>Technical Architect</t>
        </is>
      </c>
      <c r="E63" s="78" t="inlineStr">
        <is>
          <t>Associate Technical Architect</t>
        </is>
      </c>
      <c r="F63" s="12" t="inlineStr">
        <is>
          <t>Engineering &amp; Architecture</t>
        </is>
      </c>
      <c r="G63" s="12" t="inlineStr">
        <is>
          <t>Solution &amp; Technical Architecture</t>
        </is>
      </c>
      <c r="H63" s="12" t="inlineStr">
        <is>
          <t>IC</t>
        </is>
      </c>
      <c r="I63" s="42" t="inlineStr">
        <is>
          <t>Not in current mapping files</t>
        </is>
      </c>
      <c r="J63" s="20" t="inlineStr">
        <is>
          <t>B3</t>
        </is>
      </c>
      <c r="K63" s="21" t="inlineStr">
        <is>
          <t>Lead Specialist</t>
        </is>
      </c>
      <c r="L63" s="85" t="inlineStr">
        <is>
          <t>● Newly mapped</t>
        </is>
      </c>
      <c r="M63" s="12" t="inlineStr">
        <is>
          <t>iFile · Technology · Band B · Expert / POD Lead</t>
        </is>
      </c>
      <c r="N63" s="42" t="n">
        <v>6</v>
      </c>
      <c r="O63" s="42" t="n">
        <v>6</v>
      </c>
      <c r="P63" s="42" t="n">
        <v>6</v>
      </c>
      <c r="Q63" s="42" t="n">
        <v>5</v>
      </c>
      <c r="R63" s="42" t="n">
        <v>9.5</v>
      </c>
      <c r="S63" s="80" t="n">
        <v>6</v>
      </c>
      <c r="T63" s="81">
        <f>IF(OR($M63="",COUNT(N63,O63,P63,Q63,R63,S63)&lt;6),"",IFERROR(N63*INDEX(WM_C,MATCH($M63,WM_KEY,0))+O63*INDEX(WM_AU,MATCH($M63,WM_KEY,0))+P63*INDEX(WM_AC,MATCH($M63,WM_KEY,0))+Q63*INDEX(WM_L,MATCH($M63,WM_KEY,0))+R63*INDEX(WM_E,MATCH($M63,WM_KEY,0))+S63*INDEX(WM_BI,MATCH($M63,WM_KEY,0)),""))</f>
        <v>6.3</v>
      </c>
      <c r="U63" s="42" t="str">
        <f>IF(T63="","",INDEX({"A1","A2","A3","B1","B2","B3","C1","C2","D1","D2","E1","E2"},MAX(1,MIN(12,ROUND(T63,0)))))</f>
        <v>B3</v>
      </c>
      <c r="V63" s="12" t="inlineStr">
        <is>
          <r>
            <rPr>
              <rFont val="Calibri"/>
              <sz val="10"/>
            </rPr>
            <t xml:space="preserve">New level B3 · Lead Specialist. Current level on record: Not in current mapping files. Change: ● Newly mapped.
Score 6.30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3" s="12" t="inlineStr">
        <is>
          <r>
            <rPr>
              <rFont val="Calibri"/>
              <b val="1"/>
              <sz val="10"/>
            </rPr>
            <t>Complexity &amp; Expertise:</t>
          </r>
          <r>
            <rPr>
              <rFont val="Calibri"/>
              <sz val="10"/>
            </rPr>
            <t xml:space="preserve"> 6 of 12 — Start: 7.0 · principal / architect title; Evidence reads like B2: Combines project management, project architecture and design documents, business analysis, SIT integration planning and deployment → moved down 1
</t>
          </r>
          <r>
            <rPr>
              <rFont val="Calibri"/>
              <b val="1"/>
              <sz val="10"/>
            </rPr>
            <t>Autonomy &amp; Decision:</t>
          </r>
          <r>
            <rPr>
              <rFont val="Calibri"/>
              <sz val="10"/>
            </rPr>
            <t xml:space="preserve"> 6 of 12 — Start: 7.0 · principal / architect title; Evidence reads like B2: Accepts or rejects changes, plans change requests, approves leave, makes the deployment plan → moved down 1
</t>
          </r>
          <r>
            <rPr>
              <rFont val="Calibri"/>
              <b val="1"/>
              <sz val="10"/>
            </rPr>
            <t>Accountability &amp; Impact:</t>
          </r>
          <r>
            <rPr>
              <rFont val="Calibri"/>
              <sz val="10"/>
            </rPr>
            <t xml:space="preserve"> 6 of 12 — Start: 7.0 · principal / architect title; Evidence reads like B2: own survey / KRA answers · summarised by the rater; not quoted → moved down 1
</t>
          </r>
          <r>
            <rPr>
              <rFont val="Calibri"/>
              <b val="1"/>
              <sz val="10"/>
            </rPr>
            <t>Leadership &amp; Strategy:</t>
          </r>
          <r>
            <rPr>
              <rFont val="Calibri"/>
              <sz val="10"/>
            </rPr>
            <t xml:space="preserve"> 5 of 12 — Start: 6.0 · individual contributor, so influence only; Evidence reads like B1: Approves team leave and manages resource utilisation, though HR shows 0 reports; team size unstated → moved down 1; Team: 0 direct reports · IC
</t>
          </r>
          <r>
            <rPr>
              <rFont val="Calibri"/>
              <b val="1"/>
              <sz val="10"/>
            </rPr>
            <t>Experience &amp; Qualification:</t>
          </r>
          <r>
            <rPr>
              <rFont val="Calibri"/>
              <sz val="10"/>
            </rPr>
            <t xml:space="preserve"> 9.5 of 12 · between D1 and D2 — Experience: 18.6 yrs total · 11.1 before IRIS + 7.5 at IRIS = 9.3 on the experience scale; Qualification: B.E · graduate, relevant to the work → no change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63"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Architect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TOGAF</t>
          </r>
        </is>
      </c>
      <c r="Y63" s="12" t="inlineStr">
        <is>
          <r>
            <rPr>
              <rFont val="Calibri"/>
              <sz val="10"/>
            </rPr>
            <t xml:space="preserve">✓ HRIS: 18.6 yrs, B.E, 0 direct reports
✓ Survey: 20 of 20 questions answered
✗ KRAs: none on file
✓ Manager mapping: rating, 9-box
✗ Job description: not on file
</t>
          </r>
          <r>
            <rPr>
              <rFont val="Calibri"/>
              <b val="1"/>
              <sz val="10"/>
            </rPr>
            <t>Confidence:</t>
          </r>
          <r>
            <rPr>
              <rFont val="Calibri"/>
              <sz val="10"/>
            </rPr>
            <t xml:space="preserve"> Medium</t>
          </r>
        </is>
      </c>
      <c r="Z63" s="84" t="inlineStr">
        <is>
          <r>
            <rPr>
              <rFont val="Calibri"/>
              <color rgb="009C5700"/>
              <sz val="10"/>
            </rPr>
            <t xml:space="preserve">• </t>
          </r>
          <r>
            <rPr>
              <rFont val="Calibri"/>
              <b val="1"/>
              <color rgb="009C5700"/>
              <sz val="10"/>
            </rPr>
            <t>B+ watch:</t>
          </r>
          <r>
            <rPr>
              <rFont val="Calibri"/>
              <color rgb="009C5700"/>
              <sz val="10"/>
            </rPr>
            <t xml:space="preserve"> substance and score qualify but no one reports in — qualifies once leading people
• </t>
          </r>
          <r>
            <rPr>
              <rFont val="Calibri"/>
              <b val="1"/>
              <color rgb="009C5700"/>
              <sz val="10"/>
            </rPr>
            <t>Title check:</t>
          </r>
          <r>
            <rPr>
              <rFont val="Calibri"/>
              <color rgb="009C5700"/>
              <sz val="10"/>
            </rPr>
            <t xml:space="preserve"> Market-standard role title</t>
          </r>
        </is>
      </c>
      <c r="AA63" s="86" t="inlineStr">
        <is>
          <t>• Confirm the reporting line — Manager</t>
        </is>
      </c>
      <c r="AB63"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t>
          </r>
          <r>
            <rPr>
              <rFont val="Calibri"/>
              <b val="1"/>
              <sz val="10"/>
            </rPr>
            <t>If the work is missed · role-holders' themes:</t>
          </r>
          <r>
            <rPr>
              <rFont val="Calibri"/>
              <sz val="10"/>
            </rPr>
            <t xml:space="preserve"> impact · cause · delivery.
</t>
          </r>
          <r>
            <rPr>
              <rFont val="Calibri"/>
              <b val="1"/>
              <sz val="10"/>
            </rPr>
            <t>Measured on · manager-set KRA themes:</t>
          </r>
          <r>
            <rPr>
              <rFont val="Calibri"/>
              <sz val="10"/>
            </rPr>
            <t xml:space="preserve"> code · leakage qa/uat · defect · technical · quality · agreed.
Manager talent mapping — Latest rating: Not rated · manager · 9-Box Grid placement: Not placed · manager.</t>
          </r>
        </is>
      </c>
      <c r="AC63" s="82" t="n"/>
      <c r="AD63" s="82" t="n"/>
      <c r="AE63" s="82" t="n"/>
      <c r="AF63" s="12" t="n">
        <v>6</v>
      </c>
    </row>
    <row r="64" ht="379" customHeight="1">
      <c r="A64" s="12" t="inlineStr">
        <is>
          <t>IRIS0103</t>
        </is>
      </c>
      <c r="B64" s="10" t="inlineStr">
        <is>
          <t>Alwina Shaikh</t>
        </is>
      </c>
      <c r="C64" s="12" t="inlineStr">
        <is>
          <t>Technology</t>
        </is>
      </c>
      <c r="D64" s="12" t="inlineStr">
        <is>
          <t>Lead Software Engineer</t>
        </is>
      </c>
      <c r="E64" s="78" t="inlineStr">
        <is>
          <t>Lead Software Engineer – POD Lead</t>
        </is>
      </c>
      <c r="F64" s="12" t="inlineStr">
        <is>
          <t>Engineering &amp; Development</t>
        </is>
      </c>
      <c r="G64" s="12" t="inlineStr">
        <is>
          <t>Full-Stack Development</t>
        </is>
      </c>
      <c r="H64" s="12" t="inlineStr">
        <is>
          <t>POD Lead</t>
        </is>
      </c>
      <c r="I64" s="42" t="inlineStr">
        <is>
          <t>L5 – Lead · IC</t>
        </is>
      </c>
      <c r="J64" s="20" t="inlineStr">
        <is>
          <t>B3</t>
        </is>
      </c>
      <c r="K64" s="21" t="inlineStr">
        <is>
          <t>Lead Specialist · POD Lead</t>
        </is>
      </c>
      <c r="L64" s="87" t="inlineStr">
        <is>
          <t>• Same level</t>
        </is>
      </c>
      <c r="M64" s="12" t="inlineStr">
        <is>
          <t>iFile · Technology · Band B · Expert / POD Lead</t>
        </is>
      </c>
      <c r="N64" s="42" t="n">
        <v>5.5</v>
      </c>
      <c r="O64" s="42" t="n">
        <v>5.5</v>
      </c>
      <c r="P64" s="42" t="n">
        <v>4.5</v>
      </c>
      <c r="Q64" s="42" t="n">
        <v>4.5</v>
      </c>
      <c r="R64" s="42" t="n">
        <v>9.5</v>
      </c>
      <c r="S64" s="80" t="n">
        <v>4.5</v>
      </c>
      <c r="T64" s="81">
        <f>IF(OR($M64="",COUNT(N64,O64,P64,Q64,R64,S64)&lt;6),"",IFERROR(N64*INDEX(WM_C,MATCH($M64,WM_KEY,0))+O64*INDEX(WM_AU,MATCH($M64,WM_KEY,0))+P64*INDEX(WM_AC,MATCH($M64,WM_KEY,0))+Q64*INDEX(WM_L,MATCH($M64,WM_KEY,0))+R64*INDEX(WM_E,MATCH($M64,WM_KEY,0))+S64*INDEX(WM_BI,MATCH($M64,WM_KEY,0)),""))</f>
        <v>5.73</v>
      </c>
      <c r="U64" s="42" t="str">
        <f>IF(T64="","",INDEX({"A1","A2","A3","B1","B2","B3","C1","C2","D1","D2","E1","E2"},MAX(1,MIN(12,ROUND(T64,0)))))</f>
        <v>B3</v>
      </c>
      <c r="V64" s="12" t="inlineStr">
        <is>
          <r>
            <rPr>
              <rFont val="Calibri"/>
              <sz val="10"/>
            </rPr>
            <t xml:space="preserve">New level B3 · Lead Specialist · POD Lead. Current level on record: L5 – Lead · IC. Change: • Same level.
Score 5.73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4" s="12" t="inlineStr">
        <is>
          <r>
            <rPr>
              <rFont val="Calibri"/>
              <b val="1"/>
              <sz val="10"/>
            </rPr>
            <t>Complexity &amp; Expertise:</t>
          </r>
          <r>
            <rPr>
              <rFont val="Calibri"/>
              <sz val="10"/>
            </rPr>
            <t xml:space="preserve"> 5.5 of 12 · between B2 and B3 — Start: 6.0 · senior manager / lead specialist title; Evidence reads like A3: Does everything needed for a feature in Node.js / Angular; little detail given → moved down 0.5; KRA: “1. Provide production support and work on assigned Webform projects. 2. Work independently and complete tasks on time and guide team…”
</t>
          </r>
          <r>
            <rPr>
              <rFont val="Calibri"/>
              <b val="1"/>
              <sz val="10"/>
            </rPr>
            <t>Autonomy &amp; Decision:</t>
          </r>
          <r>
            <rPr>
              <rFont val="Calibri"/>
              <sz val="10"/>
            </rPr>
            <t xml:space="preserve"> 5.5 of 12 · between B2 and B3 — Start: 6.0 · senior manager / lead specialist title; Evidence reads like A3: Decides release to QA; shares timelines → moved down 0.5
</t>
          </r>
          <r>
            <rPr>
              <rFont val="Calibri"/>
              <b val="1"/>
              <sz val="10"/>
            </rPr>
            <t>Accountability &amp; Impact:</t>
          </r>
          <r>
            <rPr>
              <rFont val="Calibri"/>
              <sz val="10"/>
            </rPr>
            <t xml:space="preserve"> 4.5 of 12 · between B1 and B2 — Start: 5.0 · senior manager / lead specialist title; 2 direct reports; Evidence reads like A3: Accountable for 'deliverables' of features end to end; delays hit timeline → moved down 0.5; KRA: “1. Provide production support and work on assigned Webform projects. 2. Work independently and complete tasks on time and guide team…”
</t>
          </r>
          <r>
            <rPr>
              <rFont val="Calibri"/>
              <b val="1"/>
              <sz val="10"/>
            </rPr>
            <t>Leadership &amp; Strategy:</t>
          </r>
          <r>
            <rPr>
              <rFont val="Calibri"/>
              <sz val="10"/>
            </rPr>
            <t xml:space="preserve"> 4.5 of 12 · between B1 and B2 — Start: 5.0; Evidence reads like A3: Says he manages the team; 2 direct reports → moved down 0.5; Team: 2 direct reports · POD Lead
</t>
          </r>
          <r>
            <rPr>
              <rFont val="Calibri"/>
              <b val="1"/>
              <sz val="10"/>
            </rPr>
            <t>Experience &amp; Qualification:</t>
          </r>
          <r>
            <rPr>
              <rFont val="Calibri"/>
              <sz val="10"/>
            </rPr>
            <t xml:space="preserve"> 9.5 of 12 · between D1 and D2 — Experience: 19.2 yrs total · 19.2 at IRIS; none recorded before IRIS = 9.5 on the experience scale; Qualification: PGDM · postgraduate → no change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64"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Y64" s="12" t="inlineStr">
        <is>
          <r>
            <rPr>
              <rFont val="Calibri"/>
              <sz val="10"/>
            </rPr>
            <t xml:space="preserve">✓ HRIS: 19.2 yrs, PGDM, 2 direct reports
✓ Survey: 20 of 20 questions answered
✓ KRAs: quarterly
✓ Manager mapping: rating, potential, 9-box
✗ Job description: not on file
</t>
          </r>
          <r>
            <rPr>
              <rFont val="Calibri"/>
              <b val="1"/>
              <sz val="10"/>
            </rPr>
            <t>Confidence:</t>
          </r>
          <r>
            <rPr>
              <rFont val="Calibri"/>
              <sz val="10"/>
            </rPr>
            <t xml:space="preserve"> Medium</t>
          </r>
        </is>
      </c>
      <c r="Z64" s="12" t="inlineStr">
        <is>
          <t>—</t>
        </is>
      </c>
      <c r="AA64" s="12" t="inlineStr">
        <is>
          <t>Nothing outstanding</t>
        </is>
      </c>
      <c r="AB64"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4.5 of 12 · B1-level impact.
Leads 2 direct reports.
From the survey and manager mapping — successor named: yes.
</t>
          </r>
          <r>
            <rPr>
              <rFont val="Calibri"/>
              <b val="1"/>
              <sz val="10"/>
            </rPr>
            <t>If the work is missed · role-holders' themes:</t>
          </r>
          <r>
            <rPr>
              <rFont val="Calibri"/>
              <sz val="10"/>
            </rPr>
            <t xml:space="preserve"> delays · rework · issues.
Manager talent mapping — Latest rating: 4 · Potential: Medium · 9-Box Grid placement: Trusted Professional.</t>
          </r>
        </is>
      </c>
      <c r="AC64" s="82" t="n"/>
      <c r="AD64" s="82" t="n"/>
      <c r="AE64" s="82" t="n"/>
      <c r="AF64" s="12" t="n">
        <v>4.5</v>
      </c>
    </row>
    <row r="65" ht="379" customHeight="1">
      <c r="A65" s="12" t="inlineStr">
        <is>
          <t>IRIS2318</t>
        </is>
      </c>
      <c r="B65" s="10" t="inlineStr">
        <is>
          <t>Prathmesh Ramdas Sutar</t>
        </is>
      </c>
      <c r="C65" s="12" t="inlineStr">
        <is>
          <t>Technology</t>
        </is>
      </c>
      <c r="D65" s="12" t="inlineStr">
        <is>
          <t>Lead Software Engineer</t>
        </is>
      </c>
      <c r="E65" s="12" t="inlineStr">
        <is>
          <t>Lead Software Engineer</t>
        </is>
      </c>
      <c r="F65" s="12" t="inlineStr">
        <is>
          <t>Engineering &amp; Development</t>
        </is>
      </c>
      <c r="G65" s="12" t="inlineStr">
        <is>
          <t>Backend Development</t>
        </is>
      </c>
      <c r="H65" s="12" t="inlineStr">
        <is>
          <t>IC</t>
        </is>
      </c>
      <c r="I65" s="42" t="inlineStr">
        <is>
          <t>L5 – Lead · IC</t>
        </is>
      </c>
      <c r="J65" s="20" t="inlineStr">
        <is>
          <t>B3</t>
        </is>
      </c>
      <c r="K65" s="21" t="inlineStr">
        <is>
          <t>Lead Specialist</t>
        </is>
      </c>
      <c r="L65" s="87" t="inlineStr">
        <is>
          <t>• Same level</t>
        </is>
      </c>
      <c r="M65" s="12" t="inlineStr">
        <is>
          <t>iFile · Technology · Band B · Expert / POD Lead</t>
        </is>
      </c>
      <c r="N65" s="42" t="n">
        <v>5.5</v>
      </c>
      <c r="O65" s="42" t="n">
        <v>5.5</v>
      </c>
      <c r="P65" s="42" t="n">
        <v>5.5</v>
      </c>
      <c r="Q65" s="42" t="n">
        <v>4.5</v>
      </c>
      <c r="R65" s="42" t="n">
        <v>7.5</v>
      </c>
      <c r="S65" s="80" t="n">
        <v>6.5</v>
      </c>
      <c r="T65" s="81">
        <f>IF(OR($M65="",COUNT(N65,O65,P65,Q65,R65,S65)&lt;6),"",IFERROR(N65*INDEX(WM_C,MATCH($M65,WM_KEY,0))+O65*INDEX(WM_AU,MATCH($M65,WM_KEY,0))+P65*INDEX(WM_AC,MATCH($M65,WM_KEY,0))+Q65*INDEX(WM_L,MATCH($M65,WM_KEY,0))+R65*INDEX(WM_E,MATCH($M65,WM_KEY,0))+S65*INDEX(WM_BI,MATCH($M65,WM_KEY,0)),""))</f>
        <v>5.72</v>
      </c>
      <c r="U65" s="42" t="str">
        <f>IF(T65="","",INDEX({"A1","A2","A3","B1","B2","B3","C1","C2","D1","D2","E1","E2"},MAX(1,MIN(12,ROUND(T65,0)))))</f>
        <v>B3</v>
      </c>
      <c r="V65" s="12" t="inlineStr">
        <is>
          <r>
            <rPr>
              <rFont val="Calibri"/>
              <sz val="10"/>
            </rPr>
            <t xml:space="preserve">New level B3 · Lead Specialist. Current level on record: L5 – Lead · IC. Change: • Same level.
Score 5.72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5" s="12" t="inlineStr">
        <is>
          <r>
            <rPr>
              <rFont val="Calibri"/>
              <b val="1"/>
              <sz val="10"/>
            </rPr>
            <t>Complexity &amp; Expertise:</t>
          </r>
          <r>
            <rPr>
              <rFont val="Calibri"/>
              <sz val="10"/>
            </rPr>
            <t xml:space="preserve"> 5.5 of 12 · between B2 and B3 — Start: 6.0 · senior manager / lead specialist title; Evidence reads like A3: Leads module development across requirements, coding, testing, deployment and production support; little detail → moved down 0.5; KRA: “1. Deliver committed sprint stories with &gt;=90% sprint commitment adherence across the year 2. Maintain code quality: defect leakage to…”
</t>
          </r>
          <r>
            <rPr>
              <rFont val="Calibri"/>
              <b val="1"/>
              <sz val="10"/>
            </rPr>
            <t>Autonomy &amp; Decision:</t>
          </r>
          <r>
            <rPr>
              <rFont val="Calibri"/>
              <sz val="10"/>
            </rPr>
            <t xml:space="preserve"> 5.5 of 12 · between B2 and B3 — Start: 6.0 · senior manager / lead specialist title; Evidence reads like A3: Decides code implementation only → moved down 0.5
</t>
          </r>
          <r>
            <rPr>
              <rFont val="Calibri"/>
              <b val="1"/>
              <sz val="10"/>
            </rPr>
            <t>Accountability &amp; Impact:</t>
          </r>
          <r>
            <rPr>
              <rFont val="Calibri"/>
              <sz val="10"/>
            </rPr>
            <t xml:space="preserve"> 5.5 of 12 · between B2 and B3 — Start: 6.0 · senior manager / lead specialist title; Evidence reads like A3: Quality and timelines of the module being developed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4.5 of 12 · between B1 and B2 — Start: 5.0 · individual contributor, so influence only; Evidence reads like A2: Says leading module development; no people or guidance described → moved down 0.5; Team: 0 direct reports · IC
</t>
          </r>
          <r>
            <rPr>
              <rFont val="Calibri"/>
              <b val="1"/>
              <sz val="10"/>
            </rPr>
            <t>Experience &amp; Qualification:</t>
          </r>
          <r>
            <rPr>
              <rFont val="Calibri"/>
              <sz val="10"/>
            </rPr>
            <t xml:space="preserve"> 7.5 of 12 · between C1 and C2 — Experience: 13.2 yrs total · 11.3 before IRIS + 1.9 at IRIS = 7.5 on the experience scale; Qualification: B.E · graduate, relevant to the work → no change
</t>
          </r>
          <r>
            <rPr>
              <rFont val="Calibri"/>
              <b val="1"/>
              <sz val="10"/>
            </rPr>
            <t>Business Impact:</t>
          </r>
          <r>
            <rPr>
              <rFont val="Calibri"/>
              <sz val="10"/>
            </rPr>
            <t xml:space="preserve"> 6.5 of 12 — a starting estimate. — Start: 5.5,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 · C1 = Changes results across a sub-function or across products</t>
          </r>
        </is>
      </c>
      <c r="X65"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Y65" s="12" t="inlineStr">
        <is>
          <r>
            <rPr>
              <rFont val="Calibri"/>
              <sz val="10"/>
            </rPr>
            <t xml:space="preserve">✓ HRIS: 13.2 yrs, B.E, 0 direct reports
✓ Survey: 18 of 20 questions answered
✓ KRAs: self, manager-set, quarterly
✓ Manager mapping: rating, potential, 9-box
✗ Job description: not on file
</t>
          </r>
          <r>
            <rPr>
              <rFont val="Calibri"/>
              <b val="1"/>
              <sz val="10"/>
            </rPr>
            <t>Confidence:</t>
          </r>
          <r>
            <rPr>
              <rFont val="Calibri"/>
              <sz val="10"/>
            </rPr>
            <t xml:space="preserve"> Medium</t>
          </r>
        </is>
      </c>
      <c r="Z65" s="12" t="inlineStr">
        <is>
          <t>—</t>
        </is>
      </c>
      <c r="AA65" s="12" t="inlineStr">
        <is>
          <t>Nothing outstanding</t>
        </is>
      </c>
      <c r="AB65"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critical role: yes; work only this person does: yes; successor named: no.
</t>
          </r>
          <r>
            <rPr>
              <rFont val="Calibri"/>
              <b val="1"/>
              <sz val="10"/>
            </rPr>
            <t>Measured on · manager-set KRA themes:</t>
          </r>
          <r>
            <rPr>
              <rFont val="Calibri"/>
              <sz val="10"/>
            </rPr>
            <t xml:space="preserve"> technical · defect · quality · agreed · deliver · reviews.
Manager talent mapping — Latest rating: 4 · Potential: Medium · 9-Box Grid placement: Trusted Professional.</t>
          </r>
        </is>
      </c>
      <c r="AC65" s="82" t="n"/>
      <c r="AD65" s="82" t="n"/>
      <c r="AE65" s="82" t="n"/>
      <c r="AF65" s="12" t="n">
        <v>6.5</v>
      </c>
    </row>
    <row r="66" ht="379" customHeight="1">
      <c r="A66" s="12" t="inlineStr">
        <is>
          <t>IRIS0320</t>
        </is>
      </c>
      <c r="B66" s="10" t="inlineStr">
        <is>
          <t>Ravikant Karmoju</t>
        </is>
      </c>
      <c r="C66" s="12" t="inlineStr">
        <is>
          <t>Technology</t>
        </is>
      </c>
      <c r="D66" s="12" t="inlineStr">
        <is>
          <t>Lead Software Engineer</t>
        </is>
      </c>
      <c r="E66" s="78" t="inlineStr">
        <is>
          <t>Lead Software Engineer – POD Lead</t>
        </is>
      </c>
      <c r="F66" s="12" t="inlineStr">
        <is>
          <t>Engineering &amp; Development</t>
        </is>
      </c>
      <c r="G66" s="12" t="inlineStr">
        <is>
          <t>Backend Development</t>
        </is>
      </c>
      <c r="H66" s="12" t="inlineStr">
        <is>
          <t>POD Lead</t>
        </is>
      </c>
      <c r="I66" s="42" t="inlineStr">
        <is>
          <t>L5 – Lead · IC</t>
        </is>
      </c>
      <c r="J66" s="20" t="inlineStr">
        <is>
          <t>B3</t>
        </is>
      </c>
      <c r="K66" s="21" t="inlineStr">
        <is>
          <t>Lead Specialist · POD Lead</t>
        </is>
      </c>
      <c r="L66" s="87" t="inlineStr">
        <is>
          <t>• Same level</t>
        </is>
      </c>
      <c r="M66" s="12" t="inlineStr">
        <is>
          <t>iFile · Technology · Band B · Expert / POD Lead</t>
        </is>
      </c>
      <c r="N66" s="42" t="n">
        <v>5.5</v>
      </c>
      <c r="O66" s="42" t="n">
        <v>5.5</v>
      </c>
      <c r="P66" s="42" t="n">
        <v>4.5</v>
      </c>
      <c r="Q66" s="42" t="n">
        <v>4.5</v>
      </c>
      <c r="R66" s="42" t="n">
        <v>9.5</v>
      </c>
      <c r="S66" s="80" t="n">
        <v>5</v>
      </c>
      <c r="T66" s="81">
        <f>IF(OR($M66="",COUNT(N66,O66,P66,Q66,R66,S66)&lt;6),"",IFERROR(N66*INDEX(WM_C,MATCH($M66,WM_KEY,0))+O66*INDEX(WM_AU,MATCH($M66,WM_KEY,0))+P66*INDEX(WM_AC,MATCH($M66,WM_KEY,0))+Q66*INDEX(WM_L,MATCH($M66,WM_KEY,0))+R66*INDEX(WM_E,MATCH($M66,WM_KEY,0))+S66*INDEX(WM_BI,MATCH($M66,WM_KEY,0)),""))</f>
        <v>5.765</v>
      </c>
      <c r="U66" s="42" t="str">
        <f>IF(T66="","",INDEX({"A1","A2","A3","B1","B2","B3","C1","C2","D1","D2","E1","E2"},MAX(1,MIN(12,ROUND(T66,0)))))</f>
        <v>B3</v>
      </c>
      <c r="V66" s="12" t="inlineStr">
        <is>
          <r>
            <rPr>
              <rFont val="Calibri"/>
              <sz val="10"/>
            </rPr>
            <t xml:space="preserve">New level B3 · Lead Specialist · POD Lead. Current level on record: L5 – Lead · IC. Change: • Same level.
Score 5.77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6" s="12" t="inlineStr">
        <is>
          <r>
            <rPr>
              <rFont val="Calibri"/>
              <b val="1"/>
              <sz val="10"/>
            </rPr>
            <t>Complexity &amp; Expertise:</t>
          </r>
          <r>
            <rPr>
              <rFont val="Calibri"/>
              <sz val="10"/>
            </rPr>
            <t xml:space="preserve"> 5.5 of 12 · between B2 and B3 — Start: 6.0 · senior manager / lead specialist title; Evidence reads like B1: Technical solutions for customised iFile regulatory-reporting and BI deliveries; requirement analysis; client interaction → moved down 0.5; KRA: “1. Ensure successful delivery of the IFRS 18 implementation for FSA Oman by providing project governance, reviewing milestones, managing…”
</t>
          </r>
          <r>
            <rPr>
              <rFont val="Calibri"/>
              <b val="1"/>
              <sz val="10"/>
            </rPr>
            <t>Autonomy &amp; Decision:</t>
          </r>
          <r>
            <rPr>
              <rFont val="Calibri"/>
              <sz val="10"/>
            </rPr>
            <t xml:space="preserve"> 5.5 of 12 · between B2 and B3 — Start: 6.0 · senior manager / lead specialist title; Evidence reads like B1: Decides technical solutions for the customised client delivery → moved down 0.5
</t>
          </r>
          <r>
            <rPr>
              <rFont val="Calibri"/>
              <b val="1"/>
              <sz val="10"/>
            </rPr>
            <t>Accountability &amp; Impact:</t>
          </r>
          <r>
            <rPr>
              <rFont val="Calibri"/>
              <sz val="10"/>
            </rPr>
            <t xml:space="preserve"> 4.5 of 12 · between B1 and B2 — Start: 4.8 · senior manager / lead specialist title; 1 direct report; Evidence reads like B1: Delivery of customised solutions; tracks deliverables; manager cites FSA Oman IFRS 18 implementation → moved down 0.2; KRA: “1. Ensure successful delivery of the IFRS 18 implementation for FSA Oman by providing project governance, reviewing milestones, managing…”
</t>
          </r>
          <r>
            <rPr>
              <rFont val="Calibri"/>
              <b val="1"/>
              <sz val="10"/>
            </rPr>
            <t>Leadership &amp; Strategy:</t>
          </r>
          <r>
            <rPr>
              <rFont val="Calibri"/>
              <sz val="10"/>
            </rPr>
            <t xml:space="preserve"> 4.5 of 12 · between B1 and B2 — Start: 5.0; Evidence reads like A3: Lists 'manage team'; 1 direct report → moved down 0.5; Team: 1 direct report · POD Lead
</t>
          </r>
          <r>
            <rPr>
              <rFont val="Calibri"/>
              <b val="1"/>
              <sz val="10"/>
            </rPr>
            <t>Experience &amp; Qualification:</t>
          </r>
          <r>
            <rPr>
              <rFont val="Calibri"/>
              <sz val="10"/>
            </rPr>
            <t xml:space="preserve"> 9.5 of 12 · between D1 and D2 — Experience: 18.6 yrs total · 2.2 before IRIS + 16.4 at IRIS = 9.3 on the experience scale; Qualification: BCA · graduate, relevant to the work → no change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66"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Y66" s="12" t="inlineStr">
        <is>
          <r>
            <rPr>
              <rFont val="Calibri"/>
              <sz val="10"/>
            </rPr>
            <t xml:space="preserve">✓ HRIS: 18.6 yrs, BCA, 1 direct report
✓ Survey: 19 of 20 questions answered
✓ KRAs: self, manager-set, quarterly
✓ Manager mapping: rating, potential, 9-box
✗ Job description: not on file
</t>
          </r>
          <r>
            <rPr>
              <rFont val="Calibri"/>
              <b val="1"/>
              <sz val="10"/>
            </rPr>
            <t>Confidence:</t>
          </r>
          <r>
            <rPr>
              <rFont val="Calibri"/>
              <sz val="10"/>
            </rPr>
            <t xml:space="preserve"> Medium</t>
          </r>
        </is>
      </c>
      <c r="Z66" s="12" t="inlineStr">
        <is>
          <t>—</t>
        </is>
      </c>
      <c r="AA66" s="12" t="inlineStr">
        <is>
          <t>Nothing outstanding</t>
        </is>
      </c>
      <c r="AB66"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4.5 of 12 · B1-level impact.
Leads 1 direct report.
From the survey and manager mapping — critical role: yes; successor named: yes.
</t>
          </r>
          <r>
            <rPr>
              <rFont val="Calibri"/>
              <b val="1"/>
              <sz val="10"/>
            </rPr>
            <t>Measured on · manager-set KRA themes:</t>
          </r>
          <r>
            <rPr>
              <rFont val="Calibri"/>
              <sz val="10"/>
            </rPr>
            <t xml:space="preserve"> technical · defect · quality · agreed · deliver · reviews.
Manager talent mapping — Latest rating: 3 · Potential: High · 9-Box Grid placement: Trusted Professional.</t>
          </r>
        </is>
      </c>
      <c r="AC66" s="82" t="n"/>
      <c r="AD66" s="82" t="n"/>
      <c r="AE66" s="82" t="n"/>
      <c r="AF66" s="12" t="n">
        <v>5</v>
      </c>
    </row>
    <row r="67" ht="379" customHeight="1">
      <c r="A67" s="12" t="inlineStr">
        <is>
          <t>IRIS2497</t>
        </is>
      </c>
      <c r="B67" s="10" t="inlineStr">
        <is>
          <t>Tarun Kumar Mittal</t>
        </is>
      </c>
      <c r="C67" s="12" t="inlineStr">
        <is>
          <t>Technology</t>
        </is>
      </c>
      <c r="D67" s="12" t="inlineStr">
        <is>
          <t>Senior Project Manager</t>
        </is>
      </c>
      <c r="E67" s="78" t="inlineStr">
        <is>
          <t>Program Manager</t>
        </is>
      </c>
      <c r="F67" s="12" t="inlineStr">
        <is>
          <t>Project &amp; Program Management</t>
        </is>
      </c>
      <c r="G67" s="12" t="inlineStr">
        <is>
          <t>Project &amp; Program Delivery</t>
        </is>
      </c>
      <c r="H67" s="12" t="inlineStr">
        <is>
          <t>IC</t>
        </is>
      </c>
      <c r="I67" s="42" t="inlineStr">
        <is>
          <t>L5 – Manager</t>
        </is>
      </c>
      <c r="J67" s="20" t="inlineStr">
        <is>
          <t>B3</t>
        </is>
      </c>
      <c r="K67" s="21" t="inlineStr">
        <is>
          <t>Lead Specialist</t>
        </is>
      </c>
      <c r="L67" s="79" t="inlineStr">
        <is>
          <t>▲ Up</t>
        </is>
      </c>
      <c r="M67" s="12" t="inlineStr">
        <is>
          <t>iFile · Technology · Band B · Expert / POD Lead</t>
        </is>
      </c>
      <c r="N67" s="42" t="n">
        <v>5.5</v>
      </c>
      <c r="O67" s="42" t="n">
        <v>6</v>
      </c>
      <c r="P67" s="42" t="n">
        <v>5.5</v>
      </c>
      <c r="Q67" s="42" t="n">
        <v>4.5</v>
      </c>
      <c r="R67" s="42" t="n">
        <v>9.5</v>
      </c>
      <c r="S67" s="80" t="n">
        <v>6</v>
      </c>
      <c r="T67" s="81">
        <f>IF(OR($M67="",COUNT(N67,O67,P67,Q67,R67,S67)&lt;6),"",IFERROR(N67*INDEX(WM_C,MATCH($M67,WM_KEY,0))+O67*INDEX(WM_AU,MATCH($M67,WM_KEY,0))+P67*INDEX(WM_AC,MATCH($M67,WM_KEY,0))+Q67*INDEX(WM_L,MATCH($M67,WM_KEY,0))+R67*INDEX(WM_E,MATCH($M67,WM_KEY,0))+S67*INDEX(WM_BI,MATCH($M67,WM_KEY,0)),""))</f>
        <v>5.97</v>
      </c>
      <c r="U67" s="42" t="str">
        <f>IF(T67="","",INDEX({"A1","A2","A3","B1","B2","B3","C1","C2","D1","D2","E1","E2"},MAX(1,MIN(12,ROUND(T67,0)))))</f>
        <v>B3</v>
      </c>
      <c r="V67" s="12" t="inlineStr">
        <is>
          <r>
            <rPr>
              <rFont val="Calibri"/>
              <sz val="10"/>
            </rPr>
            <t xml:space="preserve">New level B3 · Lead Specialist. Current level on record: L5 – Manager. Change: ▲ Up.
Score 5.97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7" s="12" t="inlineStr">
        <is>
          <r>
            <rPr>
              <rFont val="Calibri"/>
              <b val="1"/>
              <sz val="10"/>
            </rPr>
            <t>Complexity &amp; Expertise:</t>
          </r>
          <r>
            <rPr>
              <rFont val="Calibri"/>
              <sz val="10"/>
            </rPr>
            <t xml:space="preserve"> 5.5 of 12 · between B2 and B3 — Start: 6.0 · senior manager / lead specialist title; Evidence reads like B1: Manager note only: product management of iFile TMS/CMS; still gaining tax-domain understanding → moved down 0.5; KRA: “1. Product Management Gain thorough understanding of all the iFile product components and SupTech/RegTech domain Gain expert level…”
</t>
          </r>
          <r>
            <rPr>
              <rFont val="Calibri"/>
              <b val="1"/>
              <sz val="10"/>
            </rPr>
            <t>Autonomy &amp; Decision:</t>
          </r>
          <r>
            <rPr>
              <rFont val="Calibri"/>
              <sz val="10"/>
            </rPr>
            <t xml:space="preserve"> 6 of 12 — Start: 6.0 · senior manager / lead specialist title; Evidence: no survey answers or KRAs on file → rating stays at the start
</t>
          </r>
          <r>
            <rPr>
              <rFont val="Calibri"/>
              <b val="1"/>
              <sz val="10"/>
            </rPr>
            <t>Accountability &amp; Impact:</t>
          </r>
          <r>
            <rPr>
              <rFont val="Calibri"/>
              <sz val="10"/>
            </rPr>
            <t xml:space="preserve"> 5.5 of 12 · between B2 and B3 — Start: 6.0 · senior manager / lead specialist title; Evidence reads like B1: Manager note: platform demo readiness and TMS/CMS release plan, shared with two colleagues → moved down 0.5; KRA: “1. Product Management Gain thorough understanding of all the iFile product components and SupTech/RegTech domain Gain expert level…”
</t>
          </r>
          <r>
            <rPr>
              <rFont val="Calibri"/>
              <b val="1"/>
              <sz val="10"/>
            </rPr>
            <t>Leadership &amp; Strategy:</t>
          </r>
          <r>
            <rPr>
              <rFont val="Calibri"/>
              <sz val="10"/>
            </rPr>
            <t xml:space="preserve"> 4.5 of 12 · between B1 and B2 — Start: 5.0 · individual contributor, so influence only; Evidence reads like A3: Manager note: manages product team members jointly with two others; 0 reports → moved down 0.5; Team: 0 direct reports · IC
</t>
          </r>
          <r>
            <rPr>
              <rFont val="Calibri"/>
              <b val="1"/>
              <sz val="10"/>
            </rPr>
            <t>Experience &amp; Qualification:</t>
          </r>
          <r>
            <rPr>
              <rFont val="Calibri"/>
              <sz val="10"/>
            </rPr>
            <t xml:space="preserve"> 9.5 of 12 · between D1 and D2 — Experience: 18.5 yrs total · 18.0 before IRIS + 0.5 at IRIS = 9.3 on the experience scale; Qualification: B.Tech · graduate, relevant to the work → no change
</t>
          </r>
          <r>
            <rPr>
              <rFont val="Calibri"/>
              <b val="1"/>
              <sz val="10"/>
            </rPr>
            <t>Business Impact:</t>
          </r>
          <r>
            <rPr>
              <rFont val="Calibri"/>
              <sz val="10"/>
            </rPr>
            <t xml:space="preserve"> 6 of 12 — a starting estimate. —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r>
        </is>
      </c>
      <c r="X67"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Program Manager
</t>
          </r>
          <r>
            <rPr>
              <rFont val="Calibri"/>
              <b val="1"/>
              <sz val="10"/>
            </rPr>
            <t>At peers:</t>
          </r>
          <r>
            <rPr>
              <rFont val="Calibri"/>
              <sz val="10"/>
            </rPr>
            <t xml:space="preserve"> IRIS Vs Competitor Benchmark — PMI pathway + SaaS delivery ladder: Program Manager · PgMP · Infosys / Accenture – JL6B Project Manager · L7 Manager
</t>
          </r>
          <r>
            <rPr>
              <rFont val="Calibri"/>
              <b val="1"/>
              <sz val="10"/>
            </rPr>
            <t>Typical experience:</t>
          </r>
          <r>
            <rPr>
              <rFont val="Calibri"/>
              <sz val="10"/>
            </rPr>
            <t xml:space="preserve"> 8–13 yrs · IRIS guide 8–12
</t>
          </r>
          <r>
            <rPr>
              <rFont val="Calibri"/>
              <b val="1"/>
              <sz val="10"/>
            </rPr>
            <t>Standard:</t>
          </r>
          <r>
            <rPr>
              <rFont val="Calibri"/>
              <sz val="10"/>
            </rPr>
            <t xml:space="preserve"> PMI PMBOK and Talent Triangle; CAPM → PMP → PgMP</t>
          </r>
        </is>
      </c>
      <c r="Y67" s="12" t="inlineStr">
        <is>
          <r>
            <rPr>
              <rFont val="Calibri"/>
              <sz val="10"/>
            </rPr>
            <t xml:space="preserve">✓ HRIS: 18.5 yrs, B.Tech, 0 direct reports
✗ Survey: no response
✓ KRAs: manager-set, quarterly
✓ Manager mapping: rating, potential, 9-box
✗ Job description: not on file
</t>
          </r>
          <r>
            <rPr>
              <rFont val="Calibri"/>
              <b val="1"/>
              <sz val="10"/>
            </rPr>
            <t>Confidence:</t>
          </r>
          <r>
            <rPr>
              <rFont val="Calibri"/>
              <sz val="10"/>
            </rPr>
            <t xml:space="preserve"> Medium</t>
          </r>
        </is>
      </c>
      <c r="Z67" s="84"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67" s="86" t="inlineStr">
        <is>
          <t>• Confirm the reporting line — Manager</t>
        </is>
      </c>
      <c r="AB67"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critical role: yes; successor named: no.
</t>
          </r>
          <r>
            <rPr>
              <rFont val="Calibri"/>
              <b val="1"/>
              <sz val="10"/>
            </rPr>
            <t>If the work is missed · role-holders' themes:</t>
          </r>
          <r>
            <rPr>
              <rFont val="Calibri"/>
              <sz val="10"/>
            </rPr>
            <t xml:space="preserve"> client · delivery · delays · project.
Manager talent mapping — Latest rating: 3 · Potential: Medium · 9-Box Grid placement: Core Contributor.</t>
          </r>
        </is>
      </c>
      <c r="AC67" s="82" t="n"/>
      <c r="AD67" s="82" t="n"/>
      <c r="AE67" s="82" t="n"/>
      <c r="AF67" s="12" t="n">
        <v>6</v>
      </c>
    </row>
    <row r="68" ht="379" customHeight="1">
      <c r="A68" s="12" t="inlineStr">
        <is>
          <t>IRIS1474</t>
        </is>
      </c>
      <c r="B68" s="10" t="inlineStr">
        <is>
          <t>Amruta Kadam</t>
        </is>
      </c>
      <c r="C68" s="12" t="inlineStr">
        <is>
          <t>Technology</t>
        </is>
      </c>
      <c r="D68" s="12" t="inlineStr">
        <is>
          <t>Tech Lead</t>
        </is>
      </c>
      <c r="E68" s="78" t="inlineStr">
        <is>
          <t>Engineering Manager</t>
        </is>
      </c>
      <c r="F68" s="12" t="inlineStr">
        <is>
          <t>Engineering &amp; Development</t>
        </is>
      </c>
      <c r="G68" s="12" t="inlineStr">
        <is>
          <t>Backend Development</t>
        </is>
      </c>
      <c r="H68" s="12" t="inlineStr">
        <is>
          <t>People Manager</t>
        </is>
      </c>
      <c r="I68" s="42" t="inlineStr">
        <is>
          <t>L5 – Lead · IC</t>
        </is>
      </c>
      <c r="J68" s="20" t="inlineStr">
        <is>
          <t>B2</t>
        </is>
      </c>
      <c r="K68" s="21" t="inlineStr">
        <is>
          <t>Manager</t>
        </is>
      </c>
      <c r="L68" s="83" t="inlineStr">
        <is>
          <t>▼ Down · pay &amp; title protected</t>
        </is>
      </c>
      <c r="M68" s="12" t="inlineStr">
        <is>
          <t>iFile · Technology · Band B · People Manager</t>
        </is>
      </c>
      <c r="N68" s="42" t="n">
        <v>5</v>
      </c>
      <c r="O68" s="42" t="n">
        <v>4.5</v>
      </c>
      <c r="P68" s="42" t="n">
        <v>5</v>
      </c>
      <c r="Q68" s="42" t="n">
        <v>5</v>
      </c>
      <c r="R68" s="42" t="n">
        <v>7</v>
      </c>
      <c r="S68" s="80" t="n">
        <v>5</v>
      </c>
      <c r="T68" s="81">
        <f>IF(OR($M68="",COUNT(N68,O68,P68,Q68,R68,S68)&lt;6),"",IFERROR(N68*INDEX(WM_C,MATCH($M68,WM_KEY,0))+O68*INDEX(WM_AU,MATCH($M68,WM_KEY,0))+P68*INDEX(WM_AC,MATCH($M68,WM_KEY,0))+Q68*INDEX(WM_L,MATCH($M68,WM_KEY,0))+R68*INDEX(WM_E,MATCH($M68,WM_KEY,0))+S68*INDEX(WM_BI,MATCH($M68,WM_KEY,0)),""))</f>
        <v>5.11</v>
      </c>
      <c r="U68" s="42" t="str">
        <f>IF(T68="","",INDEX({"A1","A2","A3","B1","B2","B3","C1","C2","D1","D2","E1","E2"},MAX(1,MIN(12,ROUND(T68,0)))))</f>
        <v>B2</v>
      </c>
      <c r="V68" s="12" t="inlineStr">
        <is>
          <r>
            <rPr>
              <rFont val="Calibri"/>
              <sz val="10"/>
            </rPr>
            <t xml:space="preserve">New level B2 · Manager. Current level on record: L5 – Lead · IC. Change: ▼ Down · pay &amp; title protected.
Score 5.11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68" s="12" t="inlineStr">
        <is>
          <r>
            <rPr>
              <rFont val="Calibri"/>
              <b val="1"/>
              <sz val="10"/>
            </rPr>
            <t>Complexity &amp; Expertise:</t>
          </r>
          <r>
            <rPr>
              <rFont val="Calibri"/>
              <sz val="10"/>
            </rPr>
            <t xml:space="preserve"> 5 of 12 — Start: 5.0 · manager / senior specialist title; Evidence reads like B2: Leads a complex Java migration and analyses and resolves major production issues on critical systems → matches the start; KRA: “1. Deliver team release roadmap on schedule: &gt;=90% of committed releases on time 2. Keep team sprint velocity stable and defect…”
</t>
          </r>
          <r>
            <rPr>
              <rFont val="Calibri"/>
              <b val="1"/>
              <sz val="10"/>
            </rPr>
            <t>Autonomy &amp; Decision:</t>
          </r>
          <r>
            <rPr>
              <rFont val="Calibri"/>
              <sz val="10"/>
            </rPr>
            <t xml:space="preserve"> 4.5 of 12 · between B1 and B2 — Start: 5.0 · manager / senior specialist title; Evidence reads like B1: Makes the technical decisions for the application and team → moved down 0.5
</t>
          </r>
          <r>
            <rPr>
              <rFont val="Calibri"/>
              <b val="1"/>
              <sz val="10"/>
            </rPr>
            <t>Accountability &amp; Impact:</t>
          </r>
          <r>
            <rPr>
              <rFont val="Calibri"/>
              <sz val="10"/>
            </rPr>
            <t xml:space="preserve"> 5 of 12 — Start: 5.0 · manager / senior specialist title; 6 direct reports; Evidence reads like B2: own survey / KRA answers · summarised by the rater; not quoted → matches the start; KRA: “1. Deliver team release roadmap on schedule: &gt;=90% of committed releases on time 2. Keep team sprint velocity stable and defect…”
</t>
          </r>
          <r>
            <rPr>
              <rFont val="Calibri"/>
              <b val="1"/>
              <sz val="10"/>
            </rPr>
            <t>Leadership &amp; Strategy:</t>
          </r>
          <r>
            <rPr>
              <rFont val="Calibri"/>
              <sz val="10"/>
            </rPr>
            <t xml:space="preserve"> 5 of 12 — Start: 5.0; Evidence reads like B2: Technical leadership and guidance for six direct reports; manager notes she handles her team well → matches the start; Team: 6 direct reports · People Manager
</t>
          </r>
          <r>
            <rPr>
              <rFont val="Calibri"/>
              <b val="1"/>
              <sz val="10"/>
            </rPr>
            <t>Experience &amp; Qualification:</t>
          </r>
          <r>
            <rPr>
              <rFont val="Calibri"/>
              <sz val="10"/>
            </rPr>
            <t xml:space="preserve"> 7 of 12 — Experience: 12.1 yrs total · 12.1 at IRIS; none recorded before IRIS = 7.0 on the experience scale; Qualification: B.E · graduate, relevant to the work → no change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68"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68" s="12" t="inlineStr">
        <is>
          <r>
            <rPr>
              <rFont val="Calibri"/>
              <sz val="10"/>
            </rPr>
            <t xml:space="preserve">✓ HRIS: 12.1 yrs, B.E, 6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68"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68" s="12" t="inlineStr">
        <is>
          <t>Nothing outstanding</t>
        </is>
      </c>
      <c r="AB6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t>
          </r>
          <r>
            <rPr>
              <rFont val="Calibri"/>
              <b val="1"/>
              <sz val="10"/>
            </rPr>
            <t>If the work is missed · role-holders' themes:</t>
          </r>
          <r>
            <rPr>
              <rFont val="Calibri"/>
              <sz val="10"/>
            </rPr>
            <t xml:space="preserve"> delays · rework · issues · impact.
Manager talent mapping — Latest rating: 4 · Potential: High · 9-Box Grid placement: Future Leader.</t>
          </r>
        </is>
      </c>
      <c r="AC68" s="82" t="n"/>
      <c r="AD68" s="82" t="n"/>
      <c r="AE68" s="82" t="n"/>
      <c r="AF68" s="12" t="n">
        <v>5</v>
      </c>
    </row>
    <row r="69" ht="379" customHeight="1">
      <c r="A69" s="12" t="inlineStr">
        <is>
          <t>IRIS2019</t>
        </is>
      </c>
      <c r="B69" s="10" t="inlineStr">
        <is>
          <t>Anup Salve</t>
        </is>
      </c>
      <c r="C69" s="12" t="inlineStr">
        <is>
          <t>Technology</t>
        </is>
      </c>
      <c r="D69" s="12" t="inlineStr">
        <is>
          <t>Lead Software Engineer</t>
        </is>
      </c>
      <c r="E69" s="78" t="inlineStr">
        <is>
          <t>Senior Technical Specialist – POD Lead</t>
        </is>
      </c>
      <c r="F69" s="12" t="inlineStr">
        <is>
          <t>Engineering &amp; Development</t>
        </is>
      </c>
      <c r="G69" s="12" t="inlineStr">
        <is>
          <t>Full-Stack Development</t>
        </is>
      </c>
      <c r="H69" s="12" t="inlineStr">
        <is>
          <t>POD Lead</t>
        </is>
      </c>
      <c r="I69" s="42" t="inlineStr">
        <is>
          <t>L5 – Lead · IC</t>
        </is>
      </c>
      <c r="J69" s="20" t="inlineStr">
        <is>
          <t>B2</t>
        </is>
      </c>
      <c r="K69" s="21" t="inlineStr">
        <is>
          <t>Senior Specialist · POD Lead</t>
        </is>
      </c>
      <c r="L69" s="83" t="inlineStr">
        <is>
          <t>▼ Down · pay &amp; title protected</t>
        </is>
      </c>
      <c r="M69" s="12" t="inlineStr">
        <is>
          <t>iFile · Technology · Band B · Expert / POD Lead</t>
        </is>
      </c>
      <c r="N69" s="42" t="n">
        <v>5</v>
      </c>
      <c r="O69" s="42" t="n">
        <v>5</v>
      </c>
      <c r="P69" s="42" t="n">
        <v>4.5</v>
      </c>
      <c r="Q69" s="42" t="n">
        <v>4.5</v>
      </c>
      <c r="R69" s="42" t="n">
        <v>7</v>
      </c>
      <c r="S69" s="80" t="n">
        <v>4.5</v>
      </c>
      <c r="T69" s="81">
        <f>IF(OR($M69="",COUNT(N69,O69,P69,Q69,R69,S69)&lt;6),"",IFERROR(N69*INDEX(WM_C,MATCH($M69,WM_KEY,0))+O69*INDEX(WM_AU,MATCH($M69,WM_KEY,0))+P69*INDEX(WM_AC,MATCH($M69,WM_KEY,0))+Q69*INDEX(WM_L,MATCH($M69,WM_KEY,0))+R69*INDEX(WM_E,MATCH($M69,WM_KEY,0))+S69*INDEX(WM_BI,MATCH($M69,WM_KEY,0)),""))</f>
        <v>5.115</v>
      </c>
      <c r="U69" s="42" t="str">
        <f>IF(T69="","",INDEX({"A1","A2","A3","B1","B2","B3","C1","C2","D1","D2","E1","E2"},MAX(1,MIN(12,ROUND(T69,0)))))</f>
        <v>B2</v>
      </c>
      <c r="V69" s="12" t="inlineStr">
        <is>
          <r>
            <rPr>
              <rFont val="Calibri"/>
              <sz val="10"/>
            </rPr>
            <t xml:space="preserve">New level B2 · Senior Specialist · POD Lead. Current level on record: L5 – Lead · IC. Change: ▼ Down · pay &amp; title protected.
Score 5.12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69" s="12" t="inlineStr">
        <is>
          <r>
            <rPr>
              <rFont val="Calibri"/>
              <b val="1"/>
              <sz val="10"/>
            </rPr>
            <t>Complexity &amp; Expertise:</t>
          </r>
          <r>
            <rPr>
              <rFont val="Calibri"/>
              <sz val="10"/>
            </rPr>
            <t xml:space="preserve"> 5 of 12 — Start: 6.0 · senior manager / lead specialist title; Evidence reads like B1: Designs application architecture; payment and SSO/SAML integrations; root-cause analysis across application, database and configuration → moved down 1; KRA: “1. Deliver team release roadmap on schedule: &gt;=90% of committed releases on time 2. Keep team sprint velocity stable and defect…”
</t>
          </r>
          <r>
            <rPr>
              <rFont val="Calibri"/>
              <b val="1"/>
              <sz val="10"/>
            </rPr>
            <t>Autonomy &amp; Decision:</t>
          </r>
          <r>
            <rPr>
              <rFont val="Calibri"/>
              <sz val="10"/>
            </rPr>
            <t xml:space="preserve"> 5 of 12 — Start: 6.0 · senior manager / lead specialist title; Evidence reads like B1: Reviews and merges team's code; gives clients ETAs, but informs seniors → moved down 1
</t>
          </r>
          <r>
            <rPr>
              <rFont val="Calibri"/>
              <b val="1"/>
              <sz val="10"/>
            </rPr>
            <t>Accountability &amp; Impact:</t>
          </r>
          <r>
            <rPr>
              <rFont val="Calibri"/>
              <sz val="10"/>
            </rPr>
            <t xml:space="preserve"> 4.5 of 12 · between B1 and B2 — Start: 5.0 · senior manager / lead specialist title; 3 direct reports; Evidence reads like B1: own survey / KRA answers · summarised by the rater; not quoted → moved down 0.5; KRA: “1. Deliver team release roadmap on schedule: &gt;=90% of committed releases on time 2. Keep team sprint velocity stable and defect…”
</t>
          </r>
          <r>
            <rPr>
              <rFont val="Calibri"/>
              <b val="1"/>
              <sz val="10"/>
            </rPr>
            <t>Leadership &amp; Strategy:</t>
          </r>
          <r>
            <rPr>
              <rFont val="Calibri"/>
              <sz val="10"/>
            </rPr>
            <t xml:space="preserve"> 4.5 of 12 · between B1 and B2 — Start: 5.0; Evidence reads like B1: Handles and guides a team; 3 direct reports; code review and merging → moved down 0.5; Team: 3 direct reports · POD Lead
</t>
          </r>
          <r>
            <rPr>
              <rFont val="Calibri"/>
              <b val="1"/>
              <sz val="10"/>
            </rPr>
            <t>Experience &amp; Qualification:</t>
          </r>
          <r>
            <rPr>
              <rFont val="Calibri"/>
              <sz val="10"/>
            </rPr>
            <t xml:space="preserve"> 7 of 12 — Experience: 12.3 yrs total · 8.0 before IRIS + 4.3 at IRIS = 7.1 on the experience scale; Qualification: B.E · graduate, relevant to the work → no change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69" s="12"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69" s="12" t="inlineStr">
        <is>
          <r>
            <rPr>
              <rFont val="Calibri"/>
              <sz val="10"/>
            </rPr>
            <t xml:space="preserve">✓ HRIS: 12.3 yrs, B.E, 3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69"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69" s="12" t="inlineStr">
        <is>
          <t>Nothing outstanding</t>
        </is>
      </c>
      <c r="AB6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3 direct reports.
From the survey and manager mapping — successor named: yes.
</t>
          </r>
          <r>
            <rPr>
              <rFont val="Calibri"/>
              <b val="1"/>
              <sz val="10"/>
            </rPr>
            <t>If the work is missed · role-holders' themes:</t>
          </r>
          <r>
            <rPr>
              <rFont val="Calibri"/>
              <sz val="10"/>
            </rPr>
            <t xml:space="preserve"> delays · rework · issues.
Manager talent mapping — Latest rating: 4 · Potential: Medium · 9-Box Grid placement: Core Contributor.</t>
          </r>
        </is>
      </c>
      <c r="AC69" s="82" t="n"/>
      <c r="AD69" s="82" t="n"/>
      <c r="AE69" s="82" t="n"/>
      <c r="AF69" s="12" t="n">
        <v>4.5</v>
      </c>
    </row>
    <row r="70" ht="379" customHeight="1">
      <c r="A70" s="12" t="inlineStr">
        <is>
          <t>IRIS1817</t>
        </is>
      </c>
      <c r="B70" s="10" t="inlineStr">
        <is>
          <t>Arpit Pagaria</t>
        </is>
      </c>
      <c r="C70" s="12" t="inlineStr">
        <is>
          <t>Technology</t>
        </is>
      </c>
      <c r="D70" s="12" t="inlineStr">
        <is>
          <t>Tech Lead</t>
        </is>
      </c>
      <c r="E70" s="78" t="inlineStr">
        <is>
          <t>Senior Technical Specialist – POD Lead</t>
        </is>
      </c>
      <c r="F70" s="12" t="inlineStr">
        <is>
          <t>Engineering &amp; Development</t>
        </is>
      </c>
      <c r="G70" s="12" t="inlineStr">
        <is>
          <t>Backend Development</t>
        </is>
      </c>
      <c r="H70" s="12" t="inlineStr">
        <is>
          <t>POD Lead</t>
        </is>
      </c>
      <c r="I70" s="42" t="inlineStr">
        <is>
          <t>L5 – Lead · IC</t>
        </is>
      </c>
      <c r="J70" s="20" t="inlineStr">
        <is>
          <t>B2</t>
        </is>
      </c>
      <c r="K70" s="21" t="inlineStr">
        <is>
          <t>Senior Specialist · POD Lead</t>
        </is>
      </c>
      <c r="L70" s="83" t="inlineStr">
        <is>
          <t>▼ Down · pay &amp; title protected</t>
        </is>
      </c>
      <c r="M70" s="12" t="inlineStr">
        <is>
          <t>iFile · Technology · Band B · Expert / POD Lead</t>
        </is>
      </c>
      <c r="N70" s="42" t="n">
        <v>4.5</v>
      </c>
      <c r="O70" s="42" t="n">
        <v>4.5</v>
      </c>
      <c r="P70" s="42" t="n">
        <v>4</v>
      </c>
      <c r="Q70" s="42" t="n">
        <v>4</v>
      </c>
      <c r="R70" s="42" t="n">
        <v>8</v>
      </c>
      <c r="S70" s="80" t="n">
        <v>4</v>
      </c>
      <c r="T70" s="81">
        <f>IF(OR($M70="",COUNT(N70,O70,P70,Q70,R70,S70)&lt;6),"",IFERROR(N70*INDEX(WM_C,MATCH($M70,WM_KEY,0))+O70*INDEX(WM_AU,MATCH($M70,WM_KEY,0))+P70*INDEX(WM_AC,MATCH($M70,WM_KEY,0))+Q70*INDEX(WM_L,MATCH($M70,WM_KEY,0))+R70*INDEX(WM_E,MATCH($M70,WM_KEY,0))+S70*INDEX(WM_BI,MATCH($M70,WM_KEY,0)),""))</f>
        <v>4.765</v>
      </c>
      <c r="U70" s="42" t="str">
        <f>IF(T70="","",INDEX({"A1","A2","A3","B1","B2","B3","C1","C2","D1","D2","E1","E2"},MAX(1,MIN(12,ROUND(T70,0)))))</f>
        <v>B2</v>
      </c>
      <c r="V70" s="12" t="inlineStr">
        <is>
          <r>
            <rPr>
              <rFont val="Calibri"/>
              <sz val="10"/>
            </rPr>
            <t xml:space="preserve">New level B2 · Senior Specialist · POD Lead. Current level on record: L5 – Lead · IC. Change: ▼ Down · pay &amp; title protected.
Score 4.77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70" s="12" t="inlineStr">
        <is>
          <r>
            <rPr>
              <rFont val="Calibri"/>
              <b val="1"/>
              <sz val="10"/>
            </rPr>
            <t>Complexity &amp; Expertise:</t>
          </r>
          <r>
            <rPr>
              <rFont val="Calibri"/>
              <sz val="10"/>
            </rPr>
            <t xml:space="preserve"> 4.5 of 12 · between B1 and B2 — Start: 5.0 · manager / senior specialist title; Evidence reads like B1: Solution design, system architecture and code review listed generically; no specific system or problem named → moved down 0.5; KRA: “1. Deliver team release roadmap on schedule: &gt;=90% of committed releases on time 2. Keep team sprint velocity stable and defect…”
</t>
          </r>
          <r>
            <rPr>
              <rFont val="Calibri"/>
              <b val="1"/>
              <sz val="10"/>
            </rPr>
            <t>Autonomy &amp; Decision:</t>
          </r>
          <r>
            <rPr>
              <rFont val="Calibri"/>
              <sz val="10"/>
            </rPr>
            <t xml:space="preserve"> 4.5 of 12 · between B1 and B2 — Start: 5.0 · manager / senior specialist title; Evidence reads like B1: Prioritises tasks, reviews code and resolves issues for the team → moved down 0.5
</t>
          </r>
          <r>
            <rPr>
              <rFont val="Calibri"/>
              <b val="1"/>
              <sz val="10"/>
            </rPr>
            <t>Accountability &amp; Impact:</t>
          </r>
          <r>
            <rPr>
              <rFont val="Calibri"/>
              <sz val="10"/>
            </rPr>
            <t xml:space="preserve"> 4 of 12 — Start: 4.5 · manager / senior specialist title; 3 direct reports; Evidence reads like B1: Accountable for on-time software delivery and outcomes of a three-person team → moved down 0.5; KRA: “1. Deliver team release roadmap on schedule: &gt;=90% of committed releases on time 2. Keep team sprint velocity stable and defect…”
</t>
          </r>
          <r>
            <rPr>
              <rFont val="Calibri"/>
              <b val="1"/>
              <sz val="10"/>
            </rPr>
            <t>Leadership &amp; Strategy:</t>
          </r>
          <r>
            <rPr>
              <rFont val="Calibri"/>
              <sz val="10"/>
            </rPr>
            <t xml:space="preserve"> 4 of 12 — Start: 4.0; Evidence reads like B1: Hands-on lead of three direct reports: team guidance and code review → matches the start; Team: 3 direct reports · POD Lead
</t>
          </r>
          <r>
            <rPr>
              <rFont val="Calibri"/>
              <b val="1"/>
              <sz val="10"/>
            </rPr>
            <t>Experience &amp; Qualification:</t>
          </r>
          <r>
            <rPr>
              <rFont val="Calibri"/>
              <sz val="10"/>
            </rPr>
            <t xml:space="preserve"> 8 of 12 — Experience: 15.2 yrs total · 8.3 before IRIS + 6.9 at IRIS = 8.2 on the experience scale; Qualification: B.Tech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70" s="12"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70" s="12" t="inlineStr">
        <is>
          <r>
            <rPr>
              <rFont val="Calibri"/>
              <sz val="10"/>
            </rPr>
            <t xml:space="preserve">✓ HRIS: 15.2 yrs, B.Tech, 3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70"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70" s="12" t="inlineStr">
        <is>
          <t>Nothing outstanding</t>
        </is>
      </c>
      <c r="AB70"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From the survey and manager mapping — successor named: yes.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5 · Potential: High · 9-Box Grid placement: Future Leader.</t>
          </r>
        </is>
      </c>
      <c r="AC70" s="82" t="n"/>
      <c r="AD70" s="82" t="n"/>
      <c r="AE70" s="82" t="n"/>
      <c r="AF70" s="12" t="n">
        <v>4</v>
      </c>
    </row>
    <row r="71" ht="379" customHeight="1">
      <c r="A71" s="12" t="inlineStr">
        <is>
          <t>IRIS0484</t>
        </is>
      </c>
      <c r="B71" s="10" t="inlineStr">
        <is>
          <t>Deepa Karmarkar</t>
        </is>
      </c>
      <c r="C71" s="12" t="inlineStr">
        <is>
          <t>Technology</t>
        </is>
      </c>
      <c r="D71" s="12" t="inlineStr">
        <is>
          <t>Lead Software Engineer</t>
        </is>
      </c>
      <c r="E71" s="12" t="inlineStr">
        <is>
          <t>Lead Software Engineer</t>
        </is>
      </c>
      <c r="F71" s="12" t="inlineStr">
        <is>
          <t>Engineering &amp; Development</t>
        </is>
      </c>
      <c r="G71" s="12" t="inlineStr">
        <is>
          <t>Backend Development</t>
        </is>
      </c>
      <c r="H71" s="12" t="inlineStr">
        <is>
          <t>IC</t>
        </is>
      </c>
      <c r="I71" s="42" t="inlineStr">
        <is>
          <t>L5 – Lead · IC</t>
        </is>
      </c>
      <c r="J71" s="20" t="inlineStr">
        <is>
          <t>B2</t>
        </is>
      </c>
      <c r="K71" s="21" t="inlineStr">
        <is>
          <t>Senior Specialist</t>
        </is>
      </c>
      <c r="L71" s="87" t="inlineStr">
        <is>
          <t>• Same level</t>
        </is>
      </c>
      <c r="M71" s="12" t="inlineStr">
        <is>
          <t>iFile · Technology · Band B · Expert / POD Lead</t>
        </is>
      </c>
      <c r="N71" s="42" t="n">
        <v>5</v>
      </c>
      <c r="O71" s="42" t="n">
        <v>5</v>
      </c>
      <c r="P71" s="42" t="n">
        <v>5</v>
      </c>
      <c r="Q71" s="42" t="n">
        <v>4</v>
      </c>
      <c r="R71" s="42" t="n">
        <v>9.5</v>
      </c>
      <c r="S71" s="80" t="n">
        <v>5.5</v>
      </c>
      <c r="T71" s="81">
        <f>IF(OR($M71="",COUNT(N71,O71,P71,Q71,R71,S71)&lt;6),"",IFERROR(N71*INDEX(WM_C,MATCH($M71,WM_KEY,0))+O71*INDEX(WM_AU,MATCH($M71,WM_KEY,0))+P71*INDEX(WM_AC,MATCH($M71,WM_KEY,0))+Q71*INDEX(WM_L,MATCH($M71,WM_KEY,0))+R71*INDEX(WM_E,MATCH($M71,WM_KEY,0))+S71*INDEX(WM_BI,MATCH($M71,WM_KEY,0)),""))</f>
        <v>5.435</v>
      </c>
      <c r="U71" s="42" t="str">
        <f>IF(T71="","",INDEX({"A1","A2","A3","B1","B2","B3","C1","C2","D1","D2","E1","E2"},MAX(1,MIN(12,ROUND(T71,0)))))</f>
        <v>B2</v>
      </c>
      <c r="V71" s="12" t="inlineStr">
        <is>
          <r>
            <rPr>
              <rFont val="Calibri"/>
              <sz val="10"/>
            </rPr>
            <t xml:space="preserve">New level B2 · Senior Specialist. Current level on record: L5 – Lead · IC. Change: • Same level.
Score 5.44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1" s="12" t="inlineStr">
        <is>
          <r>
            <rPr>
              <rFont val="Calibri"/>
              <b val="1"/>
              <sz val="10"/>
            </rPr>
            <t>Complexity &amp; Expertise:</t>
          </r>
          <r>
            <rPr>
              <rFont val="Calibri"/>
              <sz val="10"/>
            </rPr>
            <t xml:space="preserve"> 5 of 12 — Start: 6.0 · senior manager / lead specialist title; Evidence reads like B1: Technical impact analysis of each client change before developers; BRDs, user manuals, requirement gap-filling → moved down 1; KRA: “1. Own end-to-end technical delivery of assigned.NET modules with zero critical production defects 2. Provide architecture/design review &amp;…”
</t>
          </r>
          <r>
            <rPr>
              <rFont val="Calibri"/>
              <b val="1"/>
              <sz val="10"/>
            </rPr>
            <t>Autonomy &amp; Decision:</t>
          </r>
          <r>
            <rPr>
              <rFont val="Calibri"/>
              <sz val="10"/>
            </rPr>
            <t xml:space="preserve"> 5 of 12 — Start: 6.0 · senior manager / lead specialist title; Evidence reads like A3: Decides content of user stories and BRDs on own work → moved down 1
</t>
          </r>
          <r>
            <rPr>
              <rFont val="Calibri"/>
              <b val="1"/>
              <sz val="10"/>
            </rPr>
            <t>Accountability &amp; Impact:</t>
          </r>
          <r>
            <rPr>
              <rFont val="Calibri"/>
              <sz val="10"/>
            </rPr>
            <t xml:space="preserve"> 5 of 12 — Start: 6.0 · senior manager / lead specialist title; Evidence reads like A3: Scope maintenance and client acceptance criteria; errors cause wrong implementation and rework → moved down 1; KRA: “1. Own end-to-end technical delivery of assigned.NET modules with zero critical production defects 2. Provide architecture/design review &amp;…”
</t>
          </r>
          <r>
            <rPr>
              <rFont val="Calibri"/>
              <b val="1"/>
              <sz val="10"/>
            </rPr>
            <t>Leadership &amp; Strategy:</t>
          </r>
          <r>
            <rPr>
              <rFont val="Calibri"/>
              <sz val="10"/>
            </rPr>
            <t xml:space="preserve"> 4 of 12 — Start: 5.0 · individual contributor, so influence only; Evidence reads like A2: Explains requirements to development and testing teams; no people leadership → moved down 1; Team: 0 direct reports · IC
</t>
          </r>
          <r>
            <rPr>
              <rFont val="Calibri"/>
              <b val="1"/>
              <sz val="10"/>
            </rPr>
            <t>Experience &amp; Qualification:</t>
          </r>
          <r>
            <rPr>
              <rFont val="Calibri"/>
              <sz val="10"/>
            </rPr>
            <t xml:space="preserve"> 9.5 of 12 · between D1 and D2 — Experience: 19.9 yrs total · 4.1 before IRIS + 15.8 at IRIS = 9.7 on the experience scale; Qualification: B.E · graduate, relevant to the work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71" s="12"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71" s="12" t="inlineStr">
        <is>
          <r>
            <rPr>
              <rFont val="Calibri"/>
              <sz val="10"/>
            </rPr>
            <t xml:space="preserve">✓ HRIS: 19.9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71" s="84"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71" s="12" t="inlineStr">
        <is>
          <t>Nothing outstanding</t>
        </is>
      </c>
      <c r="AB71"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yes.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4 · Potential: Medium · 9-Box Grid placement: High Impact / Growth Talent.</t>
          </r>
        </is>
      </c>
      <c r="AC71" s="82" t="n"/>
      <c r="AD71" s="82" t="n"/>
      <c r="AE71" s="82" t="n"/>
      <c r="AF71" s="12" t="n">
        <v>5.5</v>
      </c>
    </row>
    <row r="72" ht="379" customHeight="1">
      <c r="A72" s="12" t="inlineStr">
        <is>
          <t>IRIS1476</t>
        </is>
      </c>
      <c r="B72" s="10" t="inlineStr">
        <is>
          <t>Himanshu Pawar</t>
        </is>
      </c>
      <c r="C72" s="12" t="inlineStr">
        <is>
          <t>Technology</t>
        </is>
      </c>
      <c r="D72" s="12" t="inlineStr">
        <is>
          <t>Lead Software Engineer</t>
        </is>
      </c>
      <c r="E72" s="12" t="inlineStr">
        <is>
          <t>Lead Software Engineer</t>
        </is>
      </c>
      <c r="F72" s="12" t="inlineStr">
        <is>
          <t>Engineering &amp; Development</t>
        </is>
      </c>
      <c r="G72" s="12" t="inlineStr">
        <is>
          <t>Backend Development</t>
        </is>
      </c>
      <c r="H72" s="12" t="inlineStr">
        <is>
          <t>IC</t>
        </is>
      </c>
      <c r="I72" s="42" t="inlineStr">
        <is>
          <t>L5 – Lead · IC</t>
        </is>
      </c>
      <c r="J72" s="20" t="inlineStr">
        <is>
          <t>B2</t>
        </is>
      </c>
      <c r="K72" s="21" t="inlineStr">
        <is>
          <t>Senior Specialist</t>
        </is>
      </c>
      <c r="L72" s="87" t="inlineStr">
        <is>
          <t>• Same level</t>
        </is>
      </c>
      <c r="M72" s="12" t="inlineStr">
        <is>
          <t>iFile · Technology · Band B · Expert / POD Lead</t>
        </is>
      </c>
      <c r="N72" s="42" t="n">
        <v>5</v>
      </c>
      <c r="O72" s="42" t="n">
        <v>5</v>
      </c>
      <c r="P72" s="42" t="n">
        <v>5.5</v>
      </c>
      <c r="Q72" s="42" t="n">
        <v>4.5</v>
      </c>
      <c r="R72" s="42" t="n">
        <v>8</v>
      </c>
      <c r="S72" s="80" t="n">
        <v>5.5</v>
      </c>
      <c r="T72" s="81">
        <f>IF(OR($M72="",COUNT(N72,O72,P72,Q72,R72,S72)&lt;6),"",IFERROR(N72*INDEX(WM_C,MATCH($M72,WM_KEY,0))+O72*INDEX(WM_AU,MATCH($M72,WM_KEY,0))+P72*INDEX(WM_AC,MATCH($M72,WM_KEY,0))+Q72*INDEX(WM_L,MATCH($M72,WM_KEY,0))+R72*INDEX(WM_E,MATCH($M72,WM_KEY,0))+S72*INDEX(WM_BI,MATCH($M72,WM_KEY,0)),""))</f>
        <v>5.335</v>
      </c>
      <c r="U72" s="42" t="str">
        <f>IF(T72="","",INDEX({"A1","A2","A3","B1","B2","B3","C1","C2","D1","D2","E1","E2"},MAX(1,MIN(12,ROUND(T72,0)))))</f>
        <v>B2</v>
      </c>
      <c r="V72" s="12" t="inlineStr">
        <is>
          <r>
            <rPr>
              <rFont val="Calibri"/>
              <sz val="10"/>
            </rPr>
            <t xml:space="preserve">New level B2 · Senior Specialist. Current level on record: L5 – Lead · IC. Change: • Same level.
Score 5.34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2" s="12" t="inlineStr">
        <is>
          <r>
            <rPr>
              <rFont val="Calibri"/>
              <b val="1"/>
              <sz val="10"/>
            </rPr>
            <t>Complexity &amp; Expertise:</t>
          </r>
          <r>
            <rPr>
              <rFont val="Calibri"/>
              <sz val="10"/>
            </rPr>
            <t xml:space="preserve"> 5 of 12 — Start: 6.0 · senior manager / lead specialist title; Evidence: rated like 8 colleagues in the same role and department · own answers too general to rate → moved −1.0; KRA: “1. Provide production support/Upgrade of SBC and Webform. 2. Work independently and complete tasks on time and guide team members. 3.…”
</t>
          </r>
          <r>
            <rPr>
              <rFont val="Calibri"/>
              <b val="1"/>
              <sz val="10"/>
            </rPr>
            <t>Autonomy &amp; Decision:</t>
          </r>
          <r>
            <rPr>
              <rFont val="Calibri"/>
              <sz val="10"/>
            </rPr>
            <t xml:space="preserve"> 5 of 12 — Start: 6.0 · senior manager / lead specialist title; Evidence: rated like 8 colleagues in the same role and department · own answers too general to rate → moved −1.0
</t>
          </r>
          <r>
            <rPr>
              <rFont val="Calibri"/>
              <b val="1"/>
              <sz val="10"/>
            </rPr>
            <t>Accountability &amp; Impact:</t>
          </r>
          <r>
            <rPr>
              <rFont val="Calibri"/>
              <sz val="10"/>
            </rPr>
            <t xml:space="preserve"> 5.5 of 12 · between B2 and B3 — Start: 6.0 · senior manager / lead specialist title; Evidence: rated like 8 colleagues in the same role and department · own answers too general to rate → moved −0.5; KRA: “1. Provide production support/Upgrade of SBC and Webform. 2. Work independently and complete tasks on time and guide team members. 3.…”
</t>
          </r>
          <r>
            <rPr>
              <rFont val="Calibri"/>
              <b val="1"/>
              <sz val="10"/>
            </rPr>
            <t>Leadership &amp; Strategy:</t>
          </r>
          <r>
            <rPr>
              <rFont val="Calibri"/>
              <sz val="10"/>
            </rPr>
            <t xml:space="preserve"> 4.5 of 12 · between B1 and B2 — Start: 5.0 · individual contributor, so influence only; Evidence: rated like 8 colleagues in the same role and department · own answers too general to rate → moved −0.5; Team: 0 direct reports · IC
</t>
          </r>
          <r>
            <rPr>
              <rFont val="Calibri"/>
              <b val="1"/>
              <sz val="10"/>
            </rPr>
            <t>Experience &amp; Qualification:</t>
          </r>
          <r>
            <rPr>
              <rFont val="Calibri"/>
              <sz val="10"/>
            </rPr>
            <t xml:space="preserve"> 8 of 12 — Experience: 14.1 yrs total · 2.0 before IRIS + 12.1 at IRIS = 7.8 on the experience scale; Qualification: B.E · graduate, relevant to the work → no change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72" s="12"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72" s="12" t="inlineStr">
        <is>
          <r>
            <rPr>
              <rFont val="Calibri"/>
              <sz val="10"/>
            </rPr>
            <t xml:space="preserve">✓ HRIS: 14.1 yrs, B.E, 0 direct reports
✓ Survey: 20 of 20 questions answered
✓ KRAs: quarterly
✓ Manager mapping: rating, potential, 9-box
✗ Job description: not on file
</t>
          </r>
          <r>
            <rPr>
              <rFont val="Calibri"/>
              <b val="1"/>
              <sz val="10"/>
            </rPr>
            <t>Confidence:</t>
          </r>
          <r>
            <rPr>
              <rFont val="Calibri"/>
              <sz val="10"/>
            </rPr>
            <t xml:space="preserve"> Low</t>
          </r>
        </is>
      </c>
      <c r="Z72" s="84"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72" s="86" t="inlineStr">
        <is>
          <t>• Confirm the reporting line — Manager</t>
        </is>
      </c>
      <c r="AB72"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3 · Potential: Medium · 9-Box Grid placement: Trusted Professional.</t>
          </r>
        </is>
      </c>
      <c r="AC72" s="82" t="n"/>
      <c r="AD72" s="82" t="n"/>
      <c r="AE72" s="82" t="n"/>
      <c r="AF72" s="12" t="n">
        <v>5.5</v>
      </c>
    </row>
    <row r="73" ht="379" customHeight="1">
      <c r="A73" s="12" t="inlineStr">
        <is>
          <t>IRIS2465</t>
        </is>
      </c>
      <c r="B73" s="10" t="inlineStr">
        <is>
          <t>Monisha Ubriani</t>
        </is>
      </c>
      <c r="C73" s="12" t="inlineStr">
        <is>
          <t>Technology</t>
        </is>
      </c>
      <c r="D73" s="12" t="inlineStr">
        <is>
          <t>Lead Software Engineer</t>
        </is>
      </c>
      <c r="E73" s="78" t="inlineStr">
        <is>
          <t>Senior Technical Specialist</t>
        </is>
      </c>
      <c r="F73" s="12" t="inlineStr">
        <is>
          <t>Engineering &amp; Development</t>
        </is>
      </c>
      <c r="G73" s="12" t="inlineStr">
        <is>
          <t>Backend Development</t>
        </is>
      </c>
      <c r="H73" s="12" t="inlineStr">
        <is>
          <t>IC</t>
        </is>
      </c>
      <c r="I73" s="42" t="inlineStr">
        <is>
          <t>L5 – Lead · IC</t>
        </is>
      </c>
      <c r="J73" s="20" t="inlineStr">
        <is>
          <t>B2</t>
        </is>
      </c>
      <c r="K73" s="21" t="inlineStr">
        <is>
          <t>Senior Specialist</t>
        </is>
      </c>
      <c r="L73" s="83" t="inlineStr">
        <is>
          <t>▼ Down · pay &amp; title protected</t>
        </is>
      </c>
      <c r="M73" s="12" t="inlineStr">
        <is>
          <t>iFile · Technology · Band B · Expert / POD Lead</t>
        </is>
      </c>
      <c r="N73" s="42" t="n">
        <v>5</v>
      </c>
      <c r="O73" s="42" t="n">
        <v>5</v>
      </c>
      <c r="P73" s="42" t="n">
        <v>5</v>
      </c>
      <c r="Q73" s="42" t="n">
        <v>4</v>
      </c>
      <c r="R73" s="42" t="n">
        <v>7</v>
      </c>
      <c r="S73" s="80" t="n">
        <v>5.5</v>
      </c>
      <c r="T73" s="81">
        <f>IF(OR($M73="",COUNT(N73,O73,P73,Q73,R73,S73)&lt;6),"",IFERROR(N73*INDEX(WM_C,MATCH($M73,WM_KEY,0))+O73*INDEX(WM_AU,MATCH($M73,WM_KEY,0))+P73*INDEX(WM_AC,MATCH($M73,WM_KEY,0))+Q73*INDEX(WM_L,MATCH($M73,WM_KEY,0))+R73*INDEX(WM_E,MATCH($M73,WM_KEY,0))+S73*INDEX(WM_BI,MATCH($M73,WM_KEY,0)),""))</f>
        <v>5.185</v>
      </c>
      <c r="U73" s="42" t="str">
        <f>IF(T73="","",INDEX({"A1","A2","A3","B1","B2","B3","C1","C2","D1","D2","E1","E2"},MAX(1,MIN(12,ROUND(T73,0)))))</f>
        <v>B2</v>
      </c>
      <c r="V73" s="12" t="inlineStr">
        <is>
          <r>
            <rPr>
              <rFont val="Calibri"/>
              <sz val="10"/>
            </rPr>
            <t xml:space="preserve">New level B2 · Senior Specialist. Current level on record: L5 – Lead · IC. Change: ▼ Down · pay &amp; title protected.
Score 5.19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73" s="12" t="inlineStr">
        <is>
          <r>
            <rPr>
              <rFont val="Calibri"/>
              <b val="1"/>
              <sz val="10"/>
            </rPr>
            <t>Complexity &amp; Expertise:</t>
          </r>
          <r>
            <rPr>
              <rFont val="Calibri"/>
              <sz val="10"/>
            </rPr>
            <t xml:space="preserve"> 5 of 12 — Start: 6.0 · senior manager / lead specialist title; Evidence reads like B1: Requirement analysis, process and solution design, test cases, code reviews, reusable AI skills → moved down 1; KRA: “1. Deliver committed sprint stories with &gt;=90% sprint commitment adherence across the year 2. Maintain code quality: defect leakage to…”
</t>
          </r>
          <r>
            <rPr>
              <rFont val="Calibri"/>
              <b val="1"/>
              <sz val="10"/>
            </rPr>
            <t>Autonomy &amp; Decision:</t>
          </r>
          <r>
            <rPr>
              <rFont val="Calibri"/>
              <sz val="10"/>
            </rPr>
            <t xml:space="preserve"> 5 of 12 — Start: 6.0 · senior manager / lead specialist title; Evidence reads like B1: Gives developers day-to-day direction; decides test coverage, defect priority, team's AI tooling use → moved down 1
</t>
          </r>
          <r>
            <rPr>
              <rFont val="Calibri"/>
              <b val="1"/>
              <sz val="10"/>
            </rPr>
            <t>Accountability &amp; Impact:</t>
          </r>
          <r>
            <rPr>
              <rFont val="Calibri"/>
              <sz val="10"/>
            </rPr>
            <t xml:space="preserve"> 5 of 12 — Start: 6.0 · senior manager / lead specialist title; Evidence reads like B1: Owns features end to end: requirement accuracy, design handed to developers, client commitments → moved down 1; KRA: “1. Deliver committed sprint stories with &gt;=90% sprint commitment adherence across the year 2. Maintain code quality: defect leakage to…”
</t>
          </r>
          <r>
            <rPr>
              <rFont val="Calibri"/>
              <b val="1"/>
              <sz val="10"/>
            </rPr>
            <t>Leadership &amp; Strategy:</t>
          </r>
          <r>
            <rPr>
              <rFont val="Calibri"/>
              <sz val="10"/>
            </rPr>
            <t xml:space="preserve"> 4 of 12 — Start: 5.0 · individual contributor, so influence only; Evidence reads like A3: Reviews code and builds; introduces AI-assisted working methods to the team → moved down 1; Team: 0 direct reports · IC
</t>
          </r>
          <r>
            <rPr>
              <rFont val="Calibri"/>
              <b val="1"/>
              <sz val="10"/>
            </rPr>
            <t>Experience &amp; Qualification:</t>
          </r>
          <r>
            <rPr>
              <rFont val="Calibri"/>
              <sz val="10"/>
            </rPr>
            <t xml:space="preserve"> 7 of 12 — Experience: 11.7 yrs total · 11.0 before IRIS + 0.7 at IRIS = 6.8 on the experience scale; Qualification: B.E · graduate, relevant to the work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73" s="12"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73" s="12" t="inlineStr">
        <is>
          <r>
            <rPr>
              <rFont val="Calibri"/>
              <sz val="10"/>
            </rPr>
            <t xml:space="preserve">✓ HRIS: 11.7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73"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73" s="12" t="inlineStr">
        <is>
          <t>Nothing outstanding</t>
        </is>
      </c>
      <c r="AB73"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4 · Potential: High · 9-Box Grid placement: High Impact / Growth Talent.</t>
          </r>
        </is>
      </c>
      <c r="AC73" s="82" t="n"/>
      <c r="AD73" s="82" t="n"/>
      <c r="AE73" s="82" t="n"/>
      <c r="AF73" s="12" t="n">
        <v>5.5</v>
      </c>
    </row>
    <row r="74" ht="379" customHeight="1">
      <c r="A74" s="12" t="inlineStr">
        <is>
          <t>IRIS2521</t>
        </is>
      </c>
      <c r="B74" s="10" t="inlineStr">
        <is>
          <t>Prasad Gavhane</t>
        </is>
      </c>
      <c r="C74" s="12" t="inlineStr">
        <is>
          <t>Technology</t>
        </is>
      </c>
      <c r="D74" s="12" t="inlineStr">
        <is>
          <t>Lead Software Engineer</t>
        </is>
      </c>
      <c r="E74" s="12" t="inlineStr">
        <is>
          <t>Lead Software Engineer</t>
        </is>
      </c>
      <c r="F74" s="12" t="inlineStr">
        <is>
          <t>Engineering &amp; Development</t>
        </is>
      </c>
      <c r="G74" s="12" t="inlineStr">
        <is>
          <t>Backend Development</t>
        </is>
      </c>
      <c r="H74" s="12" t="inlineStr">
        <is>
          <t>IC</t>
        </is>
      </c>
      <c r="I74" s="42" t="inlineStr">
        <is>
          <t>L5 – Lead · IC</t>
        </is>
      </c>
      <c r="J74" s="20" t="inlineStr">
        <is>
          <t>B2</t>
        </is>
      </c>
      <c r="K74" s="21" t="inlineStr">
        <is>
          <t>Senior Specialist</t>
        </is>
      </c>
      <c r="L74" s="87" t="inlineStr">
        <is>
          <t>• Same level</t>
        </is>
      </c>
      <c r="M74" s="12" t="inlineStr">
        <is>
          <t>iFile · Technology · Band B · Expert / POD Lead</t>
        </is>
      </c>
      <c r="N74" s="42" t="n">
        <v>5</v>
      </c>
      <c r="O74" s="42" t="n">
        <v>5.5</v>
      </c>
      <c r="P74" s="42" t="n">
        <v>5.5</v>
      </c>
      <c r="Q74" s="42" t="n">
        <v>4.5</v>
      </c>
      <c r="R74" s="42" t="n">
        <v>7</v>
      </c>
      <c r="S74" s="80" t="n">
        <v>6</v>
      </c>
      <c r="T74" s="81">
        <f>IF(OR($M74="",COUNT(N74,O74,P74,Q74,R74,S74)&lt;6),"",IFERROR(N74*INDEX(WM_C,MATCH($M74,WM_KEY,0))+O74*INDEX(WM_AU,MATCH($M74,WM_KEY,0))+P74*INDEX(WM_AC,MATCH($M74,WM_KEY,0))+Q74*INDEX(WM_L,MATCH($M74,WM_KEY,0))+R74*INDEX(WM_E,MATCH($M74,WM_KEY,0))+S74*INDEX(WM_BI,MATCH($M74,WM_KEY,0)),""))</f>
        <v>5.355</v>
      </c>
      <c r="U74" s="42" t="str">
        <f>IF(T74="","",INDEX({"A1","A2","A3","B1","B2","B3","C1","C2","D1","D2","E1","E2"},MAX(1,MIN(12,ROUND(T74,0)))))</f>
        <v>B2</v>
      </c>
      <c r="V74" s="12" t="inlineStr">
        <is>
          <r>
            <rPr>
              <rFont val="Calibri"/>
              <sz val="10"/>
            </rPr>
            <t xml:space="preserve">New level B2 · Senior Specialist. Current level on record: L5 – Lead · IC. Change: • Same level.
Score 5.36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4" s="12" t="inlineStr">
        <is>
          <r>
            <rPr>
              <rFont val="Calibri"/>
              <b val="1"/>
              <sz val="10"/>
            </rPr>
            <t>Complexity &amp; Expertise:</t>
          </r>
          <r>
            <rPr>
              <rFont val="Calibri"/>
              <sz val="10"/>
            </rPr>
            <t xml:space="preserve"> 5 of 12 — Start: 6.0 · senior manager / lead specialist title; Evidence reads like B1: Overall solution design for the Risk-Based Supervision product; regulatory domain plus data and analytics → moved down 1; KRA: “1. Deliver committed sprint stories with &gt;=90% sprint commitment adherence across the year 2. Maintain code quality: defect leakage to…”
</t>
          </r>
          <r>
            <rPr>
              <rFont val="Calibri"/>
              <b val="1"/>
              <sz val="10"/>
            </rPr>
            <t>Autonomy &amp; Decision:</t>
          </r>
          <r>
            <rPr>
              <rFont val="Calibri"/>
              <sz val="10"/>
            </rPr>
            <t xml:space="preserve"> 5.5 of 12 · between B2 and B3 — Start: 6.0 · senior manager / lead specialist title; Evidence reads like B2: Decides solution design, technical approach, and how work is prioritised and assigned within team → moved down 0.5
</t>
          </r>
          <r>
            <rPr>
              <rFont val="Calibri"/>
              <b val="1"/>
              <sz val="10"/>
            </rPr>
            <t>Accountability &amp; Impact:</t>
          </r>
          <r>
            <rPr>
              <rFont val="Calibri"/>
              <sz val="10"/>
            </rPr>
            <t xml:space="preserve"> 5.5 of 12 · between B2 and B3 — Start: 6.0 · senior manager / lead specialist title; Evidence reads like B2: own survey / KRA answers · summarised by the rater; not quoted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4.5 of 12 · between B1 and B2 — Start: 5.0 · individual contributor, so influence only; Evidence reads like B1: Leads the RBS product team; 0 reports and manager KRAs list individual sprint work → moved down 0.5; Team: 0 direct reports · IC
</t>
          </r>
          <r>
            <rPr>
              <rFont val="Calibri"/>
              <b val="1"/>
              <sz val="10"/>
            </rPr>
            <t>Experience &amp; Qualification:</t>
          </r>
          <r>
            <rPr>
              <rFont val="Calibri"/>
              <sz val="10"/>
            </rPr>
            <t xml:space="preserve"> 7 of 12 — Experience: 11.9 yrs total · 11.5 before IRIS + 0.4 at IRIS = 7.0 on the experience scale; Qualification: B.E · graduate, relevant to the work → no change
</t>
          </r>
          <r>
            <rPr>
              <rFont val="Calibri"/>
              <b val="1"/>
              <sz val="10"/>
            </rPr>
            <t>Business Impact:</t>
          </r>
          <r>
            <rPr>
              <rFont val="Calibri"/>
              <sz val="10"/>
            </rPr>
            <t xml:space="preserve"> 6 of 12 — a starting estimate. —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r>
        </is>
      </c>
      <c r="X74" s="12"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74" s="12" t="inlineStr">
        <is>
          <r>
            <rPr>
              <rFont val="Calibri"/>
              <sz val="10"/>
            </rPr>
            <t xml:space="preserve">✓ HRIS: 11.9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74" s="84"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74" s="86" t="inlineStr">
        <is>
          <t>• Confirm the reporting line — Manager</t>
        </is>
      </c>
      <c r="AB74"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From the survey and manager mapping — critical role: yes; successor named: no.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4 · Potential: High · 9-Box Grid placement: Trusted Professional.</t>
          </r>
        </is>
      </c>
      <c r="AC74" s="82" t="n"/>
      <c r="AD74" s="82" t="n"/>
      <c r="AE74" s="82" t="n"/>
      <c r="AF74" s="12" t="n">
        <v>6</v>
      </c>
    </row>
    <row r="75" ht="379" customHeight="1">
      <c r="A75" s="12" t="inlineStr">
        <is>
          <t>IRIS1804</t>
        </is>
      </c>
      <c r="B75" s="10" t="inlineStr">
        <is>
          <t>Sagar Jadhav</t>
        </is>
      </c>
      <c r="C75" s="12" t="inlineStr">
        <is>
          <t>Technology</t>
        </is>
      </c>
      <c r="D75" s="12" t="inlineStr">
        <is>
          <t>Lead Software Engineer</t>
        </is>
      </c>
      <c r="E75" s="78" t="inlineStr">
        <is>
          <t>Engineering Manager</t>
        </is>
      </c>
      <c r="F75" s="12" t="inlineStr">
        <is>
          <t>Engineering &amp; Development</t>
        </is>
      </c>
      <c r="G75" s="12" t="inlineStr">
        <is>
          <t>Full-Stack Development</t>
        </is>
      </c>
      <c r="H75" s="12" t="inlineStr">
        <is>
          <t>People Manager</t>
        </is>
      </c>
      <c r="I75" s="42" t="inlineStr">
        <is>
          <t>L5 – Lead · IC</t>
        </is>
      </c>
      <c r="J75" s="20" t="inlineStr">
        <is>
          <t>B2</t>
        </is>
      </c>
      <c r="K75" s="21" t="inlineStr">
        <is>
          <t>Manager</t>
        </is>
      </c>
      <c r="L75" s="83" t="inlineStr">
        <is>
          <t>▼ Down · pay &amp; title protected</t>
        </is>
      </c>
      <c r="M75" s="12" t="inlineStr">
        <is>
          <t>iFile · Technology · Band B · People Manager</t>
        </is>
      </c>
      <c r="N75" s="42" t="n">
        <v>5</v>
      </c>
      <c r="O75" s="42" t="n">
        <v>5</v>
      </c>
      <c r="P75" s="42" t="n">
        <v>4.5</v>
      </c>
      <c r="Q75" s="42" t="n">
        <v>4.5</v>
      </c>
      <c r="R75" s="42" t="n">
        <v>7.5</v>
      </c>
      <c r="S75" s="80" t="n">
        <v>5</v>
      </c>
      <c r="T75" s="81">
        <f>IF(OR($M75="",COUNT(N75,O75,P75,Q75,R75,S75)&lt;6),"",IFERROR(N75*INDEX(WM_C,MATCH($M75,WM_KEY,0))+O75*INDEX(WM_AU,MATCH($M75,WM_KEY,0))+P75*INDEX(WM_AC,MATCH($M75,WM_KEY,0))+Q75*INDEX(WM_L,MATCH($M75,WM_KEY,0))+R75*INDEX(WM_E,MATCH($M75,WM_KEY,0))+S75*INDEX(WM_BI,MATCH($M75,WM_KEY,0)),""))</f>
        <v>5.145</v>
      </c>
      <c r="U75" s="42" t="str">
        <f>IF(T75="","",INDEX({"A1","A2","A3","B1","B2","B3","C1","C2","D1","D2","E1","E2"},MAX(1,MIN(12,ROUND(T75,0)))))</f>
        <v>B2</v>
      </c>
      <c r="V75" s="12" t="inlineStr">
        <is>
          <r>
            <rPr>
              <rFont val="Calibri"/>
              <sz val="10"/>
            </rPr>
            <t xml:space="preserve">New level B2 · Manager. Current level on record: L5 – Lead · IC. Change: ▼ Down · pay &amp; title protected.
Score 5.14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75" s="12" t="inlineStr">
        <is>
          <r>
            <rPr>
              <rFont val="Calibri"/>
              <b val="1"/>
              <sz val="10"/>
            </rPr>
            <t>Complexity &amp; Expertise:</t>
          </r>
          <r>
            <rPr>
              <rFont val="Calibri"/>
              <sz val="10"/>
            </rPr>
            <t xml:space="preserve"> 5 of 12 — Start: 6.0 · senior manager / lead specialist title; Evidence: rated like 8 colleagues in the same role and department · own answers too general to rate → moved −1.0; KRA: “1. Deliver team release roadmap on schedule: &gt;=90% of committed releases on time 2. Keep team sprint velocity stable and defect…”
</t>
          </r>
          <r>
            <rPr>
              <rFont val="Calibri"/>
              <b val="1"/>
              <sz val="10"/>
            </rPr>
            <t>Autonomy &amp; Decision:</t>
          </r>
          <r>
            <rPr>
              <rFont val="Calibri"/>
              <sz val="10"/>
            </rPr>
            <t xml:space="preserve"> 5 of 12 — Start: 6.0 · senior manager / lead specialist title; Evidence: rated like 8 colleagues in the same role and department · own answers too general to rate → moved −1.0
</t>
          </r>
          <r>
            <rPr>
              <rFont val="Calibri"/>
              <b val="1"/>
              <sz val="10"/>
            </rPr>
            <t>Accountability &amp; Impact:</t>
          </r>
          <r>
            <rPr>
              <rFont val="Calibri"/>
              <sz val="10"/>
            </rPr>
            <t xml:space="preserve"> 4.5 of 12 · between B1 and B2 — Start: 5.0 · senior manager / lead specialist title; 5 direct reports; Evidence: rated like 8 colleagues in the same role and department · own answers too general to rate → moved −0.5; KRA: “1. Deliver team release roadmap on schedule: &gt;=90% of committed releases on time 2. Keep team sprint velocity stable and defect…”
</t>
          </r>
          <r>
            <rPr>
              <rFont val="Calibri"/>
              <b val="1"/>
              <sz val="10"/>
            </rPr>
            <t>Leadership &amp; Strategy:</t>
          </r>
          <r>
            <rPr>
              <rFont val="Calibri"/>
              <sz val="10"/>
            </rPr>
            <t xml:space="preserve"> 4.5 of 12 · between B1 and B2 — Start: 5.0; Evidence: rated like 8 colleagues in the same role and department · own answers too general to rate → moved −0.5; Team: 5 direct reports · People Manager
</t>
          </r>
          <r>
            <rPr>
              <rFont val="Calibri"/>
              <b val="1"/>
              <sz val="10"/>
            </rPr>
            <t>Experience &amp; Qualification:</t>
          </r>
          <r>
            <rPr>
              <rFont val="Calibri"/>
              <sz val="10"/>
            </rPr>
            <t xml:space="preserve"> 7.5 of 12 · between C1 and C2 — Experience: 13.1 yrs total · 6.0 before IRIS + 7.1 at IRIS = 7.4 on the experience scale; Qualification: B.E · graduate, relevant to the work → no change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75"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75" s="12" t="inlineStr">
        <is>
          <r>
            <rPr>
              <rFont val="Calibri"/>
              <sz val="10"/>
            </rPr>
            <t xml:space="preserve">✓ HRIS: 13.1 yrs, B.E, 5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75"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75" s="12" t="inlineStr">
        <is>
          <t>Nothing outstanding</t>
        </is>
      </c>
      <c r="AB75"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5 direct reports.
From the survey and manager mapping — critical role: yes; successor named: no.
</t>
          </r>
          <r>
            <rPr>
              <rFont val="Calibri"/>
              <b val="1"/>
              <sz val="10"/>
            </rPr>
            <t>If the work is missed · role-holders' themes:</t>
          </r>
          <r>
            <rPr>
              <rFont val="Calibri"/>
              <sz val="10"/>
            </rPr>
            <t xml:space="preserve"> delays · rework · issues.
Manager talent mapping — Latest rating: 4 · Potential: High · 9-Box Grid placement: High Impact / Growth Talent.</t>
          </r>
        </is>
      </c>
      <c r="AC75" s="82" t="n"/>
      <c r="AD75" s="82" t="n"/>
      <c r="AE75" s="82" t="n"/>
      <c r="AF75" s="12" t="n">
        <v>5</v>
      </c>
    </row>
    <row r="76" ht="379" customHeight="1">
      <c r="A76" s="12" t="inlineStr">
        <is>
          <t>IRIS2296</t>
        </is>
      </c>
      <c r="B76" s="10" t="inlineStr">
        <is>
          <t>Deepa Vaman Shinde</t>
        </is>
      </c>
      <c r="C76" s="12" t="inlineStr">
        <is>
          <t>Technology</t>
        </is>
      </c>
      <c r="D76" s="12" t="inlineStr">
        <is>
          <t>Project Manager</t>
        </is>
      </c>
      <c r="E76" s="12" t="inlineStr">
        <is>
          <t>Project Manager</t>
        </is>
      </c>
      <c r="F76" s="12" t="inlineStr">
        <is>
          <t>Project &amp; Program Management</t>
        </is>
      </c>
      <c r="G76" s="12" t="inlineStr">
        <is>
          <t>Project &amp; Program Delivery</t>
        </is>
      </c>
      <c r="H76" s="12" t="inlineStr">
        <is>
          <t>IC</t>
        </is>
      </c>
      <c r="I76" s="42" t="inlineStr">
        <is>
          <t>L5 – Manager</t>
        </is>
      </c>
      <c r="J76" s="20" t="inlineStr">
        <is>
          <t>B2</t>
        </is>
      </c>
      <c r="K76" s="21" t="inlineStr">
        <is>
          <t>Senior Specialist</t>
        </is>
      </c>
      <c r="L76" s="87" t="inlineStr">
        <is>
          <t>• Same level</t>
        </is>
      </c>
      <c r="M76" s="12" t="inlineStr">
        <is>
          <t>iFile · Technology · Band B · Expert / POD Lead</t>
        </is>
      </c>
      <c r="N76" s="42" t="n">
        <v>4.5</v>
      </c>
      <c r="O76" s="42" t="n">
        <v>4.5</v>
      </c>
      <c r="P76" s="42" t="n">
        <v>5</v>
      </c>
      <c r="Q76" s="42" t="n">
        <v>3.5</v>
      </c>
      <c r="R76" s="42" t="n">
        <v>8</v>
      </c>
      <c r="S76" s="80" t="n">
        <v>5</v>
      </c>
      <c r="T76" s="81">
        <f>IF(OR($M76="",COUNT(N76,O76,P76,Q76,R76,S76)&lt;6),"",IFERROR(N76*INDEX(WM_C,MATCH($M76,WM_KEY,0))+O76*INDEX(WM_AU,MATCH($M76,WM_KEY,0))+P76*INDEX(WM_AC,MATCH($M76,WM_KEY,0))+Q76*INDEX(WM_L,MATCH($M76,WM_KEY,0))+R76*INDEX(WM_E,MATCH($M76,WM_KEY,0))+S76*INDEX(WM_BI,MATCH($M76,WM_KEY,0)),""))</f>
        <v>4.86</v>
      </c>
      <c r="U76" s="42" t="str">
        <f>IF(T76="","",INDEX({"A1","A2","A3","B1","B2","B3","C1","C2","D1","D2","E1","E2"},MAX(1,MIN(12,ROUND(T76,0)))))</f>
        <v>B2</v>
      </c>
      <c r="V76" s="12" t="inlineStr">
        <is>
          <r>
            <rPr>
              <rFont val="Calibri"/>
              <sz val="10"/>
            </rPr>
            <t xml:space="preserve">New level B2 · Senior Specialist. Current level on record: L5 – Manager. Change: • Same level.
Score 4.86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6" s="12" t="inlineStr">
        <is>
          <r>
            <rPr>
              <rFont val="Calibri"/>
              <b val="1"/>
              <sz val="10"/>
            </rPr>
            <t>Complexity &amp; Expertise:</t>
          </r>
          <r>
            <rPr>
              <rFont val="Calibri"/>
              <sz val="10"/>
            </rPr>
            <t xml:space="preserve"> 4.5 of 12 · between B1 and B2 — Start: 5.0 · manager / senior specialist title; Evidence reads like A3: Project planning with evolving requirements; almost no detail → moved down 0.5; KRA: “1. QFCRA upgrade project Proactive communicaions and stakeholder management as per projects requirements Completion of project activities…”
</t>
          </r>
          <r>
            <rPr>
              <rFont val="Calibri"/>
              <b val="1"/>
              <sz val="10"/>
            </rPr>
            <t>Autonomy &amp; Decision:</t>
          </r>
          <r>
            <rPr>
              <rFont val="Calibri"/>
              <sz val="10"/>
            </rPr>
            <t xml:space="preserve"> 4.5 of 12 · between B1 and B2 — Start: 5.0 · manager / senior specialist title; Evidence reads like B1: Decides on tasks, risks and delivery; nothing more specific → moved down 0.5
</t>
          </r>
          <r>
            <rPr>
              <rFont val="Calibri"/>
              <b val="1"/>
              <sz val="10"/>
            </rPr>
            <t>Accountability &amp; Impact:</t>
          </r>
          <r>
            <rPr>
              <rFont val="Calibri"/>
              <sz val="10"/>
            </rPr>
            <t xml:space="preserve"> 5 of 12 — Start: 5.0 · manager / senior specialist title; Evidence reads like B2: On-time delivery, budget, scope and quality of the project → matches the start; KRA: “1. QFCRA upgrade project Proactive communicaions and stakeholder management as per projects requirements Completion of project activities…”
</t>
          </r>
          <r>
            <rPr>
              <rFont val="Calibri"/>
              <b val="1"/>
              <sz val="10"/>
            </rPr>
            <t>Leadership &amp; Strategy:</t>
          </r>
          <r>
            <rPr>
              <rFont val="Calibri"/>
              <sz val="10"/>
            </rPr>
            <t xml:space="preserve"> 3.5 of 12 · between A3 and B1 — Start: 4.0 · individual contributor, so influence only; Evidence reads like A2: No people leadership described; stakeholder management only; 0 reports → moved down 0.5; Team: 0 direct reports · IC
</t>
          </r>
          <r>
            <rPr>
              <rFont val="Calibri"/>
              <b val="1"/>
              <sz val="10"/>
            </rPr>
            <t>Experience &amp; Qualification:</t>
          </r>
          <r>
            <rPr>
              <rFont val="Calibri"/>
              <sz val="10"/>
            </rPr>
            <t xml:space="preserve"> 8 of 12 — Experience: 14.7 yrs total · 12.5 before IRIS + 2.2 at IRIS = 8.1 on the experience scale; Qualification: B.E · graduate, relevant to the work → no change
</t>
          </r>
          <r>
            <rPr>
              <rFont val="Calibri"/>
              <b val="1"/>
              <sz val="10"/>
            </rPr>
            <t>Business Impact:</t>
          </r>
          <r>
            <rPr>
              <rFont val="Calibri"/>
              <sz val="10"/>
            </rPr>
            <t xml:space="preserve"> 5 of 12 — a starting estimate. — Start: 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t>
          </r>
        </is>
      </c>
      <c r="X76" s="12" t="inlineStr">
        <is>
          <r>
            <rPr>
              <rFont val="Calibri"/>
              <b val="1"/>
              <sz val="10"/>
            </rPr>
            <t>Market level:</t>
          </r>
          <r>
            <rPr>
              <rFont val="Calibri"/>
              <sz val="10"/>
            </rPr>
            <t xml:space="preserve"> P4 / M3 · SFIA 4–5
</t>
          </r>
          <r>
            <rPr>
              <rFont val="Calibri"/>
              <b val="1"/>
              <sz val="10"/>
            </rPr>
            <t>Typical title:</t>
          </r>
          <r>
            <rPr>
              <rFont val="Calibri"/>
              <sz val="10"/>
            </rPr>
            <t xml:space="preserve"> Senior Project / Program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76" s="12" t="inlineStr">
        <is>
          <r>
            <rPr>
              <rFont val="Calibri"/>
              <sz val="10"/>
            </rPr>
            <t xml:space="preserve">✓ HRIS: 14.7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76" s="84"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76" s="12" t="inlineStr">
        <is>
          <t>Nothing outstanding</t>
        </is>
      </c>
      <c r="AB7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no; successor named: no.
</t>
          </r>
          <r>
            <rPr>
              <rFont val="Calibri"/>
              <b val="1"/>
              <sz val="10"/>
            </rPr>
            <t>If the work is missed · role-holders' themes:</t>
          </r>
          <r>
            <rPr>
              <rFont val="Calibri"/>
              <sz val="10"/>
            </rPr>
            <t xml:space="preserve"> client · delivery · delays · project.
Manager talent mapping — Latest rating: 3 · Potential: Medium · 9-Box Grid placement: Reliable Specialist.</t>
          </r>
        </is>
      </c>
      <c r="AC76" s="82" t="n"/>
      <c r="AD76" s="82" t="n"/>
      <c r="AE76" s="82" t="n"/>
      <c r="AF76" s="12" t="n">
        <v>5</v>
      </c>
    </row>
    <row r="77" ht="379" customHeight="1">
      <c r="A77" s="12" t="inlineStr">
        <is>
          <t>IRIS2366</t>
        </is>
      </c>
      <c r="B77" s="10" t="inlineStr">
        <is>
          <t>Jailesh Bhadra</t>
        </is>
      </c>
      <c r="C77" s="12" t="inlineStr">
        <is>
          <t>Technology</t>
        </is>
      </c>
      <c r="D77" s="12" t="inlineStr">
        <is>
          <t>Project Manager</t>
        </is>
      </c>
      <c r="E77" s="12" t="inlineStr">
        <is>
          <t>Project Manager</t>
        </is>
      </c>
      <c r="F77" s="12" t="inlineStr">
        <is>
          <t>Project &amp; Program Management</t>
        </is>
      </c>
      <c r="G77" s="12" t="inlineStr">
        <is>
          <t>Project &amp; Program Delivery</t>
        </is>
      </c>
      <c r="H77" s="12" t="inlineStr">
        <is>
          <t>People Manager</t>
        </is>
      </c>
      <c r="I77" s="42" t="inlineStr">
        <is>
          <t>L5 – Manager</t>
        </is>
      </c>
      <c r="J77" s="20" t="inlineStr">
        <is>
          <t>B2</t>
        </is>
      </c>
      <c r="K77" s="21" t="inlineStr">
        <is>
          <t>Manager</t>
        </is>
      </c>
      <c r="L77" s="87" t="inlineStr">
        <is>
          <t>• Same level</t>
        </is>
      </c>
      <c r="M77" s="12" t="inlineStr">
        <is>
          <t>iFile · Technology · Band B · People Manager</t>
        </is>
      </c>
      <c r="N77" s="42" t="n">
        <v>4.5</v>
      </c>
      <c r="O77" s="42" t="n">
        <v>4.5</v>
      </c>
      <c r="P77" s="42" t="n">
        <v>5.5</v>
      </c>
      <c r="Q77" s="42" t="n">
        <v>5.5</v>
      </c>
      <c r="R77" s="42" t="n">
        <v>7</v>
      </c>
      <c r="S77" s="80" t="n">
        <v>6</v>
      </c>
      <c r="T77" s="81">
        <f>IF(OR($M77="",COUNT(N77,O77,P77,Q77,R77,S77)&lt;6),"",IFERROR(N77*INDEX(WM_C,MATCH($M77,WM_KEY,0))+O77*INDEX(WM_AU,MATCH($M77,WM_KEY,0))+P77*INDEX(WM_AC,MATCH($M77,WM_KEY,0))+Q77*INDEX(WM_L,MATCH($M77,WM_KEY,0))+R77*INDEX(WM_E,MATCH($M77,WM_KEY,0))+S77*INDEX(WM_BI,MATCH($M77,WM_KEY,0)),""))</f>
        <v>5.095</v>
      </c>
      <c r="U77" s="42" t="str">
        <f>IF(T77="","",INDEX({"A1","A2","A3","B1","B2","B3","C1","C2","D1","D2","E1","E2"},MAX(1,MIN(12,ROUND(T77,0)))))</f>
        <v>B2</v>
      </c>
      <c r="V77" s="12" t="inlineStr">
        <is>
          <r>
            <rPr>
              <rFont val="Calibri"/>
              <sz val="10"/>
            </rPr>
            <t xml:space="preserve">New level B2 · Manager. Current level on record: L5 – Manager. Change: • Same level.
Score 5.09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7" s="12" t="inlineStr">
        <is>
          <r>
            <rPr>
              <rFont val="Calibri"/>
              <b val="1"/>
              <sz val="10"/>
            </rPr>
            <t>Complexity &amp; Expertise:</t>
          </r>
          <r>
            <rPr>
              <rFont val="Calibri"/>
              <sz val="10"/>
            </rPr>
            <t xml:space="preserve"> 4.5 of 12 · between B1 and B2 — Start: 5.0 · manager / senior specialist title; Evidence reads like A3: Client onboarding on the application, documentation, status reporting, sprint ceremonies → moved down 0.5; KRA: “1. Consulting/Business Analysis Gain deeper level knowledge of SupTech Domain. Research on financial domain regulations and various…”
</t>
          </r>
          <r>
            <rPr>
              <rFont val="Calibri"/>
              <b val="1"/>
              <sz val="10"/>
            </rPr>
            <t>Autonomy &amp; Decision:</t>
          </r>
          <r>
            <rPr>
              <rFont val="Calibri"/>
              <sz val="10"/>
            </rPr>
            <t xml:space="preserve"> 4.5 of 12 · between B1 and B2 — Start: 5.0 · manager / senior specialist title; Evidence reads like A3: Handles team's tasks; independently decides only status reports → moved down 0.5
</t>
          </r>
          <r>
            <rPr>
              <rFont val="Calibri"/>
              <b val="1"/>
              <sz val="10"/>
            </rPr>
            <t>Accountability &amp; Impact:</t>
          </r>
          <r>
            <rPr>
              <rFont val="Calibri"/>
              <sz val="10"/>
            </rPr>
            <t xml:space="preserve"> 5.5 of 12 · between B2 and B3 — Start: 6.0 · manager / senior specialist title; 7 direct reports, 11 people below, 1 of them leads a team; Evidence reads like B1: UAT closures; team's tasks; documentation and status outputs → moved down 0.5; KRA: “1. Consulting/Business Analysis Gain deeper level knowledge of SupTech Domain. Research on financial domain regulations and various…”
</t>
          </r>
          <r>
            <rPr>
              <rFont val="Calibri"/>
              <b val="1"/>
              <sz val="10"/>
            </rPr>
            <t>Leadership &amp; Strategy:</t>
          </r>
          <r>
            <rPr>
              <rFont val="Calibri"/>
              <sz val="10"/>
            </rPr>
            <t xml:space="preserve"> 5.5 of 12 · between B2 and B3 — Start: 6.0; Evidence reads like B2: Team management listed; 7 direct reports → moved down 0.5; Team: 7 direct reports · People Manager
</t>
          </r>
          <r>
            <rPr>
              <rFont val="Calibri"/>
              <b val="1"/>
              <sz val="10"/>
            </rPr>
            <t>Experience &amp; Qualification:</t>
          </r>
          <r>
            <rPr>
              <rFont val="Calibri"/>
              <sz val="10"/>
            </rPr>
            <t xml:space="preserve"> 7 of 12 — Experience: 11.5 yrs total · 10.0 before IRIS + 1.5 at IRIS = 6.8 on the experience scale; Qualification: B.E · graduate, relevant to the work → no change
</t>
          </r>
          <r>
            <rPr>
              <rFont val="Calibri"/>
              <b val="1"/>
              <sz val="10"/>
            </rPr>
            <t>Business Impact:</t>
          </r>
          <r>
            <rPr>
              <rFont val="Calibri"/>
              <sz val="10"/>
            </rPr>
            <t xml:space="preserve"> 6 of 12 — a starting estimate. —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r>
        </is>
      </c>
      <c r="X77"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77" s="12" t="inlineStr">
        <is>
          <r>
            <rPr>
              <rFont val="Calibri"/>
              <sz val="10"/>
            </rPr>
            <t xml:space="preserve">✓ HRIS: 11.5 yrs, B.E, 7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77" s="12" t="inlineStr">
        <is>
          <t>—</t>
        </is>
      </c>
      <c r="AA77" s="12" t="inlineStr">
        <is>
          <t>Nothing outstanding</t>
        </is>
      </c>
      <c r="AB7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7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4 · Potential: High · 9-Box Grid placement: High Impact / Growth Talent.</t>
          </r>
        </is>
      </c>
      <c r="AC77" s="82" t="n"/>
      <c r="AD77" s="82" t="n"/>
      <c r="AE77" s="82" t="n"/>
      <c r="AF77" s="12" t="n">
        <v>6</v>
      </c>
    </row>
    <row r="78" ht="379" customHeight="1">
      <c r="A78" s="12" t="inlineStr">
        <is>
          <t>IRIS2118</t>
        </is>
      </c>
      <c r="B78" s="10" t="inlineStr">
        <is>
          <t>Kimaya Mundlye</t>
        </is>
      </c>
      <c r="C78" s="12" t="inlineStr">
        <is>
          <t>Technology</t>
        </is>
      </c>
      <c r="D78" s="12" t="inlineStr">
        <is>
          <t>Project Lead</t>
        </is>
      </c>
      <c r="E78" s="78" t="inlineStr">
        <is>
          <t>Delivery Manager</t>
        </is>
      </c>
      <c r="F78" s="12" t="inlineStr">
        <is>
          <t>Project &amp; Program Management</t>
        </is>
      </c>
      <c r="G78" s="12" t="inlineStr">
        <is>
          <t>Project &amp; Program Delivery</t>
        </is>
      </c>
      <c r="H78" s="12" t="inlineStr">
        <is>
          <t>People Manager</t>
        </is>
      </c>
      <c r="I78" s="42" t="inlineStr">
        <is>
          <t>L5 – Lead · IC</t>
        </is>
      </c>
      <c r="J78" s="20" t="inlineStr">
        <is>
          <t>B2</t>
        </is>
      </c>
      <c r="K78" s="21" t="inlineStr">
        <is>
          <t>Manager</t>
        </is>
      </c>
      <c r="L78" s="87" t="inlineStr">
        <is>
          <t>• Same level</t>
        </is>
      </c>
      <c r="M78" s="12" t="inlineStr">
        <is>
          <t>iFile · Technology · Band B · People Manager</t>
        </is>
      </c>
      <c r="N78" s="42" t="n">
        <v>4</v>
      </c>
      <c r="O78" s="42" t="n">
        <v>5</v>
      </c>
      <c r="P78" s="42" t="n">
        <v>5.5</v>
      </c>
      <c r="Q78" s="42" t="n">
        <v>5.5</v>
      </c>
      <c r="R78" s="42" t="n">
        <v>9</v>
      </c>
      <c r="S78" s="80" t="n">
        <v>5.5</v>
      </c>
      <c r="T78" s="81">
        <f>IF(OR($M78="",COUNT(N78,O78,P78,Q78,R78,S78)&lt;6),"",IFERROR(N78*INDEX(WM_C,MATCH($M78,WM_KEY,0))+O78*INDEX(WM_AU,MATCH($M78,WM_KEY,0))+P78*INDEX(WM_AC,MATCH($M78,WM_KEY,0))+Q78*INDEX(WM_L,MATCH($M78,WM_KEY,0))+R78*INDEX(WM_E,MATCH($M78,WM_KEY,0))+S78*INDEX(WM_BI,MATCH($M78,WM_KEY,0)),""))</f>
        <v>5.13</v>
      </c>
      <c r="U78" s="42" t="str">
        <f>IF(T78="","",INDEX({"A1","A2","A3","B1","B2","B3","C1","C2","D1","D2","E1","E2"},MAX(1,MIN(12,ROUND(T78,0)))))</f>
        <v>B2</v>
      </c>
      <c r="V78" s="12" t="inlineStr">
        <is>
          <r>
            <rPr>
              <rFont val="Calibri"/>
              <sz val="10"/>
            </rPr>
            <t xml:space="preserve">New level B2 · Manager. Current level on record: L5 – Lead · IC. Change: • Same level.
Score 5.13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8" s="12" t="inlineStr">
        <is>
          <r>
            <rPr>
              <rFont val="Calibri"/>
              <b val="1"/>
              <sz val="10"/>
            </rPr>
            <t>Complexity &amp; Expertise:</t>
          </r>
          <r>
            <rPr>
              <rFont val="Calibri"/>
              <sz val="10"/>
            </rPr>
            <t xml:space="preserve"> 4 of 12 — Start: 4.0 · lead / specialist title; Evidence reads like B1: End-to-end project management of SDMX product for high-risk client; requirement and product analysis → matches the start; KRA: “1. Deliver &gt;=90% of project milestones on schedule and within agreed scope 2. Keep project budget / effort variance within +/-10% of plan…”
</t>
          </r>
          <r>
            <rPr>
              <rFont val="Calibri"/>
              <b val="1"/>
              <sz val="10"/>
            </rPr>
            <t>Autonomy &amp; Decision:</t>
          </r>
          <r>
            <rPr>
              <rFont val="Calibri"/>
              <sz val="10"/>
            </rPr>
            <t xml:space="preserve"> 5 of 12 — Start: 5.0 · lead / specialist title; reporting lines show a bigger role: 6 direct reports, 9 people below, 1 of them leads a team; Evidence reads like B2: Decides resource allocation for the project → matches the start
</t>
          </r>
          <r>
            <rPr>
              <rFont val="Calibri"/>
              <b val="1"/>
              <sz val="10"/>
            </rPr>
            <t>Accountability &amp; Impact:</t>
          </r>
          <r>
            <rPr>
              <rFont val="Calibri"/>
              <sz val="10"/>
            </rPr>
            <t xml:space="preserve"> 5.5 of 12 · between B2 and B3 — Start: 6.0 · lead / specialist title; 6 direct reports, 9 people below, 1 of them leads a team; Evidence reads like B2: Accountable for all project activities, including requirement approval → moved down 0.5; KRA: “1. Deliver &gt;=90% of project milestones on schedule and within agreed scope 2. Keep project budget / effort variance within +/-10% of plan…”
</t>
          </r>
          <r>
            <rPr>
              <rFont val="Calibri"/>
              <b val="1"/>
              <sz val="10"/>
            </rPr>
            <t>Leadership &amp; Strategy:</t>
          </r>
          <r>
            <rPr>
              <rFont val="Calibri"/>
              <sz val="10"/>
            </rPr>
            <t xml:space="preserve"> 5.5 of 12 · between B2 and B3 — Start: 6.0; Evidence reads like B2: 6 direct reports; allocates resources and manages the project team → moved down 0.5; Team: 6 direct reports · People Manager
</t>
          </r>
          <r>
            <rPr>
              <rFont val="Calibri"/>
              <b val="1"/>
              <sz val="10"/>
            </rPr>
            <t>Experience &amp; Qualification:</t>
          </r>
          <r>
            <rPr>
              <rFont val="Calibri"/>
              <sz val="10"/>
            </rPr>
            <t xml:space="preserve"> 9 of 12 — Experience: 18.2 yrs total · 14.8 before IRIS + 3.4 at IRIS = 9.2 on the experience scale; Qualification: BA · graduate → no change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78"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78" s="12" t="inlineStr">
        <is>
          <r>
            <rPr>
              <rFont val="Calibri"/>
              <sz val="10"/>
            </rPr>
            <t xml:space="preserve">✓ HRIS: 18.2 yrs, BA, 6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78" s="12" t="inlineStr">
        <is>
          <t>—</t>
        </is>
      </c>
      <c r="AA78" s="86" t="inlineStr">
        <is>
          <t>• Confirm the reporting line — Manager</t>
        </is>
      </c>
      <c r="AB7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6 direct reports.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5 · Potential: High · 9-Box Grid placement: Future Leader.</t>
          </r>
        </is>
      </c>
      <c r="AC78" s="82" t="n"/>
      <c r="AD78" s="82" t="n"/>
      <c r="AE78" s="82" t="n"/>
      <c r="AF78" s="12" t="n">
        <v>5.5</v>
      </c>
    </row>
    <row r="79" ht="379" customHeight="1">
      <c r="A79" s="12" t="inlineStr">
        <is>
          <t>IRIS0846</t>
        </is>
      </c>
      <c r="B79" s="10" t="inlineStr">
        <is>
          <t>Nikhil Nalawade</t>
        </is>
      </c>
      <c r="C79" s="12" t="inlineStr">
        <is>
          <t>Technology</t>
        </is>
      </c>
      <c r="D79" s="12" t="inlineStr">
        <is>
          <t>Project Manager</t>
        </is>
      </c>
      <c r="E79" s="78" t="inlineStr">
        <is>
          <t>Delivery Manager</t>
        </is>
      </c>
      <c r="F79" s="12" t="inlineStr">
        <is>
          <t>Project &amp; Program Management</t>
        </is>
      </c>
      <c r="G79" s="12" t="inlineStr">
        <is>
          <t>Project &amp; Program Delivery</t>
        </is>
      </c>
      <c r="H79" s="12" t="inlineStr">
        <is>
          <t>People Manager</t>
        </is>
      </c>
      <c r="I79" s="42" t="inlineStr">
        <is>
          <t>L5 – Manager</t>
        </is>
      </c>
      <c r="J79" s="20" t="inlineStr">
        <is>
          <t>B2</t>
        </is>
      </c>
      <c r="K79" s="21" t="inlineStr">
        <is>
          <t>Manager</t>
        </is>
      </c>
      <c r="L79" s="79" t="inlineStr">
        <is>
          <t>▲ Up</t>
        </is>
      </c>
      <c r="M79" s="12" t="inlineStr">
        <is>
          <t>iFile · Technology · Band B · People Manager</t>
        </is>
      </c>
      <c r="N79" s="42" t="n">
        <v>5</v>
      </c>
      <c r="O79" s="42" t="n">
        <v>5</v>
      </c>
      <c r="P79" s="42" t="n">
        <v>5</v>
      </c>
      <c r="Q79" s="42" t="n">
        <v>5</v>
      </c>
      <c r="R79" s="42" t="n">
        <v>8</v>
      </c>
      <c r="S79" s="80" t="n">
        <v>5.5</v>
      </c>
      <c r="T79" s="81">
        <f>IF(OR($M79="",COUNT(N79,O79,P79,Q79,R79,S79)&lt;6),"",IFERROR(N79*INDEX(WM_C,MATCH($M79,WM_KEY,0))+O79*INDEX(WM_AU,MATCH($M79,WM_KEY,0))+P79*INDEX(WM_AC,MATCH($M79,WM_KEY,0))+Q79*INDEX(WM_L,MATCH($M79,WM_KEY,0))+R79*INDEX(WM_E,MATCH($M79,WM_KEY,0))+S79*INDEX(WM_BI,MATCH($M79,WM_KEY,0)),""))</f>
        <v>5.345</v>
      </c>
      <c r="U79" s="42" t="str">
        <f>IF(T79="","",INDEX({"A1","A2","A3","B1","B2","B3","C1","C2","D1","D2","E1","E2"},MAX(1,MIN(12,ROUND(T79,0)))))</f>
        <v>B2</v>
      </c>
      <c r="V79" s="12" t="inlineStr">
        <is>
          <r>
            <rPr>
              <rFont val="Calibri"/>
              <sz val="10"/>
            </rPr>
            <t xml:space="preserve">New level B2 · Manager. Current level on record: L5 – Manager. Change: ▲ Up.
Score 5.34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9" s="12" t="inlineStr">
        <is>
          <r>
            <rPr>
              <rFont val="Calibri"/>
              <b val="1"/>
              <sz val="10"/>
            </rPr>
            <t>Complexity &amp; Expertise:</t>
          </r>
          <r>
            <rPr>
              <rFont val="Calibri"/>
              <sz val="10"/>
            </rPr>
            <t xml:space="preserve"> 5 of 12 — Start: 5.0 · manager / senior specialist title; Evidence reads like B2: Manages project functionally and technically; application solutioning; drafts RFI/RFP responses with pre-sales → matches the start; KRA: “1. Product Management Provide leadership for iFile Platform product components, especially Teapot Gain deeper level knowedge, finalize…”
</t>
          </r>
          <r>
            <rPr>
              <rFont val="Calibri"/>
              <b val="1"/>
              <sz val="10"/>
            </rPr>
            <t>Autonomy &amp; Decision:</t>
          </r>
          <r>
            <rPr>
              <rFont val="Calibri"/>
              <sz val="10"/>
            </rPr>
            <t xml:space="preserve"> 5 of 12 — Start: 5.0 · manager / senior specialist title; Evidence reads like B2: Decides the project plan; nothing else named → matches the start
</t>
          </r>
          <r>
            <rPr>
              <rFont val="Calibri"/>
              <b val="1"/>
              <sz val="10"/>
            </rPr>
            <t>Accountability &amp; Impact:</t>
          </r>
          <r>
            <rPr>
              <rFont val="Calibri"/>
              <sz val="10"/>
            </rPr>
            <t xml:space="preserve"> 5 of 12 — Start: 5.0 · manager / senior specialist title; 15 direct reports, 16 people below; Evidence reads like B2: All project charter deliverables, milestone completion and payment; budget and P&amp;L impact → matches the start; KRA: “1. Product Management Provide leadership for iFile Platform product components, especially Teapot Gain deeper level knowedge, finalize…”
</t>
          </r>
          <r>
            <rPr>
              <rFont val="Calibri"/>
              <b val="1"/>
              <sz val="10"/>
            </rPr>
            <t>Leadership &amp; Strategy:</t>
          </r>
          <r>
            <rPr>
              <rFont val="Calibri"/>
              <sz val="10"/>
            </rPr>
            <t xml:space="preserve"> 5 of 12 — Start: 5.0; Evidence reads like B2: 15 direct reports; delivers training; stakeholder management → matches the start; Team: 15 direct reports · People Manager
</t>
          </r>
          <r>
            <rPr>
              <rFont val="Calibri"/>
              <b val="1"/>
              <sz val="10"/>
            </rPr>
            <t>Experience &amp; Qualification:</t>
          </r>
          <r>
            <rPr>
              <rFont val="Calibri"/>
              <sz val="10"/>
            </rPr>
            <t xml:space="preserve"> 8 of 12 — Experience: 15.1 yrs total · 15.1 at IRIS; none recorded before IRIS = 8.2 on the experience scale; Qualification: B.E · graduate, relevant to the work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79"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79" s="12" t="inlineStr">
        <is>
          <r>
            <rPr>
              <rFont val="Calibri"/>
              <sz val="10"/>
            </rPr>
            <t xml:space="preserve">✓ HRIS: 15.1 yrs, B.E, 15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79" s="12" t="inlineStr">
        <is>
          <t>—</t>
        </is>
      </c>
      <c r="AA79" s="12" t="inlineStr">
        <is>
          <t>Nothing outstanding</t>
        </is>
      </c>
      <c r="AB7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15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5 · Potential: High · 9-Box Grid placement: Future Leader.</t>
          </r>
        </is>
      </c>
      <c r="AC79" s="82" t="n"/>
      <c r="AD79" s="82" t="n"/>
      <c r="AE79" s="82" t="n"/>
      <c r="AF79" s="12" t="n">
        <v>5.5</v>
      </c>
    </row>
    <row r="80" ht="379" customHeight="1">
      <c r="A80" s="12" t="inlineStr">
        <is>
          <t>IRIS0929</t>
        </is>
      </c>
      <c r="B80" s="10" t="inlineStr">
        <is>
          <t>Sandeep Dwivedi</t>
        </is>
      </c>
      <c r="C80" s="12" t="inlineStr">
        <is>
          <t>Technology</t>
        </is>
      </c>
      <c r="D80" s="12" t="inlineStr">
        <is>
          <t>Project Manager</t>
        </is>
      </c>
      <c r="E80" s="78" t="inlineStr">
        <is>
          <t>Delivery Manager</t>
        </is>
      </c>
      <c r="F80" s="12" t="inlineStr">
        <is>
          <t>Project &amp; Program Management</t>
        </is>
      </c>
      <c r="G80" s="12" t="inlineStr">
        <is>
          <t>Project &amp; Program Delivery</t>
        </is>
      </c>
      <c r="H80" s="12" t="inlineStr">
        <is>
          <t>People Manager</t>
        </is>
      </c>
      <c r="I80" s="42" t="inlineStr">
        <is>
          <t>L5 – Manager</t>
        </is>
      </c>
      <c r="J80" s="20" t="inlineStr">
        <is>
          <t>B2</t>
        </is>
      </c>
      <c r="K80" s="21" t="inlineStr">
        <is>
          <t>Manager</t>
        </is>
      </c>
      <c r="L80" s="79" t="inlineStr">
        <is>
          <t>▲ Up</t>
        </is>
      </c>
      <c r="M80" s="12" t="inlineStr">
        <is>
          <t>iFile · Technology · Band B · People Manager</t>
        </is>
      </c>
      <c r="N80" s="42" t="n">
        <v>4.5</v>
      </c>
      <c r="O80" s="42" t="n">
        <v>4.5</v>
      </c>
      <c r="P80" s="42" t="n">
        <v>5.5</v>
      </c>
      <c r="Q80" s="42" t="n">
        <v>5.5</v>
      </c>
      <c r="R80" s="42" t="n">
        <v>8</v>
      </c>
      <c r="S80" s="80" t="n">
        <v>6</v>
      </c>
      <c r="T80" s="81">
        <f>IF(OR($M80="",COUNT(N80,O80,P80,Q80,R80,S80)&lt;6),"",IFERROR(N80*INDEX(WM_C,MATCH($M80,WM_KEY,0))+O80*INDEX(WM_AU,MATCH($M80,WM_KEY,0))+P80*INDEX(WM_AC,MATCH($M80,WM_KEY,0))+Q80*INDEX(WM_L,MATCH($M80,WM_KEY,0))+R80*INDEX(WM_E,MATCH($M80,WM_KEY,0))+S80*INDEX(WM_BI,MATCH($M80,WM_KEY,0)),""))</f>
        <v>5.195</v>
      </c>
      <c r="U80" s="42" t="str">
        <f>IF(T80="","",INDEX({"A1","A2","A3","B1","B2","B3","C1","C2","D1","D2","E1","E2"},MAX(1,MIN(12,ROUND(T80,0)))))</f>
        <v>B2</v>
      </c>
      <c r="V80" s="12" t="inlineStr">
        <is>
          <r>
            <rPr>
              <rFont val="Calibri"/>
              <sz val="10"/>
            </rPr>
            <t xml:space="preserve">New level B2 · Manager. Current level on record: L5 – Manager. Change: ▲ Up.
Score 5.20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0" s="12" t="inlineStr">
        <is>
          <r>
            <rPr>
              <rFont val="Calibri"/>
              <b val="1"/>
              <sz val="10"/>
            </rPr>
            <t>Complexity &amp; Expertise:</t>
          </r>
          <r>
            <rPr>
              <rFont val="Calibri"/>
              <sz val="10"/>
            </rPr>
            <t xml:space="preserve"> 4.5 of 12 · between B1 and B2 — Start: 5.0 · manager / senior specialist title; Evidence reads like B1: Manages scope, timelines, risks and resources across client and cross-functional teams; generic wording → moved down 0.5; KRA: “1. CMA Kuwait and Boursa Kuwait Program Proactive communicaions and stakeholder management as per the protocols set for the program Ensure…”
</t>
          </r>
          <r>
            <rPr>
              <rFont val="Calibri"/>
              <b val="1"/>
              <sz val="10"/>
            </rPr>
            <t>Autonomy &amp; Decision:</t>
          </r>
          <r>
            <rPr>
              <rFont val="Calibri"/>
              <sz val="10"/>
            </rPr>
            <t xml:space="preserve"> 4.5 of 12 · between B1 and B2 — Start: 5.0 · manager / senior specialist title; Evidence reads like B1: Prioritises work and tickets; no other decisions named → moved down 0.5
</t>
          </r>
          <r>
            <rPr>
              <rFont val="Calibri"/>
              <b val="1"/>
              <sz val="10"/>
            </rPr>
            <t>Accountability &amp; Impact:</t>
          </r>
          <r>
            <rPr>
              <rFont val="Calibri"/>
              <sz val="10"/>
            </rPr>
            <t xml:space="preserve"> 5.5 of 12 · between B2 and B3 — Start: 6.0 · manager / senior specialist title; 4 direct reports, 8 people below, 1 of them leads a team; Evidence reads like B2: Project delivery and commitments to management and clients → moved down 0.5; KRA: “1. CMA Kuwait and Boursa Kuwait Program Proactive communicaions and stakeholder management as per the protocols set for the program Ensure…”
</t>
          </r>
          <r>
            <rPr>
              <rFont val="Calibri"/>
              <b val="1"/>
              <sz val="10"/>
            </rPr>
            <t>Leadership &amp; Strategy:</t>
          </r>
          <r>
            <rPr>
              <rFont val="Calibri"/>
              <sz val="10"/>
            </rPr>
            <t xml:space="preserve"> 5.5 of 12 · between B2 and B3 — Start: 6.0; Evidence reads like B1: 4 direct reports; prioritises team's work; no leadership detail → moved down 0.5; Team: 4 direct reports · People Manager
</t>
          </r>
          <r>
            <rPr>
              <rFont val="Calibri"/>
              <b val="1"/>
              <sz val="10"/>
            </rPr>
            <t>Experience &amp; Qualification:</t>
          </r>
          <r>
            <rPr>
              <rFont val="Calibri"/>
              <sz val="10"/>
            </rPr>
            <t xml:space="preserve"> 8 of 12 — Experience: 15.0 yrs total · 15.0 at IRIS; none recorded before IRIS = 8.2 on the experience scale; Qualification: MMS · postgraduate → no change
</t>
          </r>
          <r>
            <rPr>
              <rFont val="Calibri"/>
              <b val="1"/>
              <sz val="10"/>
            </rPr>
            <t>Business Impact:</t>
          </r>
          <r>
            <rPr>
              <rFont val="Calibri"/>
              <sz val="10"/>
            </rPr>
            <t xml:space="preserve"> 6 of 12 — a starting estimate. —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r>
        </is>
      </c>
      <c r="X80"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80" s="12" t="inlineStr">
        <is>
          <r>
            <rPr>
              <rFont val="Calibri"/>
              <sz val="10"/>
            </rPr>
            <t xml:space="preserve">✓ HRIS: 15.0 yrs, MMS, 4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80" s="12" t="inlineStr">
        <is>
          <t>—</t>
        </is>
      </c>
      <c r="AA80" s="12" t="inlineStr">
        <is>
          <t>Nothing outstanding</t>
        </is>
      </c>
      <c r="AB80"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4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3 · Potential: Medium · 9-Box Grid placement: Core Contributor.</t>
          </r>
        </is>
      </c>
      <c r="AC80" s="82" t="n"/>
      <c r="AD80" s="82" t="n"/>
      <c r="AE80" s="82" t="n"/>
      <c r="AF80" s="12" t="n">
        <v>6</v>
      </c>
    </row>
    <row r="81" ht="379" customHeight="1">
      <c r="A81" s="12" t="inlineStr">
        <is>
          <t>IRIS2176</t>
        </is>
      </c>
      <c r="B81" s="10" t="inlineStr">
        <is>
          <t>Saurabh Kadam</t>
        </is>
      </c>
      <c r="C81" s="12" t="inlineStr">
        <is>
          <t>Technology</t>
        </is>
      </c>
      <c r="D81" s="12" t="inlineStr">
        <is>
          <t>Program Manager</t>
        </is>
      </c>
      <c r="E81" s="78" t="inlineStr">
        <is>
          <t>Project Manager</t>
        </is>
      </c>
      <c r="F81" s="12" t="inlineStr">
        <is>
          <t>Project &amp; Program Management</t>
        </is>
      </c>
      <c r="G81" s="12" t="inlineStr">
        <is>
          <t>Project &amp; Program Delivery</t>
        </is>
      </c>
      <c r="H81" s="12" t="inlineStr">
        <is>
          <t>People Manager</t>
        </is>
      </c>
      <c r="I81" s="42" t="inlineStr">
        <is>
          <t>L5 – Manager</t>
        </is>
      </c>
      <c r="J81" s="20" t="inlineStr">
        <is>
          <t>B2</t>
        </is>
      </c>
      <c r="K81" s="21" t="inlineStr">
        <is>
          <t>Manager</t>
        </is>
      </c>
      <c r="L81" s="87" t="inlineStr">
        <is>
          <t>• Same level</t>
        </is>
      </c>
      <c r="M81" s="12" t="inlineStr">
        <is>
          <t>iFile · Technology · Band B · People Manager</t>
        </is>
      </c>
      <c r="N81" s="42" t="n">
        <v>5.5</v>
      </c>
      <c r="O81" s="42" t="n">
        <v>5.5</v>
      </c>
      <c r="P81" s="42" t="n">
        <v>5</v>
      </c>
      <c r="Q81" s="42" t="n">
        <v>4.5</v>
      </c>
      <c r="R81" s="42" t="n">
        <v>8.5</v>
      </c>
      <c r="S81" s="80" t="n">
        <v>5.5</v>
      </c>
      <c r="T81" s="81">
        <f>IF(OR($M81="",COUNT(N81,O81,P81,Q81,R81,S81)&lt;6),"",IFERROR(N81*INDEX(WM_C,MATCH($M81,WM_KEY,0))+O81*INDEX(WM_AU,MATCH($M81,WM_KEY,0))+P81*INDEX(WM_AC,MATCH($M81,WM_KEY,0))+Q81*INDEX(WM_L,MATCH($M81,WM_KEY,0))+R81*INDEX(WM_E,MATCH($M81,WM_KEY,0))+S81*INDEX(WM_BI,MATCH($M81,WM_KEY,0)),""))</f>
        <v>5.62</v>
      </c>
      <c r="U81" s="42" t="str">
        <f>IF(T81="","",INDEX({"A1","A2","A3","B1","B2","B3","C1","C2","D1","D2","E1","E2"},MAX(1,MIN(12,ROUND(T81,0)))))</f>
        <v>B3</v>
      </c>
      <c r="V81" s="12" t="inlineStr">
        <is>
          <r>
            <rPr>
              <rFont val="Calibri"/>
              <sz val="10"/>
            </rPr>
            <t xml:space="preserve">New level B2 · Manager. Current level on record: L5 – Manager. Change: • Same level.
Score 5.62 on the ladder scale → indicated level B3.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B2 instead of B3:</t>
          </r>
          <r>
            <rPr>
              <rFont val="Calibri"/>
              <sz val="10"/>
            </rPr>
            <t xml:space="preserve"> a B3 manager needs team leads reporting in, or 10+ people in the team, and the org chart does not show this yet.
</t>
          </r>
          <r>
            <rPr>
              <rFont val="Calibri"/>
              <b val="1"/>
              <sz val="10"/>
            </rPr>
            <t>Final level:</t>
          </r>
          <r>
            <rPr>
              <rFont val="Calibri"/>
              <sz val="10"/>
            </rPr>
            <t xml:space="preserve"> B2.</t>
          </r>
        </is>
      </c>
      <c r="W81" s="12" t="inlineStr">
        <is>
          <r>
            <rPr>
              <rFont val="Calibri"/>
              <b val="1"/>
              <sz val="10"/>
            </rPr>
            <t>Complexity &amp; Expertise:</t>
          </r>
          <r>
            <rPr>
              <rFont val="Calibri"/>
              <sz val="10"/>
            </rPr>
            <t xml:space="preserve"> 5.5 of 12 · between B2 and B3 — Start: 6.0 · senior manager / lead specialist title; Evidence reads like B1: Leads large client programme; technology and volume named as challenges; almost no detail → moved down 0.5; KRA: “1. SARB Program Ensure BA team is gaining domain knowledge and able to write user stories effively for the enhancements and phase 4…”
</t>
          </r>
          <r>
            <rPr>
              <rFont val="Calibri"/>
              <b val="1"/>
              <sz val="10"/>
            </rPr>
            <t>Autonomy &amp; Decision:</t>
          </r>
          <r>
            <rPr>
              <rFont val="Calibri"/>
              <sz val="10"/>
            </rPr>
            <t xml:space="preserve"> 5.5 of 12 · between B2 and B3 — Start: 6.0 · senior manager / lead specialist title; Evidence reads like B1: No concrete decisions named; says only 'project goal achievements' → moved down 0.5
</t>
          </r>
          <r>
            <rPr>
              <rFont val="Calibri"/>
              <b val="1"/>
              <sz val="10"/>
            </rPr>
            <t>Accountability &amp; Impact:</t>
          </r>
          <r>
            <rPr>
              <rFont val="Calibri"/>
              <sz val="10"/>
            </rPr>
            <t xml:space="preserve"> 5 of 12 — Start: 5.0 · senior manager / lead specialist title; 4 direct reports; Evidence reads like B2: Project goal achievement and a positive project P&amp;L → matches the start; KRA: “1. SARB Program Ensure BA team is gaining domain knowledge and able to write user stories effively for the enhancements and phase 4…”
</t>
          </r>
          <r>
            <rPr>
              <rFont val="Calibri"/>
              <b val="1"/>
              <sz val="10"/>
            </rPr>
            <t>Leadership &amp; Strategy:</t>
          </r>
          <r>
            <rPr>
              <rFont val="Calibri"/>
              <sz val="10"/>
            </rPr>
            <t xml:space="preserve"> 4.5 of 12 · between B1 and B2 — Start: 5.0; Evidence reads like B1: Leads projects; 4 direct reports; manager note cites developing the BA team → moved down 0.5; Team: 4 direct reports · People Manager
</t>
          </r>
          <r>
            <rPr>
              <rFont val="Calibri"/>
              <b val="1"/>
              <sz val="10"/>
            </rPr>
            <t>Experience &amp; Qualification:</t>
          </r>
          <r>
            <rPr>
              <rFont val="Calibri"/>
              <sz val="10"/>
            </rPr>
            <t xml:space="preserve"> 8.5 of 12 · between C2 and D1 — Experience: 16.6 yrs total · 13.5 before IRIS + 3.1 at IRIS = 8.7 on the experience scale; Qualification: MMS · postgraduate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81"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81" s="12" t="inlineStr">
        <is>
          <r>
            <rPr>
              <rFont val="Calibri"/>
              <sz val="10"/>
            </rPr>
            <t xml:space="preserve">✓ HRIS: 16.6 yrs, MMS, 4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81" s="84" t="inlineStr">
        <is>
          <r>
            <rPr>
              <rFont val="Calibri"/>
              <color rgb="009C5700"/>
              <sz val="10"/>
            </rPr>
            <t xml:space="preserve">• </t>
          </r>
          <r>
            <rPr>
              <rFont val="Calibri"/>
              <b val="1"/>
              <color rgb="009C5700"/>
              <sz val="10"/>
            </rPr>
            <t>Senior title held at this level by the structural gate:</t>
          </r>
          <r>
            <rPr>
              <rFont val="Calibri"/>
              <color rgb="009C5700"/>
              <sz val="10"/>
            </rPr>
            <t xml:space="preserve"> confirm the scope</t>
          </r>
        </is>
      </c>
      <c r="AA81" s="86" t="inlineStr">
        <is>
          <t>• Confirm structure behind the senior title · org chart — Business head</t>
        </is>
      </c>
      <c r="AB81"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4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4 · Potential: High · 9-Box Grid placement: Trusted Professional.</t>
          </r>
        </is>
      </c>
      <c r="AC81" s="82" t="n"/>
      <c r="AD81" s="82" t="n"/>
      <c r="AE81" s="82" t="n"/>
      <c r="AF81" s="12" t="n">
        <v>5.5</v>
      </c>
    </row>
    <row r="82" ht="379" customHeight="1">
      <c r="A82" s="12" t="inlineStr">
        <is>
          <t>IRIS2127</t>
        </is>
      </c>
      <c r="B82" s="10" t="inlineStr">
        <is>
          <t>Yunus Patel</t>
        </is>
      </c>
      <c r="C82" s="12" t="inlineStr">
        <is>
          <t>Technology</t>
        </is>
      </c>
      <c r="D82" s="12" t="inlineStr">
        <is>
          <t>Project Manager</t>
        </is>
      </c>
      <c r="E82" s="78" t="inlineStr">
        <is>
          <t>Delivery Manager</t>
        </is>
      </c>
      <c r="F82" s="12" t="inlineStr">
        <is>
          <t>Project &amp; Program Management</t>
        </is>
      </c>
      <c r="G82" s="12" t="inlineStr">
        <is>
          <t>Project &amp; Program Delivery</t>
        </is>
      </c>
      <c r="H82" s="12" t="inlineStr">
        <is>
          <t>People Manager</t>
        </is>
      </c>
      <c r="I82" s="42" t="inlineStr">
        <is>
          <t>L5 – Manager</t>
        </is>
      </c>
      <c r="J82" s="20" t="inlineStr">
        <is>
          <t>B2</t>
        </is>
      </c>
      <c r="K82" s="21" t="inlineStr">
        <is>
          <t>Manager</t>
        </is>
      </c>
      <c r="L82" s="79" t="inlineStr">
        <is>
          <t>▲ Up</t>
        </is>
      </c>
      <c r="M82" s="12" t="inlineStr">
        <is>
          <t>iFile · Technology · Band B · People Manager</t>
        </is>
      </c>
      <c r="N82" s="42" t="n">
        <v>4.5</v>
      </c>
      <c r="O82" s="42" t="n">
        <v>4.5</v>
      </c>
      <c r="P82" s="42" t="n">
        <v>5.5</v>
      </c>
      <c r="Q82" s="42" t="n">
        <v>5</v>
      </c>
      <c r="R82" s="42" t="n">
        <v>10.5</v>
      </c>
      <c r="S82" s="80" t="n">
        <v>5.5</v>
      </c>
      <c r="T82" s="81">
        <f>IF(OR($M82="",COUNT(N82,O82,P82,Q82,R82,S82)&lt;6),"",IFERROR(N82*INDEX(WM_C,MATCH($M82,WM_KEY,0))+O82*INDEX(WM_AU,MATCH($M82,WM_KEY,0))+P82*INDEX(WM_AC,MATCH($M82,WM_KEY,0))+Q82*INDEX(WM_L,MATCH($M82,WM_KEY,0))+R82*INDEX(WM_E,MATCH($M82,WM_KEY,0))+S82*INDEX(WM_BI,MATCH($M82,WM_KEY,0)),""))</f>
        <v>5.325</v>
      </c>
      <c r="U82" s="42" t="str">
        <f>IF(T82="","",INDEX({"A1","A2","A3","B1","B2","B3","C1","C2","D1","D2","E1","E2"},MAX(1,MIN(12,ROUND(T82,0)))))</f>
        <v>B2</v>
      </c>
      <c r="V82" s="12" t="inlineStr">
        <is>
          <r>
            <rPr>
              <rFont val="Calibri"/>
              <sz val="10"/>
            </rPr>
            <t xml:space="preserve">New level B2 · Manager. Current level on record: L5 – Manager. Change: ▲ Up.
Score 5.33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2" s="12" t="inlineStr">
        <is>
          <r>
            <rPr>
              <rFont val="Calibri"/>
              <b val="1"/>
              <sz val="10"/>
            </rPr>
            <t>Complexity &amp; Expertise:</t>
          </r>
          <r>
            <rPr>
              <rFont val="Calibri"/>
              <sz val="10"/>
            </rPr>
            <t xml:space="preserve"> 4.5 of 12 · between B1 and B2 — Start: 5.0 · manager / senior specialist title; Evidence reads like B1: Change-request delivery for RBI CIMS; severity assessment, root-cause analysis, client demos → moved down 0.5; KRA: “1. Deliver &gt;=90% of project milestones on schedule and within agreed scope 2. Keep project budget / effort variance within +/-10% of plan…”
</t>
          </r>
          <r>
            <rPr>
              <rFont val="Calibri"/>
              <b val="1"/>
              <sz val="10"/>
            </rPr>
            <t>Autonomy &amp; Decision:</t>
          </r>
          <r>
            <rPr>
              <rFont val="Calibri"/>
              <sz val="10"/>
            </rPr>
            <t xml:space="preserve"> 4.5 of 12 · between B1 and B2 — Start: 5.0 · manager / senior specialist title; Evidence reads like B1: Judges issue severity; decides to release CRs to UAT with open defects → moved down 0.5
</t>
          </r>
          <r>
            <rPr>
              <rFont val="Calibri"/>
              <b val="1"/>
              <sz val="10"/>
            </rPr>
            <t>Accountability &amp; Impact:</t>
          </r>
          <r>
            <rPr>
              <rFont val="Calibri"/>
              <sz val="10"/>
            </rPr>
            <t xml:space="preserve"> 5.5 of 12 · between B2 and B3 — Start: 6.0 · manager / senior specialist title; 5 direct reports, 14 people below, 2 of them lead teams; Evidence reads like B2: CR delivery for the project; client demands RCA for every delay → moved down 0.5; KRA: “1. Deliver &gt;=90% of project milestones on schedule and within agreed scope 2. Keep project budget / effort variance within +/-10% of plan…”
</t>
          </r>
          <r>
            <rPr>
              <rFont val="Calibri"/>
              <b val="1"/>
              <sz val="10"/>
            </rPr>
            <t>Leadership &amp; Strategy:</t>
          </r>
          <r>
            <rPr>
              <rFont val="Calibri"/>
              <sz val="10"/>
            </rPr>
            <t xml:space="preserve"> 5 of 12 — Start: 6.0; Evidence reads like B1: Team management and coordination; 5 direct reports → moved down 1; Team: 5 direct reports · People Manager
</t>
          </r>
          <r>
            <rPr>
              <rFont val="Calibri"/>
              <b val="1"/>
              <sz val="10"/>
            </rPr>
            <t>Experience &amp; Qualification:</t>
          </r>
          <r>
            <rPr>
              <rFont val="Calibri"/>
              <sz val="10"/>
            </rPr>
            <t xml:space="preserve"> 10.5 of 12 · between D2 and E1 — Experience: 22.4 yrs total · 19.0 before IRIS + 3.4 at IRIS = 10.5 on the experience scale; Qualification: B.Com · graduate → no change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82"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82" s="12" t="inlineStr">
        <is>
          <r>
            <rPr>
              <rFont val="Calibri"/>
              <sz val="10"/>
            </rPr>
            <t xml:space="preserve">✓ HRIS: 22.4 yrs, B.Com, 5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82" s="12" t="inlineStr">
        <is>
          <t>—</t>
        </is>
      </c>
      <c r="AA82" s="12" t="inlineStr">
        <is>
          <t>Nothing outstanding</t>
        </is>
      </c>
      <c r="AB82"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5 direct reports.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4 · Potential: High · 9-Box Grid placement: Trusted Professional.</t>
          </r>
        </is>
      </c>
      <c r="AC82" s="82" t="n"/>
      <c r="AD82" s="82" t="n"/>
      <c r="AE82" s="82" t="n"/>
      <c r="AF82" s="12" t="n">
        <v>5.5</v>
      </c>
    </row>
    <row r="83" ht="379" customHeight="1">
      <c r="A83" s="12" t="inlineStr">
        <is>
          <t>IRIS2492</t>
        </is>
      </c>
      <c r="B83" s="10" t="inlineStr">
        <is>
          <t>Abhishek Hegde</t>
        </is>
      </c>
      <c r="C83" s="12" t="inlineStr">
        <is>
          <t>Technology</t>
        </is>
      </c>
      <c r="D83" s="12" t="inlineStr">
        <is>
          <t>Senior Business Analyst</t>
        </is>
      </c>
      <c r="E83" s="78" t="inlineStr">
        <is>
          <t>Business Analysis Specialist</t>
        </is>
      </c>
      <c r="F83" s="12" t="inlineStr">
        <is>
          <t>Business Analysis</t>
        </is>
      </c>
      <c r="G83" s="12" t="inlineStr">
        <is>
          <t>Business Analysis</t>
        </is>
      </c>
      <c r="H83" s="12" t="inlineStr">
        <is>
          <t>IC</t>
        </is>
      </c>
      <c r="I83" s="42" t="inlineStr">
        <is>
          <t>L4 – Senior</t>
        </is>
      </c>
      <c r="J83" s="20" t="inlineStr">
        <is>
          <t>B1</t>
        </is>
      </c>
      <c r="K83" s="21" t="inlineStr">
        <is>
          <t>Specialist</t>
        </is>
      </c>
      <c r="L83" s="79" t="inlineStr">
        <is>
          <t>▲ Up</t>
        </is>
      </c>
      <c r="M83" s="12" t="inlineStr">
        <is>
          <t>iFile · Technology · Band B · Expert / POD Lead</t>
        </is>
      </c>
      <c r="N83" s="42" t="n">
        <v>3.5</v>
      </c>
      <c r="O83" s="42" t="n">
        <v>3.5</v>
      </c>
      <c r="P83" s="42" t="n">
        <v>3.5</v>
      </c>
      <c r="Q83" s="42" t="n">
        <v>3</v>
      </c>
      <c r="R83" s="42" t="n">
        <v>5.5</v>
      </c>
      <c r="S83" s="80" t="n">
        <v>4</v>
      </c>
      <c r="T83" s="81">
        <f>IF(OR($M83="",COUNT(N83,O83,P83,Q83,R83,S83)&lt;6),"",IFERROR(N83*INDEX(WM_C,MATCH($M83,WM_KEY,0))+O83*INDEX(WM_AU,MATCH($M83,WM_KEY,0))+P83*INDEX(WM_AC,MATCH($M83,WM_KEY,0))+Q83*INDEX(WM_L,MATCH($M83,WM_KEY,0))+R83*INDEX(WM_E,MATCH($M83,WM_KEY,0))+S83*INDEX(WM_BI,MATCH($M83,WM_KEY,0)),""))</f>
        <v>3.71</v>
      </c>
      <c r="U83" s="42" t="str">
        <f>IF(T83="","",INDEX({"A1","A2","A3","B1","B2","B3","C1","C2","D1","D2","E1","E2"},MAX(1,MIN(12,ROUND(T83,0)))))</f>
        <v>B1</v>
      </c>
      <c r="V83" s="12" t="inlineStr">
        <is>
          <r>
            <rPr>
              <rFont val="Calibri"/>
              <sz val="10"/>
            </rPr>
            <t xml:space="preserve">New level B1 · Specialist. Current level on record: L4 – Senior. Change: ▲ Up.
Score 3.71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3" s="12" t="inlineStr">
        <is>
          <r>
            <rPr>
              <rFont val="Calibri"/>
              <b val="1"/>
              <sz val="10"/>
            </rPr>
            <t>Complexity &amp; Expertise:</t>
          </r>
          <r>
            <rPr>
              <rFont val="Calibri"/>
              <sz val="10"/>
            </rPr>
            <t xml:space="preserve"> 3.5 of 12 · between A3 and B1 — Start: 4.0 · lead / specialist title; Evidence reads like A3: Requirement gathering, BRD/FRS/SRS, user stories, backlog and sprint planning, defect tracking → moved down 0.5; KRA: “1. Deliver &gt;=95% of assigned BRDs/FSDs approved with &lt;=1 revision cycle 2. Ensure &gt;=90% on-time delivery of BA deliverables against plan 3.…”
</t>
          </r>
          <r>
            <rPr>
              <rFont val="Calibri"/>
              <b val="1"/>
              <sz val="10"/>
            </rPr>
            <t>Autonomy &amp; Decision:</t>
          </r>
          <r>
            <rPr>
              <rFont val="Calibri"/>
              <sz val="10"/>
            </rPr>
            <t xml:space="preserve"> 3.5 of 12 · between A3 and B1 — Start: 4.0 · lead / specialist title; Evidence reads like A3: Decides documentation structure and task prioritisation → moved down 0.5
</t>
          </r>
          <r>
            <rPr>
              <rFont val="Calibri"/>
              <b val="1"/>
              <sz val="10"/>
            </rPr>
            <t>Accountability &amp; Impact:</t>
          </r>
          <r>
            <rPr>
              <rFont val="Calibri"/>
              <sz val="10"/>
            </rPr>
            <t xml:space="preserve"> 3.5 of 12 · between A3 and B1 — Start: 4.0 · lead / specialist title; Evidence reads like A3: Completeness and traceability of client requirements; backlog readiness → moved down 0.5; KRA: “1. Deliver &gt;=95% of assigned BRDs/FSDs approved with &lt;=1 revision cycle 2. Ensure &gt;=90% on-time delivery of BA deliverables against plan 3.…”
</t>
          </r>
          <r>
            <rPr>
              <rFont val="Calibri"/>
              <b val="1"/>
              <sz val="10"/>
            </rPr>
            <t>Leadership &amp; Strategy:</t>
          </r>
          <r>
            <rPr>
              <rFont val="Calibri"/>
              <sz val="10"/>
            </rPr>
            <t xml:space="preserve"> 3 of 12 — Start: 3.0 · individual contributor, so influence only; Evidence reads like A3: Team coordination; manager KRA requires guiding at least two team members → matches the start; Team: 0 direct reports · IC
</t>
          </r>
          <r>
            <rPr>
              <rFont val="Calibri"/>
              <b val="1"/>
              <sz val="10"/>
            </rPr>
            <t>Experience &amp; Qualification:</t>
          </r>
          <r>
            <rPr>
              <rFont val="Calibri"/>
              <sz val="10"/>
            </rPr>
            <t xml:space="preserve"> 5.5 of 12 · between B2 and B3 — Experience: 9.2 yrs total · 8.7 before IRIS + 0.5 at IRIS = 5.7 on the experience scale; Qualification: MBA · postgraduate → no change
</t>
          </r>
          <r>
            <rPr>
              <rFont val="Calibri"/>
              <b val="1"/>
              <sz val="10"/>
            </rPr>
            <t>Business Impact:</t>
          </r>
          <r>
            <rPr>
              <rFont val="Calibri"/>
              <sz val="10"/>
            </rPr>
            <t xml:space="preserve"> 4 of 12 — a starting estimate. —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r>
        </is>
      </c>
      <c r="X83"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83" s="12" t="inlineStr">
        <is>
          <r>
            <rPr>
              <rFont val="Calibri"/>
              <sz val="10"/>
            </rPr>
            <t xml:space="preserve">✓ HRIS: 9.2 yrs, MBA,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83" s="12" t="inlineStr">
        <is>
          <t>—</t>
        </is>
      </c>
      <c r="AA83" s="12" t="inlineStr">
        <is>
          <t>Nothing outstanding</t>
        </is>
      </c>
      <c r="AB8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no; work only this person does: yes; successor named: yes.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Core Contributor.</t>
          </r>
        </is>
      </c>
      <c r="AC83" s="82" t="n"/>
      <c r="AD83" s="82" t="n"/>
      <c r="AE83" s="82" t="n"/>
      <c r="AF83" s="12" t="n">
        <v>4</v>
      </c>
    </row>
    <row r="84" ht="379" customHeight="1">
      <c r="A84" s="12" t="inlineStr">
        <is>
          <t>IRIS2289</t>
        </is>
      </c>
      <c r="B84" s="10" t="inlineStr">
        <is>
          <t>Shruti Patil</t>
        </is>
      </c>
      <c r="C84" s="12" t="inlineStr">
        <is>
          <t>Technology</t>
        </is>
      </c>
      <c r="D84" s="12" t="inlineStr">
        <is>
          <t>Business Analyst</t>
        </is>
      </c>
      <c r="E84" s="78" t="inlineStr">
        <is>
          <t>Team Lead – Business Analysis</t>
        </is>
      </c>
      <c r="F84" s="12" t="inlineStr">
        <is>
          <t>Business Analysis</t>
        </is>
      </c>
      <c r="G84" s="12" t="inlineStr">
        <is>
          <t>Business Analysis</t>
        </is>
      </c>
      <c r="H84" s="12" t="inlineStr">
        <is>
          <t>People Manager</t>
        </is>
      </c>
      <c r="I84" s="42" t="inlineStr">
        <is>
          <t>L3 – Professional / Associate</t>
        </is>
      </c>
      <c r="J84" s="20" t="inlineStr">
        <is>
          <t>B1</t>
        </is>
      </c>
      <c r="K84" s="21" t="inlineStr">
        <is>
          <t>Team Lead</t>
        </is>
      </c>
      <c r="L84" s="79" t="inlineStr">
        <is>
          <t>▲ Up</t>
        </is>
      </c>
      <c r="M84" s="12" t="inlineStr">
        <is>
          <t>iFile · Technology · Band B · People Manager</t>
        </is>
      </c>
      <c r="N84" s="42" t="n">
        <v>3</v>
      </c>
      <c r="O84" s="42" t="n">
        <v>3.5</v>
      </c>
      <c r="P84" s="42" t="n">
        <v>4</v>
      </c>
      <c r="Q84" s="42" t="n">
        <v>4</v>
      </c>
      <c r="R84" s="42" t="n">
        <v>4</v>
      </c>
      <c r="S84" s="80" t="n">
        <v>4.5</v>
      </c>
      <c r="T84" s="81">
        <f>IF(OR($M84="",COUNT(N84,O84,P84,Q84,R84,S84)&lt;6),"",IFERROR(N84*INDEX(WM_C,MATCH($M84,WM_KEY,0))+O84*INDEX(WM_AU,MATCH($M84,WM_KEY,0))+P84*INDEX(WM_AC,MATCH($M84,WM_KEY,0))+Q84*INDEX(WM_L,MATCH($M84,WM_KEY,0))+R84*INDEX(WM_E,MATCH($M84,WM_KEY,0))+S84*INDEX(WM_BI,MATCH($M84,WM_KEY,0)),""))</f>
        <v>3.535</v>
      </c>
      <c r="U84" s="42" t="str">
        <f>IF(T84="","",INDEX({"A1","A2","A3","B1","B2","B3","C1","C2","D1","D2","E1","E2"},MAX(1,MIN(12,ROUND(T84,0)))))</f>
        <v>B1</v>
      </c>
      <c r="V84" s="12" t="inlineStr">
        <is>
          <r>
            <rPr>
              <rFont val="Calibri"/>
              <sz val="10"/>
            </rPr>
            <t xml:space="preserve">New level B1 · Team Lead. Current level on record: L3 – Professional / Associate. Change: ▲ Up.
Score 3.54 on the ladder scale → indicated level B1.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4" s="12" t="inlineStr">
        <is>
          <r>
            <rPr>
              <rFont val="Calibri"/>
              <b val="1"/>
              <sz val="10"/>
            </rPr>
            <t>Complexity &amp; Expertise:</t>
          </r>
          <r>
            <rPr>
              <rFont val="Calibri"/>
              <sz val="10"/>
            </rPr>
            <t xml:space="preserve"> 3 of 12 — Start: 3.0 · senior practitioner title; Evidence reads like A3: Writes BRS/SRS/SDD, maintains MPP project plan, risk register, weekly status report, CR forms → matches the start; KRA: “1. Deliver own BA/analysis workstreams to &gt;=95% quality &amp; timeliness 2. Provide day-to-day guidance &amp; escalation support to 2 Client…”
</t>
          </r>
          <r>
            <rPr>
              <rFont val="Calibri"/>
              <b val="1"/>
              <sz val="10"/>
            </rPr>
            <t>Autonomy &amp; Decision:</t>
          </r>
          <r>
            <rPr>
              <rFont val="Calibri"/>
              <sz val="10"/>
            </rPr>
            <t xml:space="preserve"> 3.5 of 12 · between A3 and B1 — Start: 3.0 · senior practitioner title; Evidence reads like B1: Assigns scrum tasks to the team; revises plan dates with client; seniors still guide → moved up 0.5
</t>
          </r>
          <r>
            <rPr>
              <rFont val="Calibri"/>
              <b val="1"/>
              <sz val="10"/>
            </rPr>
            <t>Accountability &amp; Impact:</t>
          </r>
          <r>
            <rPr>
              <rFont val="Calibri"/>
              <sz val="10"/>
            </rPr>
            <t xml:space="preserve"> 4 of 12 — Start: 4.0 · senior practitioner title; 4 direct reports; Evidence reads like B1: Tracks project timeline, deliverables and invoice claims for a 4-person team; client status reporting → matches the start; KRA: “1. Deliver own BA/analysis workstreams to &gt;=95% quality &amp; timeliness 2. Provide day-to-day guidance &amp; escalation support to 2 Client…”
</t>
          </r>
          <r>
            <rPr>
              <rFont val="Calibri"/>
              <b val="1"/>
              <sz val="10"/>
            </rPr>
            <t>Leadership &amp; Strategy:</t>
          </r>
          <r>
            <rPr>
              <rFont val="Calibri"/>
              <sz val="10"/>
            </rPr>
            <t xml:space="preserve"> 4 of 12 — Start: 4.0; Evidence reads like B1: Coordinates and assigns scrum tasks to team; 4 direct reports → matches the start; Team: 4 direct reports · People Manager
</t>
          </r>
          <r>
            <rPr>
              <rFont val="Calibri"/>
              <b val="1"/>
              <sz val="10"/>
            </rPr>
            <t>Experience &amp; Qualification:</t>
          </r>
          <r>
            <rPr>
              <rFont val="Calibri"/>
              <sz val="10"/>
            </rPr>
            <t xml:space="preserve"> 4 of 12 — Experience: 4.4 yrs total · 2.2 before IRIS + 2.2 at IRIS = 3.6 on the experience scale; Qualification: M.E · postgraduate, relevant to the work → +0.5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84"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84" s="12" t="inlineStr">
        <is>
          <r>
            <rPr>
              <rFont val="Calibri"/>
              <sz val="10"/>
            </rPr>
            <t xml:space="preserve">✓ HRIS: 4.4 yrs, M.E, 4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84" s="84" t="inlineStr">
        <is>
          <r>
            <rPr>
              <rFont val="Calibri"/>
              <color rgb="009C5700"/>
              <sz val="10"/>
            </rPr>
            <t xml:space="preserve">• </t>
          </r>
          <r>
            <rPr>
              <rFont val="Calibri"/>
              <b val="1"/>
              <color rgb="009C5700"/>
              <sz val="10"/>
            </rPr>
            <t>Close call:</t>
          </r>
          <r>
            <rPr>
              <rFont val="Calibri"/>
              <color rgb="009C5700"/>
              <sz val="10"/>
            </rPr>
            <t xml:space="preserve"> score 3.54 is within 0.05 of a rounding point</t>
          </r>
        </is>
      </c>
      <c r="AA84" s="12" t="inlineStr">
        <is>
          <t>Nothing outstanding</t>
        </is>
      </c>
      <c r="AB8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From the survey and manager mapping — critical role: yes; successor named: yes.
</t>
          </r>
          <r>
            <rPr>
              <rFont val="Calibri"/>
              <b val="1"/>
              <sz val="10"/>
            </rPr>
            <t>If the work is missed · role-holders' themes:</t>
          </r>
          <r>
            <rPr>
              <rFont val="Calibri"/>
              <sz val="10"/>
            </rPr>
            <t xml:space="preserve"> client · rework · delays.
</t>
          </r>
          <r>
            <rPr>
              <rFont val="Calibri"/>
              <b val="1"/>
              <sz val="10"/>
            </rPr>
            <t>Measured on · manager-set KRA themes:</t>
          </r>
          <r>
            <rPr>
              <rFont val="Calibri"/>
              <sz val="10"/>
            </rPr>
            <t xml:space="preserve"> client · first · quality · contribute · update · establish.
Manager talent mapping — Latest rating: 4 · Potential: High · 9-Box Grid placement: Future Leader.</t>
          </r>
        </is>
      </c>
      <c r="AC84" s="82" t="n"/>
      <c r="AD84" s="82" t="n"/>
      <c r="AE84" s="82" t="n"/>
      <c r="AF84" s="12" t="n">
        <v>4.5</v>
      </c>
    </row>
    <row r="85" ht="379" customHeight="1">
      <c r="A85" s="12" t="inlineStr">
        <is>
          <t>IRIS2076</t>
        </is>
      </c>
      <c r="B85" s="10" t="inlineStr">
        <is>
          <t>Tumpa Deb</t>
        </is>
      </c>
      <c r="C85" s="12" t="inlineStr">
        <is>
          <t>Technology</t>
        </is>
      </c>
      <c r="D85" s="12" t="inlineStr">
        <is>
          <t>Senior Business Analyst</t>
        </is>
      </c>
      <c r="E85" s="78" t="inlineStr">
        <is>
          <t>Business Analysis Specialist</t>
        </is>
      </c>
      <c r="F85" s="12" t="inlineStr">
        <is>
          <t>Business Analysis</t>
        </is>
      </c>
      <c r="G85" s="12" t="inlineStr">
        <is>
          <t>Business Analysis</t>
        </is>
      </c>
      <c r="H85" s="12" t="inlineStr">
        <is>
          <t>IC</t>
        </is>
      </c>
      <c r="I85" s="42" t="inlineStr">
        <is>
          <t>L4 – Senior</t>
        </is>
      </c>
      <c r="J85" s="20" t="inlineStr">
        <is>
          <t>B1</t>
        </is>
      </c>
      <c r="K85" s="21" t="inlineStr">
        <is>
          <t>Specialist</t>
        </is>
      </c>
      <c r="L85" s="79" t="inlineStr">
        <is>
          <t>▲ Up</t>
        </is>
      </c>
      <c r="M85" s="12" t="inlineStr">
        <is>
          <t>iFile · Technology · Band B · Expert / POD Lead</t>
        </is>
      </c>
      <c r="N85" s="42" t="n">
        <v>3.5</v>
      </c>
      <c r="O85" s="42" t="n">
        <v>3.5</v>
      </c>
      <c r="P85" s="42" t="n">
        <v>3.5</v>
      </c>
      <c r="Q85" s="42" t="n">
        <v>2.5</v>
      </c>
      <c r="R85" s="42" t="n">
        <v>5</v>
      </c>
      <c r="S85" s="80" t="n">
        <v>3.5</v>
      </c>
      <c r="T85" s="81">
        <f>IF(OR($M85="",COUNT(N85,O85,P85,Q85,R85,S85)&lt;6),"",IFERROR(N85*INDEX(WM_C,MATCH($M85,WM_KEY,0))+O85*INDEX(WM_AU,MATCH($M85,WM_KEY,0))+P85*INDEX(WM_AC,MATCH($M85,WM_KEY,0))+Q85*INDEX(WM_L,MATCH($M85,WM_KEY,0))+R85*INDEX(WM_E,MATCH($M85,WM_KEY,0))+S85*INDEX(WM_BI,MATCH($M85,WM_KEY,0)),""))</f>
        <v>3.6</v>
      </c>
      <c r="U85" s="42" t="str">
        <f>IF(T85="","",INDEX({"A1","A2","A3","B1","B2","B3","C1","C2","D1","D2","E1","E2"},MAX(1,MIN(12,ROUND(T85,0)))))</f>
        <v>B1</v>
      </c>
      <c r="V85" s="12" t="inlineStr">
        <is>
          <r>
            <rPr>
              <rFont val="Calibri"/>
              <sz val="10"/>
            </rPr>
            <t xml:space="preserve">New level B1 · Specialist. Current level on record: L4 – Senior. Change: ▲ Up.
Score 3.60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5" s="12" t="inlineStr">
        <is>
          <r>
            <rPr>
              <rFont val="Calibri"/>
              <b val="1"/>
              <sz val="10"/>
            </rPr>
            <t>Complexity &amp; Expertise:</t>
          </r>
          <r>
            <rPr>
              <rFont val="Calibri"/>
              <sz val="10"/>
            </rPr>
            <t xml:space="preserve"> 3.5 of 12 · between A3 and B1 — Start: 4.0 · lead / specialist title; Evidence reads like A3: Gathers and documents requirements; runs client workshops, UAT and pilot runs → moved down 0.5; KRA: “1. Deliver &gt;=95% of assigned BRDs/FSDs approved by stakeholders with &lt;=1 revision cycle 2. Ensure &gt;=90% on-time delivery of BA deliverables…”
</t>
          </r>
          <r>
            <rPr>
              <rFont val="Calibri"/>
              <b val="1"/>
              <sz val="10"/>
            </rPr>
            <t>Autonomy &amp; Decision:</t>
          </r>
          <r>
            <rPr>
              <rFont val="Calibri"/>
              <sz val="10"/>
            </rPr>
            <t xml:space="preserve"> 3.5 of 12 · between A3 and B1 — Start: 4.0 · lead / specialist title; Evidence reads like A2: Names only requirement analysis as an independent decision → moved down 0.5
</t>
          </r>
          <r>
            <rPr>
              <rFont val="Calibri"/>
              <b val="1"/>
              <sz val="10"/>
            </rPr>
            <t>Accountability &amp; Impact:</t>
          </r>
          <r>
            <rPr>
              <rFont val="Calibri"/>
              <sz val="10"/>
            </rPr>
            <t xml:space="preserve"> 3.5 of 12 · between A3 and B1 — Start: 4.0 · lead / specialist title; Evidence reads like A2: own survey / KRA answers · summarised by the rater; not quoted → moved down 0.5; KRA: “1. Deliver &gt;=95% of assigned BRDs/FSDs approved by stakeholders with &lt;=1 revision cycle 2. Ensure &gt;=90% on-time delivery of BA deliverables…”
</t>
          </r>
          <r>
            <rPr>
              <rFont val="Calibri"/>
              <b val="1"/>
              <sz val="10"/>
            </rPr>
            <t>Leadership &amp; Strategy:</t>
          </r>
          <r>
            <rPr>
              <rFont val="Calibri"/>
              <sz val="10"/>
            </rPr>
            <t xml:space="preserve"> 2.5 of 12 · between A2 and A3 — Start: 3.0 · individual contributor, so influence only; Evidence reads like A1: None described → moved down 0.5; Team: 0 direct reports · IC
</t>
          </r>
          <r>
            <rPr>
              <rFont val="Calibri"/>
              <b val="1"/>
              <sz val="10"/>
            </rPr>
            <t>Experience &amp; Qualification:</t>
          </r>
          <r>
            <rPr>
              <rFont val="Calibri"/>
              <sz val="10"/>
            </rPr>
            <t xml:space="preserve"> 5 of 12 — Experience: 7.8 yrs total · 3.9 before IRIS + 3.9 at IRIS = 5.1 on the experience scale; Qualification: MBA · postgraduate → no change
</t>
          </r>
          <r>
            <rPr>
              <rFont val="Calibri"/>
              <b val="1"/>
              <sz val="10"/>
            </rPr>
            <t>Business Impact:</t>
          </r>
          <r>
            <rPr>
              <rFont val="Calibri"/>
              <sz val="10"/>
            </rPr>
            <t xml:space="preserve"> 3.5 of 12 — a starting estimate. —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r>
        </is>
      </c>
      <c r="X85"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85" s="12" t="inlineStr">
        <is>
          <r>
            <rPr>
              <rFont val="Calibri"/>
              <sz val="10"/>
            </rPr>
            <t xml:space="preserve">✓ HRIS: 7.8 yrs, MBA, 0 direct reports
✓ Survey: 19 of 20 questions answered
✓ KRAs: self, manager-set, quarterly
✓ Manager mapping: rating, potential, 9-box
✗ Job description: not on file
</t>
          </r>
          <r>
            <rPr>
              <rFont val="Calibri"/>
              <b val="1"/>
              <sz val="10"/>
            </rPr>
            <t>Confidence:</t>
          </r>
          <r>
            <rPr>
              <rFont val="Calibri"/>
              <sz val="10"/>
            </rPr>
            <t xml:space="preserve"> Medium</t>
          </r>
        </is>
      </c>
      <c r="Z85" s="12" t="inlineStr">
        <is>
          <t>—</t>
        </is>
      </c>
      <c r="AA85" s="12" t="inlineStr">
        <is>
          <t>Nothing outstanding</t>
        </is>
      </c>
      <c r="AB8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no; successor named: yes.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Reliable Specialist.</t>
          </r>
        </is>
      </c>
      <c r="AC85" s="82" t="n"/>
      <c r="AD85" s="82" t="n"/>
      <c r="AE85" s="82" t="n"/>
      <c r="AF85" s="12" t="n">
        <v>3.5</v>
      </c>
    </row>
    <row r="86" ht="379" customHeight="1">
      <c r="A86" s="12" t="inlineStr">
        <is>
          <t>IRIS2083</t>
        </is>
      </c>
      <c r="B86" s="10" t="inlineStr">
        <is>
          <t>Anilkumar Aarumughan</t>
        </is>
      </c>
      <c r="C86" s="12" t="inlineStr">
        <is>
          <t>Technology</t>
        </is>
      </c>
      <c r="D86" s="12" t="inlineStr">
        <is>
          <t>Senior Software Engineer</t>
        </is>
      </c>
      <c r="E86" s="78" t="inlineStr">
        <is>
          <t>Technical Specialist</t>
        </is>
      </c>
      <c r="F86" s="12" t="inlineStr">
        <is>
          <t>Engineering &amp; Development</t>
        </is>
      </c>
      <c r="G86" s="12" t="inlineStr">
        <is>
          <t>Full-Stack Development</t>
        </is>
      </c>
      <c r="H86" s="12" t="inlineStr">
        <is>
          <t>IC</t>
        </is>
      </c>
      <c r="I86" s="42" t="inlineStr">
        <is>
          <t>L4 – Senior</t>
        </is>
      </c>
      <c r="J86" s="20" t="inlineStr">
        <is>
          <t>B1</t>
        </is>
      </c>
      <c r="K86" s="21" t="inlineStr">
        <is>
          <t>Specialist</t>
        </is>
      </c>
      <c r="L86" s="79" t="inlineStr">
        <is>
          <t>▲ Up</t>
        </is>
      </c>
      <c r="M86" s="12" t="inlineStr">
        <is>
          <t>iFile · Technology · Band B · Expert / POD Lead</t>
        </is>
      </c>
      <c r="N86" s="42" t="n">
        <v>3</v>
      </c>
      <c r="O86" s="42" t="n">
        <v>3</v>
      </c>
      <c r="P86" s="42" t="n">
        <v>3</v>
      </c>
      <c r="Q86" s="42" t="n">
        <v>2</v>
      </c>
      <c r="R86" s="42" t="n">
        <v>8.5</v>
      </c>
      <c r="S86" s="80" t="n">
        <v>3</v>
      </c>
      <c r="T86" s="81">
        <f>IF(OR($M86="",COUNT(N86,O86,P86,Q86,R86,S86)&lt;6),"",IFERROR(N86*INDEX(WM_C,MATCH($M86,WM_KEY,0))+O86*INDEX(WM_AU,MATCH($M86,WM_KEY,0))+P86*INDEX(WM_AC,MATCH($M86,WM_KEY,0))+Q86*INDEX(WM_L,MATCH($M86,WM_KEY,0))+R86*INDEX(WM_E,MATCH($M86,WM_KEY,0))+S86*INDEX(WM_BI,MATCH($M86,WM_KEY,0)),""))</f>
        <v>3.5</v>
      </c>
      <c r="U86" s="42" t="str">
        <f>IF(T86="","",INDEX({"A1","A2","A3","B1","B2","B3","C1","C2","D1","D2","E1","E2"},MAX(1,MIN(12,ROUND(T86,0)))))</f>
        <v>B1</v>
      </c>
      <c r="V86" s="12" t="inlineStr">
        <is>
          <r>
            <rPr>
              <rFont val="Calibri"/>
              <sz val="10"/>
            </rPr>
            <t xml:space="preserve">New level B1 · Specialist. Current level on record: L4 – Senior. Change: ▲ Up.
Score 3.50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6" s="12" t="inlineStr">
        <is>
          <r>
            <rPr>
              <rFont val="Calibri"/>
              <b val="1"/>
              <sz val="10"/>
            </rPr>
            <t>Complexity &amp; Expertise:</t>
          </r>
          <r>
            <rPr>
              <rFont val="Calibri"/>
              <sz val="10"/>
            </rPr>
            <t xml:space="preserve"> 3 of 12 —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t>
          </r>
          <r>
            <rPr>
              <rFont val="Calibri"/>
              <b val="1"/>
              <sz val="10"/>
            </rPr>
            <t>Autonomy &amp; Decision:</t>
          </r>
          <r>
            <rPr>
              <rFont val="Calibri"/>
              <sz val="10"/>
            </rPr>
            <t xml:space="preserve"> 3 of 12 — Start: 3.0 · senior practitioner title; Evidence: rated like 15 colleagues in the same role and department · own answers too general to rate → no change
</t>
          </r>
          <r>
            <rPr>
              <rFont val="Calibri"/>
              <b val="1"/>
              <sz val="10"/>
            </rPr>
            <t>Accountability &amp; Impact:</t>
          </r>
          <r>
            <rPr>
              <rFont val="Calibri"/>
              <sz val="10"/>
            </rPr>
            <t xml:space="preserve"> 3 of 12 —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t>
          </r>
          <r>
            <rPr>
              <rFont val="Calibri"/>
              <b val="1"/>
              <sz val="10"/>
            </rPr>
            <t>Leadership &amp; Strategy:</t>
          </r>
          <r>
            <rPr>
              <rFont val="Calibri"/>
              <sz val="10"/>
            </rPr>
            <t xml:space="preserve"> 2 of 12 — Start: 2.0 · individual contributor, so influence only; Evidence: rated like 15 colleagues in the same role and department · own answers too general to rate → no change; Team: 0 direct reports · IC
</t>
          </r>
          <r>
            <rPr>
              <rFont val="Calibri"/>
              <b val="1"/>
              <sz val="10"/>
            </rPr>
            <t>Experience &amp; Qualification:</t>
          </r>
          <r>
            <rPr>
              <rFont val="Calibri"/>
              <sz val="10"/>
            </rPr>
            <t xml:space="preserve"> 8.5 of 12 · between C2 and D1 — Experience: 13.9 yrs total · 10.1 before IRIS + 3.8 at IRIS = 7.8 on the experience scale; Qualification: MSC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86"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86" s="12" t="inlineStr">
        <is>
          <r>
            <rPr>
              <rFont val="Calibri"/>
              <sz val="10"/>
            </rPr>
            <t xml:space="preserve">✓ HRIS: 13.9 yrs, MSC,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86" s="84" t="inlineStr">
        <is>
          <r>
            <rPr>
              <rFont val="Calibri"/>
              <color rgb="009C5700"/>
              <sz val="10"/>
            </rPr>
            <t xml:space="preserve">• </t>
          </r>
          <r>
            <rPr>
              <rFont val="Calibri"/>
              <b val="1"/>
              <color rgb="009C5700"/>
              <sz val="10"/>
            </rPr>
            <t>Close call:</t>
          </r>
          <r>
            <rPr>
              <rFont val="Calibri"/>
              <color rgb="009C5700"/>
              <sz val="10"/>
            </rPr>
            <t xml:space="preserve"> score 3.50 is within 0.05 of a rounding point</t>
          </r>
        </is>
      </c>
      <c r="AA86" s="12" t="inlineStr">
        <is>
          <t>Nothing outstanding</t>
        </is>
      </c>
      <c r="AB8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3 · Potential: Medium · 9-Box Grid placement: Reliable Specialist.</t>
          </r>
        </is>
      </c>
      <c r="AC86" s="82" t="n"/>
      <c r="AD86" s="82" t="n"/>
      <c r="AE86" s="82" t="n"/>
      <c r="AF86" s="12" t="n">
        <v>3</v>
      </c>
    </row>
    <row r="87" ht="379" customHeight="1">
      <c r="A87" s="12" t="inlineStr">
        <is>
          <t>IRIS1647</t>
        </is>
      </c>
      <c r="B87" s="10" t="inlineStr">
        <is>
          <t>Bhavana Thakare</t>
        </is>
      </c>
      <c r="C87" s="12" t="inlineStr">
        <is>
          <t>Technology</t>
        </is>
      </c>
      <c r="D87" s="12" t="inlineStr">
        <is>
          <t>Tech Lead</t>
        </is>
      </c>
      <c r="E87" s="78" t="inlineStr">
        <is>
          <t>Senior Technical Specialist – POD Lead</t>
        </is>
      </c>
      <c r="F87" s="12" t="inlineStr">
        <is>
          <t>Engineering &amp; Development</t>
        </is>
      </c>
      <c r="G87" s="12" t="inlineStr">
        <is>
          <t>Backend Development</t>
        </is>
      </c>
      <c r="H87" s="12" t="inlineStr">
        <is>
          <t>POD Lead</t>
        </is>
      </c>
      <c r="I87" s="42" t="inlineStr">
        <is>
          <t>L5 – Lead · IC</t>
        </is>
      </c>
      <c r="J87" s="20" t="inlineStr">
        <is>
          <t>B1</t>
        </is>
      </c>
      <c r="K87" s="21" t="inlineStr">
        <is>
          <t>Specialist · POD Lead</t>
        </is>
      </c>
      <c r="L87" s="83" t="inlineStr">
        <is>
          <t>▼ Down · pay &amp; title protected</t>
        </is>
      </c>
      <c r="M87" s="12" t="inlineStr">
        <is>
          <t>iFile · Technology · Band B · Expert / POD Lead</t>
        </is>
      </c>
      <c r="N87" s="42" t="n">
        <v>4</v>
      </c>
      <c r="O87" s="42" t="n">
        <v>4</v>
      </c>
      <c r="P87" s="42" t="n">
        <v>4</v>
      </c>
      <c r="Q87" s="42" t="n">
        <v>3.5</v>
      </c>
      <c r="R87" s="42" t="n">
        <v>8</v>
      </c>
      <c r="S87" s="80" t="n">
        <v>4</v>
      </c>
      <c r="T87" s="81">
        <f>IF(OR($M87="",COUNT(N87,O87,P87,Q87,R87,S87)&lt;6),"",IFERROR(N87*INDEX(WM_C,MATCH($M87,WM_KEY,0))+O87*INDEX(WM_AU,MATCH($M87,WM_KEY,0))+P87*INDEX(WM_AC,MATCH($M87,WM_KEY,0))+Q87*INDEX(WM_L,MATCH($M87,WM_KEY,0))+R87*INDEX(WM_E,MATCH($M87,WM_KEY,0))+S87*INDEX(WM_BI,MATCH($M87,WM_KEY,0)),""))</f>
        <v>4.375</v>
      </c>
      <c r="U87" s="42" t="str">
        <f>IF(T87="","",INDEX({"A1","A2","A3","B1","B2","B3","C1","C2","D1","D2","E1","E2"},MAX(1,MIN(12,ROUND(T87,0)))))</f>
        <v>B1</v>
      </c>
      <c r="V87" s="12" t="inlineStr">
        <is>
          <r>
            <rPr>
              <rFont val="Calibri"/>
              <sz val="10"/>
            </rPr>
            <t xml:space="preserve">New level B1 · Specialist · POD Lead. Current level on record: L5 – Lead · IC. Change: ▼ Down · pay &amp; title protected.
Score 4.38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87" s="12" t="inlineStr">
        <is>
          <r>
            <rPr>
              <rFont val="Calibri"/>
              <b val="1"/>
              <sz val="10"/>
            </rPr>
            <t>Complexity &amp; Expertise:</t>
          </r>
          <r>
            <rPr>
              <rFont val="Calibri"/>
              <sz val="10"/>
            </rPr>
            <t xml:space="preserve"> 4 of 12 — Start: 5.0 · manager / senior specialist title; Evidence reads like A3: Resolves technical issues, enhancements and production support on business-critical Java/J2EE applications → moved down 1; KRA: “1. Deliver team release roadmap on schedule: &gt;=90% of committed releases on time 2. Keep team sprint velocity stable and defect…”
</t>
          </r>
          <r>
            <rPr>
              <rFont val="Calibri"/>
              <b val="1"/>
              <sz val="10"/>
            </rPr>
            <t>Autonomy &amp; Decision:</t>
          </r>
          <r>
            <rPr>
              <rFont val="Calibri"/>
              <sz val="10"/>
            </rPr>
            <t xml:space="preserve"> 4 of 12 — Start: 5.0 · manager / senior specialist title; Evidence reads like A3: Decides how to solve technical issues and code-level changes; not major business or production decisions → moved down 1
</t>
          </r>
          <r>
            <rPr>
              <rFont val="Calibri"/>
              <b val="1"/>
              <sz val="10"/>
            </rPr>
            <t>Accountability &amp; Impact:</t>
          </r>
          <r>
            <rPr>
              <rFont val="Calibri"/>
              <sz val="10"/>
            </rPr>
            <t xml:space="preserve"> 4 of 12 — Start: 4.5 · manager / senior specialist title; 2 direct reports; Evidence reads like A3: own survey / KRA answers · summarised by the rater; not quoted → moved down 0.5; KRA: “1. Deliver team release roadmap on schedule: &gt;=90% of committed releases on time 2. Keep team sprint velocity stable and defect…”
</t>
          </r>
          <r>
            <rPr>
              <rFont val="Calibri"/>
              <b val="1"/>
              <sz val="10"/>
            </rPr>
            <t>Leadership &amp; Strategy:</t>
          </r>
          <r>
            <rPr>
              <rFont val="Calibri"/>
              <sz val="10"/>
            </rPr>
            <t xml:space="preserve"> 3.5 of 12 · between A3 and B1 — Start: 4.0; Evidence reads like A3: Survey describes no leadership; manager note says she controls her team; two reports → moved down 0.5; Team: 2 direct reports · POD Lead
</t>
          </r>
          <r>
            <rPr>
              <rFont val="Calibri"/>
              <b val="1"/>
              <sz val="10"/>
            </rPr>
            <t>Experience &amp; Qualification:</t>
          </r>
          <r>
            <rPr>
              <rFont val="Calibri"/>
              <sz val="10"/>
            </rPr>
            <t xml:space="preserve"> 8 of 12 — Experience: 13.3 yrs total · 4.0 before IRIS + 9.3 at IRIS = 7.5 on the experience scale; Qualification: MSc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87" s="12" t="inlineStr">
        <is>
          <r>
            <rPr>
              <rFont val="Calibri"/>
              <b val="1"/>
              <sz val="10"/>
            </rPr>
            <t>Market level:</t>
          </r>
          <r>
            <rPr>
              <rFont val="Calibri"/>
              <sz val="10"/>
            </rPr>
            <t xml:space="preserve"> P3 / M2 · SFIA 4 Enable
</t>
          </r>
          <r>
            <rPr>
              <rFont val="Calibri"/>
              <b val="1"/>
              <sz val="10"/>
            </rPr>
            <t>Typical title:</t>
          </r>
          <r>
            <rPr>
              <rFont val="Calibri"/>
              <sz val="10"/>
            </rPr>
            <t xml:space="preserve"> Lead / Staff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87" s="12" t="inlineStr">
        <is>
          <r>
            <rPr>
              <rFont val="Calibri"/>
              <sz val="10"/>
            </rPr>
            <t xml:space="preserve">✓ HRIS: 13.3 yrs, MSc, 2 direct reports
✓ Survey: 19 of 20 questions answered
✓ KRAs: manager-set, quarterly
✓ Manager mapping: rating, potential, 9-box
✗ Job description: not on file
</t>
          </r>
          <r>
            <rPr>
              <rFont val="Calibri"/>
              <b val="1"/>
              <sz val="10"/>
            </rPr>
            <t>Confidence:</t>
          </r>
          <r>
            <rPr>
              <rFont val="Calibri"/>
              <sz val="10"/>
            </rPr>
            <t xml:space="preserve"> High</t>
          </r>
        </is>
      </c>
      <c r="Z87"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87" s="12" t="inlineStr">
        <is>
          <t>Nothing outstanding</t>
        </is>
      </c>
      <c r="AB8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4 · Potential: Medium · 9-Box Grid placement: High Impact / Growth Talent.</t>
          </r>
        </is>
      </c>
      <c r="AC87" s="82" t="n"/>
      <c r="AD87" s="82" t="n"/>
      <c r="AE87" s="82" t="n"/>
      <c r="AF87" s="12" t="n">
        <v>4</v>
      </c>
    </row>
    <row r="88" ht="379" customHeight="1">
      <c r="A88" s="12" t="inlineStr">
        <is>
          <t>IRIS1627</t>
        </is>
      </c>
      <c r="B88" s="10" t="inlineStr">
        <is>
          <t>Manish Chouhan</t>
        </is>
      </c>
      <c r="C88" s="12" t="inlineStr">
        <is>
          <t>Technology</t>
        </is>
      </c>
      <c r="D88" s="12" t="inlineStr">
        <is>
          <t>Senior Software Engineer</t>
        </is>
      </c>
      <c r="E88" s="78" t="inlineStr">
        <is>
          <t>Senior Technical Specialist – POD Lead</t>
        </is>
      </c>
      <c r="F88" s="12" t="inlineStr">
        <is>
          <t>Engineering &amp; Development</t>
        </is>
      </c>
      <c r="G88" s="12" t="inlineStr">
        <is>
          <t>Backend Development</t>
        </is>
      </c>
      <c r="H88" s="12" t="inlineStr">
        <is>
          <t>POD Lead</t>
        </is>
      </c>
      <c r="I88" s="42" t="inlineStr">
        <is>
          <t>L4 – Senior</t>
        </is>
      </c>
      <c r="J88" s="20" t="inlineStr">
        <is>
          <t>B1</t>
        </is>
      </c>
      <c r="K88" s="21" t="inlineStr">
        <is>
          <t>Specialist · POD Lead</t>
        </is>
      </c>
      <c r="L88" s="79" t="inlineStr">
        <is>
          <t>▲ Up</t>
        </is>
      </c>
      <c r="M88" s="12" t="inlineStr">
        <is>
          <t>iFile · Technology · Band B · Expert / POD Lead</t>
        </is>
      </c>
      <c r="N88" s="42" t="n">
        <v>4</v>
      </c>
      <c r="O88" s="42" t="n">
        <v>3.5</v>
      </c>
      <c r="P88" s="42" t="n">
        <v>4</v>
      </c>
      <c r="Q88" s="42" t="n">
        <v>4</v>
      </c>
      <c r="R88" s="42" t="n">
        <v>7.5</v>
      </c>
      <c r="S88" s="80" t="n">
        <v>4</v>
      </c>
      <c r="T88" s="81">
        <f>IF(OR($M88="",COUNT(N88,O88,P88,Q88,R88,S88)&lt;6),"",IFERROR(N88*INDEX(WM_C,MATCH($M88,WM_KEY,0))+O88*INDEX(WM_AU,MATCH($M88,WM_KEY,0))+P88*INDEX(WM_AC,MATCH($M88,WM_KEY,0))+Q88*INDEX(WM_L,MATCH($M88,WM_KEY,0))+R88*INDEX(WM_E,MATCH($M88,WM_KEY,0))+S88*INDEX(WM_BI,MATCH($M88,WM_KEY,0)),""))</f>
        <v>4.265</v>
      </c>
      <c r="U88" s="42" t="str">
        <f>IF(T88="","",INDEX({"A1","A2","A3","B1","B2","B3","C1","C2","D1","D2","E1","E2"},MAX(1,MIN(12,ROUND(T88,0)))))</f>
        <v>B1</v>
      </c>
      <c r="V88" s="12" t="inlineStr">
        <is>
          <r>
            <rPr>
              <rFont val="Calibri"/>
              <sz val="10"/>
            </rPr>
            <t xml:space="preserve">New level B1 · Specialist · POD Lead. Current level on record: L4 – Senior. Change: ▲ Up.
Score 4.27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8" s="12" t="inlineStr">
        <is>
          <r>
            <rPr>
              <rFont val="Calibri"/>
              <b val="1"/>
              <sz val="10"/>
            </rPr>
            <t>Complexity &amp; Expertise:</t>
          </r>
          <r>
            <rPr>
              <rFont val="Calibri"/>
              <sz val="10"/>
            </rPr>
            <t xml:space="preserve"> 4 of 12 — Start: 3.0 · senior practitioner title; Evidence reads like B2: Resolves technical problems and makes design decisions across 7-9 iFile tools, GST Utility, SBC portal → moved up 1; KRA: “1. Provide production support/Upgrade of SBC. 2. Work independently and complete tasks on time and guide team members. 3. Improve the…”
</t>
          </r>
          <r>
            <rPr>
              <rFont val="Calibri"/>
              <b val="1"/>
              <sz val="10"/>
            </rPr>
            <t>Autonomy &amp; Decision:</t>
          </r>
          <r>
            <rPr>
              <rFont val="Calibri"/>
              <sz val="10"/>
            </rPr>
            <t xml:space="preserve"> 3.5 of 12 · between A3 and B1 — Start: 3.0 · senior practitioner title; Evidence reads like B1: Decides implementation approach, iFile design, support process and timelines for the tools team → moved up 0.5
</t>
          </r>
          <r>
            <rPr>
              <rFont val="Calibri"/>
              <b val="1"/>
              <sz val="10"/>
            </rPr>
            <t>Accountability &amp; Impact:</t>
          </r>
          <r>
            <rPr>
              <rFont val="Calibri"/>
              <sz val="10"/>
            </rPr>
            <t xml:space="preserve"> 4 of 12 — Start: 4.0 · senior practitioner title; 2 direct reports; Evidence reads like B1: Delivery and support of 7-9 iFile tools, GST Utility and SBC portal changes → matches the start; KRA: “1. Provide production support/Upgrade of SBC. 2. Work independently and complete tasks on time and guide team members. 3. Improve the…”
</t>
          </r>
          <r>
            <rPr>
              <rFont val="Calibri"/>
              <b val="1"/>
              <sz val="10"/>
            </rPr>
            <t>Leadership &amp; Strategy:</t>
          </r>
          <r>
            <rPr>
              <rFont val="Calibri"/>
              <sz val="10"/>
            </rPr>
            <t xml:space="preserve"> 4 of 12 — Start: 4.0; Evidence reads like B1: Guides the iFile tool team and reviews their work at regular intervals; 2 reports → matches the start; Team: 2 direct reports · POD Lead
</t>
          </r>
          <r>
            <rPr>
              <rFont val="Calibri"/>
              <b val="1"/>
              <sz val="10"/>
            </rPr>
            <t>Experience &amp; Qualification:</t>
          </r>
          <r>
            <rPr>
              <rFont val="Calibri"/>
              <sz val="10"/>
            </rPr>
            <t xml:space="preserve"> 7.5 of 12 · between C1 and C2 — Experience: 11.6 yrs total · 2.0 before IRIS + 9.6 at IRIS = 6.8 on the experience scale; Qualification: M.Tech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88" s="12" t="inlineStr">
        <is>
          <r>
            <rPr>
              <rFont val="Calibri"/>
              <b val="1"/>
              <sz val="10"/>
            </rPr>
            <t>Market level:</t>
          </r>
          <r>
            <rPr>
              <rFont val="Calibri"/>
              <sz val="10"/>
            </rPr>
            <t xml:space="preserve"> P3 / M2 · SFIA 4 Enable
</t>
          </r>
          <r>
            <rPr>
              <rFont val="Calibri"/>
              <b val="1"/>
              <sz val="10"/>
            </rPr>
            <t>Typical title:</t>
          </r>
          <r>
            <rPr>
              <rFont val="Calibri"/>
              <sz val="10"/>
            </rPr>
            <t xml:space="preserve"> Lead / Staff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88" s="12" t="inlineStr">
        <is>
          <r>
            <rPr>
              <rFont val="Calibri"/>
              <sz val="10"/>
            </rPr>
            <t xml:space="preserve">✓ HRIS: 11.6 yrs, M.Tech, 2 direct reports
✓ Survey: 19 of 20 questions answered
✓ KRAs: quarterly
✓ Manager mapping: rating, potential, 9-box
✗ Job description: not on file
</t>
          </r>
          <r>
            <rPr>
              <rFont val="Calibri"/>
              <b val="1"/>
              <sz val="10"/>
            </rPr>
            <t>Confidence:</t>
          </r>
          <r>
            <rPr>
              <rFont val="Calibri"/>
              <sz val="10"/>
            </rPr>
            <t xml:space="preserve"> Medium</t>
          </r>
        </is>
      </c>
      <c r="Z88" s="12" t="inlineStr">
        <is>
          <t>—</t>
        </is>
      </c>
      <c r="AA88" s="12" t="inlineStr">
        <is>
          <t>Nothing outstanding</t>
        </is>
      </c>
      <c r="AB8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3 · Potential: Medium · 9-Box Grid placement: Trusted Professional.</t>
          </r>
        </is>
      </c>
      <c r="AC88" s="82" t="n"/>
      <c r="AD88" s="82" t="n"/>
      <c r="AE88" s="82" t="n"/>
      <c r="AF88" s="12" t="n">
        <v>4</v>
      </c>
    </row>
    <row r="89" ht="379" customHeight="1">
      <c r="A89" s="12" t="inlineStr">
        <is>
          <t>IRIS1550</t>
        </is>
      </c>
      <c r="B89" s="10" t="inlineStr">
        <is>
          <t>Paresh Patil</t>
        </is>
      </c>
      <c r="C89" s="12" t="inlineStr">
        <is>
          <t>Technology</t>
        </is>
      </c>
      <c r="D89" s="12" t="inlineStr">
        <is>
          <t>Senior Software Engineer</t>
        </is>
      </c>
      <c r="E89" s="78" t="inlineStr">
        <is>
          <t>Technical Specialist – POD Lead</t>
        </is>
      </c>
      <c r="F89" s="12" t="inlineStr">
        <is>
          <t>Engineering &amp; Development</t>
        </is>
      </c>
      <c r="G89" s="12" t="inlineStr">
        <is>
          <t>Full-Stack Development</t>
        </is>
      </c>
      <c r="H89" s="12" t="inlineStr">
        <is>
          <t>POD Lead</t>
        </is>
      </c>
      <c r="I89" s="42" t="inlineStr">
        <is>
          <t>L4 – Senior</t>
        </is>
      </c>
      <c r="J89" s="20" t="inlineStr">
        <is>
          <t>B1</t>
        </is>
      </c>
      <c r="K89" s="21" t="inlineStr">
        <is>
          <t>Specialist · POD Lead</t>
        </is>
      </c>
      <c r="L89" s="79" t="inlineStr">
        <is>
          <t>▲ Up</t>
        </is>
      </c>
      <c r="M89" s="12" t="inlineStr">
        <is>
          <t>iFile · Technology · Band B · Expert / POD Lead</t>
        </is>
      </c>
      <c r="N89" s="42" t="n">
        <v>3</v>
      </c>
      <c r="O89" s="42" t="n">
        <v>3</v>
      </c>
      <c r="P89" s="42" t="n">
        <v>3.5</v>
      </c>
      <c r="Q89" s="42" t="n">
        <v>3</v>
      </c>
      <c r="R89" s="42" t="n">
        <v>6.5</v>
      </c>
      <c r="S89" s="80" t="n">
        <v>3.5</v>
      </c>
      <c r="T89" s="81">
        <f>IF(OR($M89="",COUNT(N89,O89,P89,Q89,R89,S89)&lt;6),"",IFERROR(N89*INDEX(WM_C,MATCH($M89,WM_KEY,0))+O89*INDEX(WM_AU,MATCH($M89,WM_KEY,0))+P89*INDEX(WM_AC,MATCH($M89,WM_KEY,0))+Q89*INDEX(WM_L,MATCH($M89,WM_KEY,0))+R89*INDEX(WM_E,MATCH($M89,WM_KEY,0))+S89*INDEX(WM_BI,MATCH($M89,WM_KEY,0)),""))</f>
        <v>3.41</v>
      </c>
      <c r="U89" s="42" t="str">
        <f>IF(T89="","",INDEX({"A1","A2","A3","B1","B2","B3","C1","C2","D1","D2","E1","E2"},MAX(1,MIN(12,ROUND(T89,0)))))</f>
        <v>A3</v>
      </c>
      <c r="V89" s="12" t="inlineStr">
        <is>
          <r>
            <rPr>
              <rFont val="Calibri"/>
              <sz val="10"/>
            </rPr>
            <t xml:space="preserve">New level B1 · Specialist · POD Lead. Current level on record: L4 – Senior. Change: ▲ Up.
Score 3.41 on the ladder scale → indicated level A3.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W89" s="12" t="inlineStr">
        <is>
          <r>
            <rPr>
              <rFont val="Calibri"/>
              <b val="1"/>
              <sz val="10"/>
            </rPr>
            <t>Complexity &amp; Expertise:</t>
          </r>
          <r>
            <rPr>
              <rFont val="Calibri"/>
              <sz val="10"/>
            </rPr>
            <t xml:space="preserve"> 3 of 12 — Start: 3.0 · senior practitioner title; Evidence reads like A3: Develops and supports regulator software across application, database, IIS and integration layers; XBRL validation → matches the start; KRA: “1. Provide production support and work on assigned Webform projects. 2. Work independently and complete tasks on time and guide team…”
</t>
          </r>
          <r>
            <rPr>
              <rFont val="Calibri"/>
              <b val="1"/>
              <sz val="10"/>
            </rPr>
            <t>Autonomy &amp; Decision:</t>
          </r>
          <r>
            <rPr>
              <rFont val="Calibri"/>
              <sz val="10"/>
            </rPr>
            <t xml:space="preserve"> 3 of 12 — Start: 3.0 · senior practitioner title; Evidence reads like A3: Diagnoses issues, picks implementation approach, changes application/database code and optimises without checking → matches the start
</t>
          </r>
          <r>
            <rPr>
              <rFont val="Calibri"/>
              <b val="1"/>
              <sz val="10"/>
            </rPr>
            <t>Accountability &amp; Impact:</t>
          </r>
          <r>
            <rPr>
              <rFont val="Calibri"/>
              <sz val="10"/>
            </rPr>
            <t xml:space="preserve"> 3.5 of 12 · between A3 and B1 — Start: 4.0 · senior practitioner title; 2 direct reports; Evidence reads like A3: Production readiness of delivered functionality: XBRL validation/reporting, database changes, deployments → moved down 0.5; KRA: “1. Provide production support and work on assigned Webform projects. 2. Work independently and complete tasks on time and guide team…”
</t>
          </r>
          <r>
            <rPr>
              <rFont val="Calibri"/>
              <b val="1"/>
              <sz val="10"/>
            </rPr>
            <t>Leadership &amp; Strategy:</t>
          </r>
          <r>
            <rPr>
              <rFont val="Calibri"/>
              <sz val="10"/>
            </rPr>
            <t xml:space="preserve"> 3 of 12 — Start: 4.0; Evidence reads like A2: No guiding described in survey; KRA asks for guiding team members; 2 reports → moved down 1; Team: 2 direct reports · POD Lead
</t>
          </r>
          <r>
            <rPr>
              <rFont val="Calibri"/>
              <b val="1"/>
              <sz val="10"/>
            </rPr>
            <t>Experience &amp; Qualification:</t>
          </r>
          <r>
            <rPr>
              <rFont val="Calibri"/>
              <sz val="10"/>
            </rPr>
            <t xml:space="preserve"> 6.5 of 12 · between B3 and C1 — Experience: 11.2 yrs total · 11.2 at IRIS; none recorded before IRIS = 6.6 on the experience scale; Qualification: B.E · graduate, relevant to the work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89"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89" s="12" t="inlineStr">
        <is>
          <r>
            <rPr>
              <rFont val="Calibri"/>
              <sz val="10"/>
            </rPr>
            <t xml:space="preserve">✓ HRIS: 11.2 yrs, B.E, 2 direct reports
✓ Survey: 20 of 20 questions answered
✓ KRAs: quarterly
✓ Manager mapping: rating, potential, 9-box
✗ Job description: not on file
</t>
          </r>
          <r>
            <rPr>
              <rFont val="Calibri"/>
              <b val="1"/>
              <sz val="10"/>
            </rPr>
            <t>Confidence:</t>
          </r>
          <r>
            <rPr>
              <rFont val="Calibri"/>
              <sz val="10"/>
            </rPr>
            <t xml:space="preserve"> High</t>
          </r>
        </is>
      </c>
      <c r="Z89" s="12" t="inlineStr">
        <is>
          <t>—</t>
        </is>
      </c>
      <c r="AA89" s="12" t="inlineStr">
        <is>
          <t>Nothing outstanding</t>
        </is>
      </c>
      <c r="AB8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successor named: yes.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4 · Potential: High · 9-Box Grid placement: High Impact / Growth Talent.</t>
          </r>
        </is>
      </c>
      <c r="AC89" s="82" t="n"/>
      <c r="AD89" s="82" t="n"/>
      <c r="AE89" s="82" t="n"/>
      <c r="AF89" s="12" t="n">
        <v>3.5</v>
      </c>
    </row>
    <row r="90" ht="379" customHeight="1">
      <c r="A90" s="12" t="inlineStr">
        <is>
          <t>IRIS2409</t>
        </is>
      </c>
      <c r="B90" s="10" t="inlineStr">
        <is>
          <t>Prabhakar Mhadse</t>
        </is>
      </c>
      <c r="C90" s="12" t="inlineStr">
        <is>
          <t>Technology</t>
        </is>
      </c>
      <c r="D90" s="12" t="inlineStr">
        <is>
          <t>Senior Software Engineer</t>
        </is>
      </c>
      <c r="E90" s="78" t="inlineStr">
        <is>
          <t>AI/ML Specialist – POD Lead</t>
        </is>
      </c>
      <c r="F90" s="12" t="inlineStr">
        <is>
          <t>Engineering &amp; Development</t>
        </is>
      </c>
      <c r="G90" s="12" t="inlineStr">
        <is>
          <t>AI / ML &amp; GenAI Engineering</t>
        </is>
      </c>
      <c r="H90" s="12" t="inlineStr">
        <is>
          <t>POD Lead</t>
        </is>
      </c>
      <c r="I90" s="42" t="inlineStr">
        <is>
          <t>L4 – Senior</t>
        </is>
      </c>
      <c r="J90" s="20" t="inlineStr">
        <is>
          <t>B1</t>
        </is>
      </c>
      <c r="K90" s="21" t="inlineStr">
        <is>
          <t>Specialist · POD Lead</t>
        </is>
      </c>
      <c r="L90" s="79" t="inlineStr">
        <is>
          <t>▲ Up</t>
        </is>
      </c>
      <c r="M90" s="12" t="inlineStr">
        <is>
          <t>iFile · Technology · Band B · Expert / POD Lead</t>
        </is>
      </c>
      <c r="N90" s="42" t="n">
        <v>3</v>
      </c>
      <c r="O90" s="42" t="n">
        <v>2.5</v>
      </c>
      <c r="P90" s="42" t="n">
        <v>3</v>
      </c>
      <c r="Q90" s="42" t="n">
        <v>3</v>
      </c>
      <c r="R90" s="42" t="n">
        <v>6</v>
      </c>
      <c r="S90" s="80" t="n">
        <v>3</v>
      </c>
      <c r="T90" s="81">
        <f>IF(OR($M90="",COUNT(N90,O90,P90,Q90,R90,S90)&lt;6),"",IFERROR(N90*INDEX(WM_C,MATCH($M90,WM_KEY,0))+O90*INDEX(WM_AU,MATCH($M90,WM_KEY,0))+P90*INDEX(WM_AC,MATCH($M90,WM_KEY,0))+Q90*INDEX(WM_L,MATCH($M90,WM_KEY,0))+R90*INDEX(WM_E,MATCH($M90,WM_KEY,0))+S90*INDEX(WM_BI,MATCH($M90,WM_KEY,0)),""))</f>
        <v>3.215</v>
      </c>
      <c r="U90" s="42" t="str">
        <f>IF(T90="","",INDEX({"A1","A2","A3","B1","B2","B3","C1","C2","D1","D2","E1","E2"},MAX(1,MIN(12,ROUND(T90,0)))))</f>
        <v>A3</v>
      </c>
      <c r="V90" s="12" t="inlineStr">
        <is>
          <r>
            <rPr>
              <rFont val="Calibri"/>
              <sz val="10"/>
            </rPr>
            <t xml:space="preserve">New level B1 · Specialist · POD Lead. Current level on record: L4 – Senior. Change: ▲ Up.
Score 3.22 on the ladder scale → indicated level A3.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W90" s="12" t="inlineStr">
        <is>
          <r>
            <rPr>
              <rFont val="Calibri"/>
              <b val="1"/>
              <sz val="10"/>
            </rPr>
            <t>Complexity &amp; Expertise:</t>
          </r>
          <r>
            <rPr>
              <rFont val="Calibri"/>
              <sz val="10"/>
            </rPr>
            <t xml:space="preserve"> 3 of 12 — Start: 3.0 · senior practitioner title; Evidence reads like A3: Builds AI solutions end to end in Python and deploys them with Docker/Podman → matches the start
</t>
          </r>
          <r>
            <rPr>
              <rFont val="Calibri"/>
              <b val="1"/>
              <sz val="10"/>
            </rPr>
            <t>Autonomy &amp; Decision:</t>
          </r>
          <r>
            <rPr>
              <rFont val="Calibri"/>
              <sz val="10"/>
            </rPr>
            <t xml:space="preserve"> 2.5 of 12 · between A2 and A3 — Start: 3.0 · senior practitioner title; Evidence reads like A2: Decides technical implementation of own work only → moved down 0.5
</t>
          </r>
          <r>
            <rPr>
              <rFont val="Calibri"/>
              <b val="1"/>
              <sz val="10"/>
            </rPr>
            <t>Accountability &amp; Impact:</t>
          </r>
          <r>
            <rPr>
              <rFont val="Calibri"/>
              <sz val="10"/>
            </rPr>
            <t xml:space="preserve"> 3 of 12 — Start: 3.5 · senior practitioner title; 1 direct report; Evidence reads like A2: own survey / KRA answers · summarised by the rater; not quoted → moved down 0.5
</t>
          </r>
          <r>
            <rPr>
              <rFont val="Calibri"/>
              <b val="1"/>
              <sz val="10"/>
            </rPr>
            <t>Leadership &amp; Strategy:</t>
          </r>
          <r>
            <rPr>
              <rFont val="Calibri"/>
              <sz val="10"/>
            </rPr>
            <t xml:space="preserve"> 3 of 12 — Start: 3.5; Evidence reads like A1: No guiding described despite one report → moved down 0.5; Team: 1 direct report · POD Lead
</t>
          </r>
          <r>
            <rPr>
              <rFont val="Calibri"/>
              <b val="1"/>
              <sz val="10"/>
            </rPr>
            <t>Experience &amp; Qualification:</t>
          </r>
          <r>
            <rPr>
              <rFont val="Calibri"/>
              <sz val="10"/>
            </rPr>
            <t xml:space="preserve"> 6 of 12 — Experience: 8.2 yrs total · 7.0 before IRIS + 1.2 at IRIS = 5.3 on the experience scale; Qualification: ME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90"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0" s="12" t="inlineStr">
        <is>
          <r>
            <rPr>
              <rFont val="Calibri"/>
              <sz val="10"/>
            </rPr>
            <t xml:space="preserve">✓ HRIS: 8.2 yrs, ME, 1 direct report
✓ Survey: 20 of 20 questions answered
✗ KRAs: none on file
✓ Manager mapping: rating, 9-box
✗ Job description: not on file
</t>
          </r>
          <r>
            <rPr>
              <rFont val="Calibri"/>
              <b val="1"/>
              <sz val="10"/>
            </rPr>
            <t>Confidence:</t>
          </r>
          <r>
            <rPr>
              <rFont val="Calibri"/>
              <sz val="10"/>
            </rPr>
            <t xml:space="preserve"> Medium</t>
          </r>
        </is>
      </c>
      <c r="Z90" s="12" t="inlineStr">
        <is>
          <t>—</t>
        </is>
      </c>
      <c r="AA90" s="12" t="inlineStr">
        <is>
          <t>Nothing outstanding</t>
        </is>
      </c>
      <c r="AB9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delays · lead · incorrect · rework · quality.
Manager talent mapping — Latest rating: Not rated · manager · 9-Box Grid placement: Not placed · manager.</t>
          </r>
        </is>
      </c>
      <c r="AC90" s="82" t="n"/>
      <c r="AD90" s="82" t="n"/>
      <c r="AE90" s="82" t="n"/>
      <c r="AF90" s="12" t="n">
        <v>3</v>
      </c>
    </row>
    <row r="91" ht="379" customHeight="1">
      <c r="A91" s="12" t="inlineStr">
        <is>
          <t>IRIS1860</t>
        </is>
      </c>
      <c r="B91" s="10" t="inlineStr">
        <is>
          <t>Pradnya Mhatre</t>
        </is>
      </c>
      <c r="C91" s="12" t="inlineStr">
        <is>
          <t>Technology</t>
        </is>
      </c>
      <c r="D91" s="12" t="inlineStr">
        <is>
          <t>Senior Software Engineer</t>
        </is>
      </c>
      <c r="E91" s="78" t="inlineStr">
        <is>
          <t>Technical Specialist – POD Lead</t>
        </is>
      </c>
      <c r="F91" s="12" t="inlineStr">
        <is>
          <t>Engineering &amp; Development</t>
        </is>
      </c>
      <c r="G91" s="12" t="inlineStr">
        <is>
          <t>Backend Development</t>
        </is>
      </c>
      <c r="H91" s="12" t="inlineStr">
        <is>
          <t>POD Lead</t>
        </is>
      </c>
      <c r="I91" s="42" t="inlineStr">
        <is>
          <t>L4 – Senior</t>
        </is>
      </c>
      <c r="J91" s="20" t="inlineStr">
        <is>
          <t>B1</t>
        </is>
      </c>
      <c r="K91" s="21" t="inlineStr">
        <is>
          <t>Specialist · POD Lead</t>
        </is>
      </c>
      <c r="L91" s="79" t="inlineStr">
        <is>
          <t>▲ Up</t>
        </is>
      </c>
      <c r="M91" s="12" t="inlineStr">
        <is>
          <t>iFile · Technology · Band B · Expert / POD Lead</t>
        </is>
      </c>
      <c r="N91" s="42" t="n">
        <v>3</v>
      </c>
      <c r="O91" s="42" t="n">
        <v>2.5</v>
      </c>
      <c r="P91" s="42" t="n">
        <v>3.5</v>
      </c>
      <c r="Q91" s="42" t="n">
        <v>3</v>
      </c>
      <c r="R91" s="42" t="n">
        <v>7.5</v>
      </c>
      <c r="S91" s="80" t="n">
        <v>3.5</v>
      </c>
      <c r="T91" s="81">
        <f>IF(OR($M91="",COUNT(N91,O91,P91,Q91,R91,S91)&lt;6),"",IFERROR(N91*INDEX(WM_C,MATCH($M91,WM_KEY,0))+O91*INDEX(WM_AU,MATCH($M91,WM_KEY,0))+P91*INDEX(WM_AC,MATCH($M91,WM_KEY,0))+Q91*INDEX(WM_L,MATCH($M91,WM_KEY,0))+R91*INDEX(WM_E,MATCH($M91,WM_KEY,0))+S91*INDEX(WM_BI,MATCH($M91,WM_KEY,0)),""))</f>
        <v>3.425</v>
      </c>
      <c r="U91" s="42" t="str">
        <f>IF(T91="","",INDEX({"A1","A2","A3","B1","B2","B3","C1","C2","D1","D2","E1","E2"},MAX(1,MIN(12,ROUND(T91,0)))))</f>
        <v>A3</v>
      </c>
      <c r="V91" s="12" t="inlineStr">
        <is>
          <r>
            <rPr>
              <rFont val="Calibri"/>
              <sz val="10"/>
            </rPr>
            <t xml:space="preserve">New level B1 · Specialist · POD Lead. Current level on record: L4 – Senior. Change: ▲ Up.
Score 3.43 on the ladder scale → indicated level A3.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W91" s="12" t="inlineStr">
        <is>
          <r>
            <rPr>
              <rFont val="Calibri"/>
              <b val="1"/>
              <sz val="10"/>
            </rPr>
            <t>Complexity &amp; Expertise:</t>
          </r>
          <r>
            <rPr>
              <rFont val="Calibri"/>
              <sz val="10"/>
            </rPr>
            <t xml:space="preserve"> 3 of 12 — Start: 3.0 · senior practitioner title; Evidence reads like A3: Gathers client requirements, develops Java features, tests, checks logs and supports the client → matches the start; KRA: “1. Deliver team release roadmap on schedule: &gt;=90% of committed releases on time 2. Keep team sprint velocity stable and defect…”
</t>
          </r>
          <r>
            <rPr>
              <rFont val="Calibri"/>
              <b val="1"/>
              <sz val="10"/>
            </rPr>
            <t>Autonomy &amp; Decision:</t>
          </r>
          <r>
            <rPr>
              <rFont val="Calibri"/>
              <sz val="10"/>
            </rPr>
            <t xml:space="preserve"> 2.5 of 12 · between A2 and A3 — Start: 3.0 · senior practitioner title; Evidence reads like A2: Decides only how to write code for a given requirement → moved down 0.5
</t>
          </r>
          <r>
            <rPr>
              <rFont val="Calibri"/>
              <b val="1"/>
              <sz val="10"/>
            </rPr>
            <t>Accountability &amp; Impact:</t>
          </r>
          <r>
            <rPr>
              <rFont val="Calibri"/>
              <sz val="10"/>
            </rPr>
            <t xml:space="preserve"> 3.5 of 12 · between A3 and B1 — Start: 4.0 · senior practitioner title; 3 direct reports; Evidence reads like A3: Client requirement through to delivered feature; client issue fixes and data reports → moved down 0.5; KRA: “1. Deliver team release roadmap on schedule: &gt;=90% of committed releases on time 2. Keep team sprint velocity stable and defect…”
</t>
          </r>
          <r>
            <rPr>
              <rFont val="Calibri"/>
              <b val="1"/>
              <sz val="10"/>
            </rPr>
            <t>Leadership &amp; Strategy:</t>
          </r>
          <r>
            <rPr>
              <rFont val="Calibri"/>
              <sz val="10"/>
            </rPr>
            <t xml:space="preserve"> 3 of 12 — Start: 4.0; Evidence reads like A2: No team duties in survey despite 3 reports; only the team-level KRA template → moved down 1; Team: 3 direct reports · POD Lead
</t>
          </r>
          <r>
            <rPr>
              <rFont val="Calibri"/>
              <b val="1"/>
              <sz val="10"/>
            </rPr>
            <t>Experience &amp; Qualification:</t>
          </r>
          <r>
            <rPr>
              <rFont val="Calibri"/>
              <sz val="10"/>
            </rPr>
            <t xml:space="preserve"> 7.5 of 12 · between C1 and C2 — Experience: 12.2 yrs total · 6.0 before IRIS + 6.2 at IRIS = 7.1 on the experience scale; Qualification: MSc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91"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1" s="12" t="inlineStr">
        <is>
          <r>
            <rPr>
              <rFont val="Calibri"/>
              <sz val="10"/>
            </rPr>
            <t xml:space="preserve">✓ HRIS: 12.2 yrs, MSc, 3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91" s="12" t="inlineStr">
        <is>
          <t>—</t>
        </is>
      </c>
      <c r="AA91" s="12" t="inlineStr">
        <is>
          <t>Nothing outstanding</t>
        </is>
      </c>
      <c r="AB9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From the survey and manager mapping — successor named: yes.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3 · Potential: Medium · 9-Box Grid placement: Core Contributor.</t>
          </r>
        </is>
      </c>
      <c r="AC91" s="82" t="n"/>
      <c r="AD91" s="82" t="n"/>
      <c r="AE91" s="82" t="n"/>
      <c r="AF91" s="12" t="n">
        <v>3.5</v>
      </c>
    </row>
    <row r="92" ht="379" customHeight="1">
      <c r="A92" s="12" t="inlineStr">
        <is>
          <t>IRIS1150</t>
        </is>
      </c>
      <c r="B92" s="10" t="inlineStr">
        <is>
          <t>Pragati Raskar</t>
        </is>
      </c>
      <c r="C92" s="12" t="inlineStr">
        <is>
          <t>Technology</t>
        </is>
      </c>
      <c r="D92" s="12" t="inlineStr">
        <is>
          <t>Senior Software Engineer</t>
        </is>
      </c>
      <c r="E92" s="78" t="inlineStr">
        <is>
          <t>Technical Specialist – POD Lead</t>
        </is>
      </c>
      <c r="F92" s="12" t="inlineStr">
        <is>
          <t>Engineering &amp; Development</t>
        </is>
      </c>
      <c r="G92" s="12" t="inlineStr">
        <is>
          <t>Backend Development</t>
        </is>
      </c>
      <c r="H92" s="12" t="inlineStr">
        <is>
          <t>POD Lead</t>
        </is>
      </c>
      <c r="I92" s="42" t="inlineStr">
        <is>
          <t>L4 – Senior</t>
        </is>
      </c>
      <c r="J92" s="20" t="inlineStr">
        <is>
          <t>B1</t>
        </is>
      </c>
      <c r="K92" s="21" t="inlineStr">
        <is>
          <t>Specialist · POD Lead</t>
        </is>
      </c>
      <c r="L92" s="79" t="inlineStr">
        <is>
          <t>▲ Up</t>
        </is>
      </c>
      <c r="M92" s="12" t="inlineStr">
        <is>
          <t>iFile · Technology · Band B · Expert / POD Lead</t>
        </is>
      </c>
      <c r="N92" s="42" t="n">
        <v>3</v>
      </c>
      <c r="O92" s="42" t="n">
        <v>2.5</v>
      </c>
      <c r="P92" s="42" t="n">
        <v>3.5</v>
      </c>
      <c r="Q92" s="42" t="n">
        <v>4</v>
      </c>
      <c r="R92" s="42" t="n">
        <v>8.5</v>
      </c>
      <c r="S92" s="80" t="n">
        <v>4</v>
      </c>
      <c r="T92" s="81">
        <f>IF(OR($M92="",COUNT(N92,O92,P92,Q92,R92,S92)&lt;6),"",IFERROR(N92*INDEX(WM_C,MATCH($M92,WM_KEY,0))+O92*INDEX(WM_AU,MATCH($M92,WM_KEY,0))+P92*INDEX(WM_AC,MATCH($M92,WM_KEY,0))+Q92*INDEX(WM_L,MATCH($M92,WM_KEY,0))+R92*INDEX(WM_E,MATCH($M92,WM_KEY,0))+S92*INDEX(WM_BI,MATCH($M92,WM_KEY,0)),""))</f>
        <v>3.61</v>
      </c>
      <c r="U92" s="42" t="str">
        <f>IF(T92="","",INDEX({"A1","A2","A3","B1","B2","B3","C1","C2","D1","D2","E1","E2"},MAX(1,MIN(12,ROUND(T92,0)))))</f>
        <v>B1</v>
      </c>
      <c r="V92" s="12" t="inlineStr">
        <is>
          <r>
            <rPr>
              <rFont val="Calibri"/>
              <sz val="10"/>
            </rPr>
            <t xml:space="preserve">New level B1 · Specialist · POD Lead. Current level on record: L4 – Senior. Change: ▲ Up.
Score 3.61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2" s="12" t="inlineStr">
        <is>
          <r>
            <rPr>
              <rFont val="Calibri"/>
              <b val="1"/>
              <sz val="10"/>
            </rPr>
            <t>Complexity &amp; Expertise:</t>
          </r>
          <r>
            <rPr>
              <rFont val="Calibri"/>
              <sz val="10"/>
            </rPr>
            <t xml:space="preserve"> 3 of 12 — Start: 3.0 · senior practitioner title; Evidence reads like A3: Design and implementation of webform/XBRL functionality in.NET and SQL; cites technical complexity → matches the start; KRA: “1. Deliver team release roadmap on schedule: &gt;=90% of committed releases on time 2. Keep team sprint velocity stable and defect…”
</t>
          </r>
          <r>
            <rPr>
              <rFont val="Calibri"/>
              <b val="1"/>
              <sz val="10"/>
            </rPr>
            <t>Autonomy &amp; Decision:</t>
          </r>
          <r>
            <rPr>
              <rFont val="Calibri"/>
              <sz val="10"/>
            </rPr>
            <t xml:space="preserve"> 2.5 of 12 · between A2 and A3 — Start: 3.0 · senior practitioner title; Evidence reads like A2: Decides day-to-day technical implementation only → moved down 0.5
</t>
          </r>
          <r>
            <rPr>
              <rFont val="Calibri"/>
              <b val="1"/>
              <sz val="10"/>
            </rPr>
            <t>Accountability &amp; Impact:</t>
          </r>
          <r>
            <rPr>
              <rFont val="Calibri"/>
              <sz val="10"/>
            </rPr>
            <t xml:space="preserve"> 3.5 of 12 · between A3 and B1 — Start: 4.0 · senior practitioner title; 3 direct reports; Evidence reads like A3: own survey / KRA answers · summarised by the rater; not quoted → moved down 0.5; KRA: “1. Deliver team release roadmap on schedule: &gt;=90% of committed releases on time 2. Keep team sprint velocity stable and defect…”
</t>
          </r>
          <r>
            <rPr>
              <rFont val="Calibri"/>
              <b val="1"/>
              <sz val="10"/>
            </rPr>
            <t>Leadership &amp; Strategy:</t>
          </r>
          <r>
            <rPr>
              <rFont val="Calibri"/>
              <sz val="10"/>
            </rPr>
            <t xml:space="preserve"> 4 of 12 — Start: 4.0; Evidence reads like B1: Lists team management and training as main duties; has 3 reports → matches the start; Team: 3 direct reports · POD Lead
</t>
          </r>
          <r>
            <rPr>
              <rFont val="Calibri"/>
              <b val="1"/>
              <sz val="10"/>
            </rPr>
            <t>Experience &amp; Qualification:</t>
          </r>
          <r>
            <rPr>
              <rFont val="Calibri"/>
              <sz val="10"/>
            </rPr>
            <t xml:space="preserve"> 8.5 of 12 · between C2 and D1 — Experience: 16.3 yrs total · 2.0 before IRIS + 14.3 at IRIS = 8.6 on the experience scale; Qualification: B.E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92"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2" s="12" t="inlineStr">
        <is>
          <r>
            <rPr>
              <rFont val="Calibri"/>
              <sz val="10"/>
            </rPr>
            <t xml:space="preserve">✓ HRIS: 16.3 yrs, B.E, 3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92" s="12" t="inlineStr">
        <is>
          <t>—</t>
        </is>
      </c>
      <c r="AA92" s="12" t="inlineStr">
        <is>
          <t>Nothing outstanding</t>
        </is>
      </c>
      <c r="AB9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From the survey and manager mapping — critical role: yes; successor named: no.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4 · Potential: High · 9-Box Grid placement: Trusted Professional.</t>
          </r>
        </is>
      </c>
      <c r="AC92" s="82" t="n"/>
      <c r="AD92" s="82" t="n"/>
      <c r="AE92" s="82" t="n"/>
      <c r="AF92" s="12" t="n">
        <v>4</v>
      </c>
    </row>
    <row r="93" ht="379" customHeight="1">
      <c r="A93" s="12" t="inlineStr">
        <is>
          <t>IRIS1470</t>
        </is>
      </c>
      <c r="B93" s="10" t="inlineStr">
        <is>
          <t>Rajneesh Patel</t>
        </is>
      </c>
      <c r="C93" s="12" t="inlineStr">
        <is>
          <t>Technology</t>
        </is>
      </c>
      <c r="D93" s="12" t="inlineStr">
        <is>
          <t>Senior Software Engineer</t>
        </is>
      </c>
      <c r="E93" s="78" t="inlineStr">
        <is>
          <t>Technical Specialist – POD Lead</t>
        </is>
      </c>
      <c r="F93" s="12" t="inlineStr">
        <is>
          <t>Engineering &amp; Development</t>
        </is>
      </c>
      <c r="G93" s="12" t="inlineStr">
        <is>
          <t>Full-Stack Development</t>
        </is>
      </c>
      <c r="H93" s="12" t="inlineStr">
        <is>
          <t>POD Lead</t>
        </is>
      </c>
      <c r="I93" s="42" t="inlineStr">
        <is>
          <t>L4 – Senior</t>
        </is>
      </c>
      <c r="J93" s="20" t="inlineStr">
        <is>
          <t>B1</t>
        </is>
      </c>
      <c r="K93" s="21" t="inlineStr">
        <is>
          <t>Specialist · POD Lead</t>
        </is>
      </c>
      <c r="L93" s="79" t="inlineStr">
        <is>
          <t>▲ Up</t>
        </is>
      </c>
      <c r="M93" s="12" t="inlineStr">
        <is>
          <t>iFile · Technology · Band B · Expert / POD Lead</t>
        </is>
      </c>
      <c r="N93" s="42" t="n">
        <v>3.5</v>
      </c>
      <c r="O93" s="42" t="n">
        <v>3.5</v>
      </c>
      <c r="P93" s="42" t="n">
        <v>4</v>
      </c>
      <c r="Q93" s="42" t="n">
        <v>4</v>
      </c>
      <c r="R93" s="42" t="n">
        <v>10</v>
      </c>
      <c r="S93" s="80" t="n">
        <v>4</v>
      </c>
      <c r="T93" s="81">
        <f>IF(OR($M93="",COUNT(N93,O93,P93,Q93,R93,S93)&lt;6),"",IFERROR(N93*INDEX(WM_C,MATCH($M93,WM_KEY,0))+O93*INDEX(WM_AU,MATCH($M93,WM_KEY,0))+P93*INDEX(WM_AC,MATCH($M93,WM_KEY,0))+Q93*INDEX(WM_L,MATCH($M93,WM_KEY,0))+R93*INDEX(WM_E,MATCH($M93,WM_KEY,0))+S93*INDEX(WM_BI,MATCH($M93,WM_KEY,0)),""))</f>
        <v>4.235</v>
      </c>
      <c r="U93" s="42" t="str">
        <f>IF(T93="","",INDEX({"A1","A2","A3","B1","B2","B3","C1","C2","D1","D2","E1","E2"},MAX(1,MIN(12,ROUND(T93,0)))))</f>
        <v>B1</v>
      </c>
      <c r="V93" s="12" t="inlineStr">
        <is>
          <r>
            <rPr>
              <rFont val="Calibri"/>
              <sz val="10"/>
            </rPr>
            <t xml:space="preserve">New level B1 · Specialist · POD Lead. Current level on record: L4 – Senior. Change: ▲ Up.
Score 4.24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3" s="12" t="inlineStr">
        <is>
          <r>
            <rPr>
              <rFont val="Calibri"/>
              <b val="1"/>
              <sz val="10"/>
            </rPr>
            <t>Complexity &amp; Expertise:</t>
          </r>
          <r>
            <rPr>
              <rFont val="Calibri"/>
              <sz val="10"/>
            </rPr>
            <t xml:space="preserve"> 3.5 of 12 · between A3 and B1 — Start: 3.0 · senior practitioner title; Evidence reads like B1: Diagnoses production errors and manages environments, certificates, gateways and SSO for QAWAEM e-filing platform → moved up 0.5; KRA: “1. Deliver team release roadmap on schedule: &gt;=90% of committed releases on time 2. Keep team sprint velocity stable and defect…”
</t>
          </r>
          <r>
            <rPr>
              <rFont val="Calibri"/>
              <b val="1"/>
              <sz val="10"/>
            </rPr>
            <t>Autonomy &amp; Decision:</t>
          </r>
          <r>
            <rPr>
              <rFont val="Calibri"/>
              <sz val="10"/>
            </rPr>
            <t xml:space="preserve"> 3.5 of 12 · between A3 and B1 — Start: 3.0 · senior practitioner title; Evidence reads like B1: Sets technical approach and directs team on upgrades/CRs; production changes need client approval → moved up 0.5
</t>
          </r>
          <r>
            <rPr>
              <rFont val="Calibri"/>
              <b val="1"/>
              <sz val="10"/>
            </rPr>
            <t>Accountability &amp; Impact:</t>
          </r>
          <r>
            <rPr>
              <rFont val="Calibri"/>
              <sz val="10"/>
            </rPr>
            <t xml:space="preserve"> 4 of 12 — Start: 3.5 · senior practitioner title; 1 direct report; Evidence reads like B1: Production stability, QA/UAT/prod environment health and client issue resolution for the QAWAEM platform → moved up 0.5; KRA: “1. Deliver team release roadmap on schedule: &gt;=90% of committed releases on time 2. Keep team sprint velocity stable and defect…”
</t>
          </r>
          <r>
            <rPr>
              <rFont val="Calibri"/>
              <b val="1"/>
              <sz val="10"/>
            </rPr>
            <t>Leadership &amp; Strategy:</t>
          </r>
          <r>
            <rPr>
              <rFont val="Calibri"/>
              <sz val="10"/>
            </rPr>
            <t xml:space="preserve"> 4 of 12 — Start: 3.5; Evidence reads like B1: Guides and unblocks the team, reviews documentation, reports status to client; 1 report → moved up 0.5; Team: 1 direct report · POD Lead
</t>
          </r>
          <r>
            <rPr>
              <rFont val="Calibri"/>
              <b val="1"/>
              <sz val="10"/>
            </rPr>
            <t>Experience &amp; Qualification:</t>
          </r>
          <r>
            <rPr>
              <rFont val="Calibri"/>
              <sz val="10"/>
            </rPr>
            <t xml:space="preserve"> 10 of 12 — Experience: 18.6 yrs total · 6.5 before IRIS + 12.1 at IRIS = 9.3 on the experience scale; Qualification: MCA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93"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3" s="12" t="inlineStr">
        <is>
          <r>
            <rPr>
              <rFont val="Calibri"/>
              <sz val="10"/>
            </rPr>
            <t xml:space="preserve">✓ HRIS: 18.6 yrs, MCA, 1 direct report
✓ Survey: 20 of 20 questions answered
✓ KRAs: manager-set, quarterly
✓ Manager mapping: rating, 9-box
✗ Job description: not on file
</t>
          </r>
          <r>
            <rPr>
              <rFont val="Calibri"/>
              <b val="1"/>
              <sz val="10"/>
            </rPr>
            <t>Confidence:</t>
          </r>
          <r>
            <rPr>
              <rFont val="Calibri"/>
              <sz val="10"/>
            </rPr>
            <t xml:space="preserve"> Medium</t>
          </r>
        </is>
      </c>
      <c r="Z93" s="12" t="inlineStr">
        <is>
          <t>—</t>
        </is>
      </c>
      <c r="AA93" s="12" t="inlineStr">
        <is>
          <t>Nothing outstanding</t>
        </is>
      </c>
      <c r="AB9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Not rated · manager · 9-Box Grid placement: Not placed · manager.</t>
          </r>
        </is>
      </c>
      <c r="AC93" s="82" t="n"/>
      <c r="AD93" s="82" t="n"/>
      <c r="AE93" s="82" t="n"/>
      <c r="AF93" s="12" t="n">
        <v>4</v>
      </c>
    </row>
    <row r="94" ht="379" customHeight="1">
      <c r="A94" s="12" t="inlineStr">
        <is>
          <t>IRIS1653</t>
        </is>
      </c>
      <c r="B94" s="10" t="inlineStr">
        <is>
          <t>Sarvesh Yadav</t>
        </is>
      </c>
      <c r="C94" s="12" t="inlineStr">
        <is>
          <t>Technology</t>
        </is>
      </c>
      <c r="D94" s="12" t="inlineStr">
        <is>
          <t>Senior Software Engineer</t>
        </is>
      </c>
      <c r="E94" s="78" t="inlineStr">
        <is>
          <t>Technical Specialist</t>
        </is>
      </c>
      <c r="F94" s="12" t="inlineStr">
        <is>
          <t>Engineering &amp; Development</t>
        </is>
      </c>
      <c r="G94" s="12" t="inlineStr">
        <is>
          <t>Backend Development</t>
        </is>
      </c>
      <c r="H94" s="12" t="inlineStr">
        <is>
          <t>IC</t>
        </is>
      </c>
      <c r="I94" s="42" t="inlineStr">
        <is>
          <t>L4 – Senior</t>
        </is>
      </c>
      <c r="J94" s="20" t="inlineStr">
        <is>
          <t>B1</t>
        </is>
      </c>
      <c r="K94" s="21" t="inlineStr">
        <is>
          <t>Specialist</t>
        </is>
      </c>
      <c r="L94" s="79" t="inlineStr">
        <is>
          <t>▲ Up</t>
        </is>
      </c>
      <c r="M94" s="12" t="inlineStr">
        <is>
          <t>iFile · Technology · Band B · Expert / POD Lead</t>
        </is>
      </c>
      <c r="N94" s="42" t="n">
        <v>3.5</v>
      </c>
      <c r="O94" s="42" t="n">
        <v>3.5</v>
      </c>
      <c r="P94" s="42" t="n">
        <v>3.5</v>
      </c>
      <c r="Q94" s="42" t="n">
        <v>2.5</v>
      </c>
      <c r="R94" s="42" t="n">
        <v>8.5</v>
      </c>
      <c r="S94" s="80" t="n">
        <v>3.5</v>
      </c>
      <c r="T94" s="81">
        <f>IF(OR($M94="",COUNT(N94,O94,P94,Q94,R94,S94)&lt;6),"",IFERROR(N94*INDEX(WM_C,MATCH($M94,WM_KEY,0))+O94*INDEX(WM_AU,MATCH($M94,WM_KEY,0))+P94*INDEX(WM_AC,MATCH($M94,WM_KEY,0))+Q94*INDEX(WM_L,MATCH($M94,WM_KEY,0))+R94*INDEX(WM_E,MATCH($M94,WM_KEY,0))+S94*INDEX(WM_BI,MATCH($M94,WM_KEY,0)),""))</f>
        <v>3.95</v>
      </c>
      <c r="U94" s="42" t="str">
        <f>IF(T94="","",INDEX({"A1","A2","A3","B1","B2","B3","C1","C2","D1","D2","E1","E2"},MAX(1,MIN(12,ROUND(T94,0)))))</f>
        <v>B1</v>
      </c>
      <c r="V94" s="12" t="inlineStr">
        <is>
          <r>
            <rPr>
              <rFont val="Calibri"/>
              <sz val="10"/>
            </rPr>
            <t xml:space="preserve">New level B1 · Specialist. Current level on record: L4 – Senior. Change: ▲ Up.
Score 3.95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4" s="12" t="inlineStr">
        <is>
          <r>
            <rPr>
              <rFont val="Calibri"/>
              <b val="1"/>
              <sz val="10"/>
            </rPr>
            <t>Complexity &amp; Expertise:</t>
          </r>
          <r>
            <rPr>
              <rFont val="Calibri"/>
              <sz val="10"/>
            </rPr>
            <t xml:space="preserve"> 3.5 of 12 · between A3 and B1 — Start: 3.0 · senior practitioner title; Evidence reads like B1: Lists solution design, complex issue resolution and production issues on Java/Oracle stack; no system named → moved up 0.5; KRA: “1. Deliver team release roadmap on schedule: &gt;=90% of committed releases on time 2. Keep team sprint velocity stable and defect…”
</t>
          </r>
          <r>
            <rPr>
              <rFont val="Calibri"/>
              <b val="1"/>
              <sz val="10"/>
            </rPr>
            <t>Autonomy &amp; Decision:</t>
          </r>
          <r>
            <rPr>
              <rFont val="Calibri"/>
              <sz val="10"/>
            </rPr>
            <t xml:space="preserve"> 3.5 of 12 · between A3 and B1 — Start: 3.0 · senior practitioner title; Evidence reads like B2: Decides task prioritisation, task allocation, technical approach and code review outcomes → moved up 0.5
</t>
          </r>
          <r>
            <rPr>
              <rFont val="Calibri"/>
              <b val="1"/>
              <sz val="10"/>
            </rPr>
            <t>Accountability &amp; Impact:</t>
          </r>
          <r>
            <rPr>
              <rFont val="Calibri"/>
              <sz val="10"/>
            </rPr>
            <t xml:space="preserve"> 3.5 of 12 · between A3 and B1 — Start: 3.0 · senior practitioner title; Evidence reads like B1: own survey / KRA answers · summarised by the rater; not quoted → moved up 0.5; KRA: “1. Deliver team release roadmap on schedule: &gt;=90% of committed releases on time 2. Keep team sprint velocity stable and defect…”
</t>
          </r>
          <r>
            <rPr>
              <rFont val="Calibri"/>
              <b val="1"/>
              <sz val="10"/>
            </rPr>
            <t>Leadership &amp; Strategy:</t>
          </r>
          <r>
            <rPr>
              <rFont val="Calibri"/>
              <sz val="10"/>
            </rPr>
            <t xml:space="preserve"> 2.5 of 12 · between A2 and A3 — Start: 2.0 · individual contributor, so influence only; Evidence reads like B1: Calls self team lead with team management and code reviews; 0 reports in HR data → moved up 0.5; Team: 0 direct reports · IC
</t>
          </r>
          <r>
            <rPr>
              <rFont val="Calibri"/>
              <b val="1"/>
              <sz val="10"/>
            </rPr>
            <t>Experience &amp; Qualification:</t>
          </r>
          <r>
            <rPr>
              <rFont val="Calibri"/>
              <sz val="10"/>
            </rPr>
            <t xml:space="preserve"> 8.5 of 12 · between C2 and D1 — Experience: 14.8 yrs total · 5.6 before IRIS + 9.2 at IRIS = 8.1 on the experience scale; Qualification: MCA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9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4" s="12" t="inlineStr">
        <is>
          <r>
            <rPr>
              <rFont val="Calibri"/>
              <sz val="10"/>
            </rPr>
            <t xml:space="preserve">✓ HRIS: 14.8 yrs, MCA, 0 direct reports
✓ Survey: 17 of 20 questions answered
✓ KRAs: self, manager-set, quarterly
✓ Manager mapping: rating, potential, 9-box
✗ Job description: not on file
</t>
          </r>
          <r>
            <rPr>
              <rFont val="Calibri"/>
              <b val="1"/>
              <sz val="10"/>
            </rPr>
            <t>Confidence:</t>
          </r>
          <r>
            <rPr>
              <rFont val="Calibri"/>
              <sz val="10"/>
            </rPr>
            <t xml:space="preserve"> Medium</t>
          </r>
        </is>
      </c>
      <c r="Z94" s="12" t="inlineStr">
        <is>
          <t>—</t>
        </is>
      </c>
      <c r="AA94" s="86" t="inlineStr">
        <is>
          <t>• Confirm the reporting line — Manager</t>
        </is>
      </c>
      <c r="AB9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2 · Potential: Low · 9-Box Grid placement: Performance Risk.</t>
          </r>
        </is>
      </c>
      <c r="AC94" s="82" t="n"/>
      <c r="AD94" s="82" t="n"/>
      <c r="AE94" s="82" t="n"/>
      <c r="AF94" s="12" t="n">
        <v>3.5</v>
      </c>
    </row>
    <row r="95" ht="379" customHeight="1">
      <c r="A95" s="12" t="inlineStr">
        <is>
          <t>IRIS2162</t>
        </is>
      </c>
      <c r="B95" s="10" t="inlineStr">
        <is>
          <t>Vikash Gupta</t>
        </is>
      </c>
      <c r="C95" s="12" t="inlineStr">
        <is>
          <t>Technology</t>
        </is>
      </c>
      <c r="D95" s="12" t="inlineStr">
        <is>
          <t>Senior Software Engineer</t>
        </is>
      </c>
      <c r="E95" s="78" t="inlineStr">
        <is>
          <t>Technical Specialist</t>
        </is>
      </c>
      <c r="F95" s="12" t="inlineStr">
        <is>
          <t>Engineering &amp; Development</t>
        </is>
      </c>
      <c r="G95" s="12" t="inlineStr">
        <is>
          <t>Full-Stack Development</t>
        </is>
      </c>
      <c r="H95" s="12" t="inlineStr">
        <is>
          <t>IC</t>
        </is>
      </c>
      <c r="I95" s="42" t="inlineStr">
        <is>
          <t>L4 – Senior</t>
        </is>
      </c>
      <c r="J95" s="20" t="inlineStr">
        <is>
          <t>B1</t>
        </is>
      </c>
      <c r="K95" s="21" t="inlineStr">
        <is>
          <t>Specialist</t>
        </is>
      </c>
      <c r="L95" s="79" t="inlineStr">
        <is>
          <t>▲ Up</t>
        </is>
      </c>
      <c r="M95" s="12" t="inlineStr">
        <is>
          <t>iFile · Technology · Band B · Expert / POD Lead</t>
        </is>
      </c>
      <c r="N95" s="42" t="n">
        <v>3</v>
      </c>
      <c r="O95" s="42" t="n">
        <v>3</v>
      </c>
      <c r="P95" s="42" t="n">
        <v>3</v>
      </c>
      <c r="Q95" s="42" t="n">
        <v>2</v>
      </c>
      <c r="R95" s="42" t="n">
        <v>8.5</v>
      </c>
      <c r="S95" s="80" t="n">
        <v>3.5</v>
      </c>
      <c r="T95" s="81">
        <f>IF(OR($M95="",COUNT(N95,O95,P95,Q95,R95,S95)&lt;6),"",IFERROR(N95*INDEX(WM_C,MATCH($M95,WM_KEY,0))+O95*INDEX(WM_AU,MATCH($M95,WM_KEY,0))+P95*INDEX(WM_AC,MATCH($M95,WM_KEY,0))+Q95*INDEX(WM_L,MATCH($M95,WM_KEY,0))+R95*INDEX(WM_E,MATCH($M95,WM_KEY,0))+S95*INDEX(WM_BI,MATCH($M95,WM_KEY,0)),""))</f>
        <v>3.535</v>
      </c>
      <c r="U95" s="42" t="str">
        <f>IF(T95="","",INDEX({"A1","A2","A3","B1","B2","B3","C1","C2","D1","D2","E1","E2"},MAX(1,MIN(12,ROUND(T95,0)))))</f>
        <v>B1</v>
      </c>
      <c r="V95" s="12" t="inlineStr">
        <is>
          <r>
            <rPr>
              <rFont val="Calibri"/>
              <sz val="10"/>
            </rPr>
            <t xml:space="preserve">New level B1 · Specialist. Current level on record: L4 – Senior. Change: ▲ Up.
Score 3.54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5" s="12" t="inlineStr">
        <is>
          <r>
            <rPr>
              <rFont val="Calibri"/>
              <b val="1"/>
              <sz val="10"/>
            </rPr>
            <t>Complexity &amp; Expertise:</t>
          </r>
          <r>
            <rPr>
              <rFont val="Calibri"/>
              <sz val="10"/>
            </rPr>
            <t xml:space="preserve"> 3 of 12 —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rated like 15 colleagues in the same role and department · own answers too general to rate → no change
</t>
          </r>
          <r>
            <rPr>
              <rFont val="Calibri"/>
              <b val="1"/>
              <sz val="10"/>
            </rPr>
            <t>Accountability &amp; Impact:</t>
          </r>
          <r>
            <rPr>
              <rFont val="Calibri"/>
              <sz val="10"/>
            </rPr>
            <t xml:space="preserve"> 3 of 12 —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t>
          </r>
          <r>
            <rPr>
              <rFont val="Calibri"/>
              <b val="1"/>
              <sz val="10"/>
            </rPr>
            <t>Leadership &amp; Strategy:</t>
          </r>
          <r>
            <rPr>
              <rFont val="Calibri"/>
              <sz val="10"/>
            </rPr>
            <t xml:space="preserve"> 2 of 12 — Start: 2.0 · individual contributor, so influence only; Evidence: rated like 15 colleagues in the same role and department · own answers too general to rate → no change; Team: 0 direct reports · IC
</t>
          </r>
          <r>
            <rPr>
              <rFont val="Calibri"/>
              <b val="1"/>
              <sz val="10"/>
            </rPr>
            <t>Experience &amp; Qualification:</t>
          </r>
          <r>
            <rPr>
              <rFont val="Calibri"/>
              <sz val="10"/>
            </rPr>
            <t xml:space="preserve"> 8.5 of 12 · between C2 and D1 — Experience: 15.2 yrs total · 12.0 before IRIS + 3.2 at IRIS = 8.2 on the experience scale; Qualification: MCA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95"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5" s="12" t="inlineStr">
        <is>
          <r>
            <rPr>
              <rFont val="Calibri"/>
              <sz val="10"/>
            </rPr>
            <t xml:space="preserve">✓ HRIS: 15.2 yrs, MCA,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95" s="84" t="inlineStr">
        <is>
          <r>
            <rPr>
              <rFont val="Calibri"/>
              <color rgb="009C5700"/>
              <sz val="10"/>
            </rPr>
            <t xml:space="preserve">• </t>
          </r>
          <r>
            <rPr>
              <rFont val="Calibri"/>
              <b val="1"/>
              <color rgb="009C5700"/>
              <sz val="10"/>
            </rPr>
            <t>Close call:</t>
          </r>
          <r>
            <rPr>
              <rFont val="Calibri"/>
              <color rgb="009C5700"/>
              <sz val="10"/>
            </rPr>
            <t xml:space="preserve"> score 3.54 is within 0.05 of a rounding point</t>
          </r>
        </is>
      </c>
      <c r="AA95" s="12" t="inlineStr">
        <is>
          <t>Nothing outstanding</t>
        </is>
      </c>
      <c r="AB9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production · rework · incorrectly · business · lead.
</t>
          </r>
          <r>
            <rPr>
              <rFont val="Calibri"/>
              <b val="1"/>
              <sz val="10"/>
            </rPr>
            <t>Measured on · manager-set KRA themes:</t>
          </r>
          <r>
            <rPr>
              <rFont val="Calibri"/>
              <sz val="10"/>
            </rPr>
            <t xml:space="preserve"> improve · defect · assigned · time · production.
Manager talent mapping — Latest rating: 4 · Potential: High · 9-Box Grid placement: Trusted Professional.</t>
          </r>
        </is>
      </c>
      <c r="AC95" s="82" t="n"/>
      <c r="AD95" s="82" t="n"/>
      <c r="AE95" s="82" t="n"/>
      <c r="AF95" s="12" t="n">
        <v>3.5</v>
      </c>
    </row>
    <row r="96" ht="379" customHeight="1">
      <c r="A96" s="12" t="inlineStr">
        <is>
          <t>IRIS1640</t>
        </is>
      </c>
      <c r="B96" s="10" t="inlineStr">
        <is>
          <t>Vivek Shinde</t>
        </is>
      </c>
      <c r="C96" s="12" t="inlineStr">
        <is>
          <t>Technology</t>
        </is>
      </c>
      <c r="D96" s="12" t="inlineStr">
        <is>
          <t>Senior Software Engineer</t>
        </is>
      </c>
      <c r="E96" s="78" t="inlineStr">
        <is>
          <t>Technical Specialist – POD Lead</t>
        </is>
      </c>
      <c r="F96" s="12" t="inlineStr">
        <is>
          <t>Engineering &amp; Development</t>
        </is>
      </c>
      <c r="G96" s="12" t="inlineStr">
        <is>
          <t>Backend Development</t>
        </is>
      </c>
      <c r="H96" s="12" t="inlineStr">
        <is>
          <t>POD Lead</t>
        </is>
      </c>
      <c r="I96" s="42" t="inlineStr">
        <is>
          <t>L4 – Senior</t>
        </is>
      </c>
      <c r="J96" s="20" t="inlineStr">
        <is>
          <t>B1</t>
        </is>
      </c>
      <c r="K96" s="21" t="inlineStr">
        <is>
          <t>Specialist · POD Lead</t>
        </is>
      </c>
      <c r="L96" s="79" t="inlineStr">
        <is>
          <t>▲ Up</t>
        </is>
      </c>
      <c r="M96" s="12" t="inlineStr">
        <is>
          <t>iFile · Technology · Band B · Expert / POD Lead</t>
        </is>
      </c>
      <c r="N96" s="42" t="n">
        <v>3.5</v>
      </c>
      <c r="O96" s="42" t="n">
        <v>3.5</v>
      </c>
      <c r="P96" s="42" t="n">
        <v>4</v>
      </c>
      <c r="Q96" s="42" t="n">
        <v>4</v>
      </c>
      <c r="R96" s="42" t="n">
        <v>6</v>
      </c>
      <c r="S96" s="80" t="n">
        <v>4.5</v>
      </c>
      <c r="T96" s="81">
        <f>IF(OR($M96="",COUNT(N96,O96,P96,Q96,R96,S96)&lt;6),"",IFERROR(N96*INDEX(WM_C,MATCH($M96,WM_KEY,0))+O96*INDEX(WM_AU,MATCH($M96,WM_KEY,0))+P96*INDEX(WM_AC,MATCH($M96,WM_KEY,0))+Q96*INDEX(WM_L,MATCH($M96,WM_KEY,0))+R96*INDEX(WM_E,MATCH($M96,WM_KEY,0))+S96*INDEX(WM_BI,MATCH($M96,WM_KEY,0)),""))</f>
        <v>3.87</v>
      </c>
      <c r="U96" s="42" t="str">
        <f>IF(T96="","",INDEX({"A1","A2","A3","B1","B2","B3","C1","C2","D1","D2","E1","E2"},MAX(1,MIN(12,ROUND(T96,0)))))</f>
        <v>B1</v>
      </c>
      <c r="V96" s="12" t="inlineStr">
        <is>
          <r>
            <rPr>
              <rFont val="Calibri"/>
              <sz val="10"/>
            </rPr>
            <t xml:space="preserve">New level B1 · Specialist · POD Lead. Current level on record: L4 – Senior. Change: ▲ Up.
Score 3.87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6" s="12" t="inlineStr">
        <is>
          <r>
            <rPr>
              <rFont val="Calibri"/>
              <b val="1"/>
              <sz val="10"/>
            </rPr>
            <t>Complexity &amp; Expertise:</t>
          </r>
          <r>
            <rPr>
              <rFont val="Calibri"/>
              <sz val="10"/>
            </rPr>
            <t xml:space="preserve"> 3.5 of 12 · between A3 and B1 — Start: 3.0 · senior practitioner title; Evidence reads like B1: Backend development plus effort estimation, sprint planning and managing the full release lifecycle → moved up 0.5; KRA: “1. Deliver team release roadmap on schedule: &gt;=90% of committed releases on time 2. Keep team sprint velocity stable and defect…”
</t>
          </r>
          <r>
            <rPr>
              <rFont val="Calibri"/>
              <b val="1"/>
              <sz val="10"/>
            </rPr>
            <t>Autonomy &amp; Decision:</t>
          </r>
          <r>
            <rPr>
              <rFont val="Calibri"/>
              <sz val="10"/>
            </rPr>
            <t xml:space="preserve"> 3.5 of 12 · between A3 and B1 — Start: 3.0 · senior practitioner title; Evidence reads like B1: Plans sprints and the release for the team; cites technical analysis as own decision → moved up 0.5
</t>
          </r>
          <r>
            <rPr>
              <rFont val="Calibri"/>
              <b val="1"/>
              <sz val="10"/>
            </rPr>
            <t>Accountability &amp; Impact:</t>
          </r>
          <r>
            <rPr>
              <rFont val="Calibri"/>
              <sz val="10"/>
            </rPr>
            <t xml:space="preserve"> 4 of 12 — Start: 4.0 · senior practitioner title; 3 direct reports; Evidence reads like B1: Feature delivery in planned sprints and release to production; has 3 reports → matches the start; KRA: “1. Deliver team release roadmap on schedule: &gt;=90% of committed releases on time 2. Keep team sprint velocity stable and defect…”
</t>
          </r>
          <r>
            <rPr>
              <rFont val="Calibri"/>
              <b val="1"/>
              <sz val="10"/>
            </rPr>
            <t>Leadership &amp; Strategy:</t>
          </r>
          <r>
            <rPr>
              <rFont val="Calibri"/>
              <sz val="10"/>
            </rPr>
            <t xml:space="preserve"> 4 of 12 — Start: 4.0; Evidence reads like B1: Describes 'development and leading' with code reviews; KRA includes assigning tasks; 3 reports → matches the start; Team: 3 direct reports · POD Lead
</t>
          </r>
          <r>
            <rPr>
              <rFont val="Calibri"/>
              <b val="1"/>
              <sz val="10"/>
            </rPr>
            <t>Experience &amp; Qualification:</t>
          </r>
          <r>
            <rPr>
              <rFont val="Calibri"/>
              <sz val="10"/>
            </rPr>
            <t xml:space="preserve"> 6 of 12 — Experience: 9.4 yrs total · 9.4 at IRIS; none recorded before IRIS = 5.8 on the experience scale; Qualification: MMS · postgraduate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96"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96" s="12" t="inlineStr">
        <is>
          <r>
            <rPr>
              <rFont val="Calibri"/>
              <sz val="10"/>
            </rPr>
            <t xml:space="preserve">✓ HRIS: 9.4 yrs, MMS, 3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96" s="12" t="inlineStr">
        <is>
          <t>—</t>
        </is>
      </c>
      <c r="AA96" s="12" t="inlineStr">
        <is>
          <t>Nothing outstanding</t>
        </is>
      </c>
      <c r="AB9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3 direct reports.
From the survey and manager mapping — critical role: yes; successor named: no.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3 · Potential: Low · 9-Box Grid placement: Reliable Specialist.</t>
          </r>
        </is>
      </c>
      <c r="AC96" s="82" t="n"/>
      <c r="AD96" s="82" t="n"/>
      <c r="AE96" s="82" t="n"/>
      <c r="AF96" s="12" t="n">
        <v>4.5</v>
      </c>
    </row>
    <row r="97" ht="379" customHeight="1">
      <c r="A97" s="12" t="inlineStr">
        <is>
          <t>IRIS2363</t>
        </is>
      </c>
      <c r="B97" s="10" t="inlineStr">
        <is>
          <t>Aayushi Sharma</t>
        </is>
      </c>
      <c r="C97" s="12" t="inlineStr">
        <is>
          <t>Technology</t>
        </is>
      </c>
      <c r="D97" s="12" t="inlineStr">
        <is>
          <t>Project Manager</t>
        </is>
      </c>
      <c r="E97" s="78" t="inlineStr">
        <is>
          <t>Associate Project Manager</t>
        </is>
      </c>
      <c r="F97" s="12" t="inlineStr">
        <is>
          <t>Project &amp; Program Management</t>
        </is>
      </c>
      <c r="G97" s="12" t="inlineStr">
        <is>
          <t>Project &amp; Program Delivery</t>
        </is>
      </c>
      <c r="H97" s="12" t="inlineStr">
        <is>
          <t>IC</t>
        </is>
      </c>
      <c r="I97" s="42" t="inlineStr">
        <is>
          <t>L5 – Manager</t>
        </is>
      </c>
      <c r="J97" s="20" t="inlineStr">
        <is>
          <t>B1</t>
        </is>
      </c>
      <c r="K97" s="21" t="inlineStr">
        <is>
          <t>Specialist</t>
        </is>
      </c>
      <c r="L97" s="83" t="inlineStr">
        <is>
          <t>▼ Down · pay &amp; title protected</t>
        </is>
      </c>
      <c r="M97" s="12" t="inlineStr">
        <is>
          <t>iFile · Technology · Band B · Expert / POD Lead</t>
        </is>
      </c>
      <c r="N97" s="42" t="n">
        <v>4.5</v>
      </c>
      <c r="O97" s="42" t="n">
        <v>4.5</v>
      </c>
      <c r="P97" s="42" t="n">
        <v>4.5</v>
      </c>
      <c r="Q97" s="42" t="n">
        <v>3</v>
      </c>
      <c r="R97" s="42" t="n">
        <v>3.5</v>
      </c>
      <c r="S97" s="80" t="n">
        <v>4.5</v>
      </c>
      <c r="T97" s="81">
        <f>IF(OR($M97="",COUNT(N97,O97,P97,Q97,R97,S97)&lt;6),"",IFERROR(N97*INDEX(WM_C,MATCH($M97,WM_KEY,0))+O97*INDEX(WM_AU,MATCH($M97,WM_KEY,0))+P97*INDEX(WM_AC,MATCH($M97,WM_KEY,0))+Q97*INDEX(WM_L,MATCH($M97,WM_KEY,0))+R97*INDEX(WM_E,MATCH($M97,WM_KEY,0))+S97*INDEX(WM_BI,MATCH($M97,WM_KEY,0)),""))</f>
        <v>4.325</v>
      </c>
      <c r="U97" s="42" t="str">
        <f>IF(T97="","",INDEX({"A1","A2","A3","B1","B2","B3","C1","C2","D1","D2","E1","E2"},MAX(1,MIN(12,ROUND(T97,0)))))</f>
        <v>B1</v>
      </c>
      <c r="V97" s="12" t="inlineStr">
        <is>
          <r>
            <rPr>
              <rFont val="Calibri"/>
              <sz val="10"/>
            </rPr>
            <t xml:space="preserve">New level B1 · Specialist. Current level on record: L5 – Manager. Change: ▼ Down · pay &amp; title protected.
Score 4.33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7" s="12" t="inlineStr">
        <is>
          <r>
            <rPr>
              <rFont val="Calibri"/>
              <b val="1"/>
              <sz val="10"/>
            </rPr>
            <t>Complexity &amp; Expertise:</t>
          </r>
          <r>
            <rPr>
              <rFont val="Calibri"/>
              <sz val="10"/>
            </rPr>
            <t xml:space="preserve"> 4.5 of 12 · between B1 and B2 — Start: 5.0 · manager / senior specialist title; Evidence reads like B1: Requirement analysis, effort estimation, product feasibility, demos and POCs; DynaForms product knowledge → moved down 0.5; KRA: “1. Deliver &gt;=90% of assigned projects on time and within budget 2. Maintain project RAID log accuracy with 100% of high risks actioned…”
</t>
          </r>
          <r>
            <rPr>
              <rFont val="Calibri"/>
              <b val="1"/>
              <sz val="10"/>
            </rPr>
            <t>Autonomy &amp; Decision:</t>
          </r>
          <r>
            <rPr>
              <rFont val="Calibri"/>
              <sz val="10"/>
            </rPr>
            <t xml:space="preserve"> 4.5 of 12 · between B1 and B2 — Start: 5.0 · manager / senior specialist title; Evidence reads like B1: Confirms standard-product scope and feasibility to clients without input → moved down 0.5
</t>
          </r>
          <r>
            <rPr>
              <rFont val="Calibri"/>
              <b val="1"/>
              <sz val="10"/>
            </rPr>
            <t>Accountability &amp; Impact:</t>
          </r>
          <r>
            <rPr>
              <rFont val="Calibri"/>
              <sz val="10"/>
            </rPr>
            <t xml:space="preserve"> 4.5 of 12 · between B1 and B2 — Start: 5.0 · manager / senior specialist title; Evidence reads like B1: Project deliverables within scope and cost; unaccepted billed effort; DynaForms product duties → moved down 0.5; KRA: “1. Deliver &gt;=90% of assigned projects on time and within budget 2. Maintain project RAID log accuracy with 100% of high risks actioned…”
</t>
          </r>
          <r>
            <rPr>
              <rFont val="Calibri"/>
              <b val="1"/>
              <sz val="10"/>
            </rPr>
            <t>Leadership &amp; Strategy:</t>
          </r>
          <r>
            <rPr>
              <rFont val="Calibri"/>
              <sz val="10"/>
            </rPr>
            <t xml:space="preserve"> 3 of 12 — Start: 4.0 · individual contributor, so influence only; Evidence reads like A2: Mentions resource management and team morale; no reports or guidance described → moved down 1; Team: 0 direct reports · IC
</t>
          </r>
          <r>
            <rPr>
              <rFont val="Calibri"/>
              <b val="1"/>
              <sz val="10"/>
            </rPr>
            <t>Experience &amp; Qualification:</t>
          </r>
          <r>
            <rPr>
              <rFont val="Calibri"/>
              <sz val="10"/>
            </rPr>
            <t xml:space="preserve"> 3.5 of 12 · between A3 and B1 — Experience: 4.1 yrs total · 2.6 before IRIS + 1.5 at IRIS = 3.4 on the experience scale; Qualification: MBA · postgraduate → no change
</t>
          </r>
          <r>
            <rPr>
              <rFont val="Calibri"/>
              <b val="1"/>
              <sz val="10"/>
            </rPr>
            <t>Business Impact:</t>
          </r>
          <r>
            <rPr>
              <rFont val="Calibri"/>
              <sz val="10"/>
            </rPr>
            <t xml:space="preserve"> 4.5 of 12 — a starting estimate. —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97" s="12" t="inlineStr">
        <is>
          <r>
            <rPr>
              <rFont val="Calibri"/>
              <b val="1"/>
              <sz val="10"/>
            </rPr>
            <t>Market level:</t>
          </r>
          <r>
            <rPr>
              <rFont val="Calibri"/>
              <sz val="10"/>
            </rPr>
            <t xml:space="preserve"> P3 / M2 · SFIA 4 Enable
</t>
          </r>
          <r>
            <rPr>
              <rFont val="Calibri"/>
              <b val="1"/>
              <sz val="10"/>
            </rPr>
            <t>Typical title:</t>
          </r>
          <r>
            <rPr>
              <rFont val="Calibri"/>
              <sz val="10"/>
            </rPr>
            <t xml:space="preserve"> Project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Y97" s="12" t="inlineStr">
        <is>
          <r>
            <rPr>
              <rFont val="Calibri"/>
              <sz val="10"/>
            </rPr>
            <t xml:space="preserve">✓ HRIS: 4.1 yrs, MBA,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97" s="84"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Market-standard role title</t>
          </r>
        </is>
      </c>
      <c r="AA97" s="12" t="inlineStr">
        <is>
          <t>Nothing outstanding</t>
        </is>
      </c>
      <c r="AB9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From the survey and manager mapping — critical role: no; successor named: yes.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3 · Potential: Medium · 9-Box Grid placement: Core Contributor.</t>
          </r>
        </is>
      </c>
      <c r="AC97" s="82" t="n"/>
      <c r="AD97" s="82" t="n"/>
      <c r="AE97" s="82" t="n"/>
      <c r="AF97" s="12" t="n">
        <v>4.5</v>
      </c>
    </row>
    <row r="98" ht="379" customHeight="1">
      <c r="A98" s="12" t="inlineStr">
        <is>
          <t>IRIS2017</t>
        </is>
      </c>
      <c r="B98" s="10" t="inlineStr">
        <is>
          <t>Jerigan Gracias</t>
        </is>
      </c>
      <c r="C98" s="12" t="inlineStr">
        <is>
          <t>Technology</t>
        </is>
      </c>
      <c r="D98" s="12" t="inlineStr">
        <is>
          <t>Project Lead</t>
        </is>
      </c>
      <c r="E98" s="78" t="inlineStr">
        <is>
          <t>Associate Project Manager – POD Lead</t>
        </is>
      </c>
      <c r="F98" s="12" t="inlineStr">
        <is>
          <t>Project &amp; Program Management</t>
        </is>
      </c>
      <c r="G98" s="12" t="inlineStr">
        <is>
          <t>Project &amp; Program Delivery</t>
        </is>
      </c>
      <c r="H98" s="12" t="inlineStr">
        <is>
          <t>POD Lead</t>
        </is>
      </c>
      <c r="I98" s="42" t="inlineStr">
        <is>
          <t>L5 – Lead · IC</t>
        </is>
      </c>
      <c r="J98" s="20" t="inlineStr">
        <is>
          <t>B1</t>
        </is>
      </c>
      <c r="K98" s="21" t="inlineStr">
        <is>
          <t>Specialist · POD Lead</t>
        </is>
      </c>
      <c r="L98" s="83" t="inlineStr">
        <is>
          <t>▼ Down · pay &amp; title protected</t>
        </is>
      </c>
      <c r="M98" s="12" t="inlineStr">
        <is>
          <t>iFile · Technology · Band B · Expert / POD Lead</t>
        </is>
      </c>
      <c r="N98" s="42" t="n">
        <v>4</v>
      </c>
      <c r="O98" s="42" t="n">
        <v>4</v>
      </c>
      <c r="P98" s="42" t="n">
        <v>4</v>
      </c>
      <c r="Q98" s="42" t="n">
        <v>3.5</v>
      </c>
      <c r="R98" s="42" t="n">
        <v>3.5</v>
      </c>
      <c r="S98" s="80" t="n">
        <v>4</v>
      </c>
      <c r="T98" s="81">
        <f>IF(OR($M98="",COUNT(N98,O98,P98,Q98,R98,S98)&lt;6),"",IFERROR(N98*INDEX(WM_C,MATCH($M98,WM_KEY,0))+O98*INDEX(WM_AU,MATCH($M98,WM_KEY,0))+P98*INDEX(WM_AC,MATCH($M98,WM_KEY,0))+Q98*INDEX(WM_L,MATCH($M98,WM_KEY,0))+R98*INDEX(WM_E,MATCH($M98,WM_KEY,0))+S98*INDEX(WM_BI,MATCH($M98,WM_KEY,0)),""))</f>
        <v>3.925</v>
      </c>
      <c r="U98" s="42" t="str">
        <f>IF(T98="","",INDEX({"A1","A2","A3","B1","B2","B3","C1","C2","D1","D2","E1","E2"},MAX(1,MIN(12,ROUND(T98,0)))))</f>
        <v>B1</v>
      </c>
      <c r="V98" s="12" t="inlineStr">
        <is>
          <r>
            <rPr>
              <rFont val="Calibri"/>
              <sz val="10"/>
            </rPr>
            <t xml:space="preserve">New level B1 · Specialist · POD Lead. Current level on record: L5 – Lead · IC. Change: ▼ Down · pay &amp; title protected.
Score 3.93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8" s="12" t="inlineStr">
        <is>
          <r>
            <rPr>
              <rFont val="Calibri"/>
              <b val="1"/>
              <sz val="10"/>
            </rPr>
            <t>Complexity &amp; Expertise:</t>
          </r>
          <r>
            <rPr>
              <rFont val="Calibri"/>
              <sz val="10"/>
            </rPr>
            <t xml:space="preserve"> 4 of 12 — Start: 4.0 · lead / specialist title; Evidence: no survey answers or KRAs on file → rating stays at the start; KRA: “1. Deliver &gt;=90% of project milestones on schedule and within agreed scope 2. Keep project budget / effort variance within +/-10% of plan…”
</t>
          </r>
          <r>
            <rPr>
              <rFont val="Calibri"/>
              <b val="1"/>
              <sz val="10"/>
            </rPr>
            <t>Autonomy &amp; Decision:</t>
          </r>
          <r>
            <rPr>
              <rFont val="Calibri"/>
              <sz val="10"/>
            </rPr>
            <t xml:space="preserve"> 4 of 12 — Start: 4.0 · lead / specialist title; Evidence: no survey answers or KRAs on file → rating stays at the start
</t>
          </r>
          <r>
            <rPr>
              <rFont val="Calibri"/>
              <b val="1"/>
              <sz val="10"/>
            </rPr>
            <t>Accountability &amp; Impact:</t>
          </r>
          <r>
            <rPr>
              <rFont val="Calibri"/>
              <sz val="10"/>
            </rPr>
            <t xml:space="preserve"> 4 of 12 — Start: 3.8 · lead / specialist title; 1 direct report; Evidence: no survey answers or KRAs on file → rating stays at the start; KRA: “1. Deliver &gt;=90% of project milestones on schedule and within agreed scope 2. Keep project budget / effort variance within +/-10% of plan…”
</t>
          </r>
          <r>
            <rPr>
              <rFont val="Calibri"/>
              <b val="1"/>
              <sz val="10"/>
            </rPr>
            <t>Leadership &amp; Strategy:</t>
          </r>
          <r>
            <rPr>
              <rFont val="Calibri"/>
              <sz val="10"/>
            </rPr>
            <t xml:space="preserve"> 3.5 of 12 · between A3 and B1 — Start: 3.5; Evidence: no survey answers or KRAs on file → rating stays at the start; Team: 1 direct report · POD Lead
</t>
          </r>
          <r>
            <rPr>
              <rFont val="Calibri"/>
              <b val="1"/>
              <sz val="10"/>
            </rPr>
            <t>Experience &amp; Qualification:</t>
          </r>
          <r>
            <rPr>
              <rFont val="Calibri"/>
              <sz val="10"/>
            </rPr>
            <t xml:space="preserve"> 3.5 of 12 · between A3 and B1 — Experience: 4.4 yrs total · 4.4 at IRIS; none recorded before IRIS = 3.6 on the experience scale; Qualification: B.SC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98" s="12" t="inlineStr">
        <is>
          <r>
            <rPr>
              <rFont val="Calibri"/>
              <b val="1"/>
              <sz val="10"/>
            </rPr>
            <t>Market level:</t>
          </r>
          <r>
            <rPr>
              <rFont val="Calibri"/>
              <sz val="10"/>
            </rPr>
            <t xml:space="preserve"> P3 / M2 · SFIA 4 Enable
</t>
          </r>
          <r>
            <rPr>
              <rFont val="Calibri"/>
              <b val="1"/>
              <sz val="10"/>
            </rPr>
            <t>Typical title:</t>
          </r>
          <r>
            <rPr>
              <rFont val="Calibri"/>
              <sz val="10"/>
            </rPr>
            <t xml:space="preserve"> Project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Y98" s="12" t="inlineStr">
        <is>
          <r>
            <rPr>
              <rFont val="Calibri"/>
              <sz val="10"/>
            </rPr>
            <t xml:space="preserve">✓ HRIS: 4.4 yrs, B.SC, 1 direct report
✓ Survey: 20 of 20 questions answered
✓ KRAs: manager-set, quarterly
✓ Manager mapping: rating, potential, 9-box
✗ Job description: not on file
</t>
          </r>
          <r>
            <rPr>
              <rFont val="Calibri"/>
              <b val="1"/>
              <sz val="10"/>
            </rPr>
            <t>Confidence:</t>
          </r>
          <r>
            <rPr>
              <rFont val="Calibri"/>
              <sz val="10"/>
            </rPr>
            <t xml:space="preserve"> Low</t>
          </r>
        </is>
      </c>
      <c r="Z98" s="84"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Market-standard role title</t>
          </r>
        </is>
      </c>
      <c r="AA98" s="12" t="inlineStr">
        <is>
          <t>Nothing outstanding</t>
        </is>
      </c>
      <c r="AB9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4 · Potential: Medium · 9-Box Grid placement: Trusted Professional.</t>
          </r>
        </is>
      </c>
      <c r="AC98" s="82" t="n"/>
      <c r="AD98" s="82" t="n"/>
      <c r="AE98" s="82" t="n"/>
      <c r="AF98" s="12" t="n">
        <v>4</v>
      </c>
    </row>
    <row r="99" ht="379" customHeight="1">
      <c r="A99" s="12" t="inlineStr">
        <is>
          <t>IRIS1590</t>
        </is>
      </c>
      <c r="B99" s="10" t="inlineStr">
        <is>
          <t>Nivedita Wagh</t>
        </is>
      </c>
      <c r="C99" s="12" t="inlineStr">
        <is>
          <t>Technology</t>
        </is>
      </c>
      <c r="D99" s="12" t="inlineStr">
        <is>
          <t>Project Lead</t>
        </is>
      </c>
      <c r="E99" s="78" t="inlineStr">
        <is>
          <t>Project Manager – POD Lead</t>
        </is>
      </c>
      <c r="F99" s="12" t="inlineStr">
        <is>
          <t>Project &amp; Program Management</t>
        </is>
      </c>
      <c r="G99" s="12" t="inlineStr">
        <is>
          <t>Project &amp; Program Delivery</t>
        </is>
      </c>
      <c r="H99" s="12" t="inlineStr">
        <is>
          <t>POD Lead</t>
        </is>
      </c>
      <c r="I99" s="42" t="inlineStr">
        <is>
          <t>L5 – Lead · IC</t>
        </is>
      </c>
      <c r="J99" s="20" t="inlineStr">
        <is>
          <t>B1</t>
        </is>
      </c>
      <c r="K99" s="21" t="inlineStr">
        <is>
          <t>Specialist · POD Lead</t>
        </is>
      </c>
      <c r="L99" s="83" t="inlineStr">
        <is>
          <t>▼ Down · pay &amp; title protected</t>
        </is>
      </c>
      <c r="M99" s="12" t="inlineStr">
        <is>
          <t>iFile · Technology · Band B · Expert / POD Lead</t>
        </is>
      </c>
      <c r="N99" s="42" t="n">
        <v>4</v>
      </c>
      <c r="O99" s="42" t="n">
        <v>4.5</v>
      </c>
      <c r="P99" s="42" t="n">
        <v>4.5</v>
      </c>
      <c r="Q99" s="42" t="n">
        <v>4</v>
      </c>
      <c r="R99" s="42" t="n">
        <v>7</v>
      </c>
      <c r="S99" s="80" t="n">
        <v>4.5</v>
      </c>
      <c r="T99" s="81">
        <f>IF(OR($M99="",COUNT(N99,O99,P99,Q99,R99,S99)&lt;6),"",IFERROR(N99*INDEX(WM_C,MATCH($M99,WM_KEY,0))+O99*INDEX(WM_AU,MATCH($M99,WM_KEY,0))+P99*INDEX(WM_AC,MATCH($M99,WM_KEY,0))+Q99*INDEX(WM_L,MATCH($M99,WM_KEY,0))+R99*INDEX(WM_E,MATCH($M99,WM_KEY,0))+S99*INDEX(WM_BI,MATCH($M99,WM_KEY,0)),""))</f>
        <v>4.445</v>
      </c>
      <c r="U99" s="42" t="str">
        <f>IF(T99="","",INDEX({"A1","A2","A3","B1","B2","B3","C1","C2","D1","D2","E1","E2"},MAX(1,MIN(12,ROUND(T99,0)))))</f>
        <v>B1</v>
      </c>
      <c r="V99" s="12" t="inlineStr">
        <is>
          <r>
            <rPr>
              <rFont val="Calibri"/>
              <sz val="10"/>
            </rPr>
            <t xml:space="preserve">New level B1 · Specialist · POD Lead. Current level on record: L5 – Lead · IC. Change: ▼ Down · pay &amp; title protected.
Score 4.45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9" s="12" t="inlineStr">
        <is>
          <r>
            <rPr>
              <rFont val="Calibri"/>
              <b val="1"/>
              <sz val="10"/>
            </rPr>
            <t>Complexity &amp; Expertise:</t>
          </r>
          <r>
            <rPr>
              <rFont val="Calibri"/>
              <sz val="10"/>
            </rPr>
            <t xml:space="preserve"> 4 of 12 — Start: 4.0 · lead / specialist title; Evidence reads like B1: Project planning, timelines, monitoring and resource planning for client projects → matches the start; KRA: “1. Saudi Stock Exchange upgrade project Proactive communicaions and stakeholder management as per projects requirements Timely completion…”
</t>
          </r>
          <r>
            <rPr>
              <rFont val="Calibri"/>
              <b val="1"/>
              <sz val="10"/>
            </rPr>
            <t>Autonomy &amp; Decision:</t>
          </r>
          <r>
            <rPr>
              <rFont val="Calibri"/>
              <sz val="10"/>
            </rPr>
            <t xml:space="preserve"> 4.5 of 12 · between B1 and B2 — Start: 4.0 · lead / specialist title; Evidence reads like B2: Decides task allocation and client communication; defines timelines and priorities → moved up 0.5
</t>
          </r>
          <r>
            <rPr>
              <rFont val="Calibri"/>
              <b val="1"/>
              <sz val="10"/>
            </rPr>
            <t>Accountability &amp; Impact:</t>
          </r>
          <r>
            <rPr>
              <rFont val="Calibri"/>
              <sz val="10"/>
            </rPr>
            <t xml:space="preserve"> 4.5 of 12 · between B1 and B2 — Start: 4.0 · lead / specialist title; 2 direct reports; Evidence reads like B2: Project deliverables on time; answers for delayed timelines → moved up 0.5; KRA: “1. Saudi Stock Exchange upgrade project Proactive communicaions and stakeholder management as per projects requirements Timely completion…”
</t>
          </r>
          <r>
            <rPr>
              <rFont val="Calibri"/>
              <b val="1"/>
              <sz val="10"/>
            </rPr>
            <t>Leadership &amp; Strategy:</t>
          </r>
          <r>
            <rPr>
              <rFont val="Calibri"/>
              <sz val="10"/>
            </rPr>
            <t xml:space="preserve"> 4 of 12 — Start: 4.0; Evidence reads like B1: Allocates tasks and plans resources; 2 direct reports → matches the start; Team: 2 direct reports · POD Lead
</t>
          </r>
          <r>
            <rPr>
              <rFont val="Calibri"/>
              <b val="1"/>
              <sz val="10"/>
            </rPr>
            <t>Experience &amp; Qualification:</t>
          </r>
          <r>
            <rPr>
              <rFont val="Calibri"/>
              <sz val="10"/>
            </rPr>
            <t xml:space="preserve"> 7 of 12 — Experience: 12.1 yrs total · 2.0 before IRIS + 10.1 at IRIS = 7.0 on the experience scale; Qualification: B.E · graduate, relevant to the work → no change
</t>
          </r>
          <r>
            <rPr>
              <rFont val="Calibri"/>
              <b val="1"/>
              <sz val="10"/>
            </rPr>
            <t>Business Impact:</t>
          </r>
          <r>
            <rPr>
              <rFont val="Calibri"/>
              <sz val="10"/>
            </rPr>
            <t xml:space="preserve"> 4.5 of 12 — a starting estimate. —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99"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Project / Program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Y99" s="12" t="inlineStr">
        <is>
          <r>
            <rPr>
              <rFont val="Calibri"/>
              <sz val="10"/>
            </rPr>
            <t xml:space="preserve">✓ HRIS: 12.1 yrs, B.E, 2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99" s="84"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Market-standard role title</t>
          </r>
        </is>
      </c>
      <c r="AA99" s="12" t="inlineStr">
        <is>
          <t>Nothing outstanding</t>
        </is>
      </c>
      <c r="AB9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Leads 2 direct reports.
From the survey and manager mapping — critical role: no; successor named: no.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3 · Potential: Medium · 9-Box Grid placement: Reliable Specialist.</t>
          </r>
        </is>
      </c>
      <c r="AC99" s="82" t="n"/>
      <c r="AD99" s="82" t="n"/>
      <c r="AE99" s="82" t="n"/>
      <c r="AF99" s="12" t="n">
        <v>4.5</v>
      </c>
    </row>
    <row r="100" ht="400" customHeight="1">
      <c r="A100" s="12" t="inlineStr">
        <is>
          <t>IRIS2097</t>
        </is>
      </c>
      <c r="B100" s="10" t="inlineStr">
        <is>
          <t>Angitha A</t>
        </is>
      </c>
      <c r="C100" s="12" t="inlineStr">
        <is>
          <t>Technology</t>
        </is>
      </c>
      <c r="D100" s="12" t="inlineStr">
        <is>
          <t>Business Analyst</t>
        </is>
      </c>
      <c r="E100" s="78" t="inlineStr">
        <is>
          <t>Senior Business Analyst</t>
        </is>
      </c>
      <c r="F100" s="12" t="inlineStr">
        <is>
          <t>Business Analysis</t>
        </is>
      </c>
      <c r="G100" s="12" t="inlineStr">
        <is>
          <t>Business Analysis</t>
        </is>
      </c>
      <c r="H100" s="12" t="inlineStr">
        <is>
          <t>IC</t>
        </is>
      </c>
      <c r="I100" s="42" t="inlineStr">
        <is>
          <t>L3 – Professional / Associate</t>
        </is>
      </c>
      <c r="J100" s="16" t="inlineStr">
        <is>
          <t>A3</t>
        </is>
      </c>
      <c r="K100" s="17" t="inlineStr">
        <is>
          <t>Senior Associate</t>
        </is>
      </c>
      <c r="L100" s="79" t="inlineStr">
        <is>
          <t>▲ Up</t>
        </is>
      </c>
      <c r="M100" s="12" t="inlineStr">
        <is>
          <t>iFile · Technology · Band A · Early career</t>
        </is>
      </c>
      <c r="N100" s="42" t="n">
        <v>3</v>
      </c>
      <c r="O100" s="42" t="n">
        <v>3</v>
      </c>
      <c r="P100" s="42" t="n">
        <v>3</v>
      </c>
      <c r="Q100" s="42" t="n">
        <v>2</v>
      </c>
      <c r="R100" s="42" t="n">
        <v>5</v>
      </c>
      <c r="S100" s="80" t="n">
        <v>3</v>
      </c>
      <c r="T100" s="81">
        <f>IF(OR($M100="",COUNT(N100,O100,P100,Q100,R100,S100)&lt;6),"",IFERROR(N100*INDEX(WM_C,MATCH($M100,WM_KEY,0))+O100*INDEX(WM_AU,MATCH($M100,WM_KEY,0))+P100*INDEX(WM_AC,MATCH($M100,WM_KEY,0))+Q100*INDEX(WM_L,MATCH($M100,WM_KEY,0))+R100*INDEX(WM_E,MATCH($M100,WM_KEY,0))+S100*INDEX(WM_BI,MATCH($M100,WM_KEY,0)),""))</f>
        <v>3.2</v>
      </c>
      <c r="U100" s="42" t="str">
        <f>IF(T100="","",INDEX({"A1","A2","A3","B1","B2","B3","C1","C2","D1","D2","E1","E2"},MAX(1,MIN(12,ROUND(T100,0)))))</f>
        <v>A3</v>
      </c>
      <c r="V100" s="12" t="inlineStr">
        <is>
          <r>
            <rPr>
              <rFont val="Calibri"/>
              <sz val="10"/>
            </rPr>
            <t xml:space="preserve">New level A3 · Senior Associate. Current level on record: L3 – Professional / Associate. Change: ▲ Up.
Score 3.20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0" s="12" t="inlineStr">
        <is>
          <r>
            <rPr>
              <rFont val="Calibri"/>
              <b val="1"/>
              <sz val="10"/>
            </rPr>
            <t>Complexity &amp; Expertise:</t>
          </r>
          <r>
            <rPr>
              <rFont val="Calibri"/>
              <sz val="10"/>
            </rPr>
            <t xml:space="preserve"> 3 of 12 — Start: 3.0 · senior practitioner title; Evidence: rated like 12 colleagues in the same role and department · own answers too general to rate → no change; KRA: “1. Requirements Management &amp; Quality: Ensure 100% of business requirements are documented, reviewed, approved, and traceable, while…”
</t>
          </r>
          <r>
            <rPr>
              <rFont val="Calibri"/>
              <b val="1"/>
              <sz val="10"/>
            </rPr>
            <t>Autonomy &amp; Decision:</t>
          </r>
          <r>
            <rPr>
              <rFont val="Calibri"/>
              <sz val="10"/>
            </rPr>
            <t xml:space="preserve"> 3 of 12 — Start: 3.0 · senior practitioner title; Evidence: rated like 12 colleagues in the same role and department · own answers too general to rate → no change
</t>
          </r>
          <r>
            <rPr>
              <rFont val="Calibri"/>
              <b val="1"/>
              <sz val="10"/>
            </rPr>
            <t>Accountability &amp; Impact:</t>
          </r>
          <r>
            <rPr>
              <rFont val="Calibri"/>
              <sz val="10"/>
            </rPr>
            <t xml:space="preserve"> 3 of 12 — Start: 3.0 · senior practitioner title; Evidence: rated like 12 colleagues in the same role and department · own answers too general to rate → no change; KRA: “1. Requirements Management &amp; Quality: Ensure 100% of business requirements are documented, reviewed, approved, and traceable, while…”
</t>
          </r>
          <r>
            <rPr>
              <rFont val="Calibri"/>
              <b val="1"/>
              <sz val="10"/>
            </rPr>
            <t>Leadership &amp; Strategy:</t>
          </r>
          <r>
            <rPr>
              <rFont val="Calibri"/>
              <sz val="10"/>
            </rPr>
            <t xml:space="preserve"> 2 of 12 — not counted: the weight is 0% at this level — Start: 2.0 · individual contributor, so influence only; Evidence: rated like 12 colleagues in the same role and department · own answers too general to rate → no change; Team: 0 direct reports · IC
</t>
          </r>
          <r>
            <rPr>
              <rFont val="Calibri"/>
              <b val="1"/>
              <sz val="10"/>
            </rPr>
            <t>Experience &amp; Qualification:</t>
          </r>
          <r>
            <rPr>
              <rFont val="Calibri"/>
              <sz val="10"/>
            </rPr>
            <t xml:space="preserve"> 5 of 12 — Experience: 8.1 yrs total · 4.5 before IRIS + 3.6 at IRIS = 5.2 on the experience scale; Qualification: MBA · postgraduate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00"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0" s="12" t="inlineStr">
        <is>
          <r>
            <rPr>
              <rFont val="Calibri"/>
              <sz val="10"/>
            </rPr>
            <t xml:space="preserve">✓ HRIS: 8.1 yrs, MBA,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00" s="12" t="inlineStr">
        <is>
          <t>—</t>
        </is>
      </c>
      <c r="AA100" s="12" t="inlineStr">
        <is>
          <t>Nothing outstanding</t>
        </is>
      </c>
      <c r="AB10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Trusted Professional.</t>
          </r>
        </is>
      </c>
      <c r="AC100" s="82" t="n"/>
      <c r="AD100" s="82" t="n"/>
      <c r="AE100" s="82" t="n"/>
      <c r="AF100" s="12" t="n">
        <v>3</v>
      </c>
    </row>
    <row r="101" ht="400" customHeight="1">
      <c r="A101" s="12" t="inlineStr">
        <is>
          <t>IRIS1929</t>
        </is>
      </c>
      <c r="B101" s="10" t="inlineStr">
        <is>
          <t>Ankita Karale</t>
        </is>
      </c>
      <c r="C101" s="12" t="inlineStr">
        <is>
          <t>Technology</t>
        </is>
      </c>
      <c r="D101" s="12" t="inlineStr">
        <is>
          <t>Business Analyst</t>
        </is>
      </c>
      <c r="E101" s="78" t="inlineStr">
        <is>
          <t>Senior Business Analyst</t>
        </is>
      </c>
      <c r="F101" s="12" t="inlineStr">
        <is>
          <t>Business Analysis</t>
        </is>
      </c>
      <c r="G101" s="12" t="inlineStr">
        <is>
          <t>Business Analysis</t>
        </is>
      </c>
      <c r="H101" s="12" t="inlineStr">
        <is>
          <t>IC</t>
        </is>
      </c>
      <c r="I101" s="42" t="inlineStr">
        <is>
          <t>L3 – Professional / Associate</t>
        </is>
      </c>
      <c r="J101" s="16" t="inlineStr">
        <is>
          <t>A3</t>
        </is>
      </c>
      <c r="K101" s="17" t="inlineStr">
        <is>
          <t>Senior Associate</t>
        </is>
      </c>
      <c r="L101" s="79" t="inlineStr">
        <is>
          <t>▲ Up</t>
        </is>
      </c>
      <c r="M101" s="12" t="inlineStr">
        <is>
          <t>iFile · Technology · Band A · Early career</t>
        </is>
      </c>
      <c r="N101" s="42" t="n">
        <v>2.5</v>
      </c>
      <c r="O101" s="42" t="n">
        <v>2.5</v>
      </c>
      <c r="P101" s="42" t="n">
        <v>2.5</v>
      </c>
      <c r="Q101" s="42" t="n">
        <v>2</v>
      </c>
      <c r="R101" s="42" t="n">
        <v>5</v>
      </c>
      <c r="S101" s="80" t="n">
        <v>2.5</v>
      </c>
      <c r="T101" s="81">
        <f>IF(OR($M101="",COUNT(N101,O101,P101,Q101,R101,S101)&lt;6),"",IFERROR(N101*INDEX(WM_C,MATCH($M101,WM_KEY,0))+O101*INDEX(WM_AU,MATCH($M101,WM_KEY,0))+P101*INDEX(WM_AC,MATCH($M101,WM_KEY,0))+Q101*INDEX(WM_L,MATCH($M101,WM_KEY,0))+R101*INDEX(WM_E,MATCH($M101,WM_KEY,0))+S101*INDEX(WM_BI,MATCH($M101,WM_KEY,0)),""))</f>
        <v>2.75</v>
      </c>
      <c r="U101" s="42" t="str">
        <f>IF(T101="","",INDEX({"A1","A2","A3","B1","B2","B3","C1","C2","D1","D2","E1","E2"},MAX(1,MIN(12,ROUND(T101,0)))))</f>
        <v>A3</v>
      </c>
      <c r="V101" s="12" t="inlineStr">
        <is>
          <r>
            <rPr>
              <rFont val="Calibri"/>
              <sz val="10"/>
            </rPr>
            <t xml:space="preserve">New level A3 · Senior Associate. Current level on record: L3 – Professional / Associate. Change: ▲ Up.
Score 2.75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1" s="12" t="inlineStr">
        <is>
          <r>
            <rPr>
              <rFont val="Calibri"/>
              <b val="1"/>
              <sz val="10"/>
            </rPr>
            <t>Complexity &amp; Expertise:</t>
          </r>
          <r>
            <rPr>
              <rFont val="Calibri"/>
              <sz val="10"/>
            </rPr>
            <t xml:space="preserve"> 2.5 of 12 · between A2 and A3 — Start: 3.0 · senior practitioner title; Evidence reads like A2: own survey / KRA answers · summarised by the rater; not quoted → moved down 0.5; KRA: “1. Deliver &gt;=95% of assigned BRDs/FSDs approved with &lt;=1 revision cycle 2. Ensure &gt;=90% on-time delivery of BA deliverables against plan 3.…”
</t>
          </r>
          <r>
            <rPr>
              <rFont val="Calibri"/>
              <b val="1"/>
              <sz val="10"/>
            </rPr>
            <t>Autonomy &amp; Decision:</t>
          </r>
          <r>
            <rPr>
              <rFont val="Calibri"/>
              <sz val="10"/>
            </rPr>
            <t xml:space="preserve"> 2.5 of 12 · between A2 and A3 — Start: 3.0 · senior practitioner title; Evidence reads like A2: Decides only prioritising of tasks → moved down 0.5
</t>
          </r>
          <r>
            <rPr>
              <rFont val="Calibri"/>
              <b val="1"/>
              <sz val="10"/>
            </rPr>
            <t>Accountability &amp; Impact:</t>
          </r>
          <r>
            <rPr>
              <rFont val="Calibri"/>
              <sz val="10"/>
            </rPr>
            <t xml:space="preserve"> 2.5 of 12 · between A2 and A3 — Start: 3.0 · senior practitioner title; Evidence reads like A2: Accountable for requirement documents and user stories → moved down 0.5; KRA: “1. Deliver &gt;=95% of assigned BRDs/FSDs approved with &lt;=1 revision cycle 2. Ensure &gt;=90% on-time delivery of BA deliverables against plan 3.…”
</t>
          </r>
          <r>
            <rPr>
              <rFont val="Calibri"/>
              <b val="1"/>
              <sz val="10"/>
            </rPr>
            <t>Leadership &amp; Strategy:</t>
          </r>
          <r>
            <rPr>
              <rFont val="Calibri"/>
              <sz val="10"/>
            </rPr>
            <t xml:space="preserve"> 2 of 12 — not counted: the weight is 0% at this level — Start: 2.0 · individual contributor, so influence only; Evidence reads like A2: Survey silent; manager note expects functional guidance to team members → matches the start; Team: 0 direct reports · IC
</t>
          </r>
          <r>
            <rPr>
              <rFont val="Calibri"/>
              <b val="1"/>
              <sz val="10"/>
            </rPr>
            <t>Experience &amp; Qualification:</t>
          </r>
          <r>
            <rPr>
              <rFont val="Calibri"/>
              <sz val="10"/>
            </rPr>
            <t xml:space="preserve"> 5 of 12 — Experience: 7.2 yrs total · 2.0 before IRIS + 5.2 at IRIS = 4.8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r>
        </is>
      </c>
      <c r="X101"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1" s="12" t="inlineStr">
        <is>
          <r>
            <rPr>
              <rFont val="Calibri"/>
              <sz val="10"/>
            </rPr>
            <t xml:space="preserve">✓ HRIS: 7.2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01" s="12" t="inlineStr">
        <is>
          <t>—</t>
        </is>
      </c>
      <c r="AA101" s="12" t="inlineStr">
        <is>
          <t>Nothing outstanding</t>
        </is>
      </c>
      <c r="AB10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no;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1 · Potential: Low · 9-Box Grid placement: Reliable Specialist.</t>
          </r>
        </is>
      </c>
      <c r="AC101" s="82" t="n"/>
      <c r="AD101" s="82" t="n"/>
      <c r="AE101" s="82" t="n"/>
      <c r="AF101" s="12" t="n">
        <v>2.5</v>
      </c>
    </row>
    <row r="102" ht="400" customHeight="1">
      <c r="A102" s="12" t="inlineStr">
        <is>
          <t>IRIS0553</t>
        </is>
      </c>
      <c r="B102" s="10" t="inlineStr">
        <is>
          <t>Chetan Galande</t>
        </is>
      </c>
      <c r="C102" s="12" t="inlineStr">
        <is>
          <t>Technology</t>
        </is>
      </c>
      <c r="D102" s="12" t="inlineStr">
        <is>
          <t>Business Analyst</t>
        </is>
      </c>
      <c r="E102" s="78" t="inlineStr">
        <is>
          <t>Business Analysis Specialist</t>
        </is>
      </c>
      <c r="F102" s="12" t="inlineStr">
        <is>
          <t>Business Analysis</t>
        </is>
      </c>
      <c r="G102" s="12" t="inlineStr">
        <is>
          <t>Business Analysis</t>
        </is>
      </c>
      <c r="H102" s="12" t="inlineStr">
        <is>
          <t>IC</t>
        </is>
      </c>
      <c r="I102" s="42" t="inlineStr">
        <is>
          <t>L3 – Professional / Associate</t>
        </is>
      </c>
      <c r="J102" s="16" t="inlineStr">
        <is>
          <t>A3</t>
        </is>
      </c>
      <c r="K102" s="17" t="inlineStr">
        <is>
          <t>Senior Associate</t>
        </is>
      </c>
      <c r="L102" s="79" t="inlineStr">
        <is>
          <t>▲ Up</t>
        </is>
      </c>
      <c r="M102" s="12" t="inlineStr">
        <is>
          <t>iFile · Technology · Band A · Early career</t>
        </is>
      </c>
      <c r="N102" s="42" t="n">
        <v>3</v>
      </c>
      <c r="O102" s="42" t="n">
        <v>2.5</v>
      </c>
      <c r="P102" s="42" t="n">
        <v>3</v>
      </c>
      <c r="Q102" s="42" t="n">
        <v>2</v>
      </c>
      <c r="R102" s="42" t="n">
        <v>8.5</v>
      </c>
      <c r="S102" s="80" t="n">
        <v>3</v>
      </c>
      <c r="T102" s="81">
        <f>IF(OR($M102="",COUNT(N102,O102,P102,Q102,R102,S102)&lt;6),"",IFERROR(N102*INDEX(WM_C,MATCH($M102,WM_KEY,0))+O102*INDEX(WM_AU,MATCH($M102,WM_KEY,0))+P102*INDEX(WM_AC,MATCH($M102,WM_KEY,0))+Q102*INDEX(WM_L,MATCH($M102,WM_KEY,0))+R102*INDEX(WM_E,MATCH($M102,WM_KEY,0))+S102*INDEX(WM_BI,MATCH($M102,WM_KEY,0)),""))</f>
        <v>3.47</v>
      </c>
      <c r="U102" s="42" t="str">
        <f>IF(T102="","",INDEX({"A1","A2","A3","B1","B2","B3","C1","C2","D1","D2","E1","E2"},MAX(1,MIN(12,ROUND(T102,0)))))</f>
        <v>A3</v>
      </c>
      <c r="V102" s="12" t="inlineStr">
        <is>
          <r>
            <rPr>
              <rFont val="Calibri"/>
              <sz val="10"/>
            </rPr>
            <t xml:space="preserve">New level A3 · Senior Associate. Current level on record: L3 – Professional / Associate. Change: ▲ Up.
Score 3.47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2" s="12" t="inlineStr">
        <is>
          <r>
            <rPr>
              <rFont val="Calibri"/>
              <b val="1"/>
              <sz val="10"/>
            </rPr>
            <t>Complexity &amp; Expertise:</t>
          </r>
          <r>
            <rPr>
              <rFont val="Calibri"/>
              <sz val="10"/>
            </rPr>
            <t xml:space="preserve"> 3 of 12 — Start: 3.0 · senior practitioner title; Evidence reads like A3: Drives requirements through to production release; Figma prototypes, reviews documentation, product owner sign-off → matches the start; KRA: “1) Successfully deliver strategic project initiatives with 100% milestone adherence and proactive risk management. 2) Improve requirement…”
</t>
          </r>
          <r>
            <rPr>
              <rFont val="Calibri"/>
              <b val="1"/>
              <sz val="10"/>
            </rPr>
            <t>Autonomy &amp; Decision:</t>
          </r>
          <r>
            <rPr>
              <rFont val="Calibri"/>
              <sz val="10"/>
            </rPr>
            <t xml:space="preserve"> 2.5 of 12 · between A2 and A3 — Start: 3.0 · senior practitioner title; Evidence reads like A2: Decides only on reviewing documentation; clarifies doubts → moved down 0.5
</t>
          </r>
          <r>
            <rPr>
              <rFont val="Calibri"/>
              <b val="1"/>
              <sz val="10"/>
            </rPr>
            <t>Accountability &amp; Impact:</t>
          </r>
          <r>
            <rPr>
              <rFont val="Calibri"/>
              <sz val="10"/>
            </rPr>
            <t xml:space="preserve"> 3 of 12 — Start: 3.0 · senior practitioner title; Evidence reads like A3: Drives process from stakeholder requirements to quality build released to production → matches the start; KRA: “1) Successfully deliver strategic project initiatives with 100% milestone adherence and proactive risk management. 2) Improve requirement…”
</t>
          </r>
          <r>
            <rPr>
              <rFont val="Calibri"/>
              <b val="1"/>
              <sz val="10"/>
            </rPr>
            <t>Leadership &amp; Strategy:</t>
          </r>
          <r>
            <rPr>
              <rFont val="Calibri"/>
              <sz val="10"/>
            </rPr>
            <t xml:space="preserve"> 2 of 12 — not counted: the weight is 0% at this level — Start: 2.0 · individual contributor, so influence only; Evidence reads like A2: Reviews documentation; manager note targets mentoring junior BAs, not described by him → matches the start; Team: 0 direct reports · IC
</t>
          </r>
          <r>
            <rPr>
              <rFont val="Calibri"/>
              <b val="1"/>
              <sz val="10"/>
            </rPr>
            <t>Experience &amp; Qualification:</t>
          </r>
          <r>
            <rPr>
              <rFont val="Calibri"/>
              <sz val="10"/>
            </rPr>
            <t xml:space="preserve"> 8.5 of 12 · between C2 and D1 — Experience: 15.6 yrs total · 15.6 at IRIS; none recorded before IRIS = 8.4 on the experience scale; Qualification: MBA · postgraduate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02" s="12" t="inlineStr">
        <is>
          <r>
            <rPr>
              <rFont val="Calibri"/>
              <b val="1"/>
              <sz val="10"/>
            </rPr>
            <t>Market level:</t>
          </r>
          <r>
            <rPr>
              <rFont val="Calibri"/>
              <sz val="10"/>
            </rPr>
            <t xml:space="preserve"> P2 · SFIA 3 Apply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2" s="12" t="inlineStr">
        <is>
          <r>
            <rPr>
              <rFont val="Calibri"/>
              <sz val="10"/>
            </rPr>
            <t xml:space="preserve">✓ HRIS: 15.6 yrs, MBA,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02" s="84" t="inlineStr">
        <is>
          <r>
            <rPr>
              <rFont val="Calibri"/>
              <color rgb="009C5700"/>
              <sz val="10"/>
            </rPr>
            <t xml:space="preserve">• </t>
          </r>
          <r>
            <rPr>
              <rFont val="Calibri"/>
              <b val="1"/>
              <color rgb="009C5700"/>
              <sz val="10"/>
            </rPr>
            <t>Close call:</t>
          </r>
          <r>
            <rPr>
              <rFont val="Calibri"/>
              <color rgb="009C5700"/>
              <sz val="10"/>
            </rPr>
            <t xml:space="preserve"> score 3.47 is within 0.05 of a rounding point
• </t>
          </r>
          <r>
            <rPr>
              <rFont val="Calibri"/>
              <b val="1"/>
              <color rgb="009C5700"/>
              <sz val="10"/>
            </rPr>
            <t>Title check:</t>
          </r>
          <r>
            <rPr>
              <rFont val="Calibri"/>
              <color rgb="009C5700"/>
              <sz val="10"/>
            </rPr>
            <t xml:space="preserve"> Check title against ladder</t>
          </r>
        </is>
      </c>
      <c r="AA102" s="12" t="inlineStr">
        <is>
          <t>Nothing outstanding</t>
        </is>
      </c>
      <c r="AB10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Trusted Professional.</t>
          </r>
        </is>
      </c>
      <c r="AC102" s="82" t="n"/>
      <c r="AD102" s="82" t="n"/>
      <c r="AE102" s="82" t="n"/>
      <c r="AF102" s="12" t="n">
        <v>3</v>
      </c>
    </row>
    <row r="103" ht="400" customHeight="1">
      <c r="A103" s="12" t="inlineStr">
        <is>
          <t>IRIS2378</t>
        </is>
      </c>
      <c r="B103" s="10" t="inlineStr">
        <is>
          <t>Darshit Vora</t>
        </is>
      </c>
      <c r="C103" s="12" t="inlineStr">
        <is>
          <t>Technology</t>
        </is>
      </c>
      <c r="D103" s="12" t="inlineStr">
        <is>
          <t>Business Analyst</t>
        </is>
      </c>
      <c r="E103" s="78" t="inlineStr">
        <is>
          <t>Senior Business Analyst</t>
        </is>
      </c>
      <c r="F103" s="12" t="inlineStr">
        <is>
          <t>Business Analysis</t>
        </is>
      </c>
      <c r="G103" s="12" t="inlineStr">
        <is>
          <t>Business Analysis</t>
        </is>
      </c>
      <c r="H103" s="12" t="inlineStr">
        <is>
          <t>IC</t>
        </is>
      </c>
      <c r="I103" s="42" t="inlineStr">
        <is>
          <t>L3 – Professional / Associate</t>
        </is>
      </c>
      <c r="J103" s="16" t="inlineStr">
        <is>
          <t>A3</t>
        </is>
      </c>
      <c r="K103" s="17" t="inlineStr">
        <is>
          <t>Senior Associate</t>
        </is>
      </c>
      <c r="L103" s="79" t="inlineStr">
        <is>
          <t>▲ Up</t>
        </is>
      </c>
      <c r="M103" s="12" t="inlineStr">
        <is>
          <t>iFile · Technology · Band A · Early career</t>
        </is>
      </c>
      <c r="N103" s="42" t="n">
        <v>3</v>
      </c>
      <c r="O103" s="42" t="n">
        <v>3</v>
      </c>
      <c r="P103" s="42" t="n">
        <v>2.5</v>
      </c>
      <c r="Q103" s="42" t="n">
        <v>2</v>
      </c>
      <c r="R103" s="42" t="n">
        <v>5.5</v>
      </c>
      <c r="S103" s="80" t="n">
        <v>2.5</v>
      </c>
      <c r="T103" s="81">
        <f>IF(OR($M103="",COUNT(N103,O103,P103,Q103,R103,S103)&lt;6),"",IFERROR(N103*INDEX(WM_C,MATCH($M103,WM_KEY,0))+O103*INDEX(WM_AU,MATCH($M103,WM_KEY,0))+P103*INDEX(WM_AC,MATCH($M103,WM_KEY,0))+Q103*INDEX(WM_L,MATCH($M103,WM_KEY,0))+R103*INDEX(WM_E,MATCH($M103,WM_KEY,0))+S103*INDEX(WM_BI,MATCH($M103,WM_KEY,0)),""))</f>
        <v>3.2</v>
      </c>
      <c r="U103" s="42" t="str">
        <f>IF(T103="","",INDEX({"A1","A2","A3","B1","B2","B3","C1","C2","D1","D2","E1","E2"},MAX(1,MIN(12,ROUND(T103,0)))))</f>
        <v>A3</v>
      </c>
      <c r="V103" s="12" t="inlineStr">
        <is>
          <r>
            <rPr>
              <rFont val="Calibri"/>
              <sz val="10"/>
            </rPr>
            <t xml:space="preserve">New level A3 · Senior Associate. Current level on record: L3 – Professional / Associate. Change: ▲ Up.
Score 3.20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3" s="12" t="inlineStr">
        <is>
          <r>
            <rPr>
              <rFont val="Calibri"/>
              <b val="1"/>
              <sz val="10"/>
            </rPr>
            <t>Complexity &amp; Expertise:</t>
          </r>
          <r>
            <rPr>
              <rFont val="Calibri"/>
              <sz val="10"/>
            </rPr>
            <t xml:space="preserve"> 3 of 12 — Start: 3.0 · senior practitioner title; Evidence reads like A3: Requirement elicitation, process definitions, user stories, acceptance criteria, wireframing, prototyping, proposing solutions → matches the start; KRA: “1) Lead successful delivery of assigned project modules ensuring 100% milestone achievement with less than 5% schedule variance. 2)…”
</t>
          </r>
          <r>
            <rPr>
              <rFont val="Calibri"/>
              <b val="1"/>
              <sz val="10"/>
            </rPr>
            <t>Autonomy &amp; Decision:</t>
          </r>
          <r>
            <rPr>
              <rFont val="Calibri"/>
              <sz val="10"/>
            </rPr>
            <t xml:space="preserve"> 3 of 12 — Start: 3.0 · senior practitioner title; Evidence reads like A3: Independently decides process definitions, user stories and acceptance criteria → matches the start
</t>
          </r>
          <r>
            <rPr>
              <rFont val="Calibri"/>
              <b val="1"/>
              <sz val="10"/>
            </rPr>
            <t>Accountability &amp; Impact:</t>
          </r>
          <r>
            <rPr>
              <rFont val="Calibri"/>
              <sz val="10"/>
            </rPr>
            <t xml:space="preserve"> 2.5 of 12 · between A2 and A3 — Start: 3.0 · senior practitioner title; Evidence reads like A2: Business requirements, process definitions, user stories; error means documentation rework and re-discussion → moved down 0.5; KRA: “1) Lead successful delivery of assigned project modules ensuring 100% milestone achievement with less than 5% schedule variance. 2)…”
</t>
          </r>
          <r>
            <rPr>
              <rFont val="Calibri"/>
              <b val="1"/>
              <sz val="10"/>
            </rPr>
            <t>Leadership &amp; Strategy:</t>
          </r>
          <r>
            <rPr>
              <rFont val="Calibri"/>
              <sz val="10"/>
            </rPr>
            <t xml:space="preserve"> 2 of 12 — not counted: the weight is 0% at this level — Start: 2.0 · individual contributor, so influence only; Evidence reads like A2: Runs feature walkthroughs; mentoring of juniors appears only in manager note → matches the start; Team: 0 direct reports · IC
</t>
          </r>
          <r>
            <rPr>
              <rFont val="Calibri"/>
              <b val="1"/>
              <sz val="10"/>
            </rPr>
            <t>Experience &amp; Qualification:</t>
          </r>
          <r>
            <rPr>
              <rFont val="Calibri"/>
              <sz val="10"/>
            </rPr>
            <t xml:space="preserve"> 5.5 of 12 · between B2 and B3 — Experience: 9.2 yrs total · 7.9 before IRIS + 1.3 at IRIS = 5.7 on the experience scale; Qualification: Post Graduate Program in Management · postgraduate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03"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3" s="12" t="inlineStr">
        <is>
          <r>
            <rPr>
              <rFont val="Calibri"/>
              <sz val="10"/>
            </rPr>
            <t xml:space="preserve">✓ HRIS: 9.2 yrs, Post Graduate Program in Management,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03" s="12" t="inlineStr">
        <is>
          <t>—</t>
        </is>
      </c>
      <c r="AA103" s="12" t="inlineStr">
        <is>
          <t>Nothing outstanding</t>
        </is>
      </c>
      <c r="AB10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High Impact / Growth Talent.</t>
          </r>
        </is>
      </c>
      <c r="AC103" s="82" t="n"/>
      <c r="AD103" s="82" t="n"/>
      <c r="AE103" s="82" t="n"/>
      <c r="AF103" s="12" t="n">
        <v>2.5</v>
      </c>
    </row>
    <row r="104" ht="400" customHeight="1">
      <c r="A104" s="12" t="inlineStr">
        <is>
          <t>IRIS2506</t>
        </is>
      </c>
      <c r="B104" s="10" t="inlineStr">
        <is>
          <t>Neha Singh</t>
        </is>
      </c>
      <c r="C104" s="12" t="inlineStr">
        <is>
          <t>Technology</t>
        </is>
      </c>
      <c r="D104" s="12" t="inlineStr">
        <is>
          <t>Business Analyst</t>
        </is>
      </c>
      <c r="E104" s="78" t="inlineStr">
        <is>
          <t>Senior Business Analyst</t>
        </is>
      </c>
      <c r="F104" s="12" t="inlineStr">
        <is>
          <t>Business Analysis</t>
        </is>
      </c>
      <c r="G104" s="12" t="inlineStr">
        <is>
          <t>Business Analysis</t>
        </is>
      </c>
      <c r="H104" s="12" t="inlineStr">
        <is>
          <t>IC</t>
        </is>
      </c>
      <c r="I104" s="42" t="inlineStr">
        <is>
          <t>L3 – Professional / Associate</t>
        </is>
      </c>
      <c r="J104" s="16" t="inlineStr">
        <is>
          <t>A3</t>
        </is>
      </c>
      <c r="K104" s="17" t="inlineStr">
        <is>
          <t>Senior Associate</t>
        </is>
      </c>
      <c r="L104" s="79" t="inlineStr">
        <is>
          <t>▲ Up</t>
        </is>
      </c>
      <c r="M104" s="12" t="inlineStr">
        <is>
          <t>iFile · Technology · Band A · Early career</t>
        </is>
      </c>
      <c r="N104" s="42" t="n">
        <v>3</v>
      </c>
      <c r="O104" s="42" t="n">
        <v>3</v>
      </c>
      <c r="P104" s="42" t="n">
        <v>3</v>
      </c>
      <c r="Q104" s="42" t="n">
        <v>2</v>
      </c>
      <c r="R104" s="42" t="n">
        <v>3</v>
      </c>
      <c r="S104" s="80" t="n">
        <v>3</v>
      </c>
      <c r="T104" s="81">
        <f>IF(OR($M104="",COUNT(N104,O104,P104,Q104,R104,S104)&lt;6),"",IFERROR(N104*INDEX(WM_C,MATCH($M104,WM_KEY,0))+O104*INDEX(WM_AU,MATCH($M104,WM_KEY,0))+P104*INDEX(WM_AC,MATCH($M104,WM_KEY,0))+Q104*INDEX(WM_L,MATCH($M104,WM_KEY,0))+R104*INDEX(WM_E,MATCH($M104,WM_KEY,0))+S104*INDEX(WM_BI,MATCH($M104,WM_KEY,0)),""))</f>
        <v>3</v>
      </c>
      <c r="U104" s="42" t="str">
        <f>IF(T104="","",INDEX({"A1","A2","A3","B1","B2","B3","C1","C2","D1","D2","E1","E2"},MAX(1,MIN(12,ROUND(T104,0)))))</f>
        <v>A3</v>
      </c>
      <c r="V104" s="12" t="inlineStr">
        <is>
          <r>
            <rPr>
              <rFont val="Calibri"/>
              <sz val="10"/>
            </rPr>
            <t xml:space="preserve">New level A3 · Senior Associate. Current level on record: L3 – Professional / Associate. Change: ▲ Up.
Score 3.00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4" s="12" t="inlineStr">
        <is>
          <r>
            <rPr>
              <rFont val="Calibri"/>
              <b val="1"/>
              <sz val="10"/>
            </rPr>
            <t>Complexity &amp; Expertise:</t>
          </r>
          <r>
            <rPr>
              <rFont val="Calibri"/>
              <sz val="10"/>
            </rPr>
            <t xml:space="preserve"> 3 of 12 — Start: 3.0 · senior practitioner title; Evidence: rated like 12 colleagues in the same role and department · own answers too general to rate → no change; KRA: “1. Deliver &gt;=90% of assigned BRDs/user stories approved with &lt;=1 revision cycle 2. Achieve &gt;=85% on-time delivery of BA deliverables…”
</t>
          </r>
          <r>
            <rPr>
              <rFont val="Calibri"/>
              <b val="1"/>
              <sz val="10"/>
            </rPr>
            <t>Autonomy &amp; Decision:</t>
          </r>
          <r>
            <rPr>
              <rFont val="Calibri"/>
              <sz val="10"/>
            </rPr>
            <t xml:space="preserve"> 3 of 12 — Start: 3.0 · senior practitioner title; Evidence: rated like 12 colleagues in the same role and department · own answers too general to rate → no change
</t>
          </r>
          <r>
            <rPr>
              <rFont val="Calibri"/>
              <b val="1"/>
              <sz val="10"/>
            </rPr>
            <t>Accountability &amp; Impact:</t>
          </r>
          <r>
            <rPr>
              <rFont val="Calibri"/>
              <sz val="10"/>
            </rPr>
            <t xml:space="preserve"> 3 of 12 — Start: 3.0 · senior practitioner title; Evidence: rated like 12 colleagues in the same role and department · own answers too general to rate → no change; KRA: “1. Deliver &gt;=90% of assigned BRDs/user stories approved with &lt;=1 revision cycle 2. Achieve &gt;=85% on-time delivery of BA deliverables…”
</t>
          </r>
          <r>
            <rPr>
              <rFont val="Calibri"/>
              <b val="1"/>
              <sz val="10"/>
            </rPr>
            <t>Leadership &amp; Strategy:</t>
          </r>
          <r>
            <rPr>
              <rFont val="Calibri"/>
              <sz val="10"/>
            </rPr>
            <t xml:space="preserve"> 2 of 12 — not counted: the weight is 0% at this level — Start: 2.0 · individual contributor, so influence only; Evidence: rated like 12 colleagues in the same role and department · own answers too general to rate → no change; Team: 0 direct reports · IC
</t>
          </r>
          <r>
            <rPr>
              <rFont val="Calibri"/>
              <b val="1"/>
              <sz val="10"/>
            </rPr>
            <t>Experience &amp; Qualification:</t>
          </r>
          <r>
            <rPr>
              <rFont val="Calibri"/>
              <sz val="10"/>
            </rPr>
            <t xml:space="preserve"> 3 of 12 — Experience: 3.6 yrs total · 3.1 before IRIS + 0.5 at IRIS = 3.2 on the experience scale; Qualification: MBA · postgraduate → no change
</t>
          </r>
          <r>
            <rPr>
              <rFont val="Calibri"/>
              <b val="1"/>
              <sz val="10"/>
            </rPr>
            <t>Business Impact:</t>
          </r>
          <r>
            <rPr>
              <rFont val="Calibri"/>
              <sz val="10"/>
            </rPr>
            <t xml:space="preserve"> 3 of 12 — a starting estimate. —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r>
        </is>
      </c>
      <c r="X104"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4" s="12" t="inlineStr">
        <is>
          <r>
            <rPr>
              <rFont val="Calibri"/>
              <sz val="10"/>
            </rPr>
            <t xml:space="preserve">✓ HRIS: 3.6 yrs, MBA,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04" s="12" t="inlineStr">
        <is>
          <t>—</t>
        </is>
      </c>
      <c r="AA104" s="12" t="inlineStr">
        <is>
          <t>Nothing outstanding</t>
        </is>
      </c>
      <c r="AB10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no;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Core Contributor.</t>
          </r>
        </is>
      </c>
      <c r="AC104" s="82" t="n"/>
      <c r="AD104" s="82" t="n"/>
      <c r="AE104" s="82" t="n"/>
      <c r="AF104" s="12" t="n">
        <v>3</v>
      </c>
    </row>
    <row r="105" ht="400" customHeight="1">
      <c r="A105" s="12" t="inlineStr">
        <is>
          <t>IRIS1852</t>
        </is>
      </c>
      <c r="B105" s="10" t="inlineStr">
        <is>
          <t>Prajakta Chavan</t>
        </is>
      </c>
      <c r="C105" s="12" t="inlineStr">
        <is>
          <t>Technology</t>
        </is>
      </c>
      <c r="D105" s="12" t="inlineStr">
        <is>
          <t>Business Analyst</t>
        </is>
      </c>
      <c r="E105" s="78" t="inlineStr">
        <is>
          <t>Senior Business Analyst</t>
        </is>
      </c>
      <c r="F105" s="12" t="inlineStr">
        <is>
          <t>Business Analysis</t>
        </is>
      </c>
      <c r="G105" s="12" t="inlineStr">
        <is>
          <t>Business Analysis</t>
        </is>
      </c>
      <c r="H105" s="12" t="inlineStr">
        <is>
          <t>IC</t>
        </is>
      </c>
      <c r="I105" s="42" t="inlineStr">
        <is>
          <t>L3 – Professional / Associate</t>
        </is>
      </c>
      <c r="J105" s="16" t="inlineStr">
        <is>
          <t>A3</t>
        </is>
      </c>
      <c r="K105" s="17" t="inlineStr">
        <is>
          <t>Senior Associate</t>
        </is>
      </c>
      <c r="L105" s="79" t="inlineStr">
        <is>
          <t>▲ Up</t>
        </is>
      </c>
      <c r="M105" s="12" t="inlineStr">
        <is>
          <t>iFile · Technology · Band A · Early career</t>
        </is>
      </c>
      <c r="N105" s="42" t="n">
        <v>3</v>
      </c>
      <c r="O105" s="42" t="n">
        <v>3.5</v>
      </c>
      <c r="P105" s="42" t="n">
        <v>3</v>
      </c>
      <c r="Q105" s="42" t="n">
        <v>2.5</v>
      </c>
      <c r="R105" s="42" t="n">
        <v>4.5</v>
      </c>
      <c r="S105" s="80" t="n">
        <v>3.5</v>
      </c>
      <c r="T105" s="81">
        <f>IF(OR($M105="",COUNT(N105,O105,P105,Q105,R105,S105)&lt;6),"",IFERROR(N105*INDEX(WM_C,MATCH($M105,WM_KEY,0))+O105*INDEX(WM_AU,MATCH($M105,WM_KEY,0))+P105*INDEX(WM_AC,MATCH($M105,WM_KEY,0))+Q105*INDEX(WM_L,MATCH($M105,WM_KEY,0))+R105*INDEX(WM_E,MATCH($M105,WM_KEY,0))+S105*INDEX(WM_BI,MATCH($M105,WM_KEY,0)),""))</f>
        <v>3.26</v>
      </c>
      <c r="U105" s="42" t="str">
        <f>IF(T105="","",INDEX({"A1","A2","A3","B1","B2","B3","C1","C2","D1","D2","E1","E2"},MAX(1,MIN(12,ROUND(T105,0)))))</f>
        <v>A3</v>
      </c>
      <c r="V105" s="12" t="inlineStr">
        <is>
          <r>
            <rPr>
              <rFont val="Calibri"/>
              <sz val="10"/>
            </rPr>
            <t xml:space="preserve">New level A3 · Senior Associate. Current level on record: L3 – Professional / Associate. Change: ▲ Up.
Score 3.26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5" s="12" t="inlineStr">
        <is>
          <r>
            <rPr>
              <rFont val="Calibri"/>
              <b val="1"/>
              <sz val="10"/>
            </rPr>
            <t>Complexity &amp; Expertise:</t>
          </r>
          <r>
            <rPr>
              <rFont val="Calibri"/>
              <sz val="10"/>
            </rPr>
            <t xml:space="preserve"> 3 of 12 — Start: 3.0 · senior practitioner title; Evidence reads like A3: Takes client requirements to delivery; sprint tracking, sign-offs; note: test case review, XBRL error guidance → matches the start; KRA: “1. Deliver &gt;=95% of assigned BRDs/FSDs approved with &lt;=1 revision cycle 2. Ensure &gt;=90% on-time delivery of BA deliverables against plan 3.…”
</t>
          </r>
          <r>
            <rPr>
              <rFont val="Calibri"/>
              <b val="1"/>
              <sz val="10"/>
            </rPr>
            <t>Autonomy &amp; Decision:</t>
          </r>
          <r>
            <rPr>
              <rFont val="Calibri"/>
              <sz val="10"/>
            </rPr>
            <t xml:space="preserve"> 3.5 of 12 · between A3 and B1 — Start: 3.0 · senior practitioner title; Evidence reads like B1: Prioritises the work, assigns tasks to the team and monitors them → moved up 0.5
</t>
          </r>
          <r>
            <rPr>
              <rFont val="Calibri"/>
              <b val="1"/>
              <sz val="10"/>
            </rPr>
            <t>Accountability &amp; Impact:</t>
          </r>
          <r>
            <rPr>
              <rFont val="Calibri"/>
              <sz val="10"/>
            </rPr>
            <t xml:space="preserve"> 3 of 12 — Start: 3.0 · senior practitioner title; Evidence reads like A3: Answers for requirement correctness through development to client delivery and sign-off → matches the start; KRA: “1. Deliver &gt;=95% of assigned BRDs/FSDs approved with &lt;=1 revision cycle 2. Ensure &gt;=90% on-time delivery of BA deliverables against plan 3.…”
</t>
          </r>
          <r>
            <rPr>
              <rFont val="Calibri"/>
              <b val="1"/>
              <sz val="10"/>
            </rPr>
            <t>Leadership &amp; Strategy:</t>
          </r>
          <r>
            <rPr>
              <rFont val="Calibri"/>
              <sz val="10"/>
            </rPr>
            <t xml:space="preserve"> 2.5 of 12 · between A2 and A3 — not counted: the weight is 0% at this level — Start: 2.0 · individual contributor, so influence only; Evidence reads like A3: Assigns and monitors team tasks; gives KT to testers and other BAs → moved up 0.5; Team: 0 direct reports · IC
</t>
          </r>
          <r>
            <rPr>
              <rFont val="Calibri"/>
              <b val="1"/>
              <sz val="10"/>
            </rPr>
            <t>Experience &amp; Qualification:</t>
          </r>
          <r>
            <rPr>
              <rFont val="Calibri"/>
              <sz val="10"/>
            </rPr>
            <t xml:space="preserve"> 4.5 of 12 · between B1 and B2 — Experience: 6.9 yrs total · 0.5 before IRIS + 6.4 at IRIS = 4.7 on the experience scale; Qualification: B.E · graduate, relevant to the work → no change
</t>
          </r>
          <r>
            <rPr>
              <rFont val="Calibri"/>
              <b val="1"/>
              <sz val="10"/>
            </rPr>
            <t>Business Impact:</t>
          </r>
          <r>
            <rPr>
              <rFont val="Calibri"/>
              <sz val="10"/>
            </rPr>
            <t xml:space="preserve"> 3.5 of 12 — a starting estimate. —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r>
        </is>
      </c>
      <c r="X105"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5" s="12" t="inlineStr">
        <is>
          <r>
            <rPr>
              <rFont val="Calibri"/>
              <sz val="10"/>
            </rPr>
            <t xml:space="preserve">✓ HRIS: 6.9 yrs, B.E, 0 direct reports
✓ Survey: 19 of 20 questions answered
✓ KRAs: self, manager-set, quarterly
✓ Manager mapping: rating, potential, 9-box
✗ Job description: not on file
</t>
          </r>
          <r>
            <rPr>
              <rFont val="Calibri"/>
              <b val="1"/>
              <sz val="10"/>
            </rPr>
            <t>Confidence:</t>
          </r>
          <r>
            <rPr>
              <rFont val="Calibri"/>
              <sz val="10"/>
            </rPr>
            <t xml:space="preserve"> Medium</t>
          </r>
        </is>
      </c>
      <c r="Z105" s="12" t="inlineStr">
        <is>
          <t>—</t>
        </is>
      </c>
      <c r="AA105" s="86" t="inlineStr">
        <is>
          <t>• Confirm the reporting line — Manager</t>
        </is>
      </c>
      <c r="AB10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no; work only this person does: yes;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High · 9-Box Grid placement: Reliable Specialist.</t>
          </r>
        </is>
      </c>
      <c r="AC105" s="82" t="n"/>
      <c r="AD105" s="82" t="n"/>
      <c r="AE105" s="82" t="n"/>
      <c r="AF105" s="12" t="n">
        <v>3.5</v>
      </c>
    </row>
    <row r="106" ht="400" customHeight="1">
      <c r="A106" s="12" t="inlineStr">
        <is>
          <t>IRIS2251</t>
        </is>
      </c>
      <c r="B106" s="10" t="inlineStr">
        <is>
          <t>Saurabh Dutta</t>
        </is>
      </c>
      <c r="C106" s="12" t="inlineStr">
        <is>
          <t>Technology</t>
        </is>
      </c>
      <c r="D106" s="12" t="inlineStr">
        <is>
          <t>Business Analyst</t>
        </is>
      </c>
      <c r="E106" s="78" t="inlineStr">
        <is>
          <t>Senior Business Analyst</t>
        </is>
      </c>
      <c r="F106" s="12" t="inlineStr">
        <is>
          <t>Business Analysis</t>
        </is>
      </c>
      <c r="G106" s="12" t="inlineStr">
        <is>
          <t>Business Analysis</t>
        </is>
      </c>
      <c r="H106" s="12" t="inlineStr">
        <is>
          <t>IC</t>
        </is>
      </c>
      <c r="I106" s="42" t="inlineStr">
        <is>
          <t>L3 – Professional / Associate</t>
        </is>
      </c>
      <c r="J106" s="16" t="inlineStr">
        <is>
          <t>A3</t>
        </is>
      </c>
      <c r="K106" s="17" t="inlineStr">
        <is>
          <t>Senior Associate</t>
        </is>
      </c>
      <c r="L106" s="79" t="inlineStr">
        <is>
          <t>▲ Up</t>
        </is>
      </c>
      <c r="M106" s="12" t="inlineStr">
        <is>
          <t>iFile · Technology · Band A · Early career</t>
        </is>
      </c>
      <c r="N106" s="42" t="n">
        <v>3</v>
      </c>
      <c r="O106" s="42" t="n">
        <v>2.5</v>
      </c>
      <c r="P106" s="42" t="n">
        <v>3</v>
      </c>
      <c r="Q106" s="42" t="n">
        <v>1.5</v>
      </c>
      <c r="R106" s="42" t="n">
        <v>4</v>
      </c>
      <c r="S106" s="80" t="n">
        <v>3</v>
      </c>
      <c r="T106" s="81">
        <f>IF(OR($M106="",COUNT(N106,O106,P106,Q106,R106,S106)&lt;6),"",IFERROR(N106*INDEX(WM_C,MATCH($M106,WM_KEY,0))+O106*INDEX(WM_AU,MATCH($M106,WM_KEY,0))+P106*INDEX(WM_AC,MATCH($M106,WM_KEY,0))+Q106*INDEX(WM_L,MATCH($M106,WM_KEY,0))+R106*INDEX(WM_E,MATCH($M106,WM_KEY,0))+S106*INDEX(WM_BI,MATCH($M106,WM_KEY,0)),""))</f>
        <v>3.02</v>
      </c>
      <c r="U106" s="42" t="str">
        <f>IF(T106="","",INDEX({"A1","A2","A3","B1","B2","B3","C1","C2","D1","D2","E1","E2"},MAX(1,MIN(12,ROUND(T106,0)))))</f>
        <v>A3</v>
      </c>
      <c r="V106" s="12" t="inlineStr">
        <is>
          <r>
            <rPr>
              <rFont val="Calibri"/>
              <sz val="10"/>
            </rPr>
            <t xml:space="preserve">New level A3 · Senior Associate. Current level on record: L3 – Professional / Associate. Change: ▲ Up.
Score 3.02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6" s="12" t="inlineStr">
        <is>
          <r>
            <rPr>
              <rFont val="Calibri"/>
              <b val="1"/>
              <sz val="10"/>
            </rPr>
            <t>Complexity &amp; Expertise:</t>
          </r>
          <r>
            <rPr>
              <rFont val="Calibri"/>
              <sz val="10"/>
            </rPr>
            <t xml:space="preserve"> 3 of 12 — Start: 3.0 · senior practitioner title; Evidence reads like A3: Manages requirements workstream for clients: impact analysis, documentation, UAT management → matches the start; KRA: “1) Successfully deliver 100% assigned SARB Data Submission project requirements and BA deliverables · User stories, Validations,…”
</t>
          </r>
          <r>
            <rPr>
              <rFont val="Calibri"/>
              <b val="1"/>
              <sz val="10"/>
            </rPr>
            <t>Autonomy &amp; Decision:</t>
          </r>
          <r>
            <rPr>
              <rFont val="Calibri"/>
              <sz val="10"/>
            </rPr>
            <t xml:space="preserve"> 2.5 of 12 · between A2 and A3 — Start: 3.0 · senior practitioner title; Evidence reads like A2: Decides only impact analysis; fixes or backlogs issues by bandwidth → moved down 0.5
</t>
          </r>
          <r>
            <rPr>
              <rFont val="Calibri"/>
              <b val="1"/>
              <sz val="10"/>
            </rPr>
            <t>Accountability &amp; Impact:</t>
          </r>
          <r>
            <rPr>
              <rFont val="Calibri"/>
              <sz val="10"/>
            </rPr>
            <t xml:space="preserve"> 3 of 12 — Start: 3.0 · senior practitioner title; Evidence reads like A3: Sprint requirement deliverables through UAT to on-time client delivery for the project workstream → matches the start; KRA: “1 Successfully deliver 100% assigned SARB Data Submission project requirements and BA deliverables (User stories, Validations,…”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of others described → moved down 0.5; Team: 0 direct reports · IC
</t>
          </r>
          <r>
            <rPr>
              <rFont val="Calibri"/>
              <b val="1"/>
              <sz val="10"/>
            </rPr>
            <t>Experience &amp; Qualification:</t>
          </r>
          <r>
            <rPr>
              <rFont val="Calibri"/>
              <sz val="10"/>
            </rPr>
            <t xml:space="preserve"> 4 of 12 — Experience: 5.4 yrs total · 3.1 before IRIS + 2.3 at IRIS = 4.0 on the experience scale; Qualification: MBA · postgraduate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06"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6" s="12" t="inlineStr">
        <is>
          <r>
            <rPr>
              <rFont val="Calibri"/>
              <sz val="10"/>
            </rPr>
            <t xml:space="preserve">✓ HRIS: 5.4 yrs, MBA,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06" s="12" t="inlineStr">
        <is>
          <t>—</t>
        </is>
      </c>
      <c r="AA106" s="12" t="inlineStr">
        <is>
          <t>Nothing outstanding</t>
        </is>
      </c>
      <c r="AB10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Core Contributor.</t>
          </r>
        </is>
      </c>
      <c r="AC106" s="82" t="n"/>
      <c r="AD106" s="82" t="n"/>
      <c r="AE106" s="82" t="n"/>
      <c r="AF106" s="12" t="n">
        <v>3</v>
      </c>
    </row>
    <row r="107" ht="400" customHeight="1">
      <c r="A107" s="12" t="inlineStr">
        <is>
          <t>IRIS2364</t>
        </is>
      </c>
      <c r="B107" s="10" t="inlineStr">
        <is>
          <t>Srikant Mishra</t>
        </is>
      </c>
      <c r="C107" s="12" t="inlineStr">
        <is>
          <t>Technology</t>
        </is>
      </c>
      <c r="D107" s="12" t="inlineStr">
        <is>
          <t>Business Analyst</t>
        </is>
      </c>
      <c r="E107" s="78" t="inlineStr">
        <is>
          <t>Senior Business Analyst</t>
        </is>
      </c>
      <c r="F107" s="12" t="inlineStr">
        <is>
          <t>Business Analysis</t>
        </is>
      </c>
      <c r="G107" s="12" t="inlineStr">
        <is>
          <t>Business Analysis</t>
        </is>
      </c>
      <c r="H107" s="12" t="inlineStr">
        <is>
          <t>IC</t>
        </is>
      </c>
      <c r="I107" s="42" t="inlineStr">
        <is>
          <t>L3 – Professional / Associate</t>
        </is>
      </c>
      <c r="J107" s="16" t="inlineStr">
        <is>
          <t>A3</t>
        </is>
      </c>
      <c r="K107" s="17" t="inlineStr">
        <is>
          <t>Senior Associate</t>
        </is>
      </c>
      <c r="L107" s="79" t="inlineStr">
        <is>
          <t>▲ Up</t>
        </is>
      </c>
      <c r="M107" s="12" t="inlineStr">
        <is>
          <t>iFile · Technology · Band A · Early career</t>
        </is>
      </c>
      <c r="N107" s="42" t="n">
        <v>3.5</v>
      </c>
      <c r="O107" s="42" t="n">
        <v>3</v>
      </c>
      <c r="P107" s="42" t="n">
        <v>3.5</v>
      </c>
      <c r="Q107" s="42" t="n">
        <v>3.5</v>
      </c>
      <c r="R107" s="42" t="n">
        <v>3.5</v>
      </c>
      <c r="S107" s="80" t="n">
        <v>4</v>
      </c>
      <c r="T107" s="81">
        <f>IF(OR($M107="",COUNT(N107,O107,P107,Q107,R107,S107)&lt;6),"",IFERROR(N107*INDEX(WM_C,MATCH($M107,WM_KEY,0))+O107*INDEX(WM_AU,MATCH($M107,WM_KEY,0))+P107*INDEX(WM_AC,MATCH($M107,WM_KEY,0))+Q107*INDEX(WM_L,MATCH($M107,WM_KEY,0))+R107*INDEX(WM_E,MATCH($M107,WM_KEY,0))+S107*INDEX(WM_BI,MATCH($M107,WM_KEY,0)),""))</f>
        <v>3.45</v>
      </c>
      <c r="U107" s="42" t="str">
        <f>IF(T107="","",INDEX({"A1","A2","A3","B1","B2","B3","C1","C2","D1","D2","E1","E2"},MAX(1,MIN(12,ROUND(T107,0)))))</f>
        <v>A3</v>
      </c>
      <c r="V107" s="12" t="inlineStr">
        <is>
          <r>
            <rPr>
              <rFont val="Calibri"/>
              <sz val="10"/>
            </rPr>
            <t xml:space="preserve">New level A3 · Senior Associate. Current level on record: L3 – Professional / Associate. Change: ▲ Up.
Score 3.45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7" s="12" t="inlineStr">
        <is>
          <r>
            <rPr>
              <rFont val="Calibri"/>
              <b val="1"/>
              <sz val="10"/>
            </rPr>
            <t>Complexity &amp; Expertise:</t>
          </r>
          <r>
            <rPr>
              <rFont val="Calibri"/>
              <sz val="10"/>
            </rPr>
            <t xml:space="preserve"> 3.5 of 12 · between A3 and B1 — Start: 3.0 · senior practitioner title; Evidence reads like B1: Builds AI product prototypes, workflows, POCs across INSTANT · MBRS, ACRA mandates, Fit and Proper, RegAI → moved up 0.5; KRA: “1. Deliver own BA/analysis workstreams to &gt;=95% quality &amp; timeliness 2. Provide day-to-day technical/functional guidance to 2 engineers…”
</t>
          </r>
          <r>
            <rPr>
              <rFont val="Calibri"/>
              <b val="1"/>
              <sz val="10"/>
            </rPr>
            <t>Autonomy &amp; Decision:</t>
          </r>
          <r>
            <rPr>
              <rFont val="Calibri"/>
              <sz val="10"/>
            </rPr>
            <t xml:space="preserve"> 3 of 12 — Start: 3.0 · senior practitioner title; Evidence reads like A3: Decides workflow optimisation and prioritises what is important currently → matches the start
</t>
          </r>
          <r>
            <rPr>
              <rFont val="Calibri"/>
              <b val="1"/>
              <sz val="10"/>
            </rPr>
            <t>Accountability &amp; Impact:</t>
          </r>
          <r>
            <rPr>
              <rFont val="Calibri"/>
              <sz val="10"/>
            </rPr>
            <t xml:space="preserve"> 3.5 of 12 · between A3 and B1 — Start: 4.0 · senior practitioner title; 2 direct reports; Evidence reads like A3: Accountable for production bugs; missed work delays a feature timeline → moved down 0.5; KRA: “1. Deliver own BA/analysis workstreams to &gt;=95% quality &amp; timeliness 2. Provide day-to-day technical/functional guidance to 2 engineers…”
</t>
          </r>
          <r>
            <rPr>
              <rFont val="Calibri"/>
              <b val="1"/>
              <sz val="10"/>
            </rPr>
            <t>Leadership &amp; Strategy:</t>
          </r>
          <r>
            <rPr>
              <rFont val="Calibri"/>
              <sz val="10"/>
            </rPr>
            <t xml:space="preserve"> 3.5 of 12 · between A3 and B1 — not counted: the weight is 0% at this level — Start: 4.0; Evidence reads like A3: 2 direct reports; manager note: day-to-day functional guidance to 2 developers → moved down 0.5; Team: 2 direct reports · IC
</t>
          </r>
          <r>
            <rPr>
              <rFont val="Calibri"/>
              <b val="1"/>
              <sz val="10"/>
            </rPr>
            <t>Experience &amp; Qualification:</t>
          </r>
          <r>
            <rPr>
              <rFont val="Calibri"/>
              <sz val="10"/>
            </rPr>
            <t xml:space="preserve"> 3.5 of 12 · between A3 and B1 — Experience: 4.4 yrs total · 2.9 before IRIS + 1.5 at IRIS = 3.6 on the experience scale; Qualification: B.Tech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07"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107" s="12" t="inlineStr">
        <is>
          <r>
            <rPr>
              <rFont val="Calibri"/>
              <sz val="10"/>
            </rPr>
            <t xml:space="preserve">✓ HRIS: 4.4 yrs, B.Tech, 2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07" s="84" t="inlineStr">
        <is>
          <r>
            <rPr>
              <rFont val="Calibri"/>
              <color rgb="009C5700"/>
              <sz val="10"/>
            </rPr>
            <t xml:space="preserve">• </t>
          </r>
          <r>
            <rPr>
              <rFont val="Calibri"/>
              <b val="1"/>
              <color rgb="009C5700"/>
              <sz val="10"/>
            </rPr>
            <t>Close call:</t>
          </r>
          <r>
            <rPr>
              <rFont val="Calibri"/>
              <color rgb="009C5700"/>
              <sz val="10"/>
            </rPr>
            <t xml:space="preserve"> score 3.45 is within 0.05 of a rounding point</t>
          </r>
        </is>
      </c>
      <c r="AA107" s="12" t="inlineStr">
        <is>
          <t>Nothing outstanding</t>
        </is>
      </c>
      <c r="AB10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From the survey and manager mapping — critical role: yes; successor named: yes.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4 · Potential: High · 9-Box Grid placement: Future Leader.</t>
          </r>
        </is>
      </c>
      <c r="AC107" s="82" t="n"/>
      <c r="AD107" s="82" t="n"/>
      <c r="AE107" s="82" t="n"/>
      <c r="AF107" s="12" t="n">
        <v>4</v>
      </c>
    </row>
    <row r="108" ht="400" customHeight="1">
      <c r="A108" s="12" t="inlineStr">
        <is>
          <t>IRIS2140</t>
        </is>
      </c>
      <c r="B108" s="10" t="inlineStr">
        <is>
          <t>Aaqib Ahmad</t>
        </is>
      </c>
      <c r="C108" s="12" t="inlineStr">
        <is>
          <t>Technology</t>
        </is>
      </c>
      <c r="D108" s="12" t="inlineStr">
        <is>
          <t>Software Engineer</t>
        </is>
      </c>
      <c r="E108" s="78" t="inlineStr">
        <is>
          <t>Senior Software Engineer</t>
        </is>
      </c>
      <c r="F108" s="12" t="inlineStr">
        <is>
          <t>Engineering &amp; Development</t>
        </is>
      </c>
      <c r="G108" s="12" t="inlineStr">
        <is>
          <t>Backend Development</t>
        </is>
      </c>
      <c r="H108" s="12" t="inlineStr">
        <is>
          <t>IC</t>
        </is>
      </c>
      <c r="I108" s="42" t="inlineStr">
        <is>
          <t>L3 – Professional / Associate</t>
        </is>
      </c>
      <c r="J108" s="16" t="inlineStr">
        <is>
          <t>A3</t>
        </is>
      </c>
      <c r="K108" s="17" t="inlineStr">
        <is>
          <t>Senior Associate</t>
        </is>
      </c>
      <c r="L108" s="79" t="inlineStr">
        <is>
          <t>▲ Up</t>
        </is>
      </c>
      <c r="M108" s="12" t="inlineStr">
        <is>
          <t>iFile · Technology · Band A · Early career</t>
        </is>
      </c>
      <c r="N108" s="42" t="n">
        <v>2.5</v>
      </c>
      <c r="O108" s="42" t="n">
        <v>2.5</v>
      </c>
      <c r="P108" s="42" t="n">
        <v>2.5</v>
      </c>
      <c r="Q108" s="42" t="n">
        <v>1</v>
      </c>
      <c r="R108" s="42" t="n">
        <v>6.5</v>
      </c>
      <c r="S108" s="80" t="n">
        <v>3</v>
      </c>
      <c r="T108" s="81">
        <f>IF(OR($M108="",COUNT(N108,O108,P108,Q108,R108,S108)&lt;6),"",IFERROR(N108*INDEX(WM_C,MATCH($M108,WM_KEY,0))+O108*INDEX(WM_AU,MATCH($M108,WM_KEY,0))+P108*INDEX(WM_AC,MATCH($M108,WM_KEY,0))+Q108*INDEX(WM_L,MATCH($M108,WM_KEY,0))+R108*INDEX(WM_E,MATCH($M108,WM_KEY,0))+S108*INDEX(WM_BI,MATCH($M108,WM_KEY,0)),""))</f>
        <v>2.93</v>
      </c>
      <c r="U108" s="42" t="str">
        <f>IF(T108="","",INDEX({"A1","A2","A3","B1","B2","B3","C1","C2","D1","D2","E1","E2"},MAX(1,MIN(12,ROUND(T108,0)))))</f>
        <v>A3</v>
      </c>
      <c r="V108" s="12" t="inlineStr">
        <is>
          <r>
            <rPr>
              <rFont val="Calibri"/>
              <sz val="10"/>
            </rPr>
            <t xml:space="preserve">New level A3 · Senior Associate. Current level on record: L3 – Professional / Associate. Change: ▲ Up.
Score 2.93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8" s="12" t="inlineStr">
        <is>
          <r>
            <rPr>
              <rFont val="Calibri"/>
              <b val="1"/>
              <sz val="10"/>
            </rPr>
            <t>Complexity &amp; Expertise:</t>
          </r>
          <r>
            <rPr>
              <rFont val="Calibri"/>
              <sz val="10"/>
            </rPr>
            <t xml:space="preserve"> 2.5 of 12 · between A2 and A3 — Start: 2.0 · practitioner title; Evidence reads like A3: PFRDA master data, SQL from SRS, log monitoring; handles inconsistent source data and FK dependencies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Decides technical implementation and DB changes; judges flagging versus fixing source data → moved up 0.5
</t>
          </r>
          <r>
            <rPr>
              <rFont val="Calibri"/>
              <b val="1"/>
              <sz val="10"/>
            </rPr>
            <t>Accountability &amp; Impact:</t>
          </r>
          <r>
            <rPr>
              <rFont val="Calibri"/>
              <sz val="10"/>
            </rPr>
            <t xml:space="preserve"> 2.5 of 12 · between A2 and A3 — Start: 2.0 · practitioner title; Evidence reads like A3: Master data integrity; bad data silently corrupts downstream reports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6.5 of 12 · between B3 and C1 — Experience: 10.3 yrs total · 7.0 before IRIS + 3.3 at IRIS = 6.2 on the experience scale; Qualification: MSc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0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08" s="12" t="inlineStr">
        <is>
          <r>
            <rPr>
              <rFont val="Calibri"/>
              <sz val="10"/>
            </rPr>
            <t xml:space="preserve">✓ HRIS: 10.3 yrs, MSc,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08" s="12" t="inlineStr">
        <is>
          <t>—</t>
        </is>
      </c>
      <c r="AA108" s="12" t="inlineStr">
        <is>
          <t>Nothing outstanding</t>
        </is>
      </c>
      <c r="AB10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Emerging Talent.</t>
          </r>
        </is>
      </c>
      <c r="AC108" s="82" t="n"/>
      <c r="AD108" s="82" t="n"/>
      <c r="AE108" s="82" t="n"/>
      <c r="AF108" s="12" t="n">
        <v>3</v>
      </c>
    </row>
    <row r="109" ht="400" customHeight="1">
      <c r="A109" s="12" t="inlineStr">
        <is>
          <t>IRIS2501</t>
        </is>
      </c>
      <c r="B109" s="10" t="inlineStr">
        <is>
          <t>Abhishek Kadam</t>
        </is>
      </c>
      <c r="C109" s="12" t="inlineStr">
        <is>
          <t>Technology</t>
        </is>
      </c>
      <c r="D109" s="12" t="inlineStr">
        <is>
          <t>Software Engineer</t>
        </is>
      </c>
      <c r="E109" s="78" t="inlineStr">
        <is>
          <t>Senior Software Engineer</t>
        </is>
      </c>
      <c r="F109" s="12" t="inlineStr">
        <is>
          <t>Engineering &amp; Development</t>
        </is>
      </c>
      <c r="G109" s="12" t="inlineStr">
        <is>
          <t>Backend Development</t>
        </is>
      </c>
      <c r="H109" s="12" t="inlineStr">
        <is>
          <t>IC</t>
        </is>
      </c>
      <c r="I109" s="42" t="inlineStr">
        <is>
          <t>L3 – Professional / Associate</t>
        </is>
      </c>
      <c r="J109" s="16" t="inlineStr">
        <is>
          <t>A3</t>
        </is>
      </c>
      <c r="K109" s="17" t="inlineStr">
        <is>
          <t>Senior Associate</t>
        </is>
      </c>
      <c r="L109" s="79" t="inlineStr">
        <is>
          <t>▲ Up</t>
        </is>
      </c>
      <c r="M109" s="12" t="inlineStr">
        <is>
          <t>iFile · Technology · Band A · Early career</t>
        </is>
      </c>
      <c r="N109" s="42" t="n">
        <v>2</v>
      </c>
      <c r="O109" s="42" t="n">
        <v>2</v>
      </c>
      <c r="P109" s="42" t="n">
        <v>2</v>
      </c>
      <c r="Q109" s="42" t="n">
        <v>1</v>
      </c>
      <c r="R109" s="42" t="n">
        <v>3</v>
      </c>
      <c r="S109" s="80" t="n">
        <v>2</v>
      </c>
      <c r="T109" s="81">
        <f>IF(OR($M109="",COUNT(N109,O109,P109,Q109,R109,S109)&lt;6),"",IFERROR(N109*INDEX(WM_C,MATCH($M109,WM_KEY,0))+O109*INDEX(WM_AU,MATCH($M109,WM_KEY,0))+P109*INDEX(WM_AC,MATCH($M109,WM_KEY,0))+Q109*INDEX(WM_L,MATCH($M109,WM_KEY,0))+R109*INDEX(WM_E,MATCH($M109,WM_KEY,0))+S109*INDEX(WM_BI,MATCH($M109,WM_KEY,0)),""))</f>
        <v>2.1</v>
      </c>
      <c r="U109" s="42" t="str">
        <f>IF(T109="","",INDEX({"A1","A2","A3","B1","B2","B3","C1","C2","D1","D2","E1","E2"},MAX(1,MIN(12,ROUND(T109,0)))))</f>
        <v>A2</v>
      </c>
      <c r="V109"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2.5 years' experience is 2 years or more.
</t>
          </r>
          <r>
            <rPr>
              <rFont val="Calibri"/>
              <b val="1"/>
              <sz val="10"/>
            </rPr>
            <t>Final level:</t>
          </r>
          <r>
            <rPr>
              <rFont val="Calibri"/>
              <sz val="10"/>
            </rPr>
            <t xml:space="preserve"> A3.</t>
          </r>
        </is>
      </c>
      <c r="W109" s="12" t="inlineStr">
        <is>
          <r>
            <rPr>
              <rFont val="Calibri"/>
              <b val="1"/>
              <sz val="10"/>
            </rPr>
            <t>Complexity &amp; Expertise:</t>
          </r>
          <r>
            <rPr>
              <rFont val="Calibri"/>
              <sz val="10"/>
            </rPr>
            <t xml:space="preserve"> 2 of 12 — Start: 2.0 · practitioner title; Evidence reads like A2: Develops and customises Java / Spring Boot backend features; fixes production issues in own modules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routine technical issues only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 of 12 — Experience: 2.5 yrs total · 2.0 before IRIS + 0.5 at IRIS = 2.8 on the experience scale; Qualification: B.Tech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0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09" s="12" t="inlineStr">
        <is>
          <r>
            <rPr>
              <rFont val="Calibri"/>
              <sz val="10"/>
            </rPr>
            <t xml:space="preserve">✓ HRIS: 2.5 yrs, B.Tech,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09" s="12" t="inlineStr">
        <is>
          <t>—</t>
        </is>
      </c>
      <c r="AA109" s="12" t="inlineStr">
        <is>
          <t>Nothing outstanding</t>
        </is>
      </c>
      <c r="AB10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Medium · 9-Box Grid placement: Emerging Talent.</t>
          </r>
        </is>
      </c>
      <c r="AC109" s="82" t="n"/>
      <c r="AD109" s="82" t="n"/>
      <c r="AE109" s="82" t="n"/>
      <c r="AF109" s="12" t="n">
        <v>2</v>
      </c>
    </row>
    <row r="110" ht="400" customHeight="1">
      <c r="A110" s="12" t="inlineStr">
        <is>
          <t>IRIS2532</t>
        </is>
      </c>
      <c r="B110" s="10" t="inlineStr">
        <is>
          <t>Abhishek Patil</t>
        </is>
      </c>
      <c r="C110" s="12" t="inlineStr">
        <is>
          <t>Technology</t>
        </is>
      </c>
      <c r="D110" s="12" t="inlineStr">
        <is>
          <t>Software Engineer</t>
        </is>
      </c>
      <c r="E110" s="78" t="inlineStr">
        <is>
          <t>Senior Software Engineer</t>
        </is>
      </c>
      <c r="F110" s="12" t="inlineStr">
        <is>
          <t>Engineering &amp; Development</t>
        </is>
      </c>
      <c r="G110" s="12" t="inlineStr">
        <is>
          <t>Full-Stack Development</t>
        </is>
      </c>
      <c r="H110" s="12" t="inlineStr">
        <is>
          <t>IC</t>
        </is>
      </c>
      <c r="I110" s="42" t="inlineStr">
        <is>
          <t>L3 – Professional / Associate</t>
        </is>
      </c>
      <c r="J110" s="16" t="inlineStr">
        <is>
          <t>A3</t>
        </is>
      </c>
      <c r="K110" s="17" t="inlineStr">
        <is>
          <t>Senior Associate</t>
        </is>
      </c>
      <c r="L110" s="79" t="inlineStr">
        <is>
          <t>▲ Up</t>
        </is>
      </c>
      <c r="M110" s="12" t="inlineStr">
        <is>
          <t>iFile · Technology · Band A · Early career</t>
        </is>
      </c>
      <c r="N110" s="42" t="n">
        <v>2.5</v>
      </c>
      <c r="O110" s="42" t="n">
        <v>2.5</v>
      </c>
      <c r="P110" s="42" t="n">
        <v>2.5</v>
      </c>
      <c r="Q110" s="42" t="n">
        <v>1</v>
      </c>
      <c r="R110" s="42" t="n">
        <v>3.5</v>
      </c>
      <c r="S110" s="80" t="n">
        <v>2.5</v>
      </c>
      <c r="T110" s="81">
        <f>IF(OR($M110="",COUNT(N110,O110,P110,Q110,R110,S110)&lt;6),"",IFERROR(N110*INDEX(WM_C,MATCH($M110,WM_KEY,0))+O110*INDEX(WM_AU,MATCH($M110,WM_KEY,0))+P110*INDEX(WM_AC,MATCH($M110,WM_KEY,0))+Q110*INDEX(WM_L,MATCH($M110,WM_KEY,0))+R110*INDEX(WM_E,MATCH($M110,WM_KEY,0))+S110*INDEX(WM_BI,MATCH($M110,WM_KEY,0)),""))</f>
        <v>2.6</v>
      </c>
      <c r="U110" s="42" t="str">
        <f>IF(T110="","",INDEX({"A1","A2","A3","B1","B2","B3","C1","C2","D1","D2","E1","E2"},MAX(1,MIN(12,ROUND(T110,0)))))</f>
        <v>A3</v>
      </c>
      <c r="V110"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0" s="12" t="inlineStr">
        <is>
          <r>
            <rPr>
              <rFont val="Calibri"/>
              <b val="1"/>
              <sz val="10"/>
            </rPr>
            <t>Complexity &amp; Expertise:</t>
          </r>
          <r>
            <rPr>
              <rFont val="Calibri"/>
              <sz val="10"/>
            </rPr>
            <t xml:space="preserve"> 2.5 of 12 · between A2 and A3 — Start: 2.0 · practitioner title; Evidence reads like A3: REST APIs, DB schemas, migration scripts, validation logic; root cause analysis and production support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Decides code implementation and query optimisation; judges code fix versus data fix → moved up 0.5
</t>
          </r>
          <r>
            <rPr>
              <rFont val="Calibri"/>
              <b val="1"/>
              <sz val="10"/>
            </rPr>
            <t>Accountability &amp; Impact:</t>
          </r>
          <r>
            <rPr>
              <rFont val="Calibri"/>
              <sz val="10"/>
            </rPr>
            <t xml:space="preserve"> 2.5 of 12 · between A2 and A3 — Start: 2.0 · practitioner title; Evidence reads like A3: API correctness and data integrity; wrong filing status blocks bank submissions to regulator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3.9 yrs total · 3.6 before IRIS + 0.3 at IRIS = 3.4 on the experience scale; Qualification: BCA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1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0" s="12" t="inlineStr">
        <is>
          <r>
            <rPr>
              <rFont val="Calibri"/>
              <sz val="10"/>
            </rPr>
            <t xml:space="preserve">✓ HRIS: 3.9 yrs, BCA, 0 direct reports
✓ Survey: 20 of 20 questions answered
✓ KRAs: self, manager-set, quarterly
✓ Manager mapping: rating, 9-box
✗ Job description: not on file
</t>
          </r>
          <r>
            <rPr>
              <rFont val="Calibri"/>
              <b val="1"/>
              <sz val="10"/>
            </rPr>
            <t>Confidence:</t>
          </r>
          <r>
            <rPr>
              <rFont val="Calibri"/>
              <sz val="10"/>
            </rPr>
            <t xml:space="preserve"> High</t>
          </r>
        </is>
      </c>
      <c r="Z110" s="12" t="inlineStr">
        <is>
          <t>—</t>
        </is>
      </c>
      <c r="AA110" s="12" t="inlineStr">
        <is>
          <t>Nothing outstanding</t>
        </is>
      </c>
      <c r="AB1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AC110" s="82" t="n"/>
      <c r="AD110" s="82" t="n"/>
      <c r="AE110" s="82" t="n"/>
      <c r="AF110" s="12" t="n">
        <v>2.5</v>
      </c>
    </row>
    <row r="111" ht="400" customHeight="1">
      <c r="A111" s="12" t="inlineStr">
        <is>
          <t>IRIS2488</t>
        </is>
      </c>
      <c r="B111" s="10" t="inlineStr">
        <is>
          <t>Ajay Chauhan</t>
        </is>
      </c>
      <c r="C111" s="12" t="inlineStr">
        <is>
          <t>Technology</t>
        </is>
      </c>
      <c r="D111" s="12" t="inlineStr">
        <is>
          <t>Software Engineer</t>
        </is>
      </c>
      <c r="E111" s="78" t="inlineStr">
        <is>
          <t>Senior Software Engineer</t>
        </is>
      </c>
      <c r="F111" s="12" t="inlineStr">
        <is>
          <t>Engineering &amp; Development</t>
        </is>
      </c>
      <c r="G111" s="12" t="inlineStr">
        <is>
          <t>Backend Development</t>
        </is>
      </c>
      <c r="H111" s="12" t="inlineStr">
        <is>
          <t>IC</t>
        </is>
      </c>
      <c r="I111" s="42" t="inlineStr">
        <is>
          <t>L3 – Professional / Associate</t>
        </is>
      </c>
      <c r="J111" s="16" t="inlineStr">
        <is>
          <t>A3</t>
        </is>
      </c>
      <c r="K111" s="17" t="inlineStr">
        <is>
          <t>Senior Associate</t>
        </is>
      </c>
      <c r="L111" s="79" t="inlineStr">
        <is>
          <t>▲ Up</t>
        </is>
      </c>
      <c r="M111" s="12" t="inlineStr">
        <is>
          <t>iFile · Technology · Band A · Early career</t>
        </is>
      </c>
      <c r="N111" s="42" t="n">
        <v>2</v>
      </c>
      <c r="O111" s="42" t="n">
        <v>2</v>
      </c>
      <c r="P111" s="42" t="n">
        <v>2</v>
      </c>
      <c r="Q111" s="42" t="n">
        <v>1</v>
      </c>
      <c r="R111" s="42" t="n">
        <v>4</v>
      </c>
      <c r="S111" s="80" t="n">
        <v>2</v>
      </c>
      <c r="T111" s="81">
        <f>IF(OR($M111="",COUNT(N111,O111,P111,Q111,R111,S111)&lt;6),"",IFERROR(N111*INDEX(WM_C,MATCH($M111,WM_KEY,0))+O111*INDEX(WM_AU,MATCH($M111,WM_KEY,0))+P111*INDEX(WM_AC,MATCH($M111,WM_KEY,0))+Q111*INDEX(WM_L,MATCH($M111,WM_KEY,0))+R111*INDEX(WM_E,MATCH($M111,WM_KEY,0))+S111*INDEX(WM_BI,MATCH($M111,WM_KEY,0)),""))</f>
        <v>2.2</v>
      </c>
      <c r="U111" s="42" t="str">
        <f>IF(T111="","",INDEX({"A1","A2","A3","B1","B2","B3","C1","C2","D1","D2","E1","E2"},MAX(1,MIN(12,ROUND(T111,0)))))</f>
        <v>A2</v>
      </c>
      <c r="V111"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4.7 years' experience is 2 years or more.
</t>
          </r>
          <r>
            <rPr>
              <rFont val="Calibri"/>
              <b val="1"/>
              <sz val="10"/>
            </rPr>
            <t>Final level:</t>
          </r>
          <r>
            <rPr>
              <rFont val="Calibri"/>
              <sz val="10"/>
            </rPr>
            <t xml:space="preserve"> A3.</t>
          </r>
        </is>
      </c>
      <c r="W111" s="12" t="inlineStr">
        <is>
          <r>
            <rPr>
              <rFont val="Calibri"/>
              <b val="1"/>
              <sz val="10"/>
            </rPr>
            <t>Complexity &amp; Expertise:</t>
          </r>
          <r>
            <rPr>
              <rFont val="Calibri"/>
              <sz val="10"/>
            </rPr>
            <t xml:space="preserve"> 2 of 12 — Start: 2.0 · practitioner title; Evidence reads like A2: Implements features, tests edge cases, review, production support; no specifics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Only 'code fix' given as independent decision → matches the start
</t>
          </r>
          <r>
            <rPr>
              <rFont val="Calibri"/>
              <b val="1"/>
              <sz val="10"/>
            </rPr>
            <t>Accountability &amp; Impact:</t>
          </r>
          <r>
            <rPr>
              <rFont val="Calibri"/>
              <sz val="10"/>
            </rPr>
            <t xml:space="preserve"> 2 of 12 — Start: 2.0 · practitioner title; Evidence reads like A2: Names only 'optimization'; errors cause delays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 of 12 — Experience: 4.7 yrs total · 4.1 before IRIS + 0.6 at IRIS = 3.7 on the experience scale; Qualification: Post Graduation/ B.E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1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1" s="12" t="inlineStr">
        <is>
          <r>
            <rPr>
              <rFont val="Calibri"/>
              <sz val="10"/>
            </rPr>
            <t xml:space="preserve">✓ HRIS: 4.7 yrs, Post Graduation/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11" s="12" t="inlineStr">
        <is>
          <t>—</t>
        </is>
      </c>
      <c r="AA111" s="12" t="inlineStr">
        <is>
          <t>Nothing outstanding</t>
        </is>
      </c>
      <c r="AB11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Reliable Specialist.</t>
          </r>
        </is>
      </c>
      <c r="AC111" s="82" t="n"/>
      <c r="AD111" s="82" t="n"/>
      <c r="AE111" s="82" t="n"/>
      <c r="AF111" s="12" t="n">
        <v>2</v>
      </c>
    </row>
    <row r="112" ht="400" customHeight="1">
      <c r="A112" s="12" t="inlineStr">
        <is>
          <t>IRIS1955</t>
        </is>
      </c>
      <c r="B112" s="10" t="inlineStr">
        <is>
          <t>Akbar Basha</t>
        </is>
      </c>
      <c r="C112" s="12" t="inlineStr">
        <is>
          <t>Technology</t>
        </is>
      </c>
      <c r="D112" s="12" t="inlineStr">
        <is>
          <t>Senior Software Engineer</t>
        </is>
      </c>
      <c r="E112" s="78" t="inlineStr">
        <is>
          <t>Senior Database Engineer</t>
        </is>
      </c>
      <c r="F112" s="12" t="inlineStr">
        <is>
          <t>Engineering &amp; Development</t>
        </is>
      </c>
      <c r="G112" s="12" t="inlineStr">
        <is>
          <t>Data Engineering &amp; Database Development</t>
        </is>
      </c>
      <c r="H112" s="12" t="inlineStr">
        <is>
          <t>IC</t>
        </is>
      </c>
      <c r="I112" s="42" t="inlineStr">
        <is>
          <t>L4 – Senior</t>
        </is>
      </c>
      <c r="J112" s="16" t="inlineStr">
        <is>
          <t>A3</t>
        </is>
      </c>
      <c r="K112" s="17" t="inlineStr">
        <is>
          <t>Senior Associate</t>
        </is>
      </c>
      <c r="L112" s="87" t="inlineStr">
        <is>
          <t>• Same level</t>
        </is>
      </c>
      <c r="M112" s="12" t="inlineStr">
        <is>
          <t>iFile · Technology · Band A · Early career</t>
        </is>
      </c>
      <c r="N112" s="42" t="n">
        <v>3</v>
      </c>
      <c r="O112" s="42" t="n">
        <v>3</v>
      </c>
      <c r="P112" s="42" t="n">
        <v>3</v>
      </c>
      <c r="Q112" s="42" t="n">
        <v>3</v>
      </c>
      <c r="R112" s="42" t="n">
        <v>5</v>
      </c>
      <c r="S112" s="80" t="n">
        <v>3</v>
      </c>
      <c r="T112" s="81">
        <f>IF(OR($M112="",COUNT(N112,O112,P112,Q112,R112,S112)&lt;6),"",IFERROR(N112*INDEX(WM_C,MATCH($M112,WM_KEY,0))+O112*INDEX(WM_AU,MATCH($M112,WM_KEY,0))+P112*INDEX(WM_AC,MATCH($M112,WM_KEY,0))+Q112*INDEX(WM_L,MATCH($M112,WM_KEY,0))+R112*INDEX(WM_E,MATCH($M112,WM_KEY,0))+S112*INDEX(WM_BI,MATCH($M112,WM_KEY,0)),""))</f>
        <v>3.2</v>
      </c>
      <c r="U112" s="42" t="str">
        <f>IF(T112="","",INDEX({"A1","A2","A3","B1","B2","B3","C1","C2","D1","D2","E1","E2"},MAX(1,MIN(12,ROUND(T112,0)))))</f>
        <v>A3</v>
      </c>
      <c r="V112" s="12" t="inlineStr">
        <is>
          <r>
            <rPr>
              <rFont val="Calibri"/>
              <sz val="10"/>
            </rPr>
            <t xml:space="preserve">New level A3 · Senior Associate. Current level on record: L4 – Senior. Change: • Same level.
Score 3.20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2" s="12" t="inlineStr">
        <is>
          <r>
            <rPr>
              <rFont val="Calibri"/>
              <b val="1"/>
              <sz val="10"/>
            </rPr>
            <t>Complexity &amp; Expertise:</t>
          </r>
          <r>
            <rPr>
              <rFont val="Calibri"/>
              <sz val="10"/>
            </rPr>
            <t xml:space="preserve"> 3 of 12 — Start: 3.0 · senior practitioner title; Evidence reads like A3: Builds AI/LLM solutions and POCs, supports RFP solutions, tests and deploys them → matches the start
</t>
          </r>
          <r>
            <rPr>
              <rFont val="Calibri"/>
              <b val="1"/>
              <sz val="10"/>
            </rPr>
            <t>Autonomy &amp; Decision:</t>
          </r>
          <r>
            <rPr>
              <rFont val="Calibri"/>
              <sz val="10"/>
            </rPr>
            <t xml:space="preserve"> 3 of 12 — Start: 3.0 · senior practitioner title; Evidence reads like A3: Decides technical approach and fixes within agreed scope; major changes go to the manager → matches the start
</t>
          </r>
          <r>
            <rPr>
              <rFont val="Calibri"/>
              <b val="1"/>
              <sz val="10"/>
            </rPr>
            <t>Accountability &amp; Impact:</t>
          </r>
          <r>
            <rPr>
              <rFont val="Calibri"/>
              <sz val="10"/>
            </rPr>
            <t xml:space="preserve"> 3 of 12 — Start: 3.5 · senior practitioner title; 1 direct report; Evidence reads like A3: Quality and delivery of assigned AI solutions, some in production or client deliverables → moved down 0.5
</t>
          </r>
          <r>
            <rPr>
              <rFont val="Calibri"/>
              <b val="1"/>
              <sz val="10"/>
            </rPr>
            <t>Leadership &amp; Strategy:</t>
          </r>
          <r>
            <rPr>
              <rFont val="Calibri"/>
              <sz val="10"/>
            </rPr>
            <t xml:space="preserve"> 3 of 12 — not counted: the weight is 0% at this level — Start: 3.5; Evidence reads like A2: Shares technical knowledge with the team; no guiding of the one report described → moved down 0.5; Team: 1 direct report · IC
</t>
          </r>
          <r>
            <rPr>
              <rFont val="Calibri"/>
              <b val="1"/>
              <sz val="10"/>
            </rPr>
            <t>Experience &amp; Qualification:</t>
          </r>
          <r>
            <rPr>
              <rFont val="Calibri"/>
              <sz val="10"/>
            </rPr>
            <t xml:space="preserve"> 5 of 12 — Experience: 8.0 yrs total · 3.0 before IRIS + 5.0 at IRIS = 5.2 on the experience scale; Qualification: B.SC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1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2" s="12" t="inlineStr">
        <is>
          <r>
            <rPr>
              <rFont val="Calibri"/>
              <sz val="10"/>
            </rPr>
            <t xml:space="preserve">✓ HRIS: 8.0 yrs, B.SC, 1 direct report
✓ Survey: 20 of 20 questions answered
✗ KRAs: none on file
✓ Manager mapping: rating, 9-box
✗ Job description: not on file
</t>
          </r>
          <r>
            <rPr>
              <rFont val="Calibri"/>
              <b val="1"/>
              <sz val="10"/>
            </rPr>
            <t>Confidence:</t>
          </r>
          <r>
            <rPr>
              <rFont val="Calibri"/>
              <sz val="10"/>
            </rPr>
            <t xml:space="preserve"> Medium</t>
          </r>
        </is>
      </c>
      <c r="Z112" s="12" t="inlineStr">
        <is>
          <t>—</t>
        </is>
      </c>
      <c r="AA112" s="86" t="inlineStr">
        <is>
          <t>• Confirm the reporting line — Manager</t>
        </is>
      </c>
      <c r="AB11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Not rated · manager · 9-Box Grid placement: Not placed · manager.</t>
          </r>
        </is>
      </c>
      <c r="AC112" s="82" t="n"/>
      <c r="AD112" s="82" t="n"/>
      <c r="AE112" s="82" t="n"/>
      <c r="AF112" s="12" t="n">
        <v>3</v>
      </c>
    </row>
    <row r="113" ht="400" customHeight="1">
      <c r="A113" s="12" t="inlineStr">
        <is>
          <t>IRIS2028</t>
        </is>
      </c>
      <c r="B113" s="10" t="inlineStr">
        <is>
          <t>Akhilesh Gore</t>
        </is>
      </c>
      <c r="C113" s="12" t="inlineStr">
        <is>
          <t>Technology</t>
        </is>
      </c>
      <c r="D113" s="12" t="inlineStr">
        <is>
          <t>Software Engineer</t>
        </is>
      </c>
      <c r="E113" s="78" t="inlineStr">
        <is>
          <t>Senior DevOps Engineer</t>
        </is>
      </c>
      <c r="F113" s="12" t="inlineStr">
        <is>
          <t>Engineering &amp; Development</t>
        </is>
      </c>
      <c r="G113" s="12" t="inlineStr">
        <is>
          <t>DevOps &amp; Release Engineering</t>
        </is>
      </c>
      <c r="H113" s="12" t="inlineStr">
        <is>
          <t>IC</t>
        </is>
      </c>
      <c r="I113" s="42" t="inlineStr">
        <is>
          <t>L3 – Professional / Associate</t>
        </is>
      </c>
      <c r="J113" s="16" t="inlineStr">
        <is>
          <t>A3</t>
        </is>
      </c>
      <c r="K113" s="17" t="inlineStr">
        <is>
          <t>Senior Associate</t>
        </is>
      </c>
      <c r="L113" s="79" t="inlineStr">
        <is>
          <t>▲ Up</t>
        </is>
      </c>
      <c r="M113" s="12" t="inlineStr">
        <is>
          <t>iFile · Technology · Band A · Early career</t>
        </is>
      </c>
      <c r="N113" s="42" t="n">
        <v>2</v>
      </c>
      <c r="O113" s="42" t="n">
        <v>2</v>
      </c>
      <c r="P113" s="42" t="n">
        <v>2.5</v>
      </c>
      <c r="Q113" s="42" t="n">
        <v>1</v>
      </c>
      <c r="R113" s="42" t="n">
        <v>4.5</v>
      </c>
      <c r="S113" s="80" t="n">
        <v>2.5</v>
      </c>
      <c r="T113" s="81">
        <f>IF(OR($M113="",COUNT(N113,O113,P113,Q113,R113,S113)&lt;6),"",IFERROR(N113*INDEX(WM_C,MATCH($M113,WM_KEY,0))+O113*INDEX(WM_AU,MATCH($M113,WM_KEY,0))+P113*INDEX(WM_AC,MATCH($M113,WM_KEY,0))+Q113*INDEX(WM_L,MATCH($M113,WM_KEY,0))+R113*INDEX(WM_E,MATCH($M113,WM_KEY,0))+S113*INDEX(WM_BI,MATCH($M113,WM_KEY,0)),""))</f>
        <v>2.3</v>
      </c>
      <c r="U113" s="42" t="str">
        <f>IF(T113="","",INDEX({"A1","A2","A3","B1","B2","B3","C1","C2","D1","D2","E1","E2"},MAX(1,MIN(12,ROUND(T113,0)))))</f>
        <v>A2</v>
      </c>
      <c r="V113" s="12" t="inlineStr">
        <is>
          <r>
            <rPr>
              <rFont val="Calibri"/>
              <sz val="10"/>
            </rPr>
            <t xml:space="preserve">New level A3 · Senior Associate. Current level on record: L3 – Professional / Associate. Change: ▲ Up.
Score 2.30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6.7 years' experience is 2 years or more.
</t>
          </r>
          <r>
            <rPr>
              <rFont val="Calibri"/>
              <b val="1"/>
              <sz val="10"/>
            </rPr>
            <t>Final level:</t>
          </r>
          <r>
            <rPr>
              <rFont val="Calibri"/>
              <sz val="10"/>
            </rPr>
            <t xml:space="preserve"> A3.</t>
          </r>
        </is>
      </c>
      <c r="W113" s="12" t="inlineStr">
        <is>
          <r>
            <rPr>
              <rFont val="Calibri"/>
              <b val="1"/>
              <sz val="10"/>
            </rPr>
            <t>Complexity &amp; Expertise:</t>
          </r>
          <r>
            <rPr>
              <rFont val="Calibri"/>
              <sz val="10"/>
            </rPr>
            <t xml:space="preserve"> 2 of 12 — Start: 2.0 · practitioner title; Evidence reads like A2: Triages incidents, monitors system health, executes standard runbooks, escalates critical bugs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Applies established runbook steps and known workarounds; escalates for root cause → matches the start
</t>
          </r>
          <r>
            <rPr>
              <rFont val="Calibri"/>
              <b val="1"/>
              <sz val="10"/>
            </rPr>
            <t>Accountability &amp; Impact:</t>
          </r>
          <r>
            <rPr>
              <rFont val="Calibri"/>
              <sz val="10"/>
            </rPr>
            <t xml:space="preserve"> 2.5 of 12 · between A2 and A3 — Start: 2.0 · practitioner title; Evidence reads like A3: Incident response and downtime on live production; outages breach SLAs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4.5 of 12 · between B1 and B2 — Experience: 6.7 yrs total · 2.4 before IRIS + 4.3 at IRIS = 4.6 on the experience scale; Qualification: B.SC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1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3" s="12" t="inlineStr">
        <is>
          <r>
            <rPr>
              <rFont val="Calibri"/>
              <sz val="10"/>
            </rPr>
            <t xml:space="preserve">✓ HRIS: 6.7 yrs, B.SC,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13" s="12" t="inlineStr">
        <is>
          <t>—</t>
        </is>
      </c>
      <c r="AA113" s="12" t="inlineStr">
        <is>
          <t>Nothing outstanding</t>
        </is>
      </c>
      <c r="AB11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level.
Manager talent mapping — Latest rating: 3 · Potential: Low · 9-Box Grid placement: Core Contributor.</t>
          </r>
        </is>
      </c>
      <c r="AC113" s="82" t="n"/>
      <c r="AD113" s="82" t="n"/>
      <c r="AE113" s="82" t="n"/>
      <c r="AF113" s="12" t="n">
        <v>2.5</v>
      </c>
    </row>
    <row r="114" ht="400" customHeight="1">
      <c r="A114" s="12" t="inlineStr">
        <is>
          <t>IRIS2469</t>
        </is>
      </c>
      <c r="B114" s="10" t="inlineStr">
        <is>
          <t>Amiz Azad</t>
        </is>
      </c>
      <c r="C114" s="12" t="inlineStr">
        <is>
          <t>Technology</t>
        </is>
      </c>
      <c r="D114" s="12" t="inlineStr">
        <is>
          <t>Senior Software Engineer</t>
        </is>
      </c>
      <c r="E114" s="12" t="inlineStr">
        <is>
          <t>Senior Software Engineer</t>
        </is>
      </c>
      <c r="F114" s="12" t="inlineStr">
        <is>
          <t>Engineering &amp; Development</t>
        </is>
      </c>
      <c r="G114" s="12" t="inlineStr">
        <is>
          <t>Backend Development</t>
        </is>
      </c>
      <c r="H114" s="12" t="inlineStr">
        <is>
          <t>IC</t>
        </is>
      </c>
      <c r="I114" s="42" t="inlineStr">
        <is>
          <t>L4 – Senior</t>
        </is>
      </c>
      <c r="J114" s="16" t="inlineStr">
        <is>
          <t>A3</t>
        </is>
      </c>
      <c r="K114" s="17" t="inlineStr">
        <is>
          <t>Senior Associate</t>
        </is>
      </c>
      <c r="L114" s="87" t="inlineStr">
        <is>
          <t>• Same level</t>
        </is>
      </c>
      <c r="M114" s="12" t="inlineStr">
        <is>
          <t>iFile · Technology · Band A · Early career</t>
        </is>
      </c>
      <c r="N114" s="42" t="n">
        <v>3.5</v>
      </c>
      <c r="O114" s="42" t="n">
        <v>3</v>
      </c>
      <c r="P114" s="42" t="n">
        <v>3</v>
      </c>
      <c r="Q114" s="42" t="n">
        <v>2.5</v>
      </c>
      <c r="R114" s="42" t="n">
        <v>4.5</v>
      </c>
      <c r="S114" s="80" t="n">
        <v>3.5</v>
      </c>
      <c r="T114" s="81">
        <f>IF(OR($M114="",COUNT(N114,O114,P114,Q114,R114,S114)&lt;6),"",IFERROR(N114*INDEX(WM_C,MATCH($M114,WM_KEY,0))+O114*INDEX(WM_AU,MATCH($M114,WM_KEY,0))+P114*INDEX(WM_AC,MATCH($M114,WM_KEY,0))+Q114*INDEX(WM_L,MATCH($M114,WM_KEY,0))+R114*INDEX(WM_E,MATCH($M114,WM_KEY,0))+S114*INDEX(WM_BI,MATCH($M114,WM_KEY,0)),""))</f>
        <v>3.5</v>
      </c>
      <c r="U114" s="42" t="str">
        <f>IF(T114="","",INDEX({"A1","A2","A3","B1","B2","B3","C1","C2","D1","D2","E1","E2"},MAX(1,MIN(12,ROUND(T114,0)))))</f>
        <v>B1</v>
      </c>
      <c r="V114" s="12" t="inlineStr">
        <is>
          <r>
            <rPr>
              <rFont val="Calibri"/>
              <sz val="10"/>
            </rPr>
            <t xml:space="preserve">New level A3 · Senior Associate. Current level on record: L4 – Senior. Change: • Same level.
Score 3.50 on the ladder scale → indicated level B1.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3.44.
</t>
          </r>
          <r>
            <rPr>
              <rFont val="Calibri"/>
              <b val="1"/>
              <sz val="10"/>
            </rPr>
            <t>Final level:</t>
          </r>
          <r>
            <rPr>
              <rFont val="Calibri"/>
              <sz val="10"/>
            </rPr>
            <t xml:space="preserve"> A3.</t>
          </r>
        </is>
      </c>
      <c r="W114" s="12" t="inlineStr">
        <is>
          <r>
            <rPr>
              <rFont val="Calibri"/>
              <b val="1"/>
              <sz val="10"/>
            </rPr>
            <t>Complexity &amp; Expertise:</t>
          </r>
          <r>
            <rPr>
              <rFont val="Calibri"/>
              <sz val="10"/>
            </rPr>
            <t xml:space="preserve"> 3.5 of 12 · between A3 and B1 — Start: 3.0 · senior practitioner title; Evidence reads like B1: Designs and builds iFile 2.0 features and technical solutions within the agreed architecture; reviews code → moved up 0.5;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reads like A3: Makes implementation, design and debugging calls alone; wider architectural impact goes to stakeholders → matches the start
</t>
          </r>
          <r>
            <rPr>
              <rFont val="Calibri"/>
              <b val="1"/>
              <sz val="10"/>
            </rPr>
            <t>Accountability &amp; Impact:</t>
          </r>
          <r>
            <rPr>
              <rFont val="Calibri"/>
              <sz val="10"/>
            </rPr>
            <t xml:space="preserve"> 3 of 12 — Start: 3.0 · senior practitioner title; Evidence reads like A3: Production-ready features and their impact on existing functionality; resolves production issues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2.5 of 12 · between A2 and A3 — not counted: the weight is 0% at this level — Start: 2.0 · individual contributor, so influence only; Evidence reads like A3: Code review is a named responsibility; no mentoring or team lead described → moved up 0.5; Team: 0 direct reports · IC
</t>
          </r>
          <r>
            <rPr>
              <rFont val="Calibri"/>
              <b val="1"/>
              <sz val="10"/>
            </rPr>
            <t>Experience &amp; Qualification:</t>
          </r>
          <r>
            <rPr>
              <rFont val="Calibri"/>
              <sz val="10"/>
            </rPr>
            <t xml:space="preserve"> 4.5 of 12 · between B1 and B2 — Experience: 6.6 yrs total · 6.0 before IRIS + 0.6 at IRIS = 4.5 on the experience scale; Qualification: B.E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1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4" s="12" t="inlineStr">
        <is>
          <r>
            <rPr>
              <rFont val="Calibri"/>
              <sz val="10"/>
            </rPr>
            <t xml:space="preserve">✓ HRIS: 6.6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14" s="84" t="inlineStr">
        <is>
          <r>
            <rPr>
              <rFont val="Calibri"/>
              <color rgb="009C5700"/>
              <sz val="10"/>
            </rPr>
            <t xml:space="preserve">• </t>
          </r>
          <r>
            <rPr>
              <rFont val="Calibri"/>
              <b val="1"/>
              <color rgb="009C5700"/>
              <sz val="10"/>
            </rPr>
            <t>Near a gate:</t>
          </r>
          <r>
            <rPr>
              <rFont val="Calibri"/>
              <color rgb="009C5700"/>
              <sz val="10"/>
            </rPr>
            <t xml:space="preserve"> top of band: 3.44 on Band B's weights, 0.06 short of the 3.5 needed to enter Band B</t>
          </r>
        </is>
      </c>
      <c r="AA114" s="12" t="inlineStr">
        <is>
          <t>Nothing outstanding</t>
        </is>
      </c>
      <c r="AB11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Future Leader.</t>
          </r>
        </is>
      </c>
      <c r="AC114" s="82" t="n"/>
      <c r="AD114" s="82" t="n"/>
      <c r="AE114" s="82" t="n"/>
      <c r="AF114" s="12" t="n">
        <v>3.5</v>
      </c>
    </row>
    <row r="115" ht="400" customHeight="1">
      <c r="A115" s="12" t="inlineStr">
        <is>
          <t>IRIS2033</t>
        </is>
      </c>
      <c r="B115" s="10" t="inlineStr">
        <is>
          <t>Amol Pawar</t>
        </is>
      </c>
      <c r="C115" s="12" t="inlineStr">
        <is>
          <t>Technology</t>
        </is>
      </c>
      <c r="D115" s="12" t="inlineStr">
        <is>
          <t>Software Engineer</t>
        </is>
      </c>
      <c r="E115" s="78" t="inlineStr">
        <is>
          <t>Senior Software Engineer</t>
        </is>
      </c>
      <c r="F115" s="12" t="inlineStr">
        <is>
          <t>Engineering &amp; Development</t>
        </is>
      </c>
      <c r="G115" s="12" t="inlineStr">
        <is>
          <t>Full-Stack Development</t>
        </is>
      </c>
      <c r="H115" s="12" t="inlineStr">
        <is>
          <t>IC</t>
        </is>
      </c>
      <c r="I115" s="42" t="inlineStr">
        <is>
          <t>L3 – Professional / Associate</t>
        </is>
      </c>
      <c r="J115" s="16" t="inlineStr">
        <is>
          <t>A3</t>
        </is>
      </c>
      <c r="K115" s="17" t="inlineStr">
        <is>
          <t>Senior Associate</t>
        </is>
      </c>
      <c r="L115" s="79" t="inlineStr">
        <is>
          <t>▲ Up</t>
        </is>
      </c>
      <c r="M115" s="12" t="inlineStr">
        <is>
          <t>iFile · Technology · Band A · Early career</t>
        </is>
      </c>
      <c r="N115" s="42" t="n">
        <v>2.5</v>
      </c>
      <c r="O115" s="42" t="n">
        <v>2.5</v>
      </c>
      <c r="P115" s="42" t="n">
        <v>2.5</v>
      </c>
      <c r="Q115" s="42" t="n">
        <v>1</v>
      </c>
      <c r="R115" s="42" t="n">
        <v>3.5</v>
      </c>
      <c r="S115" s="80" t="n">
        <v>2.5</v>
      </c>
      <c r="T115" s="81">
        <f>IF(OR($M115="",COUNT(N115,O115,P115,Q115,R115,S115)&lt;6),"",IFERROR(N115*INDEX(WM_C,MATCH($M115,WM_KEY,0))+O115*INDEX(WM_AU,MATCH($M115,WM_KEY,0))+P115*INDEX(WM_AC,MATCH($M115,WM_KEY,0))+Q115*INDEX(WM_L,MATCH($M115,WM_KEY,0))+R115*INDEX(WM_E,MATCH($M115,WM_KEY,0))+S115*INDEX(WM_BI,MATCH($M115,WM_KEY,0)),""))</f>
        <v>2.6</v>
      </c>
      <c r="U115" s="42" t="str">
        <f>IF(T115="","",INDEX({"A1","A2","A3","B1","B2","B3","C1","C2","D1","D2","E1","E2"},MAX(1,MIN(12,ROUND(T115,0)))))</f>
        <v>A3</v>
      </c>
      <c r="V115"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5" s="12" t="inlineStr">
        <is>
          <r>
            <rPr>
              <rFont val="Calibri"/>
              <b val="1"/>
              <sz val="10"/>
            </rPr>
            <t>Complexity &amp; Expertise:</t>
          </r>
          <r>
            <rPr>
              <rFont val="Calibri"/>
              <sz val="10"/>
            </rPr>
            <t xml:space="preserve"> 2.5 of 12 · between A2 and A3 — Start: 2.0 · practitioner title; Evidence reads like A3: APIs, application and database work, deployment and production support for regulatory XBRL customers → moved up 0.5; KRA: “1. Full Stack Feature Delivery: Successfully deliver 100% of assigned features across frontend, backend, APIs, and database within agreed…”
</t>
          </r>
          <r>
            <rPr>
              <rFont val="Calibri"/>
              <b val="1"/>
              <sz val="10"/>
            </rPr>
            <t>Autonomy &amp; Decision:</t>
          </r>
          <r>
            <rPr>
              <rFont val="Calibri"/>
              <sz val="10"/>
            </rPr>
            <t xml:space="preserve"> 2.5 of 12 · between A2 and A3 — Start: 2.0 · practitioner title; Evidence reads like A3: Makes technical decisions and fixes on assigned work without approval; major changes need approval → moved up 0.5
</t>
          </r>
          <r>
            <rPr>
              <rFont val="Calibri"/>
              <b val="1"/>
              <sz val="10"/>
            </rPr>
            <t>Accountability &amp; Impact:</t>
          </r>
          <r>
            <rPr>
              <rFont val="Calibri"/>
              <sz val="10"/>
            </rPr>
            <t xml:space="preserve"> 2.5 of 12 · between A2 and A3 — Start: 2.0 · practitioner title; Evidence reads like A3: Assigned features, APIs, database changes and production support with direct customer impact → moved up 0.5; KRA: “1. Full Stack Feature Delivery: Successfully deliver 100% of assigned features across frontend, backend, APIs, and database within agreed…”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4.2 yrs total · 4.2 at IRIS; none recorded before IRIS = 3.5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1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5" s="12" t="inlineStr">
        <is>
          <r>
            <rPr>
              <rFont val="Calibri"/>
              <sz val="10"/>
            </rPr>
            <t xml:space="preserve">✓ HRIS: 4.2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15" s="12" t="inlineStr">
        <is>
          <t>—</t>
        </is>
      </c>
      <c r="AA115" s="12" t="inlineStr">
        <is>
          <t>Nothing outstanding</t>
        </is>
      </c>
      <c r="AB11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High · 9-Box Grid placement: Trusted Professional.</t>
          </r>
        </is>
      </c>
      <c r="AC115" s="82" t="n"/>
      <c r="AD115" s="82" t="n"/>
      <c r="AE115" s="82" t="n"/>
      <c r="AF115" s="12" t="n">
        <v>2.5</v>
      </c>
    </row>
    <row r="116" ht="400" customHeight="1">
      <c r="A116" s="12" t="inlineStr">
        <is>
          <t>IRIS1667</t>
        </is>
      </c>
      <c r="B116" s="10" t="inlineStr">
        <is>
          <t>Arun Kumar</t>
        </is>
      </c>
      <c r="C116" s="12" t="inlineStr">
        <is>
          <t>Technology</t>
        </is>
      </c>
      <c r="D116" s="12" t="inlineStr">
        <is>
          <t>Senior Software Engineer</t>
        </is>
      </c>
      <c r="E116" s="78" t="inlineStr">
        <is>
          <t>Technical Specialist</t>
        </is>
      </c>
      <c r="F116" s="12" t="inlineStr">
        <is>
          <t>Engineering &amp; Development</t>
        </is>
      </c>
      <c r="G116" s="12" t="inlineStr">
        <is>
          <t>Backend Development</t>
        </is>
      </c>
      <c r="H116" s="12" t="inlineStr">
        <is>
          <t>IC</t>
        </is>
      </c>
      <c r="I116" s="42" t="inlineStr">
        <is>
          <t>L4 – Senior</t>
        </is>
      </c>
      <c r="J116" s="16" t="inlineStr">
        <is>
          <t>A3</t>
        </is>
      </c>
      <c r="K116" s="17" t="inlineStr">
        <is>
          <t>Senior Associate</t>
        </is>
      </c>
      <c r="L116" s="79" t="inlineStr">
        <is>
          <t>▲ Up</t>
        </is>
      </c>
      <c r="M116" s="12" t="inlineStr">
        <is>
          <t>iFile · Technology · Band A · Early career</t>
        </is>
      </c>
      <c r="N116" s="42" t="n">
        <v>3</v>
      </c>
      <c r="O116" s="42" t="n">
        <v>3</v>
      </c>
      <c r="P116" s="42" t="n">
        <v>3</v>
      </c>
      <c r="Q116" s="42" t="n">
        <v>2</v>
      </c>
      <c r="R116" s="42" t="n">
        <v>7.5</v>
      </c>
      <c r="S116" s="80" t="n">
        <v>3.5</v>
      </c>
      <c r="T116" s="81">
        <f>IF(OR($M116="",COUNT(N116,O116,P116,Q116,R116,S116)&lt;6),"",IFERROR(N116*INDEX(WM_C,MATCH($M116,WM_KEY,0))+O116*INDEX(WM_AU,MATCH($M116,WM_KEY,0))+P116*INDEX(WM_AC,MATCH($M116,WM_KEY,0))+Q116*INDEX(WM_L,MATCH($M116,WM_KEY,0))+R116*INDEX(WM_E,MATCH($M116,WM_KEY,0))+S116*INDEX(WM_BI,MATCH($M116,WM_KEY,0)),""))</f>
        <v>3.48</v>
      </c>
      <c r="U116" s="42" t="str">
        <f>IF(T116="","",INDEX({"A1","A2","A3","B1","B2","B3","C1","C2","D1","D2","E1","E2"},MAX(1,MIN(12,ROUND(T116,0)))))</f>
        <v>A3</v>
      </c>
      <c r="V116" s="12" t="inlineStr">
        <is>
          <r>
            <rPr>
              <rFont val="Calibri"/>
              <sz val="10"/>
            </rPr>
            <t xml:space="preserve">New level A3 · Senior Associate. Current level on record: L4 – Senior. Change: ▲ Up.
Score 3.48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6" s="12" t="inlineStr">
        <is>
          <r>
            <rPr>
              <rFont val="Calibri"/>
              <b val="1"/>
              <sz val="10"/>
            </rPr>
            <t>Complexity &amp; Expertise:</t>
          </r>
          <r>
            <rPr>
              <rFont val="Calibri"/>
              <sz val="10"/>
            </rPr>
            <t xml:space="preserve"> 3 of 12 —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rated like 15 colleagues in the same role and department · own answers too general to rate → no change
</t>
          </r>
          <r>
            <rPr>
              <rFont val="Calibri"/>
              <b val="1"/>
              <sz val="10"/>
            </rPr>
            <t>Accountability &amp; Impact:</t>
          </r>
          <r>
            <rPr>
              <rFont val="Calibri"/>
              <sz val="10"/>
            </rPr>
            <t xml:space="preserve"> 3 of 12 —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t>
          </r>
          <r>
            <rPr>
              <rFont val="Calibri"/>
              <b val="1"/>
              <sz val="10"/>
            </rPr>
            <t>Leadership &amp; Strategy:</t>
          </r>
          <r>
            <rPr>
              <rFont val="Calibri"/>
              <sz val="10"/>
            </rPr>
            <t xml:space="preserve"> 2 of 12 — not counted: the weight is 0% at this level — Start: 2.0 · individual contributor, so influence only; Evidence: rated like 15 colleagues in the same role and department · own answers too general to rate → no change; Team: 0 direct reports · IC
</t>
          </r>
          <r>
            <rPr>
              <rFont val="Calibri"/>
              <b val="1"/>
              <sz val="10"/>
            </rPr>
            <t>Experience &amp; Qualification:</t>
          </r>
          <r>
            <rPr>
              <rFont val="Calibri"/>
              <sz val="10"/>
            </rPr>
            <t xml:space="preserve"> 7.5 of 12 · between C1 and C2 — Experience: 12.2 yrs total · 3.2 before IRIS + 9.0 at IRIS = 7.1 on the experience scale; Qualification: MCA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16" s="12"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6" s="12" t="inlineStr">
        <is>
          <r>
            <rPr>
              <rFont val="Calibri"/>
              <sz val="10"/>
            </rPr>
            <t xml:space="preserve">✓ HRIS: 12.2 yrs, MCA, 0 direct reports
✓ Survey: 20 of 20 questions answered
✓ KRAs: self, manager-set, quarterly
✓ Manager mapping: rating, 9-box
✗ Job description: not on file
</t>
          </r>
          <r>
            <rPr>
              <rFont val="Calibri"/>
              <b val="1"/>
              <sz val="10"/>
            </rPr>
            <t>Confidence:</t>
          </r>
          <r>
            <rPr>
              <rFont val="Calibri"/>
              <sz val="10"/>
            </rPr>
            <t xml:space="preserve"> Low</t>
          </r>
        </is>
      </c>
      <c r="Z116" s="84" t="inlineStr">
        <is>
          <r>
            <rPr>
              <rFont val="Calibri"/>
              <color rgb="009C5700"/>
              <sz val="10"/>
            </rPr>
            <t xml:space="preserve">• </t>
          </r>
          <r>
            <rPr>
              <rFont val="Calibri"/>
              <b val="1"/>
              <color rgb="009C5700"/>
              <sz val="10"/>
            </rPr>
            <t>Close call:</t>
          </r>
          <r>
            <rPr>
              <rFont val="Calibri"/>
              <color rgb="009C5700"/>
              <sz val="10"/>
            </rPr>
            <t xml:space="preserve"> score 3.48 is within 0.05 of a rounding point
• </t>
          </r>
          <r>
            <rPr>
              <rFont val="Calibri"/>
              <b val="1"/>
              <color rgb="009C5700"/>
              <sz val="10"/>
            </rPr>
            <t>Title check:</t>
          </r>
          <r>
            <rPr>
              <rFont val="Calibri"/>
              <color rgb="009C5700"/>
              <sz val="10"/>
            </rPr>
            <t xml:space="preserve"> Check title against ladder</t>
          </r>
        </is>
      </c>
      <c r="AA116" s="86" t="inlineStr">
        <is>
          <t>• Confirm the reporting line — Manager</t>
        </is>
      </c>
      <c r="AB11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9-Box Grid placement: Trusted Professional.</t>
          </r>
        </is>
      </c>
      <c r="AC116" s="82" t="n"/>
      <c r="AD116" s="82" t="n"/>
      <c r="AE116" s="82" t="n"/>
      <c r="AF116" s="12" t="n">
        <v>3.5</v>
      </c>
    </row>
    <row r="117" ht="400" customHeight="1">
      <c r="A117" s="12" t="inlineStr">
        <is>
          <t>IRIS1787</t>
        </is>
      </c>
      <c r="B117" s="10" t="inlineStr">
        <is>
          <t>Ateef Ansari</t>
        </is>
      </c>
      <c r="C117" s="12" t="inlineStr">
        <is>
          <t>Technology</t>
        </is>
      </c>
      <c r="D117" s="12" t="inlineStr">
        <is>
          <t>Senior Software Engineer</t>
        </is>
      </c>
      <c r="E117" s="78" t="inlineStr">
        <is>
          <t>Technical Specialist</t>
        </is>
      </c>
      <c r="F117" s="12" t="inlineStr">
        <is>
          <t>Engineering &amp; Development</t>
        </is>
      </c>
      <c r="G117" s="12" t="inlineStr">
        <is>
          <t>Full-Stack Development</t>
        </is>
      </c>
      <c r="H117" s="12" t="inlineStr">
        <is>
          <t>IC</t>
        </is>
      </c>
      <c r="I117" s="42" t="inlineStr">
        <is>
          <t>L4 – Senior</t>
        </is>
      </c>
      <c r="J117" s="16" t="inlineStr">
        <is>
          <t>A3</t>
        </is>
      </c>
      <c r="K117" s="17" t="inlineStr">
        <is>
          <t>Senior Associate</t>
        </is>
      </c>
      <c r="L117" s="79" t="inlineStr">
        <is>
          <t>▲ Up</t>
        </is>
      </c>
      <c r="M117" s="12" t="inlineStr">
        <is>
          <t>iFile · Technology · Band A · Early career</t>
        </is>
      </c>
      <c r="N117" s="42" t="n">
        <v>3.5</v>
      </c>
      <c r="O117" s="42" t="n">
        <v>3</v>
      </c>
      <c r="P117" s="42" t="n">
        <v>3</v>
      </c>
      <c r="Q117" s="42" t="n">
        <v>2.5</v>
      </c>
      <c r="R117" s="42" t="n">
        <v>5</v>
      </c>
      <c r="S117" s="80" t="n">
        <v>3.5</v>
      </c>
      <c r="T117" s="81">
        <f>IF(OR($M117="",COUNT(N117,O117,P117,Q117,R117,S117)&lt;6),"",IFERROR(N117*INDEX(WM_C,MATCH($M117,WM_KEY,0))+O117*INDEX(WM_AU,MATCH($M117,WM_KEY,0))+P117*INDEX(WM_AC,MATCH($M117,WM_KEY,0))+Q117*INDEX(WM_L,MATCH($M117,WM_KEY,0))+R117*INDEX(WM_E,MATCH($M117,WM_KEY,0))+S117*INDEX(WM_BI,MATCH($M117,WM_KEY,0)),""))</f>
        <v>3.55</v>
      </c>
      <c r="U117" s="42" t="str">
        <f>IF(T117="","",INDEX({"A1","A2","A3","B1","B2","B3","C1","C2","D1","D2","E1","E2"},MAX(1,MIN(12,ROUND(T117,0)))))</f>
        <v>B1</v>
      </c>
      <c r="V117" s="12" t="inlineStr">
        <is>
          <r>
            <rPr>
              <rFont val="Calibri"/>
              <sz val="10"/>
            </rPr>
            <t xml:space="preserve">New level A3 · Senior Associate. Current level on record: L4 – Senior. Change: ▲ Up.
Score 3.55 on the ladder scale → indicated level B1.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W117" s="12" t="inlineStr">
        <is>
          <r>
            <rPr>
              <rFont val="Calibri"/>
              <b val="1"/>
              <sz val="10"/>
            </rPr>
            <t>Complexity &amp; Expertise:</t>
          </r>
          <r>
            <rPr>
              <rFont val="Calibri"/>
              <sz val="10"/>
            </rPr>
            <t xml:space="preserve"> 3.5 of 12 · between A3 and B1 — Start: 3.0 · senior practitioner title; Evidence reads like B1: System design and deployment architecture for Java microservices; explains cross-product integration to regulators → moved up 0.5;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reads like A3: Decides the design approach for own features → matches the start
</t>
          </r>
          <r>
            <rPr>
              <rFont val="Calibri"/>
              <b val="1"/>
              <sz val="10"/>
            </rPr>
            <t>Accountability &amp; Impact:</t>
          </r>
          <r>
            <rPr>
              <rFont val="Calibri"/>
              <sz val="10"/>
            </rPr>
            <t xml:space="preserve"> 3 of 12 — Start: 3.0 · senior practitioner title; Evidence reads like A3: Delivery of milestone features, coordinating client-side and product teams on timing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2.5 of 12 · between A2 and A3 — not counted: the weight is 0% at this level — Start: 2.0 · individual contributor, so influence only; Evidence reads like A3: Mentoring members is a listed responsibility; no team size given → moved up 0.5; Team: 0 direct reports · IC
</t>
          </r>
          <r>
            <rPr>
              <rFont val="Calibri"/>
              <b val="1"/>
              <sz val="10"/>
            </rPr>
            <t>Experience &amp; Qualification:</t>
          </r>
          <r>
            <rPr>
              <rFont val="Calibri"/>
              <sz val="10"/>
            </rPr>
            <t xml:space="preserve"> 5 of 12 — Experience: 7.3 yrs total · 7.3 at IRIS; none recorded before IRIS = 4.9 on the experience scale; Qualification: B.E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17" s="12"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7" s="12" t="inlineStr">
        <is>
          <r>
            <rPr>
              <rFont val="Calibri"/>
              <sz val="10"/>
            </rPr>
            <t xml:space="preserve">✓ HRIS: 7.3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17" s="84" t="inlineStr">
        <is>
          <r>
            <rPr>
              <rFont val="Calibri"/>
              <color rgb="009C5700"/>
              <sz val="10"/>
            </rPr>
            <t xml:space="preserve">• </t>
          </r>
          <r>
            <rPr>
              <rFont val="Calibri"/>
              <b val="1"/>
              <color rgb="009C5700"/>
              <sz val="10"/>
            </rPr>
            <t>Near a gate:</t>
          </r>
          <r>
            <rPr>
              <rFont val="Calibri"/>
              <color rgb="009C5700"/>
              <sz val="10"/>
            </rPr>
            <t xml:space="preserve"> top of band: 3.49 on Band B's weights, 0.01 short of the 3.5 needed to enter Band B
• </t>
          </r>
          <r>
            <rPr>
              <rFont val="Calibri"/>
              <b val="1"/>
              <color rgb="009C5700"/>
              <sz val="10"/>
            </rPr>
            <t>Title check:</t>
          </r>
          <r>
            <rPr>
              <rFont val="Calibri"/>
              <color rgb="009C5700"/>
              <sz val="10"/>
            </rPr>
            <t xml:space="preserve"> Check title against ladder</t>
          </r>
        </is>
      </c>
      <c r="AA117" s="12" t="inlineStr">
        <is>
          <t>Nothing outstanding</t>
        </is>
      </c>
      <c r="AB11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High · 9-Box Grid placement: Trusted Professional.</t>
          </r>
        </is>
      </c>
      <c r="AC117" s="82" t="n"/>
      <c r="AD117" s="82" t="n"/>
      <c r="AE117" s="82" t="n"/>
      <c r="AF117" s="12" t="n">
        <v>3.5</v>
      </c>
    </row>
    <row r="118" ht="400" customHeight="1">
      <c r="A118" s="12" t="inlineStr">
        <is>
          <t>IRIS2436</t>
        </is>
      </c>
      <c r="B118" s="10" t="inlineStr">
        <is>
          <t>Balram Mahato</t>
        </is>
      </c>
      <c r="C118" s="12" t="inlineStr">
        <is>
          <t>Technology</t>
        </is>
      </c>
      <c r="D118" s="12" t="inlineStr">
        <is>
          <t>Software Engineer</t>
        </is>
      </c>
      <c r="E118" s="78" t="inlineStr">
        <is>
          <t>Senior Software Engineer</t>
        </is>
      </c>
      <c r="F118" s="12" t="inlineStr">
        <is>
          <t>Engineering &amp; Development</t>
        </is>
      </c>
      <c r="G118" s="12" t="inlineStr">
        <is>
          <t>Backend Development</t>
        </is>
      </c>
      <c r="H118" s="12" t="inlineStr">
        <is>
          <t>IC</t>
        </is>
      </c>
      <c r="I118" s="42" t="inlineStr">
        <is>
          <t>L3 – Professional / Associate</t>
        </is>
      </c>
      <c r="J118" s="16" t="inlineStr">
        <is>
          <t>A3</t>
        </is>
      </c>
      <c r="K118" s="17" t="inlineStr">
        <is>
          <t>Senior Associate</t>
        </is>
      </c>
      <c r="L118" s="79" t="inlineStr">
        <is>
          <t>▲ Up</t>
        </is>
      </c>
      <c r="M118" s="12" t="inlineStr">
        <is>
          <t>iFile · Technology · Band A · Early career</t>
        </is>
      </c>
      <c r="N118" s="42" t="n">
        <v>2</v>
      </c>
      <c r="O118" s="42" t="n">
        <v>2</v>
      </c>
      <c r="P118" s="42" t="n">
        <v>2</v>
      </c>
      <c r="Q118" s="42" t="n">
        <v>1</v>
      </c>
      <c r="R118" s="42" t="n">
        <v>3.5</v>
      </c>
      <c r="S118" s="80" t="n">
        <v>2</v>
      </c>
      <c r="T118" s="81">
        <f>IF(OR($M118="",COUNT(N118,O118,P118,Q118,R118,S118)&lt;6),"",IFERROR(N118*INDEX(WM_C,MATCH($M118,WM_KEY,0))+O118*INDEX(WM_AU,MATCH($M118,WM_KEY,0))+P118*INDEX(WM_AC,MATCH($M118,WM_KEY,0))+Q118*INDEX(WM_L,MATCH($M118,WM_KEY,0))+R118*INDEX(WM_E,MATCH($M118,WM_KEY,0))+S118*INDEX(WM_BI,MATCH($M118,WM_KEY,0)),""))</f>
        <v>2.15</v>
      </c>
      <c r="U118" s="42" t="str">
        <f>IF(T118="","",INDEX({"A1","A2","A3","B1","B2","B3","C1","C2","D1","D2","E1","E2"},MAX(1,MIN(12,ROUND(T118,0)))))</f>
        <v>A2</v>
      </c>
      <c r="V118"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4.3 years' experience is 2 years or more.
</t>
          </r>
          <r>
            <rPr>
              <rFont val="Calibri"/>
              <b val="1"/>
              <sz val="10"/>
            </rPr>
            <t>Final level:</t>
          </r>
          <r>
            <rPr>
              <rFont val="Calibri"/>
              <sz val="10"/>
            </rPr>
            <t xml:space="preserve"> A3.</t>
          </r>
        </is>
      </c>
      <c r="W118" s="12" t="inlineStr">
        <is>
          <r>
            <rPr>
              <rFont val="Calibri"/>
              <b val="1"/>
              <sz val="10"/>
            </rPr>
            <t>Complexity &amp; Expertise:</t>
          </r>
          <r>
            <rPr>
              <rFont val="Calibri"/>
              <sz val="10"/>
            </rPr>
            <t xml:space="preserve"> 2 of 12 — Start: 2.0 · practitioner title; Evidence reads like A2: Assesses how requirements fit existing product and builds features; little detail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bug fixes and enhancements → matches the start
</t>
          </r>
          <r>
            <rPr>
              <rFont val="Calibri"/>
              <b val="1"/>
              <sz val="10"/>
            </rPr>
            <t>Accountability &amp; Impact:</t>
          </r>
          <r>
            <rPr>
              <rFont val="Calibri"/>
              <sz val="10"/>
            </rPr>
            <t xml:space="preserve"> 2 of 12 — Start: 2.0 · practitioner title; Evidence reads like A2: Only the features he developed end to end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4.3 yrs total · 3.3 before IRIS + 1.0 at IRIS = 3.5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1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8" s="12" t="inlineStr">
        <is>
          <r>
            <rPr>
              <rFont val="Calibri"/>
              <sz val="10"/>
            </rPr>
            <t xml:space="preserve">✓ HRIS: 4.3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18" s="12" t="inlineStr">
        <is>
          <t>—</t>
        </is>
      </c>
      <c r="AA118" s="12" t="inlineStr">
        <is>
          <t>Nothing outstanding</t>
        </is>
      </c>
      <c r="AB1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AC118" s="82" t="n"/>
      <c r="AD118" s="82" t="n"/>
      <c r="AE118" s="82" t="n"/>
      <c r="AF118" s="12" t="n">
        <v>2</v>
      </c>
    </row>
    <row r="119" ht="400" customHeight="1">
      <c r="A119" s="12" t="inlineStr">
        <is>
          <t>IRIS1876</t>
        </is>
      </c>
      <c r="B119" s="10" t="inlineStr">
        <is>
          <t>Chaitanya Vadagabhaktula</t>
        </is>
      </c>
      <c r="C119" s="12" t="inlineStr">
        <is>
          <t>Technology</t>
        </is>
      </c>
      <c r="D119" s="12" t="inlineStr">
        <is>
          <t>Senior Software Engineer</t>
        </is>
      </c>
      <c r="E119" s="78" t="inlineStr">
        <is>
          <t>Database Specialist</t>
        </is>
      </c>
      <c r="F119" s="12" t="inlineStr">
        <is>
          <t>Engineering &amp; Development</t>
        </is>
      </c>
      <c r="G119" s="12" t="inlineStr">
        <is>
          <t>Data Engineering &amp; Database Development</t>
        </is>
      </c>
      <c r="H119" s="12" t="inlineStr">
        <is>
          <t>IC</t>
        </is>
      </c>
      <c r="I119" s="42" t="inlineStr">
        <is>
          <t>L4 – Senior</t>
        </is>
      </c>
      <c r="J119" s="16" t="inlineStr">
        <is>
          <t>A3</t>
        </is>
      </c>
      <c r="K119" s="17" t="inlineStr">
        <is>
          <t>Senior Associate</t>
        </is>
      </c>
      <c r="L119" s="79" t="inlineStr">
        <is>
          <t>▲ Up</t>
        </is>
      </c>
      <c r="M119" s="12" t="inlineStr">
        <is>
          <t>iFile · Technology · Band A · Early career</t>
        </is>
      </c>
      <c r="N119" s="42" t="n">
        <v>3.5</v>
      </c>
      <c r="O119" s="42" t="n">
        <v>3</v>
      </c>
      <c r="P119" s="42" t="n">
        <v>3</v>
      </c>
      <c r="Q119" s="42" t="n">
        <v>2</v>
      </c>
      <c r="R119" s="42" t="n">
        <v>5.5</v>
      </c>
      <c r="S119" s="80" t="n">
        <v>3</v>
      </c>
      <c r="T119" s="81">
        <f>IF(OR($M119="",COUNT(N119,O119,P119,Q119,R119,S119)&lt;6),"",IFERROR(N119*INDEX(WM_C,MATCH($M119,WM_KEY,0))+O119*INDEX(WM_AU,MATCH($M119,WM_KEY,0))+P119*INDEX(WM_AC,MATCH($M119,WM_KEY,0))+Q119*INDEX(WM_L,MATCH($M119,WM_KEY,0))+R119*INDEX(WM_E,MATCH($M119,WM_KEY,0))+S119*INDEX(WM_BI,MATCH($M119,WM_KEY,0)),""))</f>
        <v>3.57</v>
      </c>
      <c r="U119" s="42" t="str">
        <f>IF(T119="","",INDEX({"A1","A2","A3","B1","B2","B3","C1","C2","D1","D2","E1","E2"},MAX(1,MIN(12,ROUND(T119,0)))))</f>
        <v>B1</v>
      </c>
      <c r="V119" s="12" t="inlineStr">
        <is>
          <r>
            <rPr>
              <rFont val="Calibri"/>
              <sz val="10"/>
            </rPr>
            <t xml:space="preserve">New level A3 · Senior Associate. Current level on record: L4 – Senior. Change: ▲ Up.
Score 3.57 on the ladder scale → indicated level B1.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W119" s="12" t="inlineStr">
        <is>
          <r>
            <rPr>
              <rFont val="Calibri"/>
              <b val="1"/>
              <sz val="10"/>
            </rPr>
            <t>Complexity &amp; Expertise:</t>
          </r>
          <r>
            <rPr>
              <rFont val="Calibri"/>
              <sz val="10"/>
            </rPr>
            <t xml:space="preserve"> 3.5 of 12 · between A3 and B1 — Start: 3.0 · senior practitioner title; Evidence reads like B1: Builds ETL pipelines, BI products and React apps with AI analytics, spanning data and application layers → moved up 0.5; KRA: “1. Ensure successful delivery of the IFRS 18 implementation for FSA Oman by providing project governance, reviewing milestones, managing…”
</t>
          </r>
          <r>
            <rPr>
              <rFont val="Calibri"/>
              <b val="1"/>
              <sz val="10"/>
            </rPr>
            <t>Autonomy &amp; Decision:</t>
          </r>
          <r>
            <rPr>
              <rFont val="Calibri"/>
              <sz val="10"/>
            </rPr>
            <t xml:space="preserve"> 3 of 12 — Start: 3.0 · senior practitioner title; Evidence reads like A3: Makes the technical decisions on own solutions → matches the start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KRA: “1. Ensure successful delivery of the IFRS 18 implementation for FSA Oman by providing project governance, reviewing milestones, managing…”
</t>
          </r>
          <r>
            <rPr>
              <rFont val="Calibri"/>
              <b val="1"/>
              <sz val="10"/>
            </rPr>
            <t>Leadership &amp; Strategy:</t>
          </r>
          <r>
            <rPr>
              <rFont val="Calibri"/>
              <sz val="10"/>
            </rPr>
            <t xml:space="preserve"> 2 of 12 — not counted: the weight is 0% at this level — Start: 2.0 · individual contributor, so influence only; Evidence reads like A2: No guiding described in survey; KRA mentions coordinating a team on IFRS 18 → matches the start; Team: 0 direct reports · IC
</t>
          </r>
          <r>
            <rPr>
              <rFont val="Calibri"/>
              <b val="1"/>
              <sz val="10"/>
            </rPr>
            <t>Experience &amp; Qualification:</t>
          </r>
          <r>
            <rPr>
              <rFont val="Calibri"/>
              <sz val="10"/>
            </rPr>
            <t xml:space="preserve"> 5.5 of 12 · between B2 and B3 — Experience: 8.9 yrs total · 3.0 before IRIS + 5.9 at IRIS = 5.6 on the experience scale; Qualification: B.Tech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19" s="12"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19" s="12" t="inlineStr">
        <is>
          <r>
            <rPr>
              <rFont val="Calibri"/>
              <sz val="10"/>
            </rPr>
            <t xml:space="preserve">✓ HRIS: 8.9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19" s="84" t="inlineStr">
        <is>
          <r>
            <rPr>
              <rFont val="Calibri"/>
              <color rgb="009C5700"/>
              <sz val="10"/>
            </rPr>
            <t xml:space="preserve">• </t>
          </r>
          <r>
            <rPr>
              <rFont val="Calibri"/>
              <b val="1"/>
              <color rgb="009C5700"/>
              <sz val="10"/>
            </rPr>
            <t>Near a gate:</t>
          </r>
          <r>
            <rPr>
              <rFont val="Calibri"/>
              <color rgb="009C5700"/>
              <sz val="10"/>
            </rPr>
            <t xml:space="preserve"> top of band: 3.48 on Band B's weights, 0.02 short of the 3.5 needed to enter Band B
• </t>
          </r>
          <r>
            <rPr>
              <rFont val="Calibri"/>
              <b val="1"/>
              <color rgb="009C5700"/>
              <sz val="10"/>
            </rPr>
            <t>Title check:</t>
          </r>
          <r>
            <rPr>
              <rFont val="Calibri"/>
              <color rgb="009C5700"/>
              <sz val="10"/>
            </rPr>
            <t xml:space="preserve"> Check title against ladder</t>
          </r>
        </is>
      </c>
      <c r="AA119" s="12" t="inlineStr">
        <is>
          <t>Nothing outstanding</t>
        </is>
      </c>
      <c r="AB11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Core Contributor.</t>
          </r>
        </is>
      </c>
      <c r="AC119" s="82" t="n"/>
      <c r="AD119" s="82" t="n"/>
      <c r="AE119" s="82" t="n"/>
      <c r="AF119" s="12" t="n">
        <v>3</v>
      </c>
    </row>
    <row r="120" ht="400" customHeight="1">
      <c r="A120" s="12" t="inlineStr">
        <is>
          <t>IRIS2293</t>
        </is>
      </c>
      <c r="B120" s="10" t="inlineStr">
        <is>
          <t>Chetan Yerpude</t>
        </is>
      </c>
      <c r="C120" s="12" t="inlineStr">
        <is>
          <t>Technology</t>
        </is>
      </c>
      <c r="D120" s="12" t="inlineStr">
        <is>
          <t>Software Engineer</t>
        </is>
      </c>
      <c r="E120" s="78" t="inlineStr">
        <is>
          <t>Senior Software Engineer</t>
        </is>
      </c>
      <c r="F120" s="12" t="inlineStr">
        <is>
          <t>Engineering &amp; Development</t>
        </is>
      </c>
      <c r="G120" s="12" t="inlineStr">
        <is>
          <t>Backend Development</t>
        </is>
      </c>
      <c r="H120" s="12" t="inlineStr">
        <is>
          <t>IC</t>
        </is>
      </c>
      <c r="I120" s="42" t="inlineStr">
        <is>
          <t>L3 – Professional / Associate</t>
        </is>
      </c>
      <c r="J120" s="16" t="inlineStr">
        <is>
          <t>A3</t>
        </is>
      </c>
      <c r="K120" s="17" t="inlineStr">
        <is>
          <t>Senior Associate</t>
        </is>
      </c>
      <c r="L120" s="79" t="inlineStr">
        <is>
          <t>▲ Up</t>
        </is>
      </c>
      <c r="M120" s="12" t="inlineStr">
        <is>
          <t>iFile · Technology · Band A · Early career</t>
        </is>
      </c>
      <c r="N120" s="42" t="n">
        <v>2.5</v>
      </c>
      <c r="O120" s="42" t="n">
        <v>2</v>
      </c>
      <c r="P120" s="42" t="n">
        <v>2.5</v>
      </c>
      <c r="Q120" s="42" t="n">
        <v>1</v>
      </c>
      <c r="R120" s="42" t="n">
        <v>5</v>
      </c>
      <c r="S120" s="80" t="n">
        <v>3</v>
      </c>
      <c r="T120" s="81">
        <f>IF(OR($M120="",COUNT(N120,O120,P120,Q120,R120,S120)&lt;6),"",IFERROR(N120*INDEX(WM_C,MATCH($M120,WM_KEY,0))+O120*INDEX(WM_AU,MATCH($M120,WM_KEY,0))+P120*INDEX(WM_AC,MATCH($M120,WM_KEY,0))+Q120*INDEX(WM_L,MATCH($M120,WM_KEY,0))+R120*INDEX(WM_E,MATCH($M120,WM_KEY,0))+S120*INDEX(WM_BI,MATCH($M120,WM_KEY,0)),""))</f>
        <v>2.7</v>
      </c>
      <c r="U120" s="42" t="str">
        <f>IF(T120="","",INDEX({"A1","A2","A3","B1","B2","B3","C1","C2","D1","D2","E1","E2"},MAX(1,MIN(12,ROUND(T120,0)))))</f>
        <v>A3</v>
      </c>
      <c r="V120" s="12" t="inlineStr">
        <is>
          <r>
            <rPr>
              <rFont val="Calibri"/>
              <sz val="10"/>
            </rPr>
            <t xml:space="preserve">New level A3 · Senior Associate. Current level on record: L3 – Professional / Associate. Change: ▲ Up.
Score 2.70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0"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5 of 12 — Experience: 6.2 yrs total · 4.0 before IRIS + 2.2 at IRIS = 4.3 on the experience scale; Qualification: B.Tech + PG diploma in Advance Computing · CDAC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0" s="12" t="inlineStr">
        <is>
          <r>
            <rPr>
              <rFont val="Calibri"/>
              <sz val="10"/>
            </rPr>
            <t xml:space="preserve">✓ HRIS: 6.2 yrs, B.Tech + PG diploma in Advance Computing · CDAC,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20" s="12" t="inlineStr">
        <is>
          <t>—</t>
        </is>
      </c>
      <c r="AA120" s="12" t="inlineStr">
        <is>
          <t>Nothing outstanding</t>
        </is>
      </c>
      <c r="AB12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AC120" s="82" t="n"/>
      <c r="AD120" s="82" t="n"/>
      <c r="AE120" s="82" t="n"/>
      <c r="AF120" s="12" t="n">
        <v>3</v>
      </c>
    </row>
    <row r="121" ht="400" customHeight="1">
      <c r="A121" s="12" t="inlineStr">
        <is>
          <t>IRIS2185</t>
        </is>
      </c>
      <c r="B121" s="10" t="inlineStr">
        <is>
          <t>Devkumar Nishad</t>
        </is>
      </c>
      <c r="C121" s="12" t="inlineStr">
        <is>
          <t>Technology</t>
        </is>
      </c>
      <c r="D121" s="12" t="inlineStr">
        <is>
          <t>Junior Software Engineer</t>
        </is>
      </c>
      <c r="E121" s="78" t="inlineStr">
        <is>
          <t>Senior Software Engineer</t>
        </is>
      </c>
      <c r="F121" s="12" t="inlineStr">
        <is>
          <t>Engineering &amp; Development</t>
        </is>
      </c>
      <c r="G121" s="12" t="inlineStr">
        <is>
          <t>Full-Stack Development</t>
        </is>
      </c>
      <c r="H121" s="12" t="inlineStr">
        <is>
          <t>IC</t>
        </is>
      </c>
      <c r="I121" s="42" t="inlineStr">
        <is>
          <t>L3 – Professional / Associate</t>
        </is>
      </c>
      <c r="J121" s="16" t="inlineStr">
        <is>
          <t>A3</t>
        </is>
      </c>
      <c r="K121" s="17" t="inlineStr">
        <is>
          <t>Senior Associate</t>
        </is>
      </c>
      <c r="L121" s="79" t="inlineStr">
        <is>
          <t>▲ Up</t>
        </is>
      </c>
      <c r="M121" s="12" t="inlineStr">
        <is>
          <t>iFile · Technology · Band A · Early career</t>
        </is>
      </c>
      <c r="N121" s="42" t="n">
        <v>2.5</v>
      </c>
      <c r="O121" s="42" t="n">
        <v>2.5</v>
      </c>
      <c r="P121" s="42" t="n">
        <v>2.5</v>
      </c>
      <c r="Q121" s="42" t="n">
        <v>2</v>
      </c>
      <c r="R121" s="42" t="n">
        <v>3.5</v>
      </c>
      <c r="S121" s="80" t="n">
        <v>2.5</v>
      </c>
      <c r="T121" s="81">
        <f>IF(OR($M121="",COUNT(N121,O121,P121,Q121,R121,S121)&lt;6),"",IFERROR(N121*INDEX(WM_C,MATCH($M121,WM_KEY,0))+O121*INDEX(WM_AU,MATCH($M121,WM_KEY,0))+P121*INDEX(WM_AC,MATCH($M121,WM_KEY,0))+Q121*INDEX(WM_L,MATCH($M121,WM_KEY,0))+R121*INDEX(WM_E,MATCH($M121,WM_KEY,0))+S121*INDEX(WM_BI,MATCH($M121,WM_KEY,0)),""))</f>
        <v>2.6</v>
      </c>
      <c r="U121" s="42" t="str">
        <f>IF(T121="","",INDEX({"A1","A2","A3","B1","B2","B3","C1","C2","D1","D2","E1","E2"},MAX(1,MIN(12,ROUND(T121,0)))))</f>
        <v>A3</v>
      </c>
      <c r="V121"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1" s="12" t="inlineStr">
        <is>
          <r>
            <rPr>
              <rFont val="Calibri"/>
              <b val="1"/>
              <sz val="10"/>
            </rPr>
            <t>Complexity &amp; Expertise:</t>
          </r>
          <r>
            <rPr>
              <rFont val="Calibri"/>
              <sz val="10"/>
            </rPr>
            <t xml:space="preserve"> 2.5 of 12 · between A2 and A3 — Start: 2.0 · practitioner title; Evidence reads like A3: Webform customisation across IFSCA, GTA, MBRS, RMA projects; impact testing of new features on existing ones → moved up 0.5; KRA: “1. Provide production support and work on assigned Webform projects. 2. Work independently and complete tasks on time and guide team…”
</t>
          </r>
          <r>
            <rPr>
              <rFont val="Calibri"/>
              <b val="1"/>
              <sz val="10"/>
            </rPr>
            <t>Autonomy &amp; Decision:</t>
          </r>
          <r>
            <rPr>
              <rFont val="Calibri"/>
              <sz val="10"/>
            </rPr>
            <t xml:space="preserve"> 2.5 of 12 · between A2 and A3 — Start: 2.0 · practitioner title; Evidence reads like A3: Decides how to customise new features; discusses requirements and dependencies beforehand → moved up 0.5
</t>
          </r>
          <r>
            <rPr>
              <rFont val="Calibri"/>
              <b val="1"/>
              <sz val="10"/>
            </rPr>
            <t>Accountability &amp; Impact:</t>
          </r>
          <r>
            <rPr>
              <rFont val="Calibri"/>
              <sz val="10"/>
            </rPr>
            <t xml:space="preserve"> 2.5 of 12 · between A2 and A3 — Start: 2.0 · practitioner title; Evidence reads like A3: End-to-end feature implementation for webform on two projects; delay shifts QA and delivery dates → moved up 0.5; KRA: “1. Provide production support and work on assigned Webform projects. 2. Work independently and complete tasks on time and guide team…”
</t>
          </r>
          <r>
            <rPr>
              <rFont val="Calibri"/>
              <b val="1"/>
              <sz val="10"/>
            </rPr>
            <t>Leadership &amp; Strategy:</t>
          </r>
          <r>
            <rPr>
              <rFont val="Calibri"/>
              <sz val="10"/>
            </rPr>
            <t xml:space="preserve"> 2 of 12 — not counted: the weight is 0% at this level — Start: 1.0 · individual contributor, so influence only; Evidence reads like A3: Acts as webform lead on IFSCA and GTA; trains and mentors assigned intern → moved up 1; Team: 0 direct reports · IC
</t>
          </r>
          <r>
            <rPr>
              <rFont val="Calibri"/>
              <b val="1"/>
              <sz val="10"/>
            </rPr>
            <t>Experience &amp; Qualification:</t>
          </r>
          <r>
            <rPr>
              <rFont val="Calibri"/>
              <sz val="10"/>
            </rPr>
            <t xml:space="preserve"> 3.5 of 12 · between A3 and B1 — Experience: 3.0 yrs total · 3.0 at IRIS; none recorded before IRIS = 3.0 on the experience scale; Qualification: PG-DAC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2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1" s="12" t="inlineStr">
        <is>
          <r>
            <rPr>
              <rFont val="Calibri"/>
              <sz val="10"/>
            </rPr>
            <t xml:space="preserve">✓ HRIS: 3.0 yrs, PG-DAC, 0 direct reports
✓ Survey: 20 of 20 questions answered
✓ KRAs: quarterly
✓ Manager mapping: rating, potential, 9-box
✗ Job description: not on file
</t>
          </r>
          <r>
            <rPr>
              <rFont val="Calibri"/>
              <b val="1"/>
              <sz val="10"/>
            </rPr>
            <t>Confidence:</t>
          </r>
          <r>
            <rPr>
              <rFont val="Calibri"/>
              <sz val="10"/>
            </rPr>
            <t xml:space="preserve"> High</t>
          </r>
        </is>
      </c>
      <c r="Z121" s="12" t="inlineStr">
        <is>
          <t>—</t>
        </is>
      </c>
      <c r="AA121" s="86" t="inlineStr">
        <is>
          <t>• Confirm the reporting line — Manager</t>
        </is>
      </c>
      <c r="AB12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Medium · 9-Box Grid placement: Trusted Professional.</t>
          </r>
        </is>
      </c>
      <c r="AC121" s="82" t="n"/>
      <c r="AD121" s="82" t="n"/>
      <c r="AE121" s="82" t="n"/>
      <c r="AF121" s="12" t="n">
        <v>2.5</v>
      </c>
    </row>
    <row r="122" ht="400" customHeight="1">
      <c r="A122" s="12" t="inlineStr">
        <is>
          <t>IRIS1906</t>
        </is>
      </c>
      <c r="B122" s="10" t="inlineStr">
        <is>
          <t>Gaurav Ghare</t>
        </is>
      </c>
      <c r="C122" s="12" t="inlineStr">
        <is>
          <t>Technology</t>
        </is>
      </c>
      <c r="D122" s="12" t="inlineStr">
        <is>
          <t>Senior Software Engineer</t>
        </is>
      </c>
      <c r="E122" s="12" t="inlineStr">
        <is>
          <t>Senior Software Engineer</t>
        </is>
      </c>
      <c r="F122" s="12" t="inlineStr">
        <is>
          <t>Engineering &amp; Development</t>
        </is>
      </c>
      <c r="G122" s="12" t="inlineStr">
        <is>
          <t>Backend Development</t>
        </is>
      </c>
      <c r="H122" s="12" t="inlineStr">
        <is>
          <t>IC</t>
        </is>
      </c>
      <c r="I122" s="42" t="inlineStr">
        <is>
          <t>L4 – Senior</t>
        </is>
      </c>
      <c r="J122" s="16" t="inlineStr">
        <is>
          <t>A3</t>
        </is>
      </c>
      <c r="K122" s="17" t="inlineStr">
        <is>
          <t>Senior Associate</t>
        </is>
      </c>
      <c r="L122" s="87" t="inlineStr">
        <is>
          <t>• Same level</t>
        </is>
      </c>
      <c r="M122" s="12" t="inlineStr">
        <is>
          <t>iFile · Technology · Band A · Early career</t>
        </is>
      </c>
      <c r="N122" s="42" t="n">
        <v>2.5</v>
      </c>
      <c r="O122" s="42" t="n">
        <v>2.5</v>
      </c>
      <c r="P122" s="42" t="n">
        <v>3</v>
      </c>
      <c r="Q122" s="42" t="n">
        <v>1.5</v>
      </c>
      <c r="R122" s="42" t="n">
        <v>6</v>
      </c>
      <c r="S122" s="80" t="n">
        <v>3</v>
      </c>
      <c r="T122" s="81">
        <f>IF(OR($M122="",COUNT(N122,O122,P122,Q122,R122,S122)&lt;6),"",IFERROR(N122*INDEX(WM_C,MATCH($M122,WM_KEY,0))+O122*INDEX(WM_AU,MATCH($M122,WM_KEY,0))+P122*INDEX(WM_AC,MATCH($M122,WM_KEY,0))+Q122*INDEX(WM_L,MATCH($M122,WM_KEY,0))+R122*INDEX(WM_E,MATCH($M122,WM_KEY,0))+S122*INDEX(WM_BI,MATCH($M122,WM_KEY,0)),""))</f>
        <v>2.9</v>
      </c>
      <c r="U122" s="42" t="str">
        <f>IF(T122="","",INDEX({"A1","A2","A3","B1","B2","B3","C1","C2","D1","D2","E1","E2"},MAX(1,MIN(12,ROUND(T122,0)))))</f>
        <v>A3</v>
      </c>
      <c r="V122" s="12" t="inlineStr">
        <is>
          <r>
            <rPr>
              <rFont val="Calibri"/>
              <sz val="10"/>
            </rPr>
            <t xml:space="preserve">New level A3 · Senior Associate. Current level on record: L4 – Senior. Change: • Same level.
Score 2.90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2" s="12" t="inlineStr">
        <is>
          <r>
            <rPr>
              <rFont val="Calibri"/>
              <b val="1"/>
              <sz val="10"/>
            </rPr>
            <t>Complexity &amp; Expertise:</t>
          </r>
          <r>
            <rPr>
              <rFont val="Calibri"/>
              <sz val="10"/>
            </rPr>
            <t xml:space="preserve"> 2.5 of 12 · between A2 and A3 — Start: 3.0 · senior practitioner title; Evidence reads like A2: Client support: data reports, log checks and finding the issue cause in code → moved down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3.0 · senior practitioner title; Evidence reads like A2: Decides only the cause of an application issue; says no judgement is needed → moved down 0.5
</t>
          </r>
          <r>
            <rPr>
              <rFont val="Calibri"/>
              <b val="1"/>
              <sz val="10"/>
            </rPr>
            <t>Accountability &amp; Impact:</t>
          </r>
          <r>
            <rPr>
              <rFont val="Calibri"/>
              <sz val="10"/>
            </rPr>
            <t xml:space="preserve"> 3 of 12 — Start: 3.0 · senior practitioner title; Evidence reads like A3: Data reports and issue fixes go straight to the client under time pressure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6 of 12 — Experience: 9.4 yrs total · 4.0 before IRIS + 5.4 at IRIS = 5.8 on the experience scale; Qualification: B.E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2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2" s="12" t="inlineStr">
        <is>
          <r>
            <rPr>
              <rFont val="Calibri"/>
              <sz val="10"/>
            </rPr>
            <t xml:space="preserve">✓ HRIS: 9.4 yrs, B.E, 0 direct reports
✓ Survey: 19 of 20 questions answered
✓ KRAs: self, manager-set, quarterly
✓ Manager mapping: rating, potential, 9-box
✗ Job description: not on file
</t>
          </r>
          <r>
            <rPr>
              <rFont val="Calibri"/>
              <b val="1"/>
              <sz val="10"/>
            </rPr>
            <t>Confidence:</t>
          </r>
          <r>
            <rPr>
              <rFont val="Calibri"/>
              <sz val="10"/>
            </rPr>
            <t xml:space="preserve"> Medium</t>
          </r>
        </is>
      </c>
      <c r="Z122" s="12" t="inlineStr">
        <is>
          <t>—</t>
        </is>
      </c>
      <c r="AA122" s="12" t="inlineStr">
        <is>
          <t>Nothing outstanding</t>
        </is>
      </c>
      <c r="AB12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AC122" s="82" t="n"/>
      <c r="AD122" s="82" t="n"/>
      <c r="AE122" s="82" t="n"/>
      <c r="AF122" s="12" t="n">
        <v>3</v>
      </c>
    </row>
    <row r="123" ht="400" customHeight="1">
      <c r="A123" s="12" t="inlineStr">
        <is>
          <t>IRIS2528</t>
        </is>
      </c>
      <c r="B123" s="10" t="inlineStr">
        <is>
          <t>Ghanshyam L Desale</t>
        </is>
      </c>
      <c r="C123" s="12" t="inlineStr">
        <is>
          <t>Technology</t>
        </is>
      </c>
      <c r="D123" s="12" t="inlineStr">
        <is>
          <t>Software Engineer</t>
        </is>
      </c>
      <c r="E123" s="78" t="inlineStr">
        <is>
          <t>Senior UI Developer</t>
        </is>
      </c>
      <c r="F123" s="12" t="inlineStr">
        <is>
          <t>Engineering &amp; Development</t>
        </is>
      </c>
      <c r="G123" s="12" t="inlineStr">
        <is>
          <t>Front-End / UI Development</t>
        </is>
      </c>
      <c r="H123" s="12" t="inlineStr">
        <is>
          <t>IC</t>
        </is>
      </c>
      <c r="I123" s="42" t="inlineStr">
        <is>
          <t>L3 – Professional / Associate</t>
        </is>
      </c>
      <c r="J123" s="16" t="inlineStr">
        <is>
          <t>A3</t>
        </is>
      </c>
      <c r="K123" s="17" t="inlineStr">
        <is>
          <t>Senior Associate</t>
        </is>
      </c>
      <c r="L123" s="79" t="inlineStr">
        <is>
          <t>▲ Up</t>
        </is>
      </c>
      <c r="M123" s="12" t="inlineStr">
        <is>
          <t>iFile · Technology · Band A · Early career</t>
        </is>
      </c>
      <c r="N123" s="42" t="n">
        <v>2.5</v>
      </c>
      <c r="O123" s="42" t="n">
        <v>2</v>
      </c>
      <c r="P123" s="42" t="n">
        <v>2.5</v>
      </c>
      <c r="Q123" s="42" t="n">
        <v>1.5</v>
      </c>
      <c r="R123" s="42" t="n">
        <v>3.5</v>
      </c>
      <c r="S123" s="80" t="n">
        <v>3</v>
      </c>
      <c r="T123" s="81">
        <f>IF(OR($M123="",COUNT(N123,O123,P123,Q123,R123,S123)&lt;6),"",IFERROR(N123*INDEX(WM_C,MATCH($M123,WM_KEY,0))+O123*INDEX(WM_AU,MATCH($M123,WM_KEY,0))+P123*INDEX(WM_AC,MATCH($M123,WM_KEY,0))+Q123*INDEX(WM_L,MATCH($M123,WM_KEY,0))+R123*INDEX(WM_E,MATCH($M123,WM_KEY,0))+S123*INDEX(WM_BI,MATCH($M123,WM_KEY,0)),""))</f>
        <v>2.55</v>
      </c>
      <c r="U123" s="42" t="str">
        <f>IF(T123="","",INDEX({"A1","A2","A3","B1","B2","B3","C1","C2","D1","D2","E1","E2"},MAX(1,MIN(12,ROUND(T123,0)))))</f>
        <v>A3</v>
      </c>
      <c r="V123" s="12" t="inlineStr">
        <is>
          <r>
            <rPr>
              <rFont val="Calibri"/>
              <sz val="10"/>
            </rPr>
            <t xml:space="preserve">New level A3 · Senior Associate. Current level on record: L3 – Professional / Associate. Change: ▲ Up.
Score 2.55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3" s="12" t="inlineStr">
        <is>
          <r>
            <rPr>
              <rFont val="Calibri"/>
              <b val="1"/>
              <sz val="10"/>
            </rPr>
            <t>Complexity &amp; Expertise:</t>
          </r>
          <r>
            <rPr>
              <rFont val="Calibri"/>
              <sz val="10"/>
            </rPr>
            <t xml:space="preserve"> 2.5 of 12 · between A2 and A3 — Start: 2.0 · practitioner title; Evidence reads like A3: Full-stack feature development on AI-driven SaaS products, with code review, performance work and deployments → moved up 0.5; KRA: “1. Deliver assigned sprint stories with &gt;=85% on-time completion · ramp-up allowance in Q1 2. Maintain code quality gate adherence on owned…”
</t>
          </r>
          <r>
            <rPr>
              <rFont val="Calibri"/>
              <b val="1"/>
              <sz val="10"/>
            </rPr>
            <t>Autonomy &amp; Decision:</t>
          </r>
          <r>
            <rPr>
              <rFont val="Calibri"/>
              <sz val="10"/>
            </rPr>
            <t xml:space="preserve"> 2 of 12 — Start: 2.0 · practitioner title; Evidence reads like A2: Only independent decision cited is performance optimisation; works on assigned modules and sprint stories → matches the start
</t>
          </r>
          <r>
            <rPr>
              <rFont val="Calibri"/>
              <b val="1"/>
              <sz val="10"/>
            </rPr>
            <t>Accountability &amp; Impact:</t>
          </r>
          <r>
            <rPr>
              <rFont val="Calibri"/>
              <sz val="10"/>
            </rPr>
            <t xml:space="preserve"> 2.5 of 12 · between A2 and A3 — Start: 2.0 · practitioner title; Evidence reads like A3: Accountable for feature development, product performance and deployments of what he builds → moved up 0.5; KRA: “1. Deliver assigned sprint stories with &gt;=85% on-time completion · ramp-up allowance in Q1 2. Maintain code quality gate adherence on owned…”
</t>
          </r>
          <r>
            <rPr>
              <rFont val="Calibri"/>
              <b val="1"/>
              <sz val="10"/>
            </rPr>
            <t>Leadership &amp; Strategy:</t>
          </r>
          <r>
            <rPr>
              <rFont val="Calibri"/>
              <sz val="10"/>
            </rPr>
            <t xml:space="preserve"> 1.5 of 12 · between A1 and A2 — not counted: the weight is 0% at this level — Start: 1.0 · individual contributor, so influence only; Evidence reads like A2: Takes part in code and design reviews; no guiding or leading described → moved up 0.5; Team: 0 direct reports · IC
</t>
          </r>
          <r>
            <rPr>
              <rFont val="Calibri"/>
              <b val="1"/>
              <sz val="10"/>
            </rPr>
            <t>Experience &amp; Qualification:</t>
          </r>
          <r>
            <rPr>
              <rFont val="Calibri"/>
              <sz val="10"/>
            </rPr>
            <t xml:space="preserve"> 3.5 of 12 · between A3 and B1 — Experience: 3.8 yrs total · 3.4 before IRIS + 0.4 at IRIS = 3.3 on the experience scale;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r>
        </is>
      </c>
      <c r="X12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3" s="12" t="inlineStr">
        <is>
          <r>
            <rPr>
              <rFont val="Calibri"/>
              <sz val="10"/>
            </rPr>
            <t xml:space="preserve">✓ HRIS: 3.8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23" s="12" t="inlineStr">
        <is>
          <t>—</t>
        </is>
      </c>
      <c r="AA123" s="12" t="inlineStr">
        <is>
          <t>Nothing outstanding</t>
        </is>
      </c>
      <c r="AB12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no; work only this person does: yes; successor named: no.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3 · Potential: Medium · 9-Box Grid placement: Core Contributor.</t>
          </r>
        </is>
      </c>
      <c r="AC123" s="82" t="n"/>
      <c r="AD123" s="82" t="n"/>
      <c r="AE123" s="82" t="n"/>
      <c r="AF123" s="12" t="n">
        <v>3</v>
      </c>
    </row>
    <row r="124" ht="400" customHeight="1">
      <c r="A124" s="12" t="inlineStr">
        <is>
          <t>IRIS2074</t>
        </is>
      </c>
      <c r="B124" s="10" t="inlineStr">
        <is>
          <t>Govind Chidrawar</t>
        </is>
      </c>
      <c r="C124" s="12" t="inlineStr">
        <is>
          <t>Technology</t>
        </is>
      </c>
      <c r="D124" s="12" t="inlineStr">
        <is>
          <t>Senior Software Engineer</t>
        </is>
      </c>
      <c r="E124" s="12" t="inlineStr">
        <is>
          <t>Senior Software Engineer</t>
        </is>
      </c>
      <c r="F124" s="12" t="inlineStr">
        <is>
          <t>Engineering &amp; Development</t>
        </is>
      </c>
      <c r="G124" s="12" t="inlineStr">
        <is>
          <t>Backend Development</t>
        </is>
      </c>
      <c r="H124" s="12" t="inlineStr">
        <is>
          <t>IC</t>
        </is>
      </c>
      <c r="I124" s="42" t="inlineStr">
        <is>
          <t>L4 – Senior</t>
        </is>
      </c>
      <c r="J124" s="16" t="inlineStr">
        <is>
          <t>A3</t>
        </is>
      </c>
      <c r="K124" s="17" t="inlineStr">
        <is>
          <t>Senior Associate</t>
        </is>
      </c>
      <c r="L124" s="87" t="inlineStr">
        <is>
          <t>• Same level</t>
        </is>
      </c>
      <c r="M124" s="12" t="inlineStr">
        <is>
          <t>iFile · Technology · Band A · Early career</t>
        </is>
      </c>
      <c r="N124" s="42" t="n">
        <v>3</v>
      </c>
      <c r="O124" s="42" t="n">
        <v>3</v>
      </c>
      <c r="P124" s="42" t="n">
        <v>2.5</v>
      </c>
      <c r="Q124" s="42" t="n">
        <v>2.5</v>
      </c>
      <c r="R124" s="42" t="n">
        <v>4.5</v>
      </c>
      <c r="S124" s="80" t="n">
        <v>2.5</v>
      </c>
      <c r="T124" s="81">
        <f>IF(OR($M124="",COUNT(N124,O124,P124,Q124,R124,S124)&lt;6),"",IFERROR(N124*INDEX(WM_C,MATCH($M124,WM_KEY,0))+O124*INDEX(WM_AU,MATCH($M124,WM_KEY,0))+P124*INDEX(WM_AC,MATCH($M124,WM_KEY,0))+Q124*INDEX(WM_L,MATCH($M124,WM_KEY,0))+R124*INDEX(WM_E,MATCH($M124,WM_KEY,0))+S124*INDEX(WM_BI,MATCH($M124,WM_KEY,0)),""))</f>
        <v>3.1</v>
      </c>
      <c r="U124" s="42" t="str">
        <f>IF(T124="","",INDEX({"A1","A2","A3","B1","B2","B3","C1","C2","D1","D2","E1","E2"},MAX(1,MIN(12,ROUND(T124,0)))))</f>
        <v>A3</v>
      </c>
      <c r="V124" s="12" t="inlineStr">
        <is>
          <r>
            <rPr>
              <rFont val="Calibri"/>
              <sz val="10"/>
            </rPr>
            <t xml:space="preserve">New level A3 · Senior Associate. Current level on record: L4 – Senior. Change: • Same level.
Score 3.10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4" s="12" t="inlineStr">
        <is>
          <r>
            <rPr>
              <rFont val="Calibri"/>
              <b val="1"/>
              <sz val="10"/>
            </rPr>
            <t>Complexity &amp; Expertise:</t>
          </r>
          <r>
            <rPr>
              <rFont val="Calibri"/>
              <sz val="10"/>
            </rPr>
            <t xml:space="preserve"> 3 of 12 — Start: 3.0 · senior practitioner title; Evidence reads like A3: Designs and builds features, investigates technical issues and reviews code within agreed scope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reads like A3: Decides feature design, implementation approach and code structure; resolves implementation issues alone → matches the start
</t>
          </r>
          <r>
            <rPr>
              <rFont val="Calibri"/>
              <b val="1"/>
              <sz val="10"/>
            </rPr>
            <t>Accountability &amp; Impact:</t>
          </r>
          <r>
            <rPr>
              <rFont val="Calibri"/>
              <sz val="10"/>
            </rPr>
            <t xml:space="preserve"> 2.5 of 12 · between A2 and A3 — Start: 3.0 · senior practitioner title; Evidence reads like A2: Design, quality and timely delivery of the features personally owned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2.5 of 12 · between A2 and A3 — not counted: the weight is 0% at this level — Start: 2.0 · individual contributor, so influence only; Evidence reads like A3: Reviewing code and guiding other developers are listed responsibilities → moved up 0.5; Team: 0 direct reports · IC
</t>
          </r>
          <r>
            <rPr>
              <rFont val="Calibri"/>
              <b val="1"/>
              <sz val="10"/>
            </rPr>
            <t>Experience &amp; Qualification:</t>
          </r>
          <r>
            <rPr>
              <rFont val="Calibri"/>
              <sz val="10"/>
            </rPr>
            <t xml:space="preserve"> 4.5 of 12 · between B1 and B2 — Experience: 6.1 yrs total · 2.2 before IRIS + 3.9 at IRIS = 4.3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2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4" s="12" t="inlineStr">
        <is>
          <r>
            <rPr>
              <rFont val="Calibri"/>
              <sz val="10"/>
            </rPr>
            <t xml:space="preserve">✓ HRIS: 6.1 yrs, B.E,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24" s="12" t="inlineStr">
        <is>
          <t>—</t>
        </is>
      </c>
      <c r="AA124" s="12" t="inlineStr">
        <is>
          <t>Nothing outstanding</t>
        </is>
      </c>
      <c r="AB12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High Impact / Growth Talent.</t>
          </r>
        </is>
      </c>
      <c r="AC124" s="82" t="n"/>
      <c r="AD124" s="82" t="n"/>
      <c r="AE124" s="82" t="n"/>
      <c r="AF124" s="12" t="n">
        <v>2.5</v>
      </c>
    </row>
    <row r="125" ht="400" customHeight="1">
      <c r="A125" s="12" t="inlineStr">
        <is>
          <t>IRIS2186</t>
        </is>
      </c>
      <c r="B125" s="10" t="inlineStr">
        <is>
          <t>Harshal Chaudhari</t>
        </is>
      </c>
      <c r="C125" s="12" t="inlineStr">
        <is>
          <t>Technology</t>
        </is>
      </c>
      <c r="D125" s="12" t="inlineStr">
        <is>
          <t>Junior Software Engineer</t>
        </is>
      </c>
      <c r="E125" s="78" t="inlineStr">
        <is>
          <t>Senior Software Engineer</t>
        </is>
      </c>
      <c r="F125" s="12" t="inlineStr">
        <is>
          <t>Engineering &amp; Development</t>
        </is>
      </c>
      <c r="G125" s="12" t="inlineStr">
        <is>
          <t>Backend Development</t>
        </is>
      </c>
      <c r="H125" s="12" t="inlineStr">
        <is>
          <t>IC</t>
        </is>
      </c>
      <c r="I125" s="42" t="inlineStr">
        <is>
          <t>L3 – Professional / Associate</t>
        </is>
      </c>
      <c r="J125" s="16" t="inlineStr">
        <is>
          <t>A3</t>
        </is>
      </c>
      <c r="K125" s="17" t="inlineStr">
        <is>
          <t>Senior Associate</t>
        </is>
      </c>
      <c r="L125" s="79" t="inlineStr">
        <is>
          <t>▲ Up</t>
        </is>
      </c>
      <c r="M125" s="12" t="inlineStr">
        <is>
          <t>iFile · Technology · Band A · Early career</t>
        </is>
      </c>
      <c r="N125" s="42" t="n">
        <v>2</v>
      </c>
      <c r="O125" s="42" t="n">
        <v>2</v>
      </c>
      <c r="P125" s="42" t="n">
        <v>2</v>
      </c>
      <c r="Q125" s="42" t="n">
        <v>1</v>
      </c>
      <c r="R125" s="42" t="n">
        <v>3.5</v>
      </c>
      <c r="S125" s="80" t="n">
        <v>2.5</v>
      </c>
      <c r="T125" s="81">
        <f>IF(OR($M125="",COUNT(N125,O125,P125,Q125,R125,S125)&lt;6),"",IFERROR(N125*INDEX(WM_C,MATCH($M125,WM_KEY,0))+O125*INDEX(WM_AU,MATCH($M125,WM_KEY,0))+P125*INDEX(WM_AC,MATCH($M125,WM_KEY,0))+Q125*INDEX(WM_L,MATCH($M125,WM_KEY,0))+R125*INDEX(WM_E,MATCH($M125,WM_KEY,0))+S125*INDEX(WM_BI,MATCH($M125,WM_KEY,0)),""))</f>
        <v>2.18</v>
      </c>
      <c r="U125" s="42" t="str">
        <f>IF(T125="","",INDEX({"A1","A2","A3","B1","B2","B3","C1","C2","D1","D2","E1","E2"},MAX(1,MIN(12,ROUND(T125,0)))))</f>
        <v>A2</v>
      </c>
      <c r="V125" s="12" t="inlineStr">
        <is>
          <r>
            <rPr>
              <rFont val="Calibri"/>
              <sz val="10"/>
            </rPr>
            <t xml:space="preserve">New level A3 · Senior Associate. Current level on record: L3 – Professional / Associate. Change: ▲ Up.
Score 2.18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 years' experience is 2 years or more.
</t>
          </r>
          <r>
            <rPr>
              <rFont val="Calibri"/>
              <b val="1"/>
              <sz val="10"/>
            </rPr>
            <t>Final level:</t>
          </r>
          <r>
            <rPr>
              <rFont val="Calibri"/>
              <sz val="10"/>
            </rPr>
            <t xml:space="preserve"> A3.</t>
          </r>
        </is>
      </c>
      <c r="W125"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technical approach analysis on assigned work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3.0 yrs total · 3.0 at IRIS; none recorded before IRIS = 3.0 on the experience scale; Qualification: PG-DAC · postgraduate, relevant to the work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2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5" s="12" t="inlineStr">
        <is>
          <r>
            <rPr>
              <rFont val="Calibri"/>
              <sz val="10"/>
            </rPr>
            <t xml:space="preserve">✓ HRIS: 3.0 yrs, PG-DAC,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25" s="12" t="inlineStr">
        <is>
          <t>—</t>
        </is>
      </c>
      <c r="AA125" s="12" t="inlineStr">
        <is>
          <t>Nothing outstanding</t>
        </is>
      </c>
      <c r="AB12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Emerging Talent.</t>
          </r>
        </is>
      </c>
      <c r="AC125" s="82" t="n"/>
      <c r="AD125" s="82" t="n"/>
      <c r="AE125" s="82" t="n"/>
      <c r="AF125" s="12" t="n">
        <v>2.5</v>
      </c>
    </row>
    <row r="126" ht="400" customHeight="1">
      <c r="A126" s="12" t="inlineStr">
        <is>
          <t>IRIS2253</t>
        </is>
      </c>
      <c r="B126" s="10" t="inlineStr">
        <is>
          <t>Harshal Wadode</t>
        </is>
      </c>
      <c r="C126" s="12" t="inlineStr">
        <is>
          <t>Technology</t>
        </is>
      </c>
      <c r="D126" s="12" t="inlineStr">
        <is>
          <t>Software Engineer</t>
        </is>
      </c>
      <c r="E126" s="78" t="inlineStr">
        <is>
          <t>Senior Software Engineer</t>
        </is>
      </c>
      <c r="F126" s="12" t="inlineStr">
        <is>
          <t>Engineering &amp; Development</t>
        </is>
      </c>
      <c r="G126" s="12" t="inlineStr">
        <is>
          <t>Backend Development</t>
        </is>
      </c>
      <c r="H126" s="12" t="inlineStr">
        <is>
          <t>IC</t>
        </is>
      </c>
      <c r="I126" s="42" t="inlineStr">
        <is>
          <t>L3 – Professional / Associate</t>
        </is>
      </c>
      <c r="J126" s="16" t="inlineStr">
        <is>
          <t>A3</t>
        </is>
      </c>
      <c r="K126" s="17" t="inlineStr">
        <is>
          <t>Senior Associate</t>
        </is>
      </c>
      <c r="L126" s="79" t="inlineStr">
        <is>
          <t>▲ Up</t>
        </is>
      </c>
      <c r="M126" s="12" t="inlineStr">
        <is>
          <t>iFile · Technology · Band A · Early career</t>
        </is>
      </c>
      <c r="N126" s="42" t="n">
        <v>2.5</v>
      </c>
      <c r="O126" s="42" t="n">
        <v>2</v>
      </c>
      <c r="P126" s="42" t="n">
        <v>2.5</v>
      </c>
      <c r="Q126" s="42" t="n">
        <v>1</v>
      </c>
      <c r="R126" s="42" t="n">
        <v>2.5</v>
      </c>
      <c r="S126" s="80" t="n">
        <v>2.5</v>
      </c>
      <c r="T126" s="81">
        <f>IF(OR($M126="",COUNT(N126,O126,P126,Q126,R126,S126)&lt;6),"",IFERROR(N126*INDEX(WM_C,MATCH($M126,WM_KEY,0))+O126*INDEX(WM_AU,MATCH($M126,WM_KEY,0))+P126*INDEX(WM_AC,MATCH($M126,WM_KEY,0))+Q126*INDEX(WM_L,MATCH($M126,WM_KEY,0))+R126*INDEX(WM_E,MATCH($M126,WM_KEY,0))+S126*INDEX(WM_BI,MATCH($M126,WM_KEY,0)),""))</f>
        <v>2.42</v>
      </c>
      <c r="U126" s="42" t="str">
        <f>IF(T126="","",INDEX({"A1","A2","A3","B1","B2","B3","C1","C2","D1","D2","E1","E2"},MAX(1,MIN(12,ROUND(T126,0)))))</f>
        <v>A2</v>
      </c>
      <c r="V126" s="12" t="inlineStr">
        <is>
          <r>
            <rPr>
              <rFont val="Calibri"/>
              <sz val="10"/>
            </rPr>
            <t xml:space="preserve">New level A3 · Senior Associate. Current level on record: L3 – Professional / Associate. Change: ▲ Up.
Score 2.42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126"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2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6" s="12" t="inlineStr">
        <is>
          <r>
            <rPr>
              <rFont val="Calibri"/>
              <sz val="10"/>
            </rPr>
            <t xml:space="preserve">✓ HRIS: 2.3 yrs, B.E,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26" s="12" t="inlineStr">
        <is>
          <t>—</t>
        </is>
      </c>
      <c r="AA126" s="12" t="inlineStr">
        <is>
          <t>Nothing outstanding</t>
        </is>
      </c>
      <c r="AB12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AC126" s="82" t="n"/>
      <c r="AD126" s="82" t="n"/>
      <c r="AE126" s="82" t="n"/>
      <c r="AF126" s="12" t="n">
        <v>2.5</v>
      </c>
    </row>
    <row r="127" ht="400" customHeight="1">
      <c r="A127" s="12" t="inlineStr">
        <is>
          <t>IRIS2073</t>
        </is>
      </c>
      <c r="B127" s="10" t="inlineStr">
        <is>
          <t>Hemalatha Visamsetti</t>
        </is>
      </c>
      <c r="C127" s="12" t="inlineStr">
        <is>
          <t>Technology</t>
        </is>
      </c>
      <c r="D127" s="12" t="inlineStr">
        <is>
          <t>Senior Software Engineer</t>
        </is>
      </c>
      <c r="E127" s="12" t="inlineStr">
        <is>
          <t>Senior Software Engineer</t>
        </is>
      </c>
      <c r="F127" s="12" t="inlineStr">
        <is>
          <t>Engineering &amp; Development</t>
        </is>
      </c>
      <c r="G127" s="12" t="inlineStr">
        <is>
          <t>Backend Development</t>
        </is>
      </c>
      <c r="H127" s="12" t="inlineStr">
        <is>
          <t>IC</t>
        </is>
      </c>
      <c r="I127" s="42" t="inlineStr">
        <is>
          <t>L4 – Senior</t>
        </is>
      </c>
      <c r="J127" s="16" t="inlineStr">
        <is>
          <t>A3</t>
        </is>
      </c>
      <c r="K127" s="17" t="inlineStr">
        <is>
          <t>Senior Associate</t>
        </is>
      </c>
      <c r="L127" s="87" t="inlineStr">
        <is>
          <t>• Same level</t>
        </is>
      </c>
      <c r="M127" s="12" t="inlineStr">
        <is>
          <t>iFile · Technology · Band A · Early career</t>
        </is>
      </c>
      <c r="N127" s="42" t="n">
        <v>3</v>
      </c>
      <c r="O127" s="42" t="n">
        <v>2.5</v>
      </c>
      <c r="P127" s="42" t="n">
        <v>3</v>
      </c>
      <c r="Q127" s="42" t="n">
        <v>2</v>
      </c>
      <c r="R127" s="42" t="n">
        <v>5.5</v>
      </c>
      <c r="S127" s="80" t="n">
        <v>3</v>
      </c>
      <c r="T127" s="81">
        <f>IF(OR($M127="",COUNT(N127,O127,P127,Q127,R127,S127)&lt;6),"",IFERROR(N127*INDEX(WM_C,MATCH($M127,WM_KEY,0))+O127*INDEX(WM_AU,MATCH($M127,WM_KEY,0))+P127*INDEX(WM_AC,MATCH($M127,WM_KEY,0))+Q127*INDEX(WM_L,MATCH($M127,WM_KEY,0))+R127*INDEX(WM_E,MATCH($M127,WM_KEY,0))+S127*INDEX(WM_BI,MATCH($M127,WM_KEY,0)),""))</f>
        <v>3.17</v>
      </c>
      <c r="U127" s="42" t="str">
        <f>IF(T127="","",INDEX({"A1","A2","A3","B1","B2","B3","C1","C2","D1","D2","E1","E2"},MAX(1,MIN(12,ROUND(T127,0)))))</f>
        <v>A3</v>
      </c>
      <c r="V127" s="12" t="inlineStr">
        <is>
          <r>
            <rPr>
              <rFont val="Calibri"/>
              <sz val="10"/>
            </rPr>
            <t xml:space="preserve">New level A3 · Senior Associate. Current level on record: L4 – Senior. Change: • Same level.
Score 3.17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7" s="12" t="inlineStr">
        <is>
          <r>
            <rPr>
              <rFont val="Calibri"/>
              <b val="1"/>
              <sz val="10"/>
            </rPr>
            <t>Complexity &amp; Expertise:</t>
          </r>
          <r>
            <rPr>
              <rFont val="Calibri"/>
              <sz val="10"/>
            </rPr>
            <t xml:space="preserve"> 3 of 12 — Start: 3.0 · senior practitioner title; Evidence reads like A3:.NET and VSTO development, production support and owning critical features → matches the start; KRA: “1. Ensure reliable production support and maintenance for Kuwait CMA, ADX, DFM, and SCA applications by maintaining 95% SLA compliance,…”
</t>
          </r>
          <r>
            <rPr>
              <rFont val="Calibri"/>
              <b val="1"/>
              <sz val="10"/>
            </rPr>
            <t>Autonomy &amp; Decision:</t>
          </r>
          <r>
            <rPr>
              <rFont val="Calibri"/>
              <sz val="10"/>
            </rPr>
            <t xml:space="preserve"> 2.5 of 12 · between A2 and A3 — Start: 3.0 · senior practitioner title; Evidence reads like A2: Only independent decision cited is support for technical tools → moved down 0.5
</t>
          </r>
          <r>
            <rPr>
              <rFont val="Calibri"/>
              <b val="1"/>
              <sz val="10"/>
            </rPr>
            <t>Accountability &amp; Impact:</t>
          </r>
          <r>
            <rPr>
              <rFont val="Calibri"/>
              <sz val="10"/>
            </rPr>
            <t xml:space="preserve"> 3 of 12 — Start: 3.0 · senior practitioner title; Evidence reads like A3: Quality of delivered solutions; KRA covers production support for four regulator applications → matches the start; KRA: “1. Ensure reliable production support and maintenance for Kuwait CMA, ADX, DFM, and SCA applications by maintaining 95% SLA compliance,…”
</t>
          </r>
          <r>
            <rPr>
              <rFont val="Calibri"/>
              <b val="1"/>
              <sz val="10"/>
            </rPr>
            <t>Leadership &amp; Strategy:</t>
          </r>
          <r>
            <rPr>
              <rFont val="Calibri"/>
              <sz val="10"/>
            </rPr>
            <t xml:space="preserve"> 2 of 12 — not counted: the weight is 0% at this level — Start: 2.0 · individual contributor, so influence only; Evidence reads like A2: Mentions mentoring and code reviews once, without detail → matches the start; Team: 0 direct reports · IC
</t>
          </r>
          <r>
            <rPr>
              <rFont val="Calibri"/>
              <b val="1"/>
              <sz val="10"/>
            </rPr>
            <t>Experience &amp; Qualification:</t>
          </r>
          <r>
            <rPr>
              <rFont val="Calibri"/>
              <sz val="10"/>
            </rPr>
            <t xml:space="preserve"> 5.5 of 12 · between B2 and B3 — Experience: 8.1 yrs total · 4.2 before IRIS + 3.9 at IRIS = 5.2 on the experience scale; Qualification: MCA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2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7" s="12" t="inlineStr">
        <is>
          <r>
            <rPr>
              <rFont val="Calibri"/>
              <sz val="10"/>
            </rPr>
            <t xml:space="preserve">✓ HRIS: 8.1 yrs, MCA,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27" s="12" t="inlineStr">
        <is>
          <t>—</t>
        </is>
      </c>
      <c r="AA127" s="12" t="inlineStr">
        <is>
          <t>Nothing outstanding</t>
        </is>
      </c>
      <c r="AB12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Trusted Professional.</t>
          </r>
        </is>
      </c>
      <c r="AC127" s="82" t="n"/>
      <c r="AD127" s="82" t="n"/>
      <c r="AE127" s="82" t="n"/>
      <c r="AF127" s="12" t="n">
        <v>3</v>
      </c>
    </row>
    <row r="128" ht="400" customHeight="1">
      <c r="A128" s="12" t="inlineStr">
        <is>
          <t>IRIS2470</t>
        </is>
      </c>
      <c r="B128" s="10" t="inlineStr">
        <is>
          <t>Khelendra Pratap Singh</t>
        </is>
      </c>
      <c r="C128" s="12" t="inlineStr">
        <is>
          <t>Technology</t>
        </is>
      </c>
      <c r="D128" s="12" t="inlineStr">
        <is>
          <t>Senior Software Engineer</t>
        </is>
      </c>
      <c r="E128" s="12" t="inlineStr">
        <is>
          <t>Senior Software Engineer</t>
        </is>
      </c>
      <c r="F128" s="12" t="inlineStr">
        <is>
          <t>Engineering &amp; Development</t>
        </is>
      </c>
      <c r="G128" s="12" t="inlineStr">
        <is>
          <t>Backend Development</t>
        </is>
      </c>
      <c r="H128" s="12" t="inlineStr">
        <is>
          <t>IC</t>
        </is>
      </c>
      <c r="I128" s="42" t="inlineStr">
        <is>
          <t>L4 – Senior</t>
        </is>
      </c>
      <c r="J128" s="16" t="inlineStr">
        <is>
          <t>A3</t>
        </is>
      </c>
      <c r="K128" s="17" t="inlineStr">
        <is>
          <t>Senior Associate</t>
        </is>
      </c>
      <c r="L128" s="87" t="inlineStr">
        <is>
          <t>• Same level</t>
        </is>
      </c>
      <c r="M128" s="12" t="inlineStr">
        <is>
          <t>iFile · Technology · Band A · Early career</t>
        </is>
      </c>
      <c r="N128" s="42" t="n">
        <v>3.5</v>
      </c>
      <c r="O128" s="42" t="n">
        <v>3</v>
      </c>
      <c r="P128" s="42" t="n">
        <v>2.5</v>
      </c>
      <c r="Q128" s="42" t="n">
        <v>1.5</v>
      </c>
      <c r="R128" s="42" t="n">
        <v>4.5</v>
      </c>
      <c r="S128" s="80" t="n">
        <v>2.5</v>
      </c>
      <c r="T128" s="81">
        <f>IF(OR($M128="",COUNT(N128,O128,P128,Q128,R128,S128)&lt;6),"",IFERROR(N128*INDEX(WM_C,MATCH($M128,WM_KEY,0))+O128*INDEX(WM_AU,MATCH($M128,WM_KEY,0))+P128*INDEX(WM_AC,MATCH($M128,WM_KEY,0))+Q128*INDEX(WM_L,MATCH($M128,WM_KEY,0))+R128*INDEX(WM_E,MATCH($M128,WM_KEY,0))+S128*INDEX(WM_BI,MATCH($M128,WM_KEY,0)),""))</f>
        <v>3.42</v>
      </c>
      <c r="U128" s="42" t="str">
        <f>IF(T128="","",INDEX({"A1","A2","A3","B1","B2","B3","C1","C2","D1","D2","E1","E2"},MAX(1,MIN(12,ROUND(T128,0)))))</f>
        <v>A3</v>
      </c>
      <c r="V128" s="12" t="inlineStr">
        <is>
          <r>
            <rPr>
              <rFont val="Calibri"/>
              <sz val="10"/>
            </rPr>
            <t xml:space="preserve">New level A3 · Senior Associate. Current level on record: L4 – Senior. Change: • Same level.
Score 3.42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8" s="12" t="inlineStr">
        <is>
          <r>
            <rPr>
              <rFont val="Calibri"/>
              <b val="1"/>
              <sz val="10"/>
            </rPr>
            <t>Complexity &amp; Expertise:</t>
          </r>
          <r>
            <rPr>
              <rFont val="Calibri"/>
              <sz val="10"/>
            </rPr>
            <t xml:space="preserve"> 3.5 of 12 · between A3 and B1 — Start: 3.0 · senior practitioner title; Evidence reads like B1: Produces architecture documents and designs product configurability; handles complex scenarios → moved up 0.5;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reads like A3: Decides testing, technical analysis, deployment, bug fixes and configuration choices → matches the start
</t>
          </r>
          <r>
            <rPr>
              <rFont val="Calibri"/>
              <b val="1"/>
              <sz val="10"/>
            </rPr>
            <t>Accountability &amp; Impact:</t>
          </r>
          <r>
            <rPr>
              <rFont val="Calibri"/>
              <sz val="10"/>
            </rPr>
            <t xml:space="preserve"> 2.5 of 12 · between A2 and A3 — Start: 3.0 · senior practitioner title; Evidence reads like A2: Design and development of own product work following the set architecture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4.5 of 12 · between B1 and B2 — Experience: 6.6 yrs total · 6.0 before IRIS + 0.6 at IRIS = 4.5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2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8" s="12" t="inlineStr">
        <is>
          <r>
            <rPr>
              <rFont val="Calibri"/>
              <sz val="10"/>
            </rPr>
            <t xml:space="preserve">✓ HRIS: 6.6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28" s="12" t="inlineStr">
        <is>
          <t>—</t>
        </is>
      </c>
      <c r="AA128" s="12" t="inlineStr">
        <is>
          <t>Nothing outstanding</t>
        </is>
      </c>
      <c r="AB12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AC128" s="82" t="n"/>
      <c r="AD128" s="82" t="n"/>
      <c r="AE128" s="82" t="n"/>
      <c r="AF128" s="12" t="n">
        <v>2.5</v>
      </c>
    </row>
    <row r="129" ht="400" customHeight="1">
      <c r="A129" s="12" t="inlineStr">
        <is>
          <t>IRIS2446</t>
        </is>
      </c>
      <c r="B129" s="10" t="inlineStr">
        <is>
          <t>Kunal Sanjay Prasad</t>
        </is>
      </c>
      <c r="C129" s="12" t="inlineStr">
        <is>
          <t>Technology</t>
        </is>
      </c>
      <c r="D129" s="12" t="inlineStr">
        <is>
          <t>Software Engineer</t>
        </is>
      </c>
      <c r="E129" s="78" t="inlineStr">
        <is>
          <t>Senior Software Engineer</t>
        </is>
      </c>
      <c r="F129" s="12" t="inlineStr">
        <is>
          <t>Engineering &amp; Development</t>
        </is>
      </c>
      <c r="G129" s="12" t="inlineStr">
        <is>
          <t>Backend Development</t>
        </is>
      </c>
      <c r="H129" s="12" t="inlineStr">
        <is>
          <t>IC</t>
        </is>
      </c>
      <c r="I129" s="42" t="inlineStr">
        <is>
          <t>L3 – Professional / Associate</t>
        </is>
      </c>
      <c r="J129" s="16" t="inlineStr">
        <is>
          <t>A3</t>
        </is>
      </c>
      <c r="K129" s="17" t="inlineStr">
        <is>
          <t>Senior Associate</t>
        </is>
      </c>
      <c r="L129" s="79" t="inlineStr">
        <is>
          <t>▲ Up</t>
        </is>
      </c>
      <c r="M129" s="12" t="inlineStr">
        <is>
          <t>iFile · Technology · Band A · Early career</t>
        </is>
      </c>
      <c r="N129" s="42" t="n">
        <v>2</v>
      </c>
      <c r="O129" s="42" t="n">
        <v>2</v>
      </c>
      <c r="P129" s="42" t="n">
        <v>2</v>
      </c>
      <c r="Q129" s="42" t="n">
        <v>1</v>
      </c>
      <c r="R129" s="42" t="n">
        <v>3</v>
      </c>
      <c r="S129" s="80" t="n">
        <v>2</v>
      </c>
      <c r="T129" s="81">
        <f>IF(OR($M129="",COUNT(N129,O129,P129,Q129,R129,S129)&lt;6),"",IFERROR(N129*INDEX(WM_C,MATCH($M129,WM_KEY,0))+O129*INDEX(WM_AU,MATCH($M129,WM_KEY,0))+P129*INDEX(WM_AC,MATCH($M129,WM_KEY,0))+Q129*INDEX(WM_L,MATCH($M129,WM_KEY,0))+R129*INDEX(WM_E,MATCH($M129,WM_KEY,0))+S129*INDEX(WM_BI,MATCH($M129,WM_KEY,0)),""))</f>
        <v>2.1</v>
      </c>
      <c r="U129" s="42" t="str">
        <f>IF(T129="","",INDEX({"A1","A2","A3","B1","B2","B3","C1","C2","D1","D2","E1","E2"},MAX(1,MIN(12,ROUND(T129,0)))))</f>
        <v>A2</v>
      </c>
      <c r="V129"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3.4 years' experience is 2 years or more.
</t>
          </r>
          <r>
            <rPr>
              <rFont val="Calibri"/>
              <b val="1"/>
              <sz val="10"/>
            </rPr>
            <t>Final level:</t>
          </r>
          <r>
            <rPr>
              <rFont val="Calibri"/>
              <sz val="10"/>
            </rPr>
            <t xml:space="preserve"> A3.</t>
          </r>
        </is>
      </c>
      <c r="W129" s="12" t="inlineStr">
        <is>
          <r>
            <rPr>
              <rFont val="Calibri"/>
              <b val="1"/>
              <sz val="10"/>
            </rPr>
            <t>Complexity &amp; Expertise:</t>
          </r>
          <r>
            <rPr>
              <rFont val="Calibri"/>
              <sz val="10"/>
            </rPr>
            <t xml:space="preserve"> 2 of 12 — Start: 2.0 · practitioner title; Evidence reads like A2: Java/Spring Boot enhancements and bug fixes; KRA covers rendering and batch-service development, still learning MBRS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troubleshooting, query optimisation and testing on own tasks → matches the start
</t>
          </r>
          <r>
            <rPr>
              <rFont val="Calibri"/>
              <b val="1"/>
              <sz val="10"/>
            </rPr>
            <t>Accountability &amp; Impact:</t>
          </r>
          <r>
            <rPr>
              <rFont val="Calibri"/>
              <sz val="10"/>
            </rPr>
            <t xml:space="preserve"> 2 of 12 — Start: 2.0 · practitioner title; Evidence reads like A2: Accountable for quality, accuracy and timeliness of software changes assigned to them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 of 12 — Experience: 3.4 yrs total · 2.6 before IRIS + 0.8 at IRIS = 3.2 on the experience scale; Qualification: B.Sc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2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29" s="12" t="inlineStr">
        <is>
          <r>
            <rPr>
              <rFont val="Calibri"/>
              <sz val="10"/>
            </rPr>
            <t xml:space="preserve">✓ HRIS: 3.4 yrs, B.Sc,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29" s="12" t="inlineStr">
        <is>
          <t>—</t>
        </is>
      </c>
      <c r="AA129" s="12" t="inlineStr">
        <is>
          <t>Nothing outstanding</t>
        </is>
      </c>
      <c r="AB1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Emerging Talent.</t>
          </r>
        </is>
      </c>
      <c r="AC129" s="82" t="n"/>
      <c r="AD129" s="82" t="n"/>
      <c r="AE129" s="82" t="n"/>
      <c r="AF129" s="12" t="n">
        <v>2</v>
      </c>
    </row>
    <row r="130" ht="400" customHeight="1">
      <c r="A130" s="12" t="inlineStr">
        <is>
          <t>IRIS2422</t>
        </is>
      </c>
      <c r="B130" s="10" t="inlineStr">
        <is>
          <t>Mahtab Shah</t>
        </is>
      </c>
      <c r="C130" s="12" t="inlineStr">
        <is>
          <t>Technology</t>
        </is>
      </c>
      <c r="D130" s="12" t="inlineStr">
        <is>
          <t>Software Engineer</t>
        </is>
      </c>
      <c r="E130" s="78" t="inlineStr">
        <is>
          <t>Senior Software Engineer</t>
        </is>
      </c>
      <c r="F130" s="12" t="inlineStr">
        <is>
          <t>Engineering &amp; Development</t>
        </is>
      </c>
      <c r="G130" s="12" t="inlineStr">
        <is>
          <t>Full-Stack Development</t>
        </is>
      </c>
      <c r="H130" s="12" t="inlineStr">
        <is>
          <t>IC</t>
        </is>
      </c>
      <c r="I130" s="42" t="inlineStr">
        <is>
          <t>L3 – Professional / Associate</t>
        </is>
      </c>
      <c r="J130" s="16" t="inlineStr">
        <is>
          <t>A3</t>
        </is>
      </c>
      <c r="K130" s="17" t="inlineStr">
        <is>
          <t>Senior Associate</t>
        </is>
      </c>
      <c r="L130" s="79" t="inlineStr">
        <is>
          <t>▲ Up</t>
        </is>
      </c>
      <c r="M130" s="12" t="inlineStr">
        <is>
          <t>iFile · Technology · Band A · Early career</t>
        </is>
      </c>
      <c r="N130" s="42" t="n">
        <v>2</v>
      </c>
      <c r="O130" s="42" t="n">
        <v>2</v>
      </c>
      <c r="P130" s="42" t="n">
        <v>2</v>
      </c>
      <c r="Q130" s="42" t="n">
        <v>1</v>
      </c>
      <c r="R130" s="42" t="n">
        <v>3</v>
      </c>
      <c r="S130" s="80" t="n">
        <v>2</v>
      </c>
      <c r="T130" s="81">
        <f>IF(OR($M130="",COUNT(N130,O130,P130,Q130,R130,S130)&lt;6),"",IFERROR(N130*INDEX(WM_C,MATCH($M130,WM_KEY,0))+O130*INDEX(WM_AU,MATCH($M130,WM_KEY,0))+P130*INDEX(WM_AC,MATCH($M130,WM_KEY,0))+Q130*INDEX(WM_L,MATCH($M130,WM_KEY,0))+R130*INDEX(WM_E,MATCH($M130,WM_KEY,0))+S130*INDEX(WM_BI,MATCH($M130,WM_KEY,0)),""))</f>
        <v>2.1</v>
      </c>
      <c r="U130" s="42" t="str">
        <f>IF(T130="","",INDEX({"A1","A2","A3","B1","B2","B3","C1","C2","D1","D2","E1","E2"},MAX(1,MIN(12,ROUND(T130,0)))))</f>
        <v>A2</v>
      </c>
      <c r="V130"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2.7 years' experience is 2 years or more.
</t>
          </r>
          <r>
            <rPr>
              <rFont val="Calibri"/>
              <b val="1"/>
              <sz val="10"/>
            </rPr>
            <t>Final level:</t>
          </r>
          <r>
            <rPr>
              <rFont val="Calibri"/>
              <sz val="10"/>
            </rPr>
            <t xml:space="preserve"> A3.</t>
          </r>
        </is>
      </c>
      <c r="W130" s="12" t="inlineStr">
        <is>
          <r>
            <rPr>
              <rFont val="Calibri"/>
              <b val="1"/>
              <sz val="10"/>
            </rPr>
            <t>Complexity &amp; Expertise:</t>
          </r>
          <r>
            <rPr>
              <rFont val="Calibri"/>
              <sz val="10"/>
            </rPr>
            <t xml:space="preserve"> 2 of 12 — Start: 2.0 · practitioner title; Evidence reads like A2: Feature development and troubleshooting across Java/Spring Boot and Angular; no specific harder work cited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'implementation' only → matches the start
</t>
          </r>
          <r>
            <rPr>
              <rFont val="Calibri"/>
              <b val="1"/>
              <sz val="10"/>
            </rPr>
            <t>Accountability &amp; Impact:</t>
          </r>
          <r>
            <rPr>
              <rFont val="Calibri"/>
              <sz val="10"/>
            </rPr>
            <t xml:space="preserve"> 2 of 12 — Start: 2.0 · practitioner title; Evidence reads like A2: Accountable for own software being reliable, meeting requirements and delivered on time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 of 12 — Experience: 2.7 yrs total · 1.6 before IRIS + 1.1 at IRIS = 2.9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3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0" s="12" t="inlineStr">
        <is>
          <r>
            <rPr>
              <rFont val="Calibri"/>
              <sz val="10"/>
            </rPr>
            <t xml:space="preserve">✓ HRIS: 2.7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30" s="12" t="inlineStr">
        <is>
          <t>—</t>
        </is>
      </c>
      <c r="AA130" s="12" t="inlineStr">
        <is>
          <t>Nothing outstanding</t>
        </is>
      </c>
      <c r="AB13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Medium · 9-Box Grid placement: Emerging Talent.</t>
          </r>
        </is>
      </c>
      <c r="AC130" s="82" t="n"/>
      <c r="AD130" s="82" t="n"/>
      <c r="AE130" s="82" t="n"/>
      <c r="AF130" s="12" t="n">
        <v>2</v>
      </c>
    </row>
    <row r="131" ht="400" customHeight="1">
      <c r="A131" s="12" t="inlineStr">
        <is>
          <t>IRIS2299</t>
        </is>
      </c>
      <c r="B131" s="10" t="inlineStr">
        <is>
          <t>Mukesh Babulal Suthar</t>
        </is>
      </c>
      <c r="C131" s="12" t="inlineStr">
        <is>
          <t>Technology</t>
        </is>
      </c>
      <c r="D131" s="12" t="inlineStr">
        <is>
          <t>Senior Software Engineer</t>
        </is>
      </c>
      <c r="E131" s="12" t="inlineStr">
        <is>
          <t>Senior Software Engineer</t>
        </is>
      </c>
      <c r="F131" s="12" t="inlineStr">
        <is>
          <t>Engineering &amp; Development</t>
        </is>
      </c>
      <c r="G131" s="12" t="inlineStr">
        <is>
          <t>Backend Development</t>
        </is>
      </c>
      <c r="H131" s="12" t="inlineStr">
        <is>
          <t>IC</t>
        </is>
      </c>
      <c r="I131" s="42" t="inlineStr">
        <is>
          <t>L4 – Senior</t>
        </is>
      </c>
      <c r="J131" s="16" t="inlineStr">
        <is>
          <t>A3</t>
        </is>
      </c>
      <c r="K131" s="17" t="inlineStr">
        <is>
          <t>Senior Associate</t>
        </is>
      </c>
      <c r="L131" s="87" t="inlineStr">
        <is>
          <t>• Same level</t>
        </is>
      </c>
      <c r="M131" s="12" t="inlineStr">
        <is>
          <t>iFile · Technology · Band A · Early career</t>
        </is>
      </c>
      <c r="N131" s="42" t="n">
        <v>2.5</v>
      </c>
      <c r="O131" s="42" t="n">
        <v>2.5</v>
      </c>
      <c r="P131" s="42" t="n">
        <v>2.5</v>
      </c>
      <c r="Q131" s="42" t="n">
        <v>1.5</v>
      </c>
      <c r="R131" s="42" t="n">
        <v>6.5</v>
      </c>
      <c r="S131" s="80" t="n">
        <v>3</v>
      </c>
      <c r="T131" s="81">
        <f>IF(OR($M131="",COUNT(N131,O131,P131,Q131,R131,S131)&lt;6),"",IFERROR(N131*INDEX(WM_C,MATCH($M131,WM_KEY,0))+O131*INDEX(WM_AU,MATCH($M131,WM_KEY,0))+P131*INDEX(WM_AC,MATCH($M131,WM_KEY,0))+Q131*INDEX(WM_L,MATCH($M131,WM_KEY,0))+R131*INDEX(WM_E,MATCH($M131,WM_KEY,0))+S131*INDEX(WM_BI,MATCH($M131,WM_KEY,0)),""))</f>
        <v>2.93</v>
      </c>
      <c r="U131" s="42" t="str">
        <f>IF(T131="","",INDEX({"A1","A2","A3","B1","B2","B3","C1","C2","D1","D2","E1","E2"},MAX(1,MIN(12,ROUND(T131,0)))))</f>
        <v>A3</v>
      </c>
      <c r="V131" s="12" t="inlineStr">
        <is>
          <r>
            <rPr>
              <rFont val="Calibri"/>
              <sz val="10"/>
            </rPr>
            <t xml:space="preserve">New level A3 · Senior Associate. Current level on record: L4 – Senior. Change: • Same level.
Score 2.93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1" s="12" t="inlineStr">
        <is>
          <r>
            <rPr>
              <rFont val="Calibri"/>
              <b val="1"/>
              <sz val="10"/>
            </rPr>
            <t>Complexity &amp; Expertise:</t>
          </r>
          <r>
            <rPr>
              <rFont val="Calibri"/>
              <sz val="10"/>
            </rPr>
            <t xml:space="preserve"> 2.5 of 12 · between A2 and A3 — Start: 3.0 · senior practitioner title; Evidence reads like A2: Feature development, fixes and code deployment; no harder cases described → moved down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3.0 · senior practitioner title; Evidence reads like A2: Decides fixes and development on own tasks → moved down 0.5
</t>
          </r>
          <r>
            <rPr>
              <rFont val="Calibri"/>
              <b val="1"/>
              <sz val="10"/>
            </rPr>
            <t>Accountability &amp; Impact:</t>
          </r>
          <r>
            <rPr>
              <rFont val="Calibri"/>
              <sz val="10"/>
            </rPr>
            <t xml:space="preserve"> 2.5 of 12 · between A2 and A3 — Start: 3.0 · senior practitioner title; Evidence reads like A2: own survey / KRA answers · summarised by the rater; not quoted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6.5 of 12 · between B3 and C1 — Experience: 11.1 yrs total · 9.0 before IRIS + 2.1 at IRIS = 6.5 on the experience scale;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1" s="12" t="inlineStr">
        <is>
          <r>
            <rPr>
              <rFont val="Calibri"/>
              <sz val="10"/>
            </rPr>
            <t xml:space="preserve">✓ HRIS: 11.1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31" s="12" t="inlineStr">
        <is>
          <t>—</t>
        </is>
      </c>
      <c r="AA131" s="12" t="inlineStr">
        <is>
          <t>Nothing outstanding</t>
        </is>
      </c>
      <c r="AB13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AC131" s="82" t="n"/>
      <c r="AD131" s="82" t="n"/>
      <c r="AE131" s="82" t="n"/>
      <c r="AF131" s="12" t="n">
        <v>3</v>
      </c>
    </row>
    <row r="132" ht="400" customHeight="1">
      <c r="A132" s="12" t="inlineStr">
        <is>
          <t>IRIS2089</t>
        </is>
      </c>
      <c r="B132" s="10" t="inlineStr">
        <is>
          <t>Nilesh Mohite</t>
        </is>
      </c>
      <c r="C132" s="12" t="inlineStr">
        <is>
          <t>Technology</t>
        </is>
      </c>
      <c r="D132" s="12" t="inlineStr">
        <is>
          <t>Software Engineer</t>
        </is>
      </c>
      <c r="E132" s="78" t="inlineStr">
        <is>
          <t>Senior Software Engineer</t>
        </is>
      </c>
      <c r="F132" s="12" t="inlineStr">
        <is>
          <t>Engineering &amp; Development</t>
        </is>
      </c>
      <c r="G132" s="12" t="inlineStr">
        <is>
          <t>Backend Development</t>
        </is>
      </c>
      <c r="H132" s="12" t="inlineStr">
        <is>
          <t>IC</t>
        </is>
      </c>
      <c r="I132" s="42" t="inlineStr">
        <is>
          <t>L3 – Professional / Associate</t>
        </is>
      </c>
      <c r="J132" s="16" t="inlineStr">
        <is>
          <t>A3</t>
        </is>
      </c>
      <c r="K132" s="17" t="inlineStr">
        <is>
          <t>Senior Associate</t>
        </is>
      </c>
      <c r="L132" s="79" t="inlineStr">
        <is>
          <t>▲ Up</t>
        </is>
      </c>
      <c r="M132" s="12" t="inlineStr">
        <is>
          <t>iFile · Technology · Band A · Early career</t>
        </is>
      </c>
      <c r="N132" s="42" t="n">
        <v>2</v>
      </c>
      <c r="O132" s="42" t="n">
        <v>2</v>
      </c>
      <c r="P132" s="42" t="n">
        <v>2</v>
      </c>
      <c r="Q132" s="42" t="n">
        <v>1</v>
      </c>
      <c r="R132" s="42" t="n">
        <v>4</v>
      </c>
      <c r="S132" s="80" t="n">
        <v>2</v>
      </c>
      <c r="T132" s="81">
        <f>IF(OR($M132="",COUNT(N132,O132,P132,Q132,R132,S132)&lt;6),"",IFERROR(N132*INDEX(WM_C,MATCH($M132,WM_KEY,0))+O132*INDEX(WM_AU,MATCH($M132,WM_KEY,0))+P132*INDEX(WM_AC,MATCH($M132,WM_KEY,0))+Q132*INDEX(WM_L,MATCH($M132,WM_KEY,0))+R132*INDEX(WM_E,MATCH($M132,WM_KEY,0))+S132*INDEX(WM_BI,MATCH($M132,WM_KEY,0)),""))</f>
        <v>2.2</v>
      </c>
      <c r="U132" s="42" t="str">
        <f>IF(T132="","",INDEX({"A1","A2","A3","B1","B2","B3","C1","C2","D1","D2","E1","E2"},MAX(1,MIN(12,ROUND(T132,0)))))</f>
        <v>A2</v>
      </c>
      <c r="V132"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5.2 years' experience is 2 years or more.
</t>
          </r>
          <r>
            <rPr>
              <rFont val="Calibri"/>
              <b val="1"/>
              <sz val="10"/>
            </rPr>
            <t>Final level:</t>
          </r>
          <r>
            <rPr>
              <rFont val="Calibri"/>
              <sz val="10"/>
            </rPr>
            <t xml:space="preserve"> A3.</t>
          </r>
        </is>
      </c>
      <c r="W132" s="12" t="inlineStr">
        <is>
          <r>
            <rPr>
              <rFont val="Calibri"/>
              <b val="1"/>
              <sz val="10"/>
            </rPr>
            <t>Complexity &amp; Expertise:</t>
          </r>
          <r>
            <rPr>
              <rFont val="Calibri"/>
              <sz val="10"/>
            </rPr>
            <t xml:space="preserve"> 2 of 12 — Start: 2.0 · practitioner title; Evidence reads like A2: Builds working software; one-line answers name no specific module or problem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Says 'make technical decisions' without any example → matches the start
</t>
          </r>
          <r>
            <rPr>
              <rFont val="Calibri"/>
              <b val="1"/>
              <sz val="10"/>
            </rPr>
            <t>Accountability &amp; Impact:</t>
          </r>
          <r>
            <rPr>
              <rFont val="Calibri"/>
              <sz val="10"/>
            </rPr>
            <t xml:space="preserve"> 2 of 12 — Start: 2.0 · practitioner title; Evidence reads like A2: Responsible for own code working correctly and for fixing own bugs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4 of 12 — Experience: 5.2 yrs total · 1.5 before IRIS + 3.7 at IRIS = 3.9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3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2" s="12" t="inlineStr">
        <is>
          <r>
            <rPr>
              <rFont val="Calibri"/>
              <sz val="10"/>
            </rPr>
            <t xml:space="preserve">✓ HRIS: 5.2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32" s="12" t="inlineStr">
        <is>
          <t>—</t>
        </is>
      </c>
      <c r="AA132" s="12" t="inlineStr">
        <is>
          <t>Nothing outstanding</t>
        </is>
      </c>
      <c r="AB13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High Impact / Growth Talent.</t>
          </r>
        </is>
      </c>
      <c r="AC132" s="82" t="n"/>
      <c r="AD132" s="82" t="n"/>
      <c r="AE132" s="82" t="n"/>
      <c r="AF132" s="12" t="n">
        <v>2</v>
      </c>
    </row>
    <row r="133" ht="400" customHeight="1">
      <c r="A133" s="12" t="inlineStr">
        <is>
          <t>IRIS2474</t>
        </is>
      </c>
      <c r="B133" s="10" t="inlineStr">
        <is>
          <t>Pankaj Sharma</t>
        </is>
      </c>
      <c r="C133" s="12" t="inlineStr">
        <is>
          <t>Technology</t>
        </is>
      </c>
      <c r="D133" s="12" t="inlineStr">
        <is>
          <t>Software Engineer</t>
        </is>
      </c>
      <c r="E133" s="78" t="inlineStr">
        <is>
          <t>Senior Software Engineer</t>
        </is>
      </c>
      <c r="F133" s="12" t="inlineStr">
        <is>
          <t>Engineering &amp; Development</t>
        </is>
      </c>
      <c r="G133" s="12" t="inlineStr">
        <is>
          <t>Backend Development</t>
        </is>
      </c>
      <c r="H133" s="12" t="inlineStr">
        <is>
          <t>IC</t>
        </is>
      </c>
      <c r="I133" s="42" t="inlineStr">
        <is>
          <t>L3 – Professional / Associate</t>
        </is>
      </c>
      <c r="J133" s="16" t="inlineStr">
        <is>
          <t>A3</t>
        </is>
      </c>
      <c r="K133" s="17" t="inlineStr">
        <is>
          <t>Senior Associate</t>
        </is>
      </c>
      <c r="L133" s="79" t="inlineStr">
        <is>
          <t>▲ Up</t>
        </is>
      </c>
      <c r="M133" s="12" t="inlineStr">
        <is>
          <t>iFile · Technology · Band A · Early career</t>
        </is>
      </c>
      <c r="N133" s="42" t="n">
        <v>2.5</v>
      </c>
      <c r="O133" s="42" t="n">
        <v>2.5</v>
      </c>
      <c r="P133" s="42" t="n">
        <v>2.5</v>
      </c>
      <c r="Q133" s="42" t="n">
        <v>1</v>
      </c>
      <c r="R133" s="42" t="n">
        <v>4</v>
      </c>
      <c r="S133" s="80" t="n">
        <v>2.5</v>
      </c>
      <c r="T133" s="81">
        <f>IF(OR($M133="",COUNT(N133,O133,P133,Q133,R133,S133)&lt;6),"",IFERROR(N133*INDEX(WM_C,MATCH($M133,WM_KEY,0))+O133*INDEX(WM_AU,MATCH($M133,WM_KEY,0))+P133*INDEX(WM_AC,MATCH($M133,WM_KEY,0))+Q133*INDEX(WM_L,MATCH($M133,WM_KEY,0))+R133*INDEX(WM_E,MATCH($M133,WM_KEY,0))+S133*INDEX(WM_BI,MATCH($M133,WM_KEY,0)),""))</f>
        <v>2.65</v>
      </c>
      <c r="U133" s="42" t="str">
        <f>IF(T133="","",INDEX({"A1","A2","A3","B1","B2","B3","C1","C2","D1","D2","E1","E2"},MAX(1,MIN(12,ROUND(T133,0)))))</f>
        <v>A3</v>
      </c>
      <c r="V133" s="12" t="inlineStr">
        <is>
          <r>
            <rPr>
              <rFont val="Calibri"/>
              <sz val="10"/>
            </rPr>
            <t xml:space="preserve">New level A3 · Senior Associate. Current level on record: L3 – Professional / Associate. Change: ▲ Up.
Score 2.65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3" s="12" t="inlineStr">
        <is>
          <r>
            <rPr>
              <rFont val="Calibri"/>
              <b val="1"/>
              <sz val="10"/>
            </rPr>
            <t>Complexity &amp; Expertise:</t>
          </r>
          <r>
            <rPr>
              <rFont val="Calibri"/>
              <sz val="10"/>
            </rPr>
            <t xml:space="preserve"> 2.5 of 12 · between A2 and A3 — Start: 2.0 · practitioner title; Evidence reads like A3: Built a full feature front and back end, with security improvements and client database integration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Decides enhancement deployment independently → moved up 0.5
</t>
          </r>
          <r>
            <rPr>
              <rFont val="Calibri"/>
              <b val="1"/>
              <sz val="10"/>
            </rPr>
            <t>Accountability &amp; Impact:</t>
          </r>
          <r>
            <rPr>
              <rFont val="Calibri"/>
              <sz val="10"/>
            </rPr>
            <t xml:space="preserve"> 2.5 of 12 · between A2 and A3 — Start: 2.0 · practitioner title; Evidence reads like A3: Accountable for the feature, client-database integration, security enhancement and its deployment at a sensitive client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4 of 12 — Experience: 4.7 yrs total · 4.1 before IRIS + 0.6 at IRIS = 3.7 on the experience scale; Qualification: MCA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3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3" s="12" t="inlineStr">
        <is>
          <r>
            <rPr>
              <rFont val="Calibri"/>
              <sz val="10"/>
            </rPr>
            <t xml:space="preserve">✓ HRIS: 4.7 yrs, MCA, 0 direct reports
✓ Survey: 20 of 20 questions answered
✓ KRAs: self, manager-set, quarterly
✓ Manager mapping: rating, potential, 9-box — filled from talent-mapping files: rating · tentative Q1
✗ Job description: not on file
</t>
          </r>
          <r>
            <rPr>
              <rFont val="Calibri"/>
              <b val="1"/>
              <sz val="10"/>
            </rPr>
            <t>Confidence:</t>
          </r>
          <r>
            <rPr>
              <rFont val="Calibri"/>
              <sz val="10"/>
            </rPr>
            <t xml:space="preserve"> High</t>
          </r>
        </is>
      </c>
      <c r="Z133" s="12" t="inlineStr">
        <is>
          <t>—</t>
        </is>
      </c>
      <c r="AA133" s="12" t="inlineStr">
        <is>
          <t>Nothing outstanding</t>
        </is>
      </c>
      <c r="AB13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AC133" s="82" t="n"/>
      <c r="AD133" s="82" t="n"/>
      <c r="AE133" s="82" t="n"/>
      <c r="AF133" s="12" t="n">
        <v>2.5</v>
      </c>
    </row>
    <row r="134" ht="400" customHeight="1">
      <c r="A134" s="12" t="inlineStr">
        <is>
          <t>IRIS2256</t>
        </is>
      </c>
      <c r="B134" s="10" t="inlineStr">
        <is>
          <t>Prajwal Chitode</t>
        </is>
      </c>
      <c r="C134" s="12" t="inlineStr">
        <is>
          <t>Technology</t>
        </is>
      </c>
      <c r="D134" s="12" t="inlineStr">
        <is>
          <t>Software Engineer</t>
        </is>
      </c>
      <c r="E134" s="78" t="inlineStr">
        <is>
          <t>Senior Software Engineer</t>
        </is>
      </c>
      <c r="F134" s="12" t="inlineStr">
        <is>
          <t>Engineering &amp; Development</t>
        </is>
      </c>
      <c r="G134" s="12" t="inlineStr">
        <is>
          <t>Full-Stack Development</t>
        </is>
      </c>
      <c r="H134" s="12" t="inlineStr">
        <is>
          <t>IC</t>
        </is>
      </c>
      <c r="I134" s="42" t="inlineStr">
        <is>
          <t>L2 – Trainee</t>
        </is>
      </c>
      <c r="J134" s="16" t="inlineStr">
        <is>
          <t>A3</t>
        </is>
      </c>
      <c r="K134" s="17" t="inlineStr">
        <is>
          <t>Senior Associate</t>
        </is>
      </c>
      <c r="L134" s="79" t="inlineStr">
        <is>
          <t>▲ Up</t>
        </is>
      </c>
      <c r="M134" s="12" t="inlineStr">
        <is>
          <t>iFile · Technology · Band A · Early career</t>
        </is>
      </c>
      <c r="N134" s="42" t="n">
        <v>2.5</v>
      </c>
      <c r="O134" s="42" t="n">
        <v>2</v>
      </c>
      <c r="P134" s="42" t="n">
        <v>2.5</v>
      </c>
      <c r="Q134" s="42" t="n">
        <v>1.5</v>
      </c>
      <c r="R134" s="42" t="n">
        <v>2.5</v>
      </c>
      <c r="S134" s="80" t="n">
        <v>2.5</v>
      </c>
      <c r="T134" s="81">
        <f>IF(OR($M134="",COUNT(N134,O134,P134,Q134,R134,S134)&lt;6),"",IFERROR(N134*INDEX(WM_C,MATCH($M134,WM_KEY,0))+O134*INDEX(WM_AU,MATCH($M134,WM_KEY,0))+P134*INDEX(WM_AC,MATCH($M134,WM_KEY,0))+Q134*INDEX(WM_L,MATCH($M134,WM_KEY,0))+R134*INDEX(WM_E,MATCH($M134,WM_KEY,0))+S134*INDEX(WM_BI,MATCH($M134,WM_KEY,0)),""))</f>
        <v>2.42</v>
      </c>
      <c r="U134" s="42" t="str">
        <f>IF(T134="","",INDEX({"A1","A2","A3","B1","B2","B3","C1","C2","D1","D2","E1","E2"},MAX(1,MIN(12,ROUND(T134,0)))))</f>
        <v>A2</v>
      </c>
      <c r="V134" s="12" t="inlineStr">
        <is>
          <r>
            <rPr>
              <rFont val="Calibri"/>
              <sz val="10"/>
            </rPr>
            <t xml:space="preserve">New level A3 · Senior Associate. Current level on record: L2 – Trainee. Change: ▲ Up.
Score 2.42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134" s="12" t="inlineStr">
        <is>
          <r>
            <rPr>
              <rFont val="Calibri"/>
              <b val="1"/>
              <sz val="10"/>
            </rPr>
            <t>Complexity &amp; Expertise:</t>
          </r>
          <r>
            <rPr>
              <rFont val="Calibri"/>
              <sz val="10"/>
            </rPr>
            <t xml:space="preserve"> 2.5 of 12 · between A2 and A3 — Start: 2.0 · practitioner title; Evidence reads like A3: Builds, tests, optimises and deploys the Angular frontend of the SBC upgrade project → moved up 0.5; KRA: “1. Provide production support/Upgrade of SBC. 2. Work independently and complete tasks on time and guide team members. 3. Improve the…”
</t>
          </r>
          <r>
            <rPr>
              <rFont val="Calibri"/>
              <b val="1"/>
              <sz val="10"/>
            </rPr>
            <t>Autonomy &amp; Decision:</t>
          </r>
          <r>
            <rPr>
              <rFont val="Calibri"/>
              <sz val="10"/>
            </rPr>
            <t xml:space="preserve"> 2 of 12 — Start: 2.0 · practitioner title; Evidence reads like A2: Decides code clean-up, optimisation and fixes for self-discovered bugs → matches the start
</t>
          </r>
          <r>
            <rPr>
              <rFont val="Calibri"/>
              <b val="1"/>
              <sz val="10"/>
            </rPr>
            <t>Accountability &amp; Impact:</t>
          </r>
          <r>
            <rPr>
              <rFont val="Calibri"/>
              <sz val="10"/>
            </rPr>
            <t xml:space="preserve"> 2.5 of 12 · between A2 and A3 — Start: 2.0 · practitioner title; Evidence reads like A3: Accountable for the frontend of the SBC Upgrade Project → moved up 0.5; KRA: “1. Provide production support/Upgrade of SBC. 2. Work independently and complete tasks on time and guide team members. 3. Improve the…”
</t>
          </r>
          <r>
            <rPr>
              <rFont val="Calibri"/>
              <b val="1"/>
              <sz val="10"/>
            </rPr>
            <t>Leadership &amp; Strategy:</t>
          </r>
          <r>
            <rPr>
              <rFont val="Calibri"/>
              <sz val="10"/>
            </rPr>
            <t xml:space="preserve"> 1.5 of 12 · between A1 and A2 — not counted: the weight is 0% at this level — Start: 1.0 · individual contributor, so influence only; Evidence reads like A2: KRA expects guiding team members; survey mentions only keeping the team informed → moved up 0.5;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3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4" s="12" t="inlineStr">
        <is>
          <r>
            <rPr>
              <rFont val="Calibri"/>
              <sz val="10"/>
            </rPr>
            <t xml:space="preserve">✓ HRIS: 2.3 yrs, B.E, 0 direct reports
✓ Survey: 19 of 20 questions answered
✓ KRAs: quarterly
✓ Manager mapping: rating, potential, 9-box
✗ Job description: not on file
</t>
          </r>
          <r>
            <rPr>
              <rFont val="Calibri"/>
              <b val="1"/>
              <sz val="10"/>
            </rPr>
            <t>Confidence:</t>
          </r>
          <r>
            <rPr>
              <rFont val="Calibri"/>
              <sz val="10"/>
            </rPr>
            <t xml:space="preserve"> Medium</t>
          </r>
        </is>
      </c>
      <c r="Z134" s="12" t="inlineStr">
        <is>
          <t>—</t>
        </is>
      </c>
      <c r="AA134" s="12" t="inlineStr">
        <is>
          <t>Nothing outstanding</t>
        </is>
      </c>
      <c r="AB13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Medium · 9-Box Grid placement: Trusted Professional.</t>
          </r>
        </is>
      </c>
      <c r="AC134" s="82" t="n"/>
      <c r="AD134" s="82" t="n"/>
      <c r="AE134" s="82" t="n"/>
      <c r="AF134" s="12" t="n">
        <v>2.5</v>
      </c>
    </row>
    <row r="135" ht="400" customHeight="1">
      <c r="A135" s="12" t="inlineStr">
        <is>
          <t>IRIS2438</t>
        </is>
      </c>
      <c r="B135" s="10" t="inlineStr">
        <is>
          <t>Pranay Usatkar</t>
        </is>
      </c>
      <c r="C135" s="12" t="inlineStr">
        <is>
          <t>Technology</t>
        </is>
      </c>
      <c r="D135" s="12" t="inlineStr">
        <is>
          <t>Software Engineer</t>
        </is>
      </c>
      <c r="E135" s="78" t="inlineStr">
        <is>
          <t>Senior Software Engineer</t>
        </is>
      </c>
      <c r="F135" s="12" t="inlineStr">
        <is>
          <t>Engineering &amp; Development</t>
        </is>
      </c>
      <c r="G135" s="12" t="inlineStr">
        <is>
          <t>Backend Development</t>
        </is>
      </c>
      <c r="H135" s="12" t="inlineStr">
        <is>
          <t>IC</t>
        </is>
      </c>
      <c r="I135" s="42" t="inlineStr">
        <is>
          <t>L3 – Professional / Associate</t>
        </is>
      </c>
      <c r="J135" s="16" t="inlineStr">
        <is>
          <t>A3</t>
        </is>
      </c>
      <c r="K135" s="17" t="inlineStr">
        <is>
          <t>Senior Associate</t>
        </is>
      </c>
      <c r="L135" s="79" t="inlineStr">
        <is>
          <t>▲ Up</t>
        </is>
      </c>
      <c r="M135" s="12" t="inlineStr">
        <is>
          <t>iFile · Technology · Band A · Early career</t>
        </is>
      </c>
      <c r="N135" s="42" t="n">
        <v>2</v>
      </c>
      <c r="O135" s="42" t="n">
        <v>2</v>
      </c>
      <c r="P135" s="42" t="n">
        <v>2</v>
      </c>
      <c r="Q135" s="42" t="n">
        <v>1</v>
      </c>
      <c r="R135" s="42" t="n">
        <v>3.5</v>
      </c>
      <c r="S135" s="80" t="n">
        <v>2</v>
      </c>
      <c r="T135" s="81">
        <f>IF(OR($M135="",COUNT(N135,O135,P135,Q135,R135,S135)&lt;6),"",IFERROR(N135*INDEX(WM_C,MATCH($M135,WM_KEY,0))+O135*INDEX(WM_AU,MATCH($M135,WM_KEY,0))+P135*INDEX(WM_AC,MATCH($M135,WM_KEY,0))+Q135*INDEX(WM_L,MATCH($M135,WM_KEY,0))+R135*INDEX(WM_E,MATCH($M135,WM_KEY,0))+S135*INDEX(WM_BI,MATCH($M135,WM_KEY,0)),""))</f>
        <v>2.15</v>
      </c>
      <c r="U135" s="42" t="str">
        <f>IF(T135="","",INDEX({"A1","A2","A3","B1","B2","B3","C1","C2","D1","D2","E1","E2"},MAX(1,MIN(12,ROUND(T135,0)))))</f>
        <v>A2</v>
      </c>
      <c r="V135"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W135" s="12" t="inlineStr">
        <is>
          <r>
            <rPr>
              <rFont val="Calibri"/>
              <b val="1"/>
              <sz val="10"/>
            </rPr>
            <t>Complexity &amp; Expertise:</t>
          </r>
          <r>
            <rPr>
              <rFont val="Calibri"/>
              <sz val="10"/>
            </rPr>
            <t xml:space="preserve"> 2 of 12 — Start: 2.0 · practitioner title; Evidence reads like A2: Resolves customer tickets and rendering issues, codes enhancements in Java, JSP and SQL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Only independent decision cited is reproducing the scenario locally → matches the start
</t>
          </r>
          <r>
            <rPr>
              <rFont val="Calibri"/>
              <b val="1"/>
              <sz val="10"/>
            </rPr>
            <t>Accountability &amp; Impact:</t>
          </r>
          <r>
            <rPr>
              <rFont val="Calibri"/>
              <sz val="10"/>
            </rPr>
            <t xml:space="preserve"> 2 of 12 — Start: 2.0 · practitioner title; Evidence reads like A2: Accountable for 'ticket activities'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3.5 of 12 · between A3 and B1 — Experience: 4.1 yrs total · 3.2 before IRIS + 0.9 at IRIS = 3.4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3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5" s="12" t="inlineStr">
        <is>
          <r>
            <rPr>
              <rFont val="Calibri"/>
              <sz val="10"/>
            </rPr>
            <t xml:space="preserve">✓ HRIS: 4.1 yrs, B.E, 0 direct reports
✓ Survey: 10 of 20 questions answered
✓ KRAs: self, manager-set, quarterly
✓ Manager mapping: rating, potential, 9-box
✗ Job description: not on file
</t>
          </r>
          <r>
            <rPr>
              <rFont val="Calibri"/>
              <b val="1"/>
              <sz val="10"/>
            </rPr>
            <t>Confidence:</t>
          </r>
          <r>
            <rPr>
              <rFont val="Calibri"/>
              <sz val="10"/>
            </rPr>
            <t xml:space="preserve"> Medium</t>
          </r>
        </is>
      </c>
      <c r="Z135" s="12" t="inlineStr">
        <is>
          <t>—</t>
        </is>
      </c>
      <c r="AA135" s="12" t="inlineStr">
        <is>
          <t>Nothing outstanding</t>
        </is>
      </c>
      <c r="AB13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Emerging Talent.</t>
          </r>
        </is>
      </c>
      <c r="AC135" s="82" t="n"/>
      <c r="AD135" s="82" t="n"/>
      <c r="AE135" s="82" t="n"/>
      <c r="AF135" s="12" t="n">
        <v>2</v>
      </c>
    </row>
    <row r="136" ht="400" customHeight="1">
      <c r="A136" s="12" t="inlineStr">
        <is>
          <t>IRIS1945</t>
        </is>
      </c>
      <c r="B136" s="10" t="inlineStr">
        <is>
          <t>Priyadarshini Naidu</t>
        </is>
      </c>
      <c r="C136" s="12" t="inlineStr">
        <is>
          <t>Technology</t>
        </is>
      </c>
      <c r="D136" s="12" t="inlineStr">
        <is>
          <t>Software Engineer</t>
        </is>
      </c>
      <c r="E136" s="78" t="inlineStr">
        <is>
          <t>Senior Software Engineer</t>
        </is>
      </c>
      <c r="F136" s="12" t="inlineStr">
        <is>
          <t>Engineering &amp; Development</t>
        </is>
      </c>
      <c r="G136" s="12" t="inlineStr">
        <is>
          <t>Backend Development</t>
        </is>
      </c>
      <c r="H136" s="12" t="inlineStr">
        <is>
          <t>IC</t>
        </is>
      </c>
      <c r="I136" s="42" t="inlineStr">
        <is>
          <t>L3 – Professional / Associate</t>
        </is>
      </c>
      <c r="J136" s="16" t="inlineStr">
        <is>
          <t>A3</t>
        </is>
      </c>
      <c r="K136" s="17" t="inlineStr">
        <is>
          <t>Senior Associate</t>
        </is>
      </c>
      <c r="L136" s="79" t="inlineStr">
        <is>
          <t>▲ Up</t>
        </is>
      </c>
      <c r="M136" s="12" t="inlineStr">
        <is>
          <t>iFile · Technology · Band A · Early career</t>
        </is>
      </c>
      <c r="N136" s="42" t="n">
        <v>2</v>
      </c>
      <c r="O136" s="42" t="n">
        <v>2</v>
      </c>
      <c r="P136" s="42" t="n">
        <v>2</v>
      </c>
      <c r="Q136" s="42" t="n">
        <v>1</v>
      </c>
      <c r="R136" s="42" t="n">
        <v>5</v>
      </c>
      <c r="S136" s="80" t="n">
        <v>2.5</v>
      </c>
      <c r="T136" s="81">
        <f>IF(OR($M136="",COUNT(N136,O136,P136,Q136,R136,S136)&lt;6),"",IFERROR(N136*INDEX(WM_C,MATCH($M136,WM_KEY,0))+O136*INDEX(WM_AU,MATCH($M136,WM_KEY,0))+P136*INDEX(WM_AC,MATCH($M136,WM_KEY,0))+Q136*INDEX(WM_L,MATCH($M136,WM_KEY,0))+R136*INDEX(WM_E,MATCH($M136,WM_KEY,0))+S136*INDEX(WM_BI,MATCH($M136,WM_KEY,0)),""))</f>
        <v>2.33</v>
      </c>
      <c r="U136" s="42" t="str">
        <f>IF(T136="","",INDEX({"A1","A2","A3","B1","B2","B3","C1","C2","D1","D2","E1","E2"},MAX(1,MIN(12,ROUND(T136,0)))))</f>
        <v>A2</v>
      </c>
      <c r="V136" s="12" t="inlineStr">
        <is>
          <r>
            <rPr>
              <rFont val="Calibri"/>
              <sz val="10"/>
            </rPr>
            <t xml:space="preserve">New level A3 · Senior Associate. Current level on record: L3 – Professional / Associate. Change: ▲ Up.
Score 2.33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7.1 years' experience is 2 years or more.
</t>
          </r>
          <r>
            <rPr>
              <rFont val="Calibri"/>
              <b val="1"/>
              <sz val="10"/>
            </rPr>
            <t>Final level:</t>
          </r>
          <r>
            <rPr>
              <rFont val="Calibri"/>
              <sz val="10"/>
            </rPr>
            <t xml:space="preserve"> A3.</t>
          </r>
        </is>
      </c>
      <c r="W136" s="12" t="inlineStr">
        <is>
          <r>
            <rPr>
              <rFont val="Calibri"/>
              <b val="1"/>
              <sz val="10"/>
            </rPr>
            <t>Complexity &amp; Expertise:</t>
          </r>
          <r>
            <rPr>
              <rFont val="Calibri"/>
              <sz val="10"/>
            </rPr>
            <t xml:space="preserve"> 2 of 12 — Start: 2.0 · practitioner title; Evidence reads like A2: Desktop application development, REST API integration and support fixes; work described only in general terms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the bug-fix approach → matches the start
</t>
          </r>
          <r>
            <rPr>
              <rFont val="Calibri"/>
              <b val="1"/>
              <sz val="10"/>
            </rPr>
            <t>Accountability &amp; Impact:</t>
          </r>
          <r>
            <rPr>
              <rFont val="Calibri"/>
              <sz val="10"/>
            </rPr>
            <t xml:space="preserve"> 2 of 12 — Start: 2.0 · practitioner title; Evidence reads like A2: Accountable for root-causing and fixing own issues; 'client delivery ownership' not tied to anything specific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5 of 12 — Experience: 7.1 yrs total · 2.0 before IRIS + 5.1 at IRIS = 4.8 on the experience scale; Qualification: BCA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3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6" s="12" t="inlineStr">
        <is>
          <r>
            <rPr>
              <rFont val="Calibri"/>
              <sz val="10"/>
            </rPr>
            <t xml:space="preserve">✓ HRIS: 7.1 yrs, BCA,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36" s="12" t="inlineStr">
        <is>
          <t>—</t>
        </is>
      </c>
      <c r="AA136" s="12" t="inlineStr">
        <is>
          <t>Nothing outstanding</t>
        </is>
      </c>
      <c r="AB13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AC136" s="82" t="n"/>
      <c r="AD136" s="82" t="n"/>
      <c r="AE136" s="82" t="n"/>
      <c r="AF136" s="12" t="n">
        <v>2.5</v>
      </c>
    </row>
    <row r="137" ht="400" customHeight="1">
      <c r="A137" s="12" t="inlineStr">
        <is>
          <t>IRIS2221</t>
        </is>
      </c>
      <c r="B137" s="10" t="inlineStr">
        <is>
          <t>Rajshree Bhosale</t>
        </is>
      </c>
      <c r="C137" s="12" t="inlineStr">
        <is>
          <t>Technology</t>
        </is>
      </c>
      <c r="D137" s="12" t="inlineStr">
        <is>
          <t>Software Engineer</t>
        </is>
      </c>
      <c r="E137" s="78" t="inlineStr">
        <is>
          <t>Senior UI Developer</t>
        </is>
      </c>
      <c r="F137" s="12" t="inlineStr">
        <is>
          <t>Engineering &amp; Development</t>
        </is>
      </c>
      <c r="G137" s="12" t="inlineStr">
        <is>
          <t>Front-End / UI Development</t>
        </is>
      </c>
      <c r="H137" s="12" t="inlineStr">
        <is>
          <t>IC</t>
        </is>
      </c>
      <c r="I137" s="42" t="inlineStr">
        <is>
          <t>L3 – Professional / Associate</t>
        </is>
      </c>
      <c r="J137" s="16" t="inlineStr">
        <is>
          <t>A3</t>
        </is>
      </c>
      <c r="K137" s="17" t="inlineStr">
        <is>
          <t>Senior Associate</t>
        </is>
      </c>
      <c r="L137" s="79" t="inlineStr">
        <is>
          <t>▲ Up</t>
        </is>
      </c>
      <c r="M137" s="12" t="inlineStr">
        <is>
          <t>iFile · Technology · Band A · Early career</t>
        </is>
      </c>
      <c r="N137" s="42" t="n">
        <v>2.5</v>
      </c>
      <c r="O137" s="42" t="n">
        <v>2.5</v>
      </c>
      <c r="P137" s="42" t="n">
        <v>2.5</v>
      </c>
      <c r="Q137" s="42" t="n">
        <v>1</v>
      </c>
      <c r="R137" s="42" t="n">
        <v>5</v>
      </c>
      <c r="S137" s="80" t="n">
        <v>3</v>
      </c>
      <c r="T137" s="81">
        <f>IF(OR($M137="",COUNT(N137,O137,P137,Q137,R137,S137)&lt;6),"",IFERROR(N137*INDEX(WM_C,MATCH($M137,WM_KEY,0))+O137*INDEX(WM_AU,MATCH($M137,WM_KEY,0))+P137*INDEX(WM_AC,MATCH($M137,WM_KEY,0))+Q137*INDEX(WM_L,MATCH($M137,WM_KEY,0))+R137*INDEX(WM_E,MATCH($M137,WM_KEY,0))+S137*INDEX(WM_BI,MATCH($M137,WM_KEY,0)),""))</f>
        <v>2.78</v>
      </c>
      <c r="U137" s="42" t="str">
        <f>IF(T137="","",INDEX({"A1","A2","A3","B1","B2","B3","C1","C2","D1","D2","E1","E2"},MAX(1,MIN(12,ROUND(T137,0)))))</f>
        <v>A3</v>
      </c>
      <c r="V137"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7" s="12" t="inlineStr">
        <is>
          <r>
            <rPr>
              <rFont val="Calibri"/>
              <b val="1"/>
              <sz val="10"/>
            </rPr>
            <t>Complexity &amp; Expertise:</t>
          </r>
          <r>
            <rPr>
              <rFont val="Calibri"/>
              <sz val="10"/>
            </rPr>
            <t xml:space="preserve"> 2.5 of 12 · between A2 and A3 — Start: 2.0 · practitioner title; Evidence reads like A3: Decides project structure, builds UI and API integration; KRA: Angular 16-to-21 migration and lint/Sonar setup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Decides code and project structure and how to fix issues → moved up 0.5
</t>
          </r>
          <r>
            <rPr>
              <rFont val="Calibri"/>
              <b val="1"/>
              <sz val="10"/>
            </rPr>
            <t>Accountability &amp; Impact:</t>
          </r>
          <r>
            <rPr>
              <rFont val="Calibri"/>
              <sz val="10"/>
            </rPr>
            <t xml:space="preserve"> 2.5 of 12 · between A2 and A3 — Start: 2.0 · practitioner title; Evidence reads like A3: KRA: owns Payment Management module front end through QA, UAT and production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5 of 12 — Experience: 6.2 yrs total · 3.5 before IRIS + 2.7 at IRIS = 4.3 on the experience scale; Qualification: MCA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7" s="12" t="inlineStr">
        <is>
          <r>
            <rPr>
              <rFont val="Calibri"/>
              <sz val="10"/>
            </rPr>
            <t xml:space="preserve">✓ HRIS: 6.2 yrs, MCA,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37" s="12" t="inlineStr">
        <is>
          <t>—</t>
        </is>
      </c>
      <c r="AA137" s="12" t="inlineStr">
        <is>
          <t>Nothing outstanding</t>
        </is>
      </c>
      <c r="AB13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4 · Potential: High · 9-Box Grid placement: High Impact / Growth Talent.</t>
          </r>
        </is>
      </c>
      <c r="AC137" s="82" t="n"/>
      <c r="AD137" s="82" t="n"/>
      <c r="AE137" s="82" t="n"/>
      <c r="AF137" s="12" t="n">
        <v>3</v>
      </c>
    </row>
    <row r="138" ht="400" customHeight="1">
      <c r="A138" s="12" t="inlineStr">
        <is>
          <t>IRIS2030</t>
        </is>
      </c>
      <c r="B138" s="10" t="inlineStr">
        <is>
          <t>Ritesh Gadekar</t>
        </is>
      </c>
      <c r="C138" s="12" t="inlineStr">
        <is>
          <t>Technology</t>
        </is>
      </c>
      <c r="D138" s="12" t="inlineStr">
        <is>
          <t>Software Engineer</t>
        </is>
      </c>
      <c r="E138" s="78" t="inlineStr">
        <is>
          <t>Senior Software Engineer</t>
        </is>
      </c>
      <c r="F138" s="12" t="inlineStr">
        <is>
          <t>Engineering &amp; Development</t>
        </is>
      </c>
      <c r="G138" s="12" t="inlineStr">
        <is>
          <t>Backend Development</t>
        </is>
      </c>
      <c r="H138" s="12" t="inlineStr">
        <is>
          <t>IC</t>
        </is>
      </c>
      <c r="I138" s="42" t="inlineStr">
        <is>
          <t>L3 – Professional / Associate</t>
        </is>
      </c>
      <c r="J138" s="16" t="inlineStr">
        <is>
          <t>A3</t>
        </is>
      </c>
      <c r="K138" s="17" t="inlineStr">
        <is>
          <t>Senior Associate</t>
        </is>
      </c>
      <c r="L138" s="79" t="inlineStr">
        <is>
          <t>▲ Up</t>
        </is>
      </c>
      <c r="M138" s="12" t="inlineStr">
        <is>
          <t>iFile · Technology · Band A · Early career</t>
        </is>
      </c>
      <c r="N138" s="42" t="n">
        <v>2.5</v>
      </c>
      <c r="O138" s="42" t="n">
        <v>2</v>
      </c>
      <c r="P138" s="42" t="n">
        <v>2.5</v>
      </c>
      <c r="Q138" s="42" t="n">
        <v>1</v>
      </c>
      <c r="R138" s="42" t="n">
        <v>4</v>
      </c>
      <c r="S138" s="80" t="n">
        <v>3</v>
      </c>
      <c r="T138" s="81">
        <f>IF(OR($M138="",COUNT(N138,O138,P138,Q138,R138,S138)&lt;6),"",IFERROR(N138*INDEX(WM_C,MATCH($M138,WM_KEY,0))+O138*INDEX(WM_AU,MATCH($M138,WM_KEY,0))+P138*INDEX(WM_AC,MATCH($M138,WM_KEY,0))+Q138*INDEX(WM_L,MATCH($M138,WM_KEY,0))+R138*INDEX(WM_E,MATCH($M138,WM_KEY,0))+S138*INDEX(WM_BI,MATCH($M138,WM_KEY,0)),""))</f>
        <v>2.6</v>
      </c>
      <c r="U138" s="42" t="str">
        <f>IF(T138="","",INDEX({"A1","A2","A3","B1","B2","B3","C1","C2","D1","D2","E1","E2"},MAX(1,MIN(12,ROUND(T138,0)))))</f>
        <v>A3</v>
      </c>
      <c r="V138"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8"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4 of 12 — Experience: 4.3 yrs total · 4.3 at IRIS; none recorded before IRIS = 3.5 on the experience scale; Qualification: MSc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8" s="12" t="inlineStr">
        <is>
          <r>
            <rPr>
              <rFont val="Calibri"/>
              <sz val="10"/>
            </rPr>
            <t xml:space="preserve">✓ HRIS: 4.3 yrs, MSc,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38" s="12" t="inlineStr">
        <is>
          <t>—</t>
        </is>
      </c>
      <c r="AA138" s="12" t="inlineStr">
        <is>
          <t>Nothing outstanding</t>
        </is>
      </c>
      <c r="AB13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AC138" s="82" t="n"/>
      <c r="AD138" s="82" t="n"/>
      <c r="AE138" s="82" t="n"/>
      <c r="AF138" s="12" t="n">
        <v>3</v>
      </c>
    </row>
    <row r="139" ht="400" customHeight="1">
      <c r="A139" s="12" t="inlineStr">
        <is>
          <t>IRIS2257</t>
        </is>
      </c>
      <c r="B139" s="10" t="inlineStr">
        <is>
          <t>Rudransh Nemade</t>
        </is>
      </c>
      <c r="C139" s="12" t="inlineStr">
        <is>
          <t>Technology</t>
        </is>
      </c>
      <c r="D139" s="12" t="inlineStr">
        <is>
          <t>Trainee Software Engineer</t>
        </is>
      </c>
      <c r="E139" s="78" t="inlineStr">
        <is>
          <t>Senior Software Engineer</t>
        </is>
      </c>
      <c r="F139" s="12" t="inlineStr">
        <is>
          <t>Engineering &amp; Development</t>
        </is>
      </c>
      <c r="G139" s="12" t="inlineStr">
        <is>
          <t>Full-Stack Development</t>
        </is>
      </c>
      <c r="H139" s="12" t="inlineStr">
        <is>
          <t>IC</t>
        </is>
      </c>
      <c r="I139" s="42" t="inlineStr">
        <is>
          <t>L2 – Trainee</t>
        </is>
      </c>
      <c r="J139" s="16" t="inlineStr">
        <is>
          <t>A3</t>
        </is>
      </c>
      <c r="K139" s="17" t="inlineStr">
        <is>
          <t>Senior Associate</t>
        </is>
      </c>
      <c r="L139" s="79" t="inlineStr">
        <is>
          <t>▲ Up</t>
        </is>
      </c>
      <c r="M139" s="12" t="inlineStr">
        <is>
          <t>iFile · Technology · Band A · Early career</t>
        </is>
      </c>
      <c r="N139" s="42" t="n">
        <v>2</v>
      </c>
      <c r="O139" s="42" t="n">
        <v>1.5</v>
      </c>
      <c r="P139" s="42" t="n">
        <v>2</v>
      </c>
      <c r="Q139" s="42" t="n">
        <v>1</v>
      </c>
      <c r="R139" s="42" t="n">
        <v>2.5</v>
      </c>
      <c r="S139" s="80" t="n">
        <v>2</v>
      </c>
      <c r="T139" s="81">
        <f>IF(OR($M139="",COUNT(N139,O139,P139,Q139,R139,S139)&lt;6),"",IFERROR(N139*INDEX(WM_C,MATCH($M139,WM_KEY,0))+O139*INDEX(WM_AU,MATCH($M139,WM_KEY,0))+P139*INDEX(WM_AC,MATCH($M139,WM_KEY,0))+Q139*INDEX(WM_L,MATCH($M139,WM_KEY,0))+R139*INDEX(WM_E,MATCH($M139,WM_KEY,0))+S139*INDEX(WM_BI,MATCH($M139,WM_KEY,0)),""))</f>
        <v>1.97</v>
      </c>
      <c r="U139" s="42" t="str">
        <f>IF(T139="","",INDEX({"A1","A2","A3","B1","B2","B3","C1","C2","D1","D2","E1","E2"},MAX(1,MIN(12,ROUND(T139,0)))))</f>
        <v>A2</v>
      </c>
      <c r="V139" s="12" t="inlineStr">
        <is>
          <r>
            <rPr>
              <rFont val="Calibri"/>
              <sz val="10"/>
            </rPr>
            <t xml:space="preserve">New level A3 · Senior Associate. Current level on record: L2 – Trainee. Change: ▲ Up.
Score 1.97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139" s="12" t="inlineStr">
        <is>
          <r>
            <rPr>
              <rFont val="Calibri"/>
              <b val="1"/>
              <sz val="10"/>
            </rPr>
            <t>Complexity &amp; Expertise:</t>
          </r>
          <r>
            <rPr>
              <rFont val="Calibri"/>
              <sz val="10"/>
            </rPr>
            <t xml:space="preserve"> 2 of 12 — Start: 1.0 · trainee / intern title; Evidence reads like B1: Sole developer of CSV validator; builds engines for XBRL conformance suites, table constraints, XULE → moved up 1; KRA: “1. Deliver committed sprint stories with &gt;=90% sprint commitment adherence across the year 2. Maintain code quality: defect leakage to…”
</t>
          </r>
          <r>
            <rPr>
              <rFont val="Calibri"/>
              <b val="1"/>
              <sz val="10"/>
            </rPr>
            <t>Autonomy &amp; Decision:</t>
          </r>
          <r>
            <rPr>
              <rFont val="Calibri"/>
              <sz val="10"/>
            </rPr>
            <t xml:space="preserve"> 1.5 of 12 · between A1 and A2 — Start: 1.0 · trainee / intern title; Evidence reads like A2: Only test cases and documentation named as independent decisions → moved up 0.5
</t>
          </r>
          <r>
            <rPr>
              <rFont val="Calibri"/>
              <b val="1"/>
              <sz val="10"/>
            </rPr>
            <t>Accountability &amp; Impact:</t>
          </r>
          <r>
            <rPr>
              <rFont val="Calibri"/>
              <sz val="10"/>
            </rPr>
            <t xml:space="preserve"> 2 of 12 — Start: 1.0 · trainee / intern title; Evidence reads like A3: own survey / KRA answers · summarised by the rater; not quoted → moved up 1;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3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39" s="12" t="inlineStr">
        <is>
          <r>
            <rPr>
              <rFont val="Calibri"/>
              <sz val="10"/>
            </rPr>
            <t xml:space="preserve">✓ HRIS: 2.3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39" s="12" t="inlineStr">
        <is>
          <t>—</t>
        </is>
      </c>
      <c r="AA139" s="12" t="inlineStr">
        <is>
          <t>Nothing outstanding</t>
        </is>
      </c>
      <c r="AB13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4 · Potential: Medium · 9-Box Grid placement: Emerging Talent.</t>
          </r>
        </is>
      </c>
      <c r="AC139" s="82" t="n"/>
      <c r="AD139" s="82" t="n"/>
      <c r="AE139" s="82" t="n"/>
      <c r="AF139" s="12" t="n">
        <v>2</v>
      </c>
    </row>
    <row r="140" ht="400" customHeight="1">
      <c r="A140" s="12" t="inlineStr">
        <is>
          <t>IRIS2433</t>
        </is>
      </c>
      <c r="B140" s="10" t="inlineStr">
        <is>
          <t>Sadhna Sahu</t>
        </is>
      </c>
      <c r="C140" s="12" t="inlineStr">
        <is>
          <t>Technology</t>
        </is>
      </c>
      <c r="D140" s="12" t="inlineStr">
        <is>
          <t>Software Engineer</t>
        </is>
      </c>
      <c r="E140" s="78" t="inlineStr">
        <is>
          <t>Senior Software Engineer</t>
        </is>
      </c>
      <c r="F140" s="12" t="inlineStr">
        <is>
          <t>Engineering &amp; Development</t>
        </is>
      </c>
      <c r="G140" s="12" t="inlineStr">
        <is>
          <t>Backend Development</t>
        </is>
      </c>
      <c r="H140" s="12" t="inlineStr">
        <is>
          <t>IC</t>
        </is>
      </c>
      <c r="I140" s="42" t="inlineStr">
        <is>
          <t>Not in current mapping files</t>
        </is>
      </c>
      <c r="J140" s="16" t="inlineStr">
        <is>
          <t>A3</t>
        </is>
      </c>
      <c r="K140" s="17" t="inlineStr">
        <is>
          <t>Senior Associate</t>
        </is>
      </c>
      <c r="L140" s="85" t="inlineStr">
        <is>
          <t>● Newly mapped</t>
        </is>
      </c>
      <c r="M140" s="12" t="inlineStr">
        <is>
          <t>iFile · Technology · Band A · Early career</t>
        </is>
      </c>
      <c r="N140" s="42" t="n">
        <v>2.5</v>
      </c>
      <c r="O140" s="42" t="n">
        <v>2</v>
      </c>
      <c r="P140" s="42" t="n">
        <v>2.5</v>
      </c>
      <c r="Q140" s="42" t="n">
        <v>1</v>
      </c>
      <c r="R140" s="42" t="n">
        <v>3</v>
      </c>
      <c r="S140" s="80" t="n">
        <v>2.5</v>
      </c>
      <c r="T140" s="81">
        <f>IF(OR($M140="",COUNT(N140,O140,P140,Q140,R140,S140)&lt;6),"",IFERROR(N140*INDEX(WM_C,MATCH($M140,WM_KEY,0))+O140*INDEX(WM_AU,MATCH($M140,WM_KEY,0))+P140*INDEX(WM_AC,MATCH($M140,WM_KEY,0))+Q140*INDEX(WM_L,MATCH($M140,WM_KEY,0))+R140*INDEX(WM_E,MATCH($M140,WM_KEY,0))+S140*INDEX(WM_BI,MATCH($M140,WM_KEY,0)),""))</f>
        <v>2.47</v>
      </c>
      <c r="U140" s="42" t="str">
        <f>IF(T140="","",INDEX({"A1","A2","A3","B1","B2","B3","C1","C2","D1","D2","E1","E2"},MAX(1,MIN(12,ROUND(T140,0)))))</f>
        <v>A2</v>
      </c>
      <c r="V140" s="12" t="inlineStr">
        <is>
          <r>
            <rPr>
              <rFont val="Calibri"/>
              <sz val="10"/>
            </rPr>
            <t xml:space="preserve">New level A3 · Senior Associate. Current level on record: Not in current mapping files. Change: ● Newly mapped.
Score 2.47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2.5 years' experience is 2 years or more.
</t>
          </r>
          <r>
            <rPr>
              <rFont val="Calibri"/>
              <b val="1"/>
              <sz val="10"/>
            </rPr>
            <t>Final level:</t>
          </r>
          <r>
            <rPr>
              <rFont val="Calibri"/>
              <sz val="10"/>
            </rPr>
            <t xml:space="preserve"> A3.</t>
          </r>
        </is>
      </c>
      <c r="W140" s="12" t="inlineStr">
        <is>
          <r>
            <rPr>
              <rFont val="Calibri"/>
              <b val="1"/>
              <sz val="10"/>
            </rPr>
            <t>Complexity &amp; Expertise:</t>
          </r>
          <r>
            <rPr>
              <rFont val="Calibri"/>
              <sz val="10"/>
            </rPr>
            <t xml:space="preserve"> 2.5 of 12 · between A2 and A3 — Start: 2.0 · practitioner title; Evidence: rated like 36 colleagues in the same role and department · no usable answers of their own → moved +0.5
</t>
          </r>
          <r>
            <rPr>
              <rFont val="Calibri"/>
              <b val="1"/>
              <sz val="10"/>
            </rPr>
            <t>Autonomy &amp; Decision:</t>
          </r>
          <r>
            <rPr>
              <rFont val="Calibri"/>
              <sz val="10"/>
            </rPr>
            <t xml:space="preserve"> 2 of 12 — Start: 2.0 · practitioner title; Evidence: rated like 36 colleagues in the same role and department · no usable answers of their own → no change
</t>
          </r>
          <r>
            <rPr>
              <rFont val="Calibri"/>
              <b val="1"/>
              <sz val="10"/>
            </rPr>
            <t>Accountability &amp; Impact:</t>
          </r>
          <r>
            <rPr>
              <rFont val="Calibri"/>
              <sz val="10"/>
            </rPr>
            <t xml:space="preserve"> 2.5 of 12 · between A2 and A3 — Start: 2.0 · practitioner title; Evidence: rated like 36 colleagues in the same role and department · no usable answers of their own → moved +0.5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no usable answers of their own → no change; Team: 0 direct reports · IC
</t>
          </r>
          <r>
            <rPr>
              <rFont val="Calibri"/>
              <b val="1"/>
              <sz val="10"/>
            </rPr>
            <t>Experience &amp; Qualification:</t>
          </r>
          <r>
            <rPr>
              <rFont val="Calibri"/>
              <sz val="10"/>
            </rPr>
            <t xml:space="preserve"> 3 of 12 — Experience: 2.5 yrs total · 1.5 before IRIS + 1.0 at IRIS = 2.8 on the experience scale; Qualification: B.Tech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4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0" s="12" t="inlineStr">
        <is>
          <r>
            <rPr>
              <rFont val="Calibri"/>
              <sz val="10"/>
            </rPr>
            <t xml:space="preserve">✓ HRIS: 2.5 yrs, B.Tech, 0 direct reports
✗ Survey: no response
✗ KRAs: none on file
✓ Manager mapping: rating, 9-box
✗ Job description: not on file
</t>
          </r>
          <r>
            <rPr>
              <rFont val="Calibri"/>
              <b val="1"/>
              <sz val="10"/>
            </rPr>
            <t>Confidence:</t>
          </r>
          <r>
            <rPr>
              <rFont val="Calibri"/>
              <sz val="10"/>
            </rPr>
            <t xml:space="preserve"> Low</t>
          </r>
        </is>
      </c>
      <c r="Z140" s="12" t="inlineStr">
        <is>
          <t>—</t>
        </is>
      </c>
      <c r="AA140" s="86" t="inlineStr">
        <is>
          <t>• Survey response or KRAs describing the work · nothing on file — Employee + manager</t>
        </is>
      </c>
      <c r="AB14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AC140" s="82" t="n"/>
      <c r="AD140" s="82" t="n"/>
      <c r="AE140" s="82" t="n"/>
      <c r="AF140" s="12" t="n">
        <v>2.5</v>
      </c>
    </row>
    <row r="141" ht="400" customHeight="1">
      <c r="A141" s="12" t="inlineStr">
        <is>
          <t>IRIS2476</t>
        </is>
      </c>
      <c r="B141" s="10" t="inlineStr">
        <is>
          <t>Sagar Soni</t>
        </is>
      </c>
      <c r="C141" s="12" t="inlineStr">
        <is>
          <t>Technology</t>
        </is>
      </c>
      <c r="D141" s="12" t="inlineStr">
        <is>
          <t>Software Engineer</t>
        </is>
      </c>
      <c r="E141" s="78" t="inlineStr">
        <is>
          <t>Senior Software Engineer</t>
        </is>
      </c>
      <c r="F141" s="12" t="inlineStr">
        <is>
          <t>Engineering &amp; Development</t>
        </is>
      </c>
      <c r="G141" s="12" t="inlineStr">
        <is>
          <t>Backend Development</t>
        </is>
      </c>
      <c r="H141" s="12" t="inlineStr">
        <is>
          <t>IC</t>
        </is>
      </c>
      <c r="I141" s="42" t="inlineStr">
        <is>
          <t>L3 – Professional / Associate</t>
        </is>
      </c>
      <c r="J141" s="16" t="inlineStr">
        <is>
          <t>A3</t>
        </is>
      </c>
      <c r="K141" s="17" t="inlineStr">
        <is>
          <t>Senior Associate</t>
        </is>
      </c>
      <c r="L141" s="79" t="inlineStr">
        <is>
          <t>▲ Up</t>
        </is>
      </c>
      <c r="M141" s="12" t="inlineStr">
        <is>
          <t>iFile · Technology · Band A · Early career</t>
        </is>
      </c>
      <c r="N141" s="42" t="n">
        <v>2.5</v>
      </c>
      <c r="O141" s="42" t="n">
        <v>2</v>
      </c>
      <c r="P141" s="42" t="n">
        <v>2.5</v>
      </c>
      <c r="Q141" s="42" t="n">
        <v>1</v>
      </c>
      <c r="R141" s="42" t="n">
        <v>4</v>
      </c>
      <c r="S141" s="80" t="n">
        <v>2.5</v>
      </c>
      <c r="T141" s="81">
        <f>IF(OR($M141="",COUNT(N141,O141,P141,Q141,R141,S141)&lt;6),"",IFERROR(N141*INDEX(WM_C,MATCH($M141,WM_KEY,0))+O141*INDEX(WM_AU,MATCH($M141,WM_KEY,0))+P141*INDEX(WM_AC,MATCH($M141,WM_KEY,0))+Q141*INDEX(WM_L,MATCH($M141,WM_KEY,0))+R141*INDEX(WM_E,MATCH($M141,WM_KEY,0))+S141*INDEX(WM_BI,MATCH($M141,WM_KEY,0)),""))</f>
        <v>2.57</v>
      </c>
      <c r="U141" s="42" t="str">
        <f>IF(T141="","",INDEX({"A1","A2","A3","B1","B2","B3","C1","C2","D1","D2","E1","E2"},MAX(1,MIN(12,ROUND(T141,0)))))</f>
        <v>A3</v>
      </c>
      <c r="V141" s="12" t="inlineStr">
        <is>
          <r>
            <rPr>
              <rFont val="Calibri"/>
              <sz val="10"/>
            </rPr>
            <t xml:space="preserve">New level A3 · Senior Associate. Current level on record: L3 – Professional / Associate. Change: ▲ Up.
Score 2.57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1" s="12" t="inlineStr">
        <is>
          <r>
            <rPr>
              <rFont val="Calibri"/>
              <b val="1"/>
              <sz val="10"/>
            </rPr>
            <t>Complexity &amp; Expertise:</t>
          </r>
          <r>
            <rPr>
              <rFont val="Calibri"/>
              <sz val="10"/>
            </rPr>
            <t xml:space="preserve"> 2.5 of 12 · between A2 and A3 — Start: 2.0 · practitioner title; Evidence reads like A3: Security remediation against SAST gates on RBI iFileCIMS; judges fix versus 'Not Exploitable'; maintains CI/CD pipeline → moved up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code fixes and bug calls; infrastructure changes go through formal CRs → matches the start
</t>
          </r>
          <r>
            <rPr>
              <rFont val="Calibri"/>
              <b val="1"/>
              <sz val="10"/>
            </rPr>
            <t>Accountability &amp; Impact:</t>
          </r>
          <r>
            <rPr>
              <rFont val="Calibri"/>
              <sz val="10"/>
            </rPr>
            <t xml:space="preserve"> 2.5 of 12 · between A2 and A3 — Start: 2.0 · practitioner title; Evidence reads like A3: Own code, security fixes and pipeline reliability carry RBI audit and QA/production consequences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4 of 12 — Experience: 4.9 yrs total · 4.3 before IRIS + 0.6 at IRIS = 3.8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4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1" s="12" t="inlineStr">
        <is>
          <r>
            <rPr>
              <rFont val="Calibri"/>
              <sz val="10"/>
            </rPr>
            <t xml:space="preserve">✓ HRIS: 4.9 yrs, B.E,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41" s="12" t="inlineStr">
        <is>
          <t>—</t>
        </is>
      </c>
      <c r="AA141" s="12" t="inlineStr">
        <is>
          <t>Nothing outstanding</t>
        </is>
      </c>
      <c r="AB14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Low · 9-Box Grid placement: Core Contributor.</t>
          </r>
        </is>
      </c>
      <c r="AC141" s="82" t="n"/>
      <c r="AD141" s="82" t="n"/>
      <c r="AE141" s="82" t="n"/>
      <c r="AF141" s="12" t="n">
        <v>2.5</v>
      </c>
    </row>
    <row r="142" ht="400" customHeight="1">
      <c r="A142" s="12" t="inlineStr">
        <is>
          <t>IRIS2194</t>
        </is>
      </c>
      <c r="B142" s="10" t="inlineStr">
        <is>
          <t>Sahil Chavan</t>
        </is>
      </c>
      <c r="C142" s="12" t="inlineStr">
        <is>
          <t>Technology</t>
        </is>
      </c>
      <c r="D142" s="12" t="inlineStr">
        <is>
          <t>Software Engineer</t>
        </is>
      </c>
      <c r="E142" s="78" t="inlineStr">
        <is>
          <t>Senior Software Engineer</t>
        </is>
      </c>
      <c r="F142" s="12" t="inlineStr">
        <is>
          <t>Engineering &amp; Development</t>
        </is>
      </c>
      <c r="G142" s="12" t="inlineStr">
        <is>
          <t>Backend Development</t>
        </is>
      </c>
      <c r="H142" s="12" t="inlineStr">
        <is>
          <t>IC</t>
        </is>
      </c>
      <c r="I142" s="42" t="inlineStr">
        <is>
          <t>L3 – Professional / Associate</t>
        </is>
      </c>
      <c r="J142" s="16" t="inlineStr">
        <is>
          <t>A3</t>
        </is>
      </c>
      <c r="K142" s="17" t="inlineStr">
        <is>
          <t>Senior Associate</t>
        </is>
      </c>
      <c r="L142" s="79" t="inlineStr">
        <is>
          <t>▲ Up</t>
        </is>
      </c>
      <c r="M142" s="12" t="inlineStr">
        <is>
          <t>iFile · Technology · Band A · Early career</t>
        </is>
      </c>
      <c r="N142" s="42" t="n">
        <v>2.5</v>
      </c>
      <c r="O142" s="42" t="n">
        <v>2</v>
      </c>
      <c r="P142" s="42" t="n">
        <v>2.5</v>
      </c>
      <c r="Q142" s="42" t="n">
        <v>1</v>
      </c>
      <c r="R142" s="42" t="n">
        <v>4</v>
      </c>
      <c r="S142" s="80" t="n">
        <v>3</v>
      </c>
      <c r="T142" s="81">
        <f>IF(OR($M142="",COUNT(N142,O142,P142,Q142,R142,S142)&lt;6),"",IFERROR(N142*INDEX(WM_C,MATCH($M142,WM_KEY,0))+O142*INDEX(WM_AU,MATCH($M142,WM_KEY,0))+P142*INDEX(WM_AC,MATCH($M142,WM_KEY,0))+Q142*INDEX(WM_L,MATCH($M142,WM_KEY,0))+R142*INDEX(WM_E,MATCH($M142,WM_KEY,0))+S142*INDEX(WM_BI,MATCH($M142,WM_KEY,0)),""))</f>
        <v>2.6</v>
      </c>
      <c r="U142" s="42" t="str">
        <f>IF(T142="","",INDEX({"A1","A2","A3","B1","B2","B3","C1","C2","D1","D2","E1","E2"},MAX(1,MIN(12,ROUND(T142,0)))))</f>
        <v>A3</v>
      </c>
      <c r="V142"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2" s="12" t="inlineStr">
        <is>
          <r>
            <rPr>
              <rFont val="Calibri"/>
              <b val="1"/>
              <sz val="10"/>
            </rPr>
            <t>Complexity &amp; Expertise:</t>
          </r>
          <r>
            <rPr>
              <rFont val="Calibri"/>
              <sz val="10"/>
            </rPr>
            <t xml:space="preserve"> 2.5 of 12 · between A2 and A3 — Start: 2.0 · practitioner title; Evidence reads like A3: KRA: built and deployed reminder, external-user email and late-approval modules; researched restart-free properties refresh → moved up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the code approach → matches the start
</t>
          </r>
          <r>
            <rPr>
              <rFont val="Calibri"/>
              <b val="1"/>
              <sz val="10"/>
            </rPr>
            <t>Accountability &amp; Impact:</t>
          </r>
          <r>
            <rPr>
              <rFont val="Calibri"/>
              <sz val="10"/>
            </rPr>
            <t xml:space="preserve"> 2.5 of 12 · between A2 and A3 — Start: 2.0 · practitioner title; Evidence reads like A3: KRA: features deployed to production for the client; accountable for understanding client requirements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4 of 12 — Experience: 5.2 yrs total · 2.2 before IRIS + 3.0 at IRIS = 3.9 on the experience scale;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2" s="12" t="inlineStr">
        <is>
          <r>
            <rPr>
              <rFont val="Calibri"/>
              <sz val="10"/>
            </rPr>
            <t xml:space="preserve">✓ HRIS: 5.2 yrs, B.E, 0 direct reports
✓ Survey: 19 of 20 questions answered
✓ KRAs: self, manager-set, quarterly
✓ Manager mapping: rating, potential, 9-box
✗ Job description: not on file
</t>
          </r>
          <r>
            <rPr>
              <rFont val="Calibri"/>
              <b val="1"/>
              <sz val="10"/>
            </rPr>
            <t>Confidence:</t>
          </r>
          <r>
            <rPr>
              <rFont val="Calibri"/>
              <sz val="10"/>
            </rPr>
            <t xml:space="preserve"> Medium</t>
          </r>
        </is>
      </c>
      <c r="Z142" s="12" t="inlineStr">
        <is>
          <t>—</t>
        </is>
      </c>
      <c r="AA142" s="12" t="inlineStr">
        <is>
          <t>Nothing outstanding</t>
        </is>
      </c>
      <c r="AB14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AC142" s="82" t="n"/>
      <c r="AD142" s="82" t="n"/>
      <c r="AE142" s="82" t="n"/>
      <c r="AF142" s="12" t="n">
        <v>3</v>
      </c>
    </row>
    <row r="143" ht="400" customHeight="1">
      <c r="A143" s="12" t="inlineStr">
        <is>
          <t>IRIS2183</t>
        </is>
      </c>
      <c r="B143" s="10" t="inlineStr">
        <is>
          <t>Saikiran Rowlo</t>
        </is>
      </c>
      <c r="C143" s="12" t="inlineStr">
        <is>
          <t>Technology</t>
        </is>
      </c>
      <c r="D143" s="12" t="inlineStr">
        <is>
          <t>Junior Software Engineer</t>
        </is>
      </c>
      <c r="E143" s="78" t="inlineStr">
        <is>
          <t>Senior Software Engineer</t>
        </is>
      </c>
      <c r="F143" s="12" t="inlineStr">
        <is>
          <t>Engineering &amp; Development</t>
        </is>
      </c>
      <c r="G143" s="12" t="inlineStr">
        <is>
          <t>Backend Development</t>
        </is>
      </c>
      <c r="H143" s="12" t="inlineStr">
        <is>
          <t>IC</t>
        </is>
      </c>
      <c r="I143" s="42" t="inlineStr">
        <is>
          <t>L3 – Professional / Associate</t>
        </is>
      </c>
      <c r="J143" s="16" t="inlineStr">
        <is>
          <t>A3</t>
        </is>
      </c>
      <c r="K143" s="17" t="inlineStr">
        <is>
          <t>Senior Associate</t>
        </is>
      </c>
      <c r="L143" s="79" t="inlineStr">
        <is>
          <t>▲ Up</t>
        </is>
      </c>
      <c r="M143" s="12" t="inlineStr">
        <is>
          <t>iFile · Technology · Band A · Early career</t>
        </is>
      </c>
      <c r="N143" s="42" t="n">
        <v>2</v>
      </c>
      <c r="O143" s="42" t="n">
        <v>2</v>
      </c>
      <c r="P143" s="42" t="n">
        <v>2.5</v>
      </c>
      <c r="Q143" s="42" t="n">
        <v>1</v>
      </c>
      <c r="R143" s="42" t="n">
        <v>3</v>
      </c>
      <c r="S143" s="80" t="n">
        <v>2.5</v>
      </c>
      <c r="T143" s="81">
        <f>IF(OR($M143="",COUNT(N143,O143,P143,Q143,R143,S143)&lt;6),"",IFERROR(N143*INDEX(WM_C,MATCH($M143,WM_KEY,0))+O143*INDEX(WM_AU,MATCH($M143,WM_KEY,0))+P143*INDEX(WM_AC,MATCH($M143,WM_KEY,0))+Q143*INDEX(WM_L,MATCH($M143,WM_KEY,0))+R143*INDEX(WM_E,MATCH($M143,WM_KEY,0))+S143*INDEX(WM_BI,MATCH($M143,WM_KEY,0)),""))</f>
        <v>2.15</v>
      </c>
      <c r="U143" s="42" t="str">
        <f>IF(T143="","",INDEX({"A1","A2","A3","B1","B2","B3","C1","C2","D1","D2","E1","E2"},MAX(1,MIN(12,ROUND(T143,0)))))</f>
        <v>A2</v>
      </c>
      <c r="V143"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 years' experience is 2 years or more.
</t>
          </r>
          <r>
            <rPr>
              <rFont val="Calibri"/>
              <b val="1"/>
              <sz val="10"/>
            </rPr>
            <t>Final level:</t>
          </r>
          <r>
            <rPr>
              <rFont val="Calibri"/>
              <sz val="10"/>
            </rPr>
            <t xml:space="preserve"> A3.</t>
          </r>
        </is>
      </c>
      <c r="W143" s="12" t="inlineStr">
        <is>
          <r>
            <rPr>
              <rFont val="Calibri"/>
              <b val="1"/>
              <sz val="10"/>
            </rPr>
            <t>Complexity &amp; Expertise:</t>
          </r>
          <r>
            <rPr>
              <rFont val="Calibri"/>
              <sz val="10"/>
            </rPr>
            <t xml:space="preserve"> 2 of 12 — Start: 2.0 · practitioner title; Evidence reads like A2: Develops and maintains one application, handles support issues, applies XBRL specification updates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on support issues only → matches the start
</t>
          </r>
          <r>
            <rPr>
              <rFont val="Calibri"/>
              <b val="1"/>
              <sz val="10"/>
            </rPr>
            <t>Accountability &amp; Impact:</t>
          </r>
          <r>
            <rPr>
              <rFont val="Calibri"/>
              <sz val="10"/>
            </rPr>
            <t xml:space="preserve"> 2.5 of 12 · between A2 and A3 — Start: 2.0 · practitioner title; Evidence reads like A3: Maintains the application's codebase and its support; must fix and redeliver quickly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 of 12 — Experience: 3.0 yrs total · 3.0 at IRIS; none recorded before IRIS = 3.0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r>
        </is>
      </c>
      <c r="X14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3" s="12" t="inlineStr">
        <is>
          <r>
            <rPr>
              <rFont val="Calibri"/>
              <sz val="10"/>
            </rPr>
            <t xml:space="preserve">✓ HRIS: 3.0 yrs, B.E, 0 direct reports
✓ Survey: 17 of 20 questions answered
✓ KRAs: manager-set, quarterly
✓ Manager mapping: rating, potential, 9-box
✗ Job description: not on file
</t>
          </r>
          <r>
            <rPr>
              <rFont val="Calibri"/>
              <b val="1"/>
              <sz val="10"/>
            </rPr>
            <t>Confidence:</t>
          </r>
          <r>
            <rPr>
              <rFont val="Calibri"/>
              <sz val="10"/>
            </rPr>
            <t xml:space="preserve"> Medium</t>
          </r>
        </is>
      </c>
      <c r="Z143" s="12" t="inlineStr">
        <is>
          <t>—</t>
        </is>
      </c>
      <c r="AA143" s="12" t="inlineStr">
        <is>
          <t>Nothing outstanding</t>
        </is>
      </c>
      <c r="AB14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no;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Emerging Talent.</t>
          </r>
        </is>
      </c>
      <c r="AC143" s="82" t="n"/>
      <c r="AD143" s="82" t="n"/>
      <c r="AE143" s="82" t="n"/>
      <c r="AF143" s="12" t="n">
        <v>2.5</v>
      </c>
    </row>
    <row r="144" ht="400" customHeight="1">
      <c r="A144" s="12" t="inlineStr">
        <is>
          <t>IRIS1871</t>
        </is>
      </c>
      <c r="B144" s="10" t="inlineStr">
        <is>
          <t>Sandeep Mehta</t>
        </is>
      </c>
      <c r="C144" s="12" t="inlineStr">
        <is>
          <t>Technology</t>
        </is>
      </c>
      <c r="D144" s="12" t="inlineStr">
        <is>
          <t>Software Engineer</t>
        </is>
      </c>
      <c r="E144" s="78" t="inlineStr">
        <is>
          <t>Senior Software Engineer</t>
        </is>
      </c>
      <c r="F144" s="12" t="inlineStr">
        <is>
          <t>Engineering &amp; Development</t>
        </is>
      </c>
      <c r="G144" s="12" t="inlineStr">
        <is>
          <t>Backend Development</t>
        </is>
      </c>
      <c r="H144" s="12" t="inlineStr">
        <is>
          <t>IC</t>
        </is>
      </c>
      <c r="I144" s="42" t="inlineStr">
        <is>
          <t>L3 – Professional / Associate</t>
        </is>
      </c>
      <c r="J144" s="16" t="inlineStr">
        <is>
          <t>A3</t>
        </is>
      </c>
      <c r="K144" s="17" t="inlineStr">
        <is>
          <t>Senior Associate</t>
        </is>
      </c>
      <c r="L144" s="79" t="inlineStr">
        <is>
          <t>▲ Up</t>
        </is>
      </c>
      <c r="M144" s="12" t="inlineStr">
        <is>
          <t>iFile · Technology · Band A · Early career</t>
        </is>
      </c>
      <c r="N144" s="42" t="n">
        <v>2.5</v>
      </c>
      <c r="O144" s="42" t="n">
        <v>2</v>
      </c>
      <c r="P144" s="42" t="n">
        <v>2</v>
      </c>
      <c r="Q144" s="42" t="n">
        <v>1</v>
      </c>
      <c r="R144" s="42" t="n">
        <v>4</v>
      </c>
      <c r="S144" s="80" t="n">
        <v>2.5</v>
      </c>
      <c r="T144" s="81">
        <f>IF(OR($M144="",COUNT(N144,O144,P144,Q144,R144,S144)&lt;6),"",IFERROR(N144*INDEX(WM_C,MATCH($M144,WM_KEY,0))+O144*INDEX(WM_AU,MATCH($M144,WM_KEY,0))+P144*INDEX(WM_AC,MATCH($M144,WM_KEY,0))+Q144*INDEX(WM_L,MATCH($M144,WM_KEY,0))+R144*INDEX(WM_E,MATCH($M144,WM_KEY,0))+S144*INDEX(WM_BI,MATCH($M144,WM_KEY,0)),""))</f>
        <v>2.55</v>
      </c>
      <c r="U144" s="42" t="str">
        <f>IF(T144="","",INDEX({"A1","A2","A3","B1","B2","B3","C1","C2","D1","D2","E1","E2"},MAX(1,MIN(12,ROUND(T144,0)))))</f>
        <v>A3</v>
      </c>
      <c r="V144" s="12" t="inlineStr">
        <is>
          <r>
            <rPr>
              <rFont val="Calibri"/>
              <sz val="10"/>
            </rPr>
            <t xml:space="preserve">New level A3 · Senior Associate. Current level on record: L3 – Professional / Associate. Change: ▲ Up.
Score 2.55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4" s="12" t="inlineStr">
        <is>
          <r>
            <rPr>
              <rFont val="Calibri"/>
              <b val="1"/>
              <sz val="10"/>
            </rPr>
            <t>Complexity &amp; Expertise:</t>
          </r>
          <r>
            <rPr>
              <rFont val="Calibri"/>
              <sz val="10"/>
            </rPr>
            <t xml:space="preserve"> 2.5 of 12 · between A2 and A3 — Start: 2.0 · practitioner title; Evidence reads like A3: Builds XBRL validation tool features: analyses the specification, plans design, tests and optimises performance → moved up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the method for adding a feature → matches the start
</t>
          </r>
          <r>
            <rPr>
              <rFont val="Calibri"/>
              <b val="1"/>
              <sz val="10"/>
            </rPr>
            <t>Accountability &amp; Impact:</t>
          </r>
          <r>
            <rPr>
              <rFont val="Calibri"/>
              <sz val="10"/>
            </rPr>
            <t xml:space="preserve"> 2 of 12 — Start: 2.0 · practitioner title; Evidence reads like A2: Accountable for accuracy, performance and on-time delivery of own new features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4 of 12 — Experience: 6.0 yrs total · 6.0 at IRIS; none recorded before IRIS = 4.2 on the experience scale; Qualification: B.Tech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4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4" s="12" t="inlineStr">
        <is>
          <r>
            <rPr>
              <rFont val="Calibri"/>
              <sz val="10"/>
            </rPr>
            <t xml:space="preserve">✓ HRIS: 6.0 yrs, B.Tech,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44" s="12" t="inlineStr">
        <is>
          <t>—</t>
        </is>
      </c>
      <c r="AA144" s="12" t="inlineStr">
        <is>
          <t>Nothing outstanding</t>
        </is>
      </c>
      <c r="AB14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Trusted Professional.</t>
          </r>
        </is>
      </c>
      <c r="AC144" s="82" t="n"/>
      <c r="AD144" s="82" t="n"/>
      <c r="AE144" s="82" t="n"/>
      <c r="AF144" s="12" t="n">
        <v>2.5</v>
      </c>
    </row>
    <row r="145" ht="400" customHeight="1">
      <c r="A145" s="12" t="inlineStr">
        <is>
          <t>IRIS2267</t>
        </is>
      </c>
      <c r="B145" s="10" t="inlineStr">
        <is>
          <t>Saurabh Jaykumar Wanjari</t>
        </is>
      </c>
      <c r="C145" s="12" t="inlineStr">
        <is>
          <t>Technology</t>
        </is>
      </c>
      <c r="D145" s="12" t="inlineStr">
        <is>
          <t>Software Engineer</t>
        </is>
      </c>
      <c r="E145" s="78" t="inlineStr">
        <is>
          <t>Senior Software Engineer</t>
        </is>
      </c>
      <c r="F145" s="12" t="inlineStr">
        <is>
          <t>Engineering &amp; Development</t>
        </is>
      </c>
      <c r="G145" s="12" t="inlineStr">
        <is>
          <t>Backend Development</t>
        </is>
      </c>
      <c r="H145" s="12" t="inlineStr">
        <is>
          <t>IC</t>
        </is>
      </c>
      <c r="I145" s="42" t="inlineStr">
        <is>
          <t>L2 – Trainee</t>
        </is>
      </c>
      <c r="J145" s="16" t="inlineStr">
        <is>
          <t>A3</t>
        </is>
      </c>
      <c r="K145" s="17" t="inlineStr">
        <is>
          <t>Senior Associate</t>
        </is>
      </c>
      <c r="L145" s="79" t="inlineStr">
        <is>
          <t>▲ Up</t>
        </is>
      </c>
      <c r="M145" s="12" t="inlineStr">
        <is>
          <t>iFile · Technology · Band A · Early career</t>
        </is>
      </c>
      <c r="N145" s="42" t="n">
        <v>2.5</v>
      </c>
      <c r="O145" s="42" t="n">
        <v>2.5</v>
      </c>
      <c r="P145" s="42" t="n">
        <v>2.5</v>
      </c>
      <c r="Q145" s="42" t="n">
        <v>1.5</v>
      </c>
      <c r="R145" s="42" t="n">
        <v>2.5</v>
      </c>
      <c r="S145" s="80" t="n">
        <v>3</v>
      </c>
      <c r="T145" s="81">
        <f>IF(OR($M145="",COUNT(N145,O145,P145,Q145,R145,S145)&lt;6),"",IFERROR(N145*INDEX(WM_C,MATCH($M145,WM_KEY,0))+O145*INDEX(WM_AU,MATCH($M145,WM_KEY,0))+P145*INDEX(WM_AC,MATCH($M145,WM_KEY,0))+Q145*INDEX(WM_L,MATCH($M145,WM_KEY,0))+R145*INDEX(WM_E,MATCH($M145,WM_KEY,0))+S145*INDEX(WM_BI,MATCH($M145,WM_KEY,0)),""))</f>
        <v>2.53</v>
      </c>
      <c r="U145" s="42" t="str">
        <f>IF(T145="","",INDEX({"A1","A2","A3","B1","B2","B3","C1","C2","D1","D2","E1","E2"},MAX(1,MIN(12,ROUND(T145,0)))))</f>
        <v>A3</v>
      </c>
      <c r="V145" s="12" t="inlineStr">
        <is>
          <r>
            <rPr>
              <rFont val="Calibri"/>
              <sz val="10"/>
            </rPr>
            <t xml:space="preserve">New level A3 · Senior Associate. Current level on record: L2 – Trainee. Change: ▲ Up.
Score 2.53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5" s="12" t="inlineStr">
        <is>
          <r>
            <rPr>
              <rFont val="Calibri"/>
              <b val="1"/>
              <sz val="10"/>
            </rPr>
            <t>Complexity &amp; Expertise:</t>
          </r>
          <r>
            <rPr>
              <rFont val="Calibri"/>
              <sz val="10"/>
            </rPr>
            <t xml:space="preserve"> 2.5 of 12 · between A2 and A3 — Start: 2.0 · practitioner title; Evidence reads like A3: Development plus code merging, deployment on Kubernetes/Azure/AWS, support, and proposing solutions on client calls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Decides deployment, testing and bug fixes; proposes technical solutions to clients → moved up 0.5
</t>
          </r>
          <r>
            <rPr>
              <rFont val="Calibri"/>
              <b val="1"/>
              <sz val="10"/>
            </rPr>
            <t>Accountability &amp; Impact:</t>
          </r>
          <r>
            <rPr>
              <rFont val="Calibri"/>
              <sz val="10"/>
            </rPr>
            <t xml:space="preserve"> 2.5 of 12 · between A2 and A3 — Start: 2.0 · practitioner title; Evidence reads like A3: Accountable for solutions he proposes; failures escalate to the client and he explains them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1.0 · individual contributor, so influence only; Evidence reads like A2: Acts as technical lead at client site only 'when required'; not a standing duty → moved up 0.5;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B.Tech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5" s="12" t="inlineStr">
        <is>
          <r>
            <rPr>
              <rFont val="Calibri"/>
              <sz val="10"/>
            </rPr>
            <t xml:space="preserve">✓ HRIS: 2.3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45" s="84" t="inlineStr">
        <is>
          <r>
            <rPr>
              <rFont val="Calibri"/>
              <color rgb="009C5700"/>
              <sz val="10"/>
            </rPr>
            <t xml:space="preserve">• </t>
          </r>
          <r>
            <rPr>
              <rFont val="Calibri"/>
              <b val="1"/>
              <color rgb="009C5700"/>
              <sz val="10"/>
            </rPr>
            <t>Close call:</t>
          </r>
          <r>
            <rPr>
              <rFont val="Calibri"/>
              <color rgb="009C5700"/>
              <sz val="10"/>
            </rPr>
            <t xml:space="preserve"> score 2.53 is within 0.05 of a rounding point</t>
          </r>
        </is>
      </c>
      <c r="AA145" s="12" t="inlineStr">
        <is>
          <t>Nothing outstanding</t>
        </is>
      </c>
      <c r="AB14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Future Leader.</t>
          </r>
        </is>
      </c>
      <c r="AC145" s="82" t="n"/>
      <c r="AD145" s="82" t="n"/>
      <c r="AE145" s="82" t="n"/>
      <c r="AF145" s="12" t="n">
        <v>3</v>
      </c>
    </row>
    <row r="146" ht="400" customHeight="1">
      <c r="A146" s="12" t="inlineStr">
        <is>
          <t>IRIS2424</t>
        </is>
      </c>
      <c r="B146" s="10" t="inlineStr">
        <is>
          <t>Saurabh Padalkar</t>
        </is>
      </c>
      <c r="C146" s="12" t="inlineStr">
        <is>
          <t>Technology</t>
        </is>
      </c>
      <c r="D146" s="12" t="inlineStr">
        <is>
          <t>Software Engineer</t>
        </is>
      </c>
      <c r="E146" s="78" t="inlineStr">
        <is>
          <t>Senior AI/ML Engineer</t>
        </is>
      </c>
      <c r="F146" s="12" t="inlineStr">
        <is>
          <t>Engineering &amp; Development</t>
        </is>
      </c>
      <c r="G146" s="12" t="inlineStr">
        <is>
          <t>AI / ML &amp; GenAI Engineering</t>
        </is>
      </c>
      <c r="H146" s="12" t="inlineStr">
        <is>
          <t>IC</t>
        </is>
      </c>
      <c r="I146" s="42" t="inlineStr">
        <is>
          <t>L3 – Professional / Associate</t>
        </is>
      </c>
      <c r="J146" s="16" t="inlineStr">
        <is>
          <t>A3</t>
        </is>
      </c>
      <c r="K146" s="17" t="inlineStr">
        <is>
          <t>Senior Associate</t>
        </is>
      </c>
      <c r="L146" s="79" t="inlineStr">
        <is>
          <t>▲ Up</t>
        </is>
      </c>
      <c r="M146" s="12" t="inlineStr">
        <is>
          <t>iFile · Technology · Band A · Early career</t>
        </is>
      </c>
      <c r="N146" s="42" t="n">
        <v>2.5</v>
      </c>
      <c r="O146" s="42" t="n">
        <v>2</v>
      </c>
      <c r="P146" s="42" t="n">
        <v>2.5</v>
      </c>
      <c r="Q146" s="42" t="n">
        <v>1</v>
      </c>
      <c r="R146" s="42" t="n">
        <v>3.5</v>
      </c>
      <c r="S146" s="80" t="n">
        <v>2.5</v>
      </c>
      <c r="T146" s="81">
        <f>IF(OR($M146="",COUNT(N146,O146,P146,Q146,R146,S146)&lt;6),"",IFERROR(N146*INDEX(WM_C,MATCH($M146,WM_KEY,0))+O146*INDEX(WM_AU,MATCH($M146,WM_KEY,0))+P146*INDEX(WM_AC,MATCH($M146,WM_KEY,0))+Q146*INDEX(WM_L,MATCH($M146,WM_KEY,0))+R146*INDEX(WM_E,MATCH($M146,WM_KEY,0))+S146*INDEX(WM_BI,MATCH($M146,WM_KEY,0)),""))</f>
        <v>2.52</v>
      </c>
      <c r="U146" s="42" t="str">
        <f>IF(T146="","",INDEX({"A1","A2","A3","B1","B2","B3","C1","C2","D1","D2","E1","E2"},MAX(1,MIN(12,ROUND(T146,0)))))</f>
        <v>A3</v>
      </c>
      <c r="V146" s="12" t="inlineStr">
        <is>
          <r>
            <rPr>
              <rFont val="Calibri"/>
              <sz val="10"/>
            </rPr>
            <t xml:space="preserve">New level A3 · Senior Associate. Current level on record: L3 – Professional / Associate. Change: ▲ Up.
Score 2.52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6" s="12" t="inlineStr">
        <is>
          <r>
            <rPr>
              <rFont val="Calibri"/>
              <b val="1"/>
              <sz val="10"/>
            </rPr>
            <t>Complexity &amp; Expertise:</t>
          </r>
          <r>
            <rPr>
              <rFont val="Calibri"/>
              <sz val="10"/>
            </rPr>
            <t xml:space="preserve"> 2.5 of 12 · between A2 and A3 — Start: 2.0 · practitioner title; Evidence reads like A3: Builds SaaS products from scratch in Django/FastAPI and deploys them → moved up 0.5; KRA: “1. Deliver assigned sprint stories with &gt;=90% on-time completion and &lt;5% post-release defect rate 2. Maintain &gt;=90% adherence to code…”
</t>
          </r>
          <r>
            <rPr>
              <rFont val="Calibri"/>
              <b val="1"/>
              <sz val="10"/>
            </rPr>
            <t>Autonomy &amp; Decision:</t>
          </r>
          <r>
            <rPr>
              <rFont val="Calibri"/>
              <sz val="10"/>
            </rPr>
            <t xml:space="preserve"> 2 of 12 — Start: 2.0 · practitioner title; Evidence reads like A2: Cites only code quality as an independent decision → matches the start
</t>
          </r>
          <r>
            <rPr>
              <rFont val="Calibri"/>
              <b val="1"/>
              <sz val="10"/>
            </rPr>
            <t>Accountability &amp; Impact:</t>
          </r>
          <r>
            <rPr>
              <rFont val="Calibri"/>
              <sz val="10"/>
            </rPr>
            <t xml:space="preserve"> 2.5 of 12 · between A2 and A3 — Start: 2.0 · practitioner title; Evidence reads like A3: Owns the products he builds: bugs, features, scalability, security and performance → moved up 0.5; KRA: “1. Deliver assigned sprint stories with &gt;=90% on-time completion and &lt;5% post-release defect rate 2. Maintain &gt;=90% adherence to code…”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3.5 of 12 · between A3 and B1 — Experience: 4.1 yrs total · 3.0 before IRIS + 1.1 at IRIS = 3.4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r>
        </is>
      </c>
      <c r="X14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6" s="12" t="inlineStr">
        <is>
          <r>
            <rPr>
              <rFont val="Calibri"/>
              <sz val="10"/>
            </rPr>
            <t xml:space="preserve">✓ HRIS: 4.1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46" s="84" t="inlineStr">
        <is>
          <r>
            <rPr>
              <rFont val="Calibri"/>
              <color rgb="009C5700"/>
              <sz val="10"/>
            </rPr>
            <t xml:space="preserve">• </t>
          </r>
          <r>
            <rPr>
              <rFont val="Calibri"/>
              <b val="1"/>
              <color rgb="009C5700"/>
              <sz val="10"/>
            </rPr>
            <t>Close call:</t>
          </r>
          <r>
            <rPr>
              <rFont val="Calibri"/>
              <color rgb="009C5700"/>
              <sz val="10"/>
            </rPr>
            <t xml:space="preserve"> score 2.52 is within 0.05 of a rounding point</t>
          </r>
        </is>
      </c>
      <c r="AA146" s="12" t="inlineStr">
        <is>
          <t>Nothing outstanding</t>
        </is>
      </c>
      <c r="AB14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no; successor named: yes.
</t>
          </r>
          <r>
            <rPr>
              <rFont val="Calibri"/>
              <b val="1"/>
              <sz val="10"/>
            </rPr>
            <t>If the work is missed · role-holders' themes:</t>
          </r>
          <r>
            <rPr>
              <rFont val="Calibri"/>
              <sz val="10"/>
            </rPr>
            <t xml:space="preserve"> cause.
Manager talent mapping — Latest rating: 3 · Potential: Medium · 9-Box Grid placement: Core Contributor.</t>
          </r>
        </is>
      </c>
      <c r="AC146" s="82" t="n"/>
      <c r="AD146" s="82" t="n"/>
      <c r="AE146" s="82" t="n"/>
      <c r="AF146" s="12" t="n">
        <v>2.5</v>
      </c>
    </row>
    <row r="147" ht="400" customHeight="1">
      <c r="A147" s="12" t="inlineStr">
        <is>
          <t>IRIS2537</t>
        </is>
      </c>
      <c r="B147" s="10" t="inlineStr">
        <is>
          <t>Shritesh Aher</t>
        </is>
      </c>
      <c r="C147" s="12" t="inlineStr">
        <is>
          <t>Technology</t>
        </is>
      </c>
      <c r="D147" s="12" t="inlineStr">
        <is>
          <t>Software Engineer</t>
        </is>
      </c>
      <c r="E147" s="78" t="inlineStr">
        <is>
          <t>Senior UI Developer</t>
        </is>
      </c>
      <c r="F147" s="12" t="inlineStr">
        <is>
          <t>Engineering &amp; Development</t>
        </is>
      </c>
      <c r="G147" s="12" t="inlineStr">
        <is>
          <t>Front-End / UI Development</t>
        </is>
      </c>
      <c r="H147" s="12" t="inlineStr">
        <is>
          <t>IC</t>
        </is>
      </c>
      <c r="I147" s="42" t="inlineStr">
        <is>
          <t>Not in current mapping files</t>
        </is>
      </c>
      <c r="J147" s="16" t="inlineStr">
        <is>
          <t>A3</t>
        </is>
      </c>
      <c r="K147" s="17" t="inlineStr">
        <is>
          <t>Senior Associate</t>
        </is>
      </c>
      <c r="L147" s="85" t="inlineStr">
        <is>
          <t>● Newly mapped</t>
        </is>
      </c>
      <c r="M147" s="12" t="inlineStr">
        <is>
          <t>iFile · Technology · Band A · Early career</t>
        </is>
      </c>
      <c r="N147" s="42" t="n">
        <v>2</v>
      </c>
      <c r="O147" s="42" t="n">
        <v>2</v>
      </c>
      <c r="P147" s="42" t="n">
        <v>2</v>
      </c>
      <c r="Q147" s="42" t="n">
        <v>1</v>
      </c>
      <c r="R147" s="42" t="n">
        <v>3.5</v>
      </c>
      <c r="S147" s="80" t="n">
        <v>2</v>
      </c>
      <c r="T147" s="81">
        <f>IF(OR($M147="",COUNT(N147,O147,P147,Q147,R147,S147)&lt;6),"",IFERROR(N147*INDEX(WM_C,MATCH($M147,WM_KEY,0))+O147*INDEX(WM_AU,MATCH($M147,WM_KEY,0))+P147*INDEX(WM_AC,MATCH($M147,WM_KEY,0))+Q147*INDEX(WM_L,MATCH($M147,WM_KEY,0))+R147*INDEX(WM_E,MATCH($M147,WM_KEY,0))+S147*INDEX(WM_BI,MATCH($M147,WM_KEY,0)),""))</f>
        <v>2.15</v>
      </c>
      <c r="U147" s="42" t="str">
        <f>IF(T147="","",INDEX({"A1","A2","A3","B1","B2","B3","C1","C2","D1","D2","E1","E2"},MAX(1,MIN(12,ROUND(T147,0)))))</f>
        <v>A2</v>
      </c>
      <c r="V147" s="12" t="inlineStr">
        <is>
          <r>
            <rPr>
              <rFont val="Calibri"/>
              <sz val="10"/>
            </rPr>
            <t xml:space="preserve">New level A3 · Senior Associate. Current level on record: Not in current mapping files. Change: ● Newly mapped.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3.9 years' experience is 2 years or more.
</t>
          </r>
          <r>
            <rPr>
              <rFont val="Calibri"/>
              <b val="1"/>
              <sz val="10"/>
            </rPr>
            <t>Final level:</t>
          </r>
          <r>
            <rPr>
              <rFont val="Calibri"/>
              <sz val="10"/>
            </rPr>
            <t xml:space="preserve"> A3.</t>
          </r>
        </is>
      </c>
      <c r="W147" s="12" t="inlineStr">
        <is>
          <r>
            <rPr>
              <rFont val="Calibri"/>
              <b val="1"/>
              <sz val="10"/>
            </rPr>
            <t>Complexity &amp; Expertise:</t>
          </r>
          <r>
            <rPr>
              <rFont val="Calibri"/>
              <sz val="10"/>
            </rPr>
            <t xml:space="preserve"> 2 of 12 — Start: 2.0 · practitioner title; Evidence reads like A2: Delivers 'a module feature'; no specific work, technology or problem described → matches the start
</t>
          </r>
          <r>
            <rPr>
              <rFont val="Calibri"/>
              <b val="1"/>
              <sz val="10"/>
            </rPr>
            <t>Autonomy &amp; Decision:</t>
          </r>
          <r>
            <rPr>
              <rFont val="Calibri"/>
              <sz val="10"/>
            </rPr>
            <t xml:space="preserve"> 2 of 12 — Start: 2.0 · practitioner title; Evidence reads like A2: Decides handling of edge cases → matches the start
</t>
          </r>
          <r>
            <rPr>
              <rFont val="Calibri"/>
              <b val="1"/>
              <sz val="10"/>
            </rPr>
            <t>Accountability &amp; Impact:</t>
          </r>
          <r>
            <rPr>
              <rFont val="Calibri"/>
              <sz val="10"/>
            </rPr>
            <t xml:space="preserve"> 2 of 12 — Start: 2.0 · practitioner title; Evidence reads like A2: Accountable for own feature not breaking the existing flow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3.5 of 12 · between A3 and B1 — Experience: 3.9 yrs total · 3.6 before IRIS + 0.3 at IRIS = 3.4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4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7" s="12" t="inlineStr">
        <is>
          <r>
            <rPr>
              <rFont val="Calibri"/>
              <sz val="10"/>
            </rPr>
            <t xml:space="preserve">✓ HRIS: 3.9 yrs, B.E, 0 direct reports
✓ Survey: 20 of 20 questions answered
✗ KRAs: none on file
✓ Manager mapping: rating, 9-box
✗ Job description: not on file
</t>
          </r>
          <r>
            <rPr>
              <rFont val="Calibri"/>
              <b val="1"/>
              <sz val="10"/>
            </rPr>
            <t>Confidence:</t>
          </r>
          <r>
            <rPr>
              <rFont val="Calibri"/>
              <sz val="10"/>
            </rPr>
            <t xml:space="preserve"> Medium</t>
          </r>
        </is>
      </c>
      <c r="Z147" s="12" t="inlineStr">
        <is>
          <t>—</t>
        </is>
      </c>
      <c r="AA147" s="12" t="inlineStr">
        <is>
          <t>Nothing outstanding</t>
        </is>
      </c>
      <c r="AB14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Not placed · manager.</t>
          </r>
        </is>
      </c>
      <c r="AC147" s="82" t="n"/>
      <c r="AD147" s="82" t="n"/>
      <c r="AE147" s="82" t="n"/>
      <c r="AF147" s="12" t="n">
        <v>2</v>
      </c>
    </row>
    <row r="148" ht="400" customHeight="1">
      <c r="A148" s="12" t="inlineStr">
        <is>
          <t>IRIS2132</t>
        </is>
      </c>
      <c r="B148" s="10" t="inlineStr">
        <is>
          <t>Shubham Mhadgut</t>
        </is>
      </c>
      <c r="C148" s="12" t="inlineStr">
        <is>
          <t>Technology</t>
        </is>
      </c>
      <c r="D148" s="12" t="inlineStr">
        <is>
          <t>Software Engineer</t>
        </is>
      </c>
      <c r="E148" s="78" t="inlineStr">
        <is>
          <t>Senior Software Engineer</t>
        </is>
      </c>
      <c r="F148" s="12" t="inlineStr">
        <is>
          <t>Engineering &amp; Development</t>
        </is>
      </c>
      <c r="G148" s="12" t="inlineStr">
        <is>
          <t>Backend Development</t>
        </is>
      </c>
      <c r="H148" s="12" t="inlineStr">
        <is>
          <t>IC</t>
        </is>
      </c>
      <c r="I148" s="42" t="inlineStr">
        <is>
          <t>L3 – Professional / Associate</t>
        </is>
      </c>
      <c r="J148" s="16" t="inlineStr">
        <is>
          <t>A3</t>
        </is>
      </c>
      <c r="K148" s="17" t="inlineStr">
        <is>
          <t>Senior Associate</t>
        </is>
      </c>
      <c r="L148" s="79" t="inlineStr">
        <is>
          <t>▲ Up</t>
        </is>
      </c>
      <c r="M148" s="12" t="inlineStr">
        <is>
          <t>iFile · Technology · Band A · Early career</t>
        </is>
      </c>
      <c r="N148" s="42" t="n">
        <v>2.5</v>
      </c>
      <c r="O148" s="42" t="n">
        <v>2.5</v>
      </c>
      <c r="P148" s="42" t="n">
        <v>2.5</v>
      </c>
      <c r="Q148" s="42" t="n">
        <v>2</v>
      </c>
      <c r="R148" s="42" t="n">
        <v>4.5</v>
      </c>
      <c r="S148" s="80" t="n">
        <v>3</v>
      </c>
      <c r="T148" s="81">
        <f>IF(OR($M148="",COUNT(N148,O148,P148,Q148,R148,S148)&lt;6),"",IFERROR(N148*INDEX(WM_C,MATCH($M148,WM_KEY,0))+O148*INDEX(WM_AU,MATCH($M148,WM_KEY,0))+P148*INDEX(WM_AC,MATCH($M148,WM_KEY,0))+Q148*INDEX(WM_L,MATCH($M148,WM_KEY,0))+R148*INDEX(WM_E,MATCH($M148,WM_KEY,0))+S148*INDEX(WM_BI,MATCH($M148,WM_KEY,0)),""))</f>
        <v>2.73</v>
      </c>
      <c r="U148" s="42" t="str">
        <f>IF(T148="","",INDEX({"A1","A2","A3","B1","B2","B3","C1","C2","D1","D2","E1","E2"},MAX(1,MIN(12,ROUND(T148,0)))))</f>
        <v>A3</v>
      </c>
      <c r="V148" s="12" t="inlineStr">
        <is>
          <r>
            <rPr>
              <rFont val="Calibri"/>
              <sz val="10"/>
            </rPr>
            <t xml:space="preserve">New level A3 · Senior Associate. Current level on record: L3 – Professional / Associate. Change: ▲ Up.
Score 2.73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8" s="12" t="inlineStr">
        <is>
          <r>
            <rPr>
              <rFont val="Calibri"/>
              <b val="1"/>
              <sz val="10"/>
            </rPr>
            <t>Complexity &amp; Expertise:</t>
          </r>
          <r>
            <rPr>
              <rFont val="Calibri"/>
              <sz val="10"/>
            </rPr>
            <t xml:space="preserve"> 2.5 of 12 · between A2 and A3 — Start: 2.0 · practitioner title; Evidence reads like A3: Owns Java backend components for bespoke SARB app; KRA: sets code standards and reviews all modules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Makes implementation and component-structure decisions in own areas; aligns on architecture and scope → moved up 0.5
</t>
          </r>
          <r>
            <rPr>
              <rFont val="Calibri"/>
              <b val="1"/>
              <sz val="10"/>
            </rPr>
            <t>Accountability &amp; Impact:</t>
          </r>
          <r>
            <rPr>
              <rFont val="Calibri"/>
              <sz val="10"/>
            </rPr>
            <t xml:space="preserve"> 2.5 of 12 · between A2 and A3 — Start: 2.0 · practitioner title; Evidence reads like A3: Owns backend features end to end; KRA: CSV validation module production support → moved up 0.5; KRA: “1. Deliver committed sprint stories with &gt;=90% sprint commitment adherence across the year 2. Maintain code quality: defect leakage to…”
</t>
          </r>
          <r>
            <rPr>
              <rFont val="Calibri"/>
              <b val="1"/>
              <sz val="10"/>
            </rPr>
            <t>Leadership &amp; Strategy:</t>
          </r>
          <r>
            <rPr>
              <rFont val="Calibri"/>
              <sz val="10"/>
            </rPr>
            <t xml:space="preserve"> 2 of 12 — not counted: the weight is 0% at this level — Start: 1.0 · individual contributor, so influence only; Evidence reads like A3: Supports colleagues on backend and UI; KRA: knowledge transfer and reviewing modules against standards → moved up 1; Team: 0 direct reports · IC
</t>
          </r>
          <r>
            <rPr>
              <rFont val="Calibri"/>
              <b val="1"/>
              <sz val="10"/>
            </rPr>
            <t>Experience &amp; Qualification:</t>
          </r>
          <r>
            <rPr>
              <rFont val="Calibri"/>
              <sz val="10"/>
            </rPr>
            <t xml:space="preserve"> 4.5 of 12 · between B1 and B2 — Experience: 6.3 yrs total · 2.9 before IRIS + 3.4 at IRIS = 4.4 on the experience scale; Qualification: B.Tech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8" s="12" t="inlineStr">
        <is>
          <r>
            <rPr>
              <rFont val="Calibri"/>
              <sz val="10"/>
            </rPr>
            <t xml:space="preserve">✓ HRIS: 6.3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48" s="12" t="inlineStr">
        <is>
          <t>—</t>
        </is>
      </c>
      <c r="AA148" s="12" t="inlineStr">
        <is>
          <t>Nothing outstanding</t>
        </is>
      </c>
      <c r="AB14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AC148" s="82" t="n"/>
      <c r="AD148" s="82" t="n"/>
      <c r="AE148" s="82" t="n"/>
      <c r="AF148" s="12" t="n">
        <v>3</v>
      </c>
    </row>
    <row r="149" ht="400" customHeight="1">
      <c r="A149" s="12" t="inlineStr">
        <is>
          <t>IRIS2298</t>
        </is>
      </c>
      <c r="B149" s="10" t="inlineStr">
        <is>
          <t>Shubham Shrikhande</t>
        </is>
      </c>
      <c r="C149" s="12" t="inlineStr">
        <is>
          <t>Technology</t>
        </is>
      </c>
      <c r="D149" s="12" t="inlineStr">
        <is>
          <t>Software Engineer</t>
        </is>
      </c>
      <c r="E149" s="78" t="inlineStr">
        <is>
          <t>Senior Software Engineer</t>
        </is>
      </c>
      <c r="F149" s="12" t="inlineStr">
        <is>
          <t>Engineering &amp; Development</t>
        </is>
      </c>
      <c r="G149" s="12" t="inlineStr">
        <is>
          <t>Backend Development</t>
        </is>
      </c>
      <c r="H149" s="12" t="inlineStr">
        <is>
          <t>IC</t>
        </is>
      </c>
      <c r="I149" s="42" t="inlineStr">
        <is>
          <t>L3 – Professional / Associate</t>
        </is>
      </c>
      <c r="J149" s="16" t="inlineStr">
        <is>
          <t>A3</t>
        </is>
      </c>
      <c r="K149" s="17" t="inlineStr">
        <is>
          <t>Senior Associate</t>
        </is>
      </c>
      <c r="L149" s="79" t="inlineStr">
        <is>
          <t>▲ Up</t>
        </is>
      </c>
      <c r="M149" s="12" t="inlineStr">
        <is>
          <t>iFile · Technology · Band A · Early career</t>
        </is>
      </c>
      <c r="N149" s="42" t="n">
        <v>2</v>
      </c>
      <c r="O149" s="42" t="n">
        <v>2</v>
      </c>
      <c r="P149" s="42" t="n">
        <v>2</v>
      </c>
      <c r="Q149" s="42" t="n">
        <v>1</v>
      </c>
      <c r="R149" s="42" t="n">
        <v>3</v>
      </c>
      <c r="S149" s="80" t="n">
        <v>2.5</v>
      </c>
      <c r="T149" s="81">
        <f>IF(OR($M149="",COUNT(N149,O149,P149,Q149,R149,S149)&lt;6),"",IFERROR(N149*INDEX(WM_C,MATCH($M149,WM_KEY,0))+O149*INDEX(WM_AU,MATCH($M149,WM_KEY,0))+P149*INDEX(WM_AC,MATCH($M149,WM_KEY,0))+Q149*INDEX(WM_L,MATCH($M149,WM_KEY,0))+R149*INDEX(WM_E,MATCH($M149,WM_KEY,0))+S149*INDEX(WM_BI,MATCH($M149,WM_KEY,0)),""))</f>
        <v>2.13</v>
      </c>
      <c r="U149" s="42" t="str">
        <f>IF(T149="","",INDEX({"A1","A2","A3","B1","B2","B3","C1","C2","D1","D2","E1","E2"},MAX(1,MIN(12,ROUND(T149,0)))))</f>
        <v>A2</v>
      </c>
      <c r="V149" s="12" t="inlineStr">
        <is>
          <r>
            <rPr>
              <rFont val="Calibri"/>
              <sz val="10"/>
            </rPr>
            <t xml:space="preserve">New level A3 · Senior Associate. Current level on record: L3 – Professional / Associate. Change: ▲ Up.
Score 2.13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W149" s="12" t="inlineStr">
        <is>
          <r>
            <rPr>
              <rFont val="Calibri"/>
              <b val="1"/>
              <sz val="10"/>
            </rPr>
            <t>Complexity &amp; Expertise:</t>
          </r>
          <r>
            <rPr>
              <rFont val="Calibri"/>
              <sz val="10"/>
            </rPr>
            <t xml:space="preserve"> 2 of 12 — Start: 2.0 · practitioner title; Evidence reads like A2: Develops and fixes a web application from requirements and QA feedback in Java and SQL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Only independent action cited is checking logs → matches the start
</t>
          </r>
          <r>
            <rPr>
              <rFont val="Calibri"/>
              <b val="1"/>
              <sz val="10"/>
            </rPr>
            <t>Accountability &amp; Impact:</t>
          </r>
          <r>
            <rPr>
              <rFont val="Calibri"/>
              <sz val="10"/>
            </rPr>
            <t xml:space="preserve"> 2 of 12 — Start: 2.0 · practitioner title; Evidence reads like A2: Accountable if functionality he developed does not run as per the process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 of 12 — Experience: 3.1 yrs total · 1.0 before IRIS + 2.1 at IRIS = 3.0 on the experience scale; Qualification: B.E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4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49" s="12" t="inlineStr">
        <is>
          <r>
            <rPr>
              <rFont val="Calibri"/>
              <sz val="10"/>
            </rPr>
            <t xml:space="preserve">✓ HRIS: 3.1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49" s="12" t="inlineStr">
        <is>
          <t>—</t>
        </is>
      </c>
      <c r="AA149" s="12" t="inlineStr">
        <is>
          <t>Nothing outstanding</t>
        </is>
      </c>
      <c r="AB14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High Impact / Growth Talent.</t>
          </r>
        </is>
      </c>
      <c r="AC149" s="82" t="n"/>
      <c r="AD149" s="82" t="n"/>
      <c r="AE149" s="82" t="n"/>
      <c r="AF149" s="12" t="n">
        <v>2.5</v>
      </c>
    </row>
    <row r="150" ht="400" customHeight="1">
      <c r="A150" s="12" t="inlineStr">
        <is>
          <t>IRIS2291</t>
        </is>
      </c>
      <c r="B150" s="10" t="inlineStr">
        <is>
          <t>Shubham Yadav</t>
        </is>
      </c>
      <c r="C150" s="12" t="inlineStr">
        <is>
          <t>Technology</t>
        </is>
      </c>
      <c r="D150" s="12" t="inlineStr">
        <is>
          <t>Software Engineer</t>
        </is>
      </c>
      <c r="E150" s="78" t="inlineStr">
        <is>
          <t>Senior UI Developer</t>
        </is>
      </c>
      <c r="F150" s="12" t="inlineStr">
        <is>
          <t>Engineering &amp; Development</t>
        </is>
      </c>
      <c r="G150" s="12" t="inlineStr">
        <is>
          <t>Front-End / UI Development</t>
        </is>
      </c>
      <c r="H150" s="12" t="inlineStr">
        <is>
          <t>IC</t>
        </is>
      </c>
      <c r="I150" s="42" t="inlineStr">
        <is>
          <t>L3 – Professional / Associate</t>
        </is>
      </c>
      <c r="J150" s="16" t="inlineStr">
        <is>
          <t>A3</t>
        </is>
      </c>
      <c r="K150" s="17" t="inlineStr">
        <is>
          <t>Senior Associate</t>
        </is>
      </c>
      <c r="L150" s="79" t="inlineStr">
        <is>
          <t>▲ Up</t>
        </is>
      </c>
      <c r="M150" s="12" t="inlineStr">
        <is>
          <t>iFile · Technology · Band A · Early career</t>
        </is>
      </c>
      <c r="N150" s="42" t="n">
        <v>2</v>
      </c>
      <c r="O150" s="42" t="n">
        <v>2.5</v>
      </c>
      <c r="P150" s="42" t="n">
        <v>4</v>
      </c>
      <c r="Q150" s="42" t="n">
        <v>3</v>
      </c>
      <c r="R150" s="42" t="n">
        <v>4</v>
      </c>
      <c r="S150" s="80" t="n">
        <v>4</v>
      </c>
      <c r="T150" s="81">
        <f>IF(OR($M150="",COUNT(N150,O150,P150,Q150,R150,S150)&lt;6),"",IFERROR(N150*INDEX(WM_C,MATCH($M150,WM_KEY,0))+O150*INDEX(WM_AU,MATCH($M150,WM_KEY,0))+P150*INDEX(WM_AC,MATCH($M150,WM_KEY,0))+Q150*INDEX(WM_L,MATCH($M150,WM_KEY,0))+R150*INDEX(WM_E,MATCH($M150,WM_KEY,0))+S150*INDEX(WM_BI,MATCH($M150,WM_KEY,0)),""))</f>
        <v>2.48</v>
      </c>
      <c r="U150" s="42" t="str">
        <f>IF(T150="","",INDEX({"A1","A2","A3","B1","B2","B3","C1","C2","D1","D2","E1","E2"},MAX(1,MIN(12,ROUND(T150,0)))))</f>
        <v>A2</v>
      </c>
      <c r="V150" s="12" t="inlineStr">
        <is>
          <r>
            <rPr>
              <rFont val="Calibri"/>
              <sz val="10"/>
            </rPr>
            <t xml:space="preserve">New level A3 · Senior Associate. Current level on record: L3 – Professional / Associate. Change: ▲ Up.
Score 2.48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5.4 years' experience is 2 years or more.
</t>
          </r>
          <r>
            <rPr>
              <rFont val="Calibri"/>
              <b val="1"/>
              <sz val="10"/>
            </rPr>
            <t>Final level:</t>
          </r>
          <r>
            <rPr>
              <rFont val="Calibri"/>
              <sz val="10"/>
            </rPr>
            <t xml:space="preserve"> A3.</t>
          </r>
        </is>
      </c>
      <c r="W150" s="12" t="inlineStr">
        <is>
          <r>
            <rPr>
              <rFont val="Calibri"/>
              <b val="1"/>
              <sz val="10"/>
            </rPr>
            <t>Complexity &amp; Expertise:</t>
          </r>
          <r>
            <rPr>
              <rFont val="Calibri"/>
              <sz val="10"/>
            </rPr>
            <t xml:space="preserve"> 2 of 12 — Start: 2.0 · practitioner title; Evidence: no survey answers or KRAs on file → rating stays at the start; KRA: “1. Deliver team release roadmap on schedule: &gt;=90% of committed releases on time 2. Keep team sprint velocity stable and defect…”
</t>
          </r>
          <r>
            <rPr>
              <rFont val="Calibri"/>
              <b val="1"/>
              <sz val="10"/>
            </rPr>
            <t>Autonomy &amp; Decision:</t>
          </r>
          <r>
            <rPr>
              <rFont val="Calibri"/>
              <sz val="10"/>
            </rPr>
            <t xml:space="preserve"> 2.5 of 12 · between A2 and A3 — Start: 2.5 · practitioner title; reporting lines show a bigger role: 1 direct report; Evidence: no survey answers or KRAs on file → rating stays at the start
</t>
          </r>
          <r>
            <rPr>
              <rFont val="Calibri"/>
              <b val="1"/>
              <sz val="10"/>
            </rPr>
            <t>Accountability &amp; Impact:</t>
          </r>
          <r>
            <rPr>
              <rFont val="Calibri"/>
              <sz val="10"/>
            </rPr>
            <t xml:space="preserve"> 4 of 12 — Start: 3.5 · practitioner title; 1 direct report; Evidence reads like B1: KRA: team release roadmap, sprint velocity and production stability; one direct report → moved up 0.5; KRA: “1. Deliver team release roadmap on schedule: &gt;=90% of committed releases on time 2. Keep team sprint velocity stable and defect…”
</t>
          </r>
          <r>
            <rPr>
              <rFont val="Calibri"/>
              <b val="1"/>
              <sz val="10"/>
            </rPr>
            <t>Leadership &amp; Strategy:</t>
          </r>
          <r>
            <rPr>
              <rFont val="Calibri"/>
              <sz val="10"/>
            </rPr>
            <t xml:space="preserve"> 3 of 12 — not counted: the weight is 0% at this level — Start: 3.5; Evidence reads like A3: KRA: quarterly goals, monthly 1:1s and upskilling for reports; one direct report → moved down 0.5; Team: 1 direct report · IC
</t>
          </r>
          <r>
            <rPr>
              <rFont val="Calibri"/>
              <b val="1"/>
              <sz val="10"/>
            </rPr>
            <t>Experience &amp; Qualification:</t>
          </r>
          <r>
            <rPr>
              <rFont val="Calibri"/>
              <sz val="10"/>
            </rPr>
            <t xml:space="preserve"> 4 of 12 — Experience: 5.4 yrs total · 3.2 before IRIS + 2.2 at IRIS = 4.0 on the experience scale; Qualification: B.E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5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0" s="12" t="inlineStr">
        <is>
          <r>
            <rPr>
              <rFont val="Calibri"/>
              <sz val="10"/>
            </rPr>
            <t xml:space="preserve">✓ HRIS: 5.4 yrs, B.E, 1 direct report
✗ Survey: no response
✓ KRAs: manager-set, quarterly
✓ Manager mapping: rating, 9-box
✗ Job description: not on file
</t>
          </r>
          <r>
            <rPr>
              <rFont val="Calibri"/>
              <b val="1"/>
              <sz val="10"/>
            </rPr>
            <t>Confidence:</t>
          </r>
          <r>
            <rPr>
              <rFont val="Calibri"/>
              <sz val="10"/>
            </rPr>
            <t xml:space="preserve"> Medium</t>
          </r>
        </is>
      </c>
      <c r="Z150" s="12" t="inlineStr">
        <is>
          <t>—</t>
        </is>
      </c>
      <c r="AA150" s="86" t="inlineStr">
        <is>
          <t>• Confirm the reporting line — Manager</t>
        </is>
      </c>
      <c r="AB15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Not placed · manager.</t>
          </r>
        </is>
      </c>
      <c r="AC150" s="82" t="n"/>
      <c r="AD150" s="82" t="n"/>
      <c r="AE150" s="82" t="n"/>
      <c r="AF150" s="12" t="n">
        <v>4</v>
      </c>
    </row>
    <row r="151" ht="400" customHeight="1">
      <c r="A151" s="12" t="inlineStr">
        <is>
          <t>IRIS2026</t>
        </is>
      </c>
      <c r="B151" s="10" t="inlineStr">
        <is>
          <t>Shubhangi Vaidya</t>
        </is>
      </c>
      <c r="C151" s="12" t="inlineStr">
        <is>
          <t>Technology</t>
        </is>
      </c>
      <c r="D151" s="12" t="inlineStr">
        <is>
          <t>Software Engineer</t>
        </is>
      </c>
      <c r="E151" s="78" t="inlineStr">
        <is>
          <t>Senior Software Engineer</t>
        </is>
      </c>
      <c r="F151" s="12" t="inlineStr">
        <is>
          <t>Engineering &amp; Development</t>
        </is>
      </c>
      <c r="G151" s="12" t="inlineStr">
        <is>
          <t>Backend Development</t>
        </is>
      </c>
      <c r="H151" s="12" t="inlineStr">
        <is>
          <t>IC</t>
        </is>
      </c>
      <c r="I151" s="42" t="inlineStr">
        <is>
          <t>L3 – Professional / Associate</t>
        </is>
      </c>
      <c r="J151" s="16" t="inlineStr">
        <is>
          <t>A3</t>
        </is>
      </c>
      <c r="K151" s="17" t="inlineStr">
        <is>
          <t>Senior Associate</t>
        </is>
      </c>
      <c r="L151" s="79" t="inlineStr">
        <is>
          <t>▲ Up</t>
        </is>
      </c>
      <c r="M151" s="12" t="inlineStr">
        <is>
          <t>iFile · Technology · Band A · Early career</t>
        </is>
      </c>
      <c r="N151" s="42" t="n">
        <v>2</v>
      </c>
      <c r="O151" s="42" t="n">
        <v>2</v>
      </c>
      <c r="P151" s="42" t="n">
        <v>2</v>
      </c>
      <c r="Q151" s="42" t="n">
        <v>1</v>
      </c>
      <c r="R151" s="42" t="n">
        <v>4.5</v>
      </c>
      <c r="S151" s="80" t="n">
        <v>2</v>
      </c>
      <c r="T151" s="81">
        <f>IF(OR($M151="",COUNT(N151,O151,P151,Q151,R151,S151)&lt;6),"",IFERROR(N151*INDEX(WM_C,MATCH($M151,WM_KEY,0))+O151*INDEX(WM_AU,MATCH($M151,WM_KEY,0))+P151*INDEX(WM_AC,MATCH($M151,WM_KEY,0))+Q151*INDEX(WM_L,MATCH($M151,WM_KEY,0))+R151*INDEX(WM_E,MATCH($M151,WM_KEY,0))+S151*INDEX(WM_BI,MATCH($M151,WM_KEY,0)),""))</f>
        <v>2.25</v>
      </c>
      <c r="U151" s="42" t="str">
        <f>IF(T151="","",INDEX({"A1","A2","A3","B1","B2","B3","C1","C2","D1","D2","E1","E2"},MAX(1,MIN(12,ROUND(T151,0)))))</f>
        <v>A2</v>
      </c>
      <c r="V151"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5.6 years' experience is 2 years or more.
</t>
          </r>
          <r>
            <rPr>
              <rFont val="Calibri"/>
              <b val="1"/>
              <sz val="10"/>
            </rPr>
            <t>Final level:</t>
          </r>
          <r>
            <rPr>
              <rFont val="Calibri"/>
              <sz val="10"/>
            </rPr>
            <t xml:space="preserve"> A3.</t>
          </r>
        </is>
      </c>
      <c r="W151" s="12" t="inlineStr">
        <is>
          <r>
            <rPr>
              <rFont val="Calibri"/>
              <b val="1"/>
              <sz val="10"/>
            </rPr>
            <t>Complexity &amp; Expertise:</t>
          </r>
          <r>
            <rPr>
              <rFont val="Calibri"/>
              <sz val="10"/>
            </rPr>
            <t xml:space="preserve"> 2 of 12 — Start: 2.0 · practitioner title; Evidence reads like A2: Development and fixes for client support issues; KRA says XBRL knowledge not yet independent → matches the start; KRA: “1. Ensure stable production support and maintenance for regulatory applications · CBJ iFile, CMA Oman, SSM, Tadawul, JCM, etc. by…”
</t>
          </r>
          <r>
            <rPr>
              <rFont val="Calibri"/>
              <b val="1"/>
              <sz val="10"/>
            </rPr>
            <t>Autonomy &amp; Decision:</t>
          </r>
          <r>
            <rPr>
              <rFont val="Calibri"/>
              <sz val="10"/>
            </rPr>
            <t xml:space="preserve"> 2 of 12 — Start: 2.0 · practitioner title; Evidence reads like A2: Decides bug fixes → matches the start
</t>
          </r>
          <r>
            <rPr>
              <rFont val="Calibri"/>
              <b val="1"/>
              <sz val="10"/>
            </rPr>
            <t>Accountability &amp; Impact:</t>
          </r>
          <r>
            <rPr>
              <rFont val="Calibri"/>
              <sz val="10"/>
            </rPr>
            <t xml:space="preserve"> 2 of 12 — Start: 2.0 · practitioner title; Evidence reads like A2: Accountable for timelines and functionality working; says errors mean rework → matches the start; KRA: “1. Ensure stable production support and maintenance for regulatory applications · CBJ iFile, CMA Oman, SSM, Tadawul, JCM, etc. by…”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4.5 of 12 · between B1 and B2 — Experience: 5.6 yrs total · 1.3 before IRIS + 4.3 at IRIS = 4.0 on the experience scale; Qualification: MCA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5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1" s="12" t="inlineStr">
        <is>
          <r>
            <rPr>
              <rFont val="Calibri"/>
              <sz val="10"/>
            </rPr>
            <t xml:space="preserve">✓ HRIS: 5.6 yrs, MCA,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51" s="12" t="inlineStr">
        <is>
          <t>—</t>
        </is>
      </c>
      <c r="AA151" s="12" t="inlineStr">
        <is>
          <t>Nothing outstanding</t>
        </is>
      </c>
      <c r="AB15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Medium · 9-Box Grid placement: Trusted Professional.</t>
          </r>
        </is>
      </c>
      <c r="AC151" s="82" t="n"/>
      <c r="AD151" s="82" t="n"/>
      <c r="AE151" s="82" t="n"/>
      <c r="AF151" s="12" t="n">
        <v>2</v>
      </c>
    </row>
    <row r="152" ht="400" customHeight="1">
      <c r="A152" s="12" t="inlineStr">
        <is>
          <t>IRIS2058</t>
        </is>
      </c>
      <c r="B152" s="10" t="inlineStr">
        <is>
          <t>Siddharth Dhone</t>
        </is>
      </c>
      <c r="C152" s="12" t="inlineStr">
        <is>
          <t>Technology</t>
        </is>
      </c>
      <c r="D152" s="12" t="inlineStr">
        <is>
          <t>Senior Software Engineer</t>
        </is>
      </c>
      <c r="E152" s="12" t="inlineStr">
        <is>
          <t>Senior Software Engineer</t>
        </is>
      </c>
      <c r="F152" s="12" t="inlineStr">
        <is>
          <t>Engineering &amp; Development</t>
        </is>
      </c>
      <c r="G152" s="12" t="inlineStr">
        <is>
          <t>Backend Development</t>
        </is>
      </c>
      <c r="H152" s="12" t="inlineStr">
        <is>
          <t>IC</t>
        </is>
      </c>
      <c r="I152" s="42" t="inlineStr">
        <is>
          <t>L4 – Senior</t>
        </is>
      </c>
      <c r="J152" s="16" t="inlineStr">
        <is>
          <t>A3</t>
        </is>
      </c>
      <c r="K152" s="17" t="inlineStr">
        <is>
          <t>Senior Associate</t>
        </is>
      </c>
      <c r="L152" s="87" t="inlineStr">
        <is>
          <t>• Same level</t>
        </is>
      </c>
      <c r="M152" s="12" t="inlineStr">
        <is>
          <t>iFile · Technology · Band A · Early career</t>
        </is>
      </c>
      <c r="N152" s="42" t="n">
        <v>3</v>
      </c>
      <c r="O152" s="42" t="n">
        <v>2.5</v>
      </c>
      <c r="P152" s="42" t="n">
        <v>2.5</v>
      </c>
      <c r="Q152" s="42" t="n">
        <v>1.5</v>
      </c>
      <c r="R152" s="42" t="n">
        <v>5</v>
      </c>
      <c r="S152" s="80" t="n">
        <v>2.5</v>
      </c>
      <c r="T152" s="81">
        <f>IF(OR($M152="",COUNT(N152,O152,P152,Q152,R152,S152)&lt;6),"",IFERROR(N152*INDEX(WM_C,MATCH($M152,WM_KEY,0))+O152*INDEX(WM_AU,MATCH($M152,WM_KEY,0))+P152*INDEX(WM_AC,MATCH($M152,WM_KEY,0))+Q152*INDEX(WM_L,MATCH($M152,WM_KEY,0))+R152*INDEX(WM_E,MATCH($M152,WM_KEY,0))+S152*INDEX(WM_BI,MATCH($M152,WM_KEY,0)),""))</f>
        <v>3.07</v>
      </c>
      <c r="U152" s="42" t="str">
        <f>IF(T152="","",INDEX({"A1","A2","A3","B1","B2","B3","C1","C2","D1","D2","E1","E2"},MAX(1,MIN(12,ROUND(T152,0)))))</f>
        <v>A3</v>
      </c>
      <c r="V152" s="12" t="inlineStr">
        <is>
          <r>
            <rPr>
              <rFont val="Calibri"/>
              <sz val="10"/>
            </rPr>
            <t xml:space="preserve">New level A3 · Senior Associate. Current level on record: L4 – Senior. Change: • Same level.
Score 3.07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2" s="12" t="inlineStr">
        <is>
          <r>
            <rPr>
              <rFont val="Calibri"/>
              <b val="1"/>
              <sz val="10"/>
            </rPr>
            <t>Complexity &amp; Expertise:</t>
          </r>
          <r>
            <rPr>
              <rFont val="Calibri"/>
              <sz val="10"/>
            </rPr>
            <t xml:space="preserve"> 3 of 12 — Start: 3.0 · senior practitioner title; Evidence reads like A3: Develops Java 17 microservices features and builds POCs for product improvements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3.0 · senior practitioner title; Evidence reads like A2: Only independent decision cited is technical analysis → moved down 0.5
</t>
          </r>
          <r>
            <rPr>
              <rFont val="Calibri"/>
              <b val="1"/>
              <sz val="10"/>
            </rPr>
            <t>Accountability &amp; Impact:</t>
          </r>
          <r>
            <rPr>
              <rFont val="Calibri"/>
              <sz val="10"/>
            </rPr>
            <t xml:space="preserve"> 2.5 of 12 · between A2 and A3 — Start: 3.0 · senior practitioner title; Evidence reads like A2: Reliable features; product-decision and prioritisation claims are not tied to anything specific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2.0 · individual contributor, so influence only; Evidence reads like A1: Presents POCs to the team; no guiding or reviewing described → moved down 0.5; Team: 0 direct reports · IC
</t>
          </r>
          <r>
            <rPr>
              <rFont val="Calibri"/>
              <b val="1"/>
              <sz val="10"/>
            </rPr>
            <t>Experience &amp; Qualification:</t>
          </r>
          <r>
            <rPr>
              <rFont val="Calibri"/>
              <sz val="10"/>
            </rPr>
            <t xml:space="preserve"> 5 of 12 — Experience: 7.4 yrs total · 3.3 before IRIS + 4.1 at IRIS = 5.0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5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2" s="12" t="inlineStr">
        <is>
          <r>
            <rPr>
              <rFont val="Calibri"/>
              <sz val="10"/>
            </rPr>
            <t xml:space="preserve">✓ HRIS: 7.4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52" s="12" t="inlineStr">
        <is>
          <t>—</t>
        </is>
      </c>
      <c r="AA152" s="12" t="inlineStr">
        <is>
          <t>Nothing outstanding</t>
        </is>
      </c>
      <c r="AB15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High Impact / Growth Talent.</t>
          </r>
        </is>
      </c>
      <c r="AC152" s="82" t="n"/>
      <c r="AD152" s="82" t="n"/>
      <c r="AE152" s="82" t="n"/>
      <c r="AF152" s="12" t="n">
        <v>2.5</v>
      </c>
    </row>
    <row r="153" ht="400" customHeight="1">
      <c r="A153" s="12" t="inlineStr">
        <is>
          <t>IRIS2068</t>
        </is>
      </c>
      <c r="B153" s="10" t="inlineStr">
        <is>
          <t>Sonal Bagul</t>
        </is>
      </c>
      <c r="C153" s="12" t="inlineStr">
        <is>
          <t>Technology</t>
        </is>
      </c>
      <c r="D153" s="12" t="inlineStr">
        <is>
          <t>Senior Software Engineer</t>
        </is>
      </c>
      <c r="E153" s="12" t="inlineStr">
        <is>
          <t>Senior Software Engineer</t>
        </is>
      </c>
      <c r="F153" s="12" t="inlineStr">
        <is>
          <t>Engineering &amp; Development</t>
        </is>
      </c>
      <c r="G153" s="12" t="inlineStr">
        <is>
          <t>Backend Development</t>
        </is>
      </c>
      <c r="H153" s="12" t="inlineStr">
        <is>
          <t>IC</t>
        </is>
      </c>
      <c r="I153" s="42" t="inlineStr">
        <is>
          <t>L4 – Senior</t>
        </is>
      </c>
      <c r="J153" s="16" t="inlineStr">
        <is>
          <t>A3</t>
        </is>
      </c>
      <c r="K153" s="17" t="inlineStr">
        <is>
          <t>Senior Associate</t>
        </is>
      </c>
      <c r="L153" s="87" t="inlineStr">
        <is>
          <t>• Same level</t>
        </is>
      </c>
      <c r="M153" s="12" t="inlineStr">
        <is>
          <t>iFile · Technology · Band A · Early career</t>
        </is>
      </c>
      <c r="N153" s="42" t="n">
        <v>2.5</v>
      </c>
      <c r="O153" s="42" t="n">
        <v>2.5</v>
      </c>
      <c r="P153" s="42" t="n">
        <v>3</v>
      </c>
      <c r="Q153" s="42" t="n">
        <v>2.5</v>
      </c>
      <c r="R153" s="42" t="n">
        <v>6.5</v>
      </c>
      <c r="S153" s="80" t="n">
        <v>3</v>
      </c>
      <c r="T153" s="81">
        <f>IF(OR($M153="",COUNT(N153,O153,P153,Q153,R153,S153)&lt;6),"",IFERROR(N153*INDEX(WM_C,MATCH($M153,WM_KEY,0))+O153*INDEX(WM_AU,MATCH($M153,WM_KEY,0))+P153*INDEX(WM_AC,MATCH($M153,WM_KEY,0))+Q153*INDEX(WM_L,MATCH($M153,WM_KEY,0))+R153*INDEX(WM_E,MATCH($M153,WM_KEY,0))+S153*INDEX(WM_BI,MATCH($M153,WM_KEY,0)),""))</f>
        <v>2.95</v>
      </c>
      <c r="U153" s="42" t="str">
        <f>IF(T153="","",INDEX({"A1","A2","A3","B1","B2","B3","C1","C2","D1","D2","E1","E2"},MAX(1,MIN(12,ROUND(T153,0)))))</f>
        <v>A3</v>
      </c>
      <c r="V153" s="12" t="inlineStr">
        <is>
          <r>
            <rPr>
              <rFont val="Calibri"/>
              <sz val="10"/>
            </rPr>
            <t xml:space="preserve">New level A3 · Senior Associate. Current level on record: L4 – Senior. Change: • Same level.
Score 2.95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3" s="12" t="inlineStr">
        <is>
          <r>
            <rPr>
              <rFont val="Calibri"/>
              <b val="1"/>
              <sz val="10"/>
            </rPr>
            <t>Complexity &amp; Expertise:</t>
          </r>
          <r>
            <rPr>
              <rFont val="Calibri"/>
              <sz val="10"/>
            </rPr>
            <t xml:space="preserve"> 2.5 of 12 · between A2 and A3 — Start: 3.0 · senior practitioner title; Evidence reads like A2: Fixes client-reported defects, develops change requests and business validations, upgrades technology → moved down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3.0 · senior practitioner title; Evidence reads like A2: Decides only how to analyse and understand an issue → moved down 0.5
</t>
          </r>
          <r>
            <rPr>
              <rFont val="Calibri"/>
              <b val="1"/>
              <sz val="10"/>
            </rPr>
            <t>Accountability &amp; Impact:</t>
          </r>
          <r>
            <rPr>
              <rFont val="Calibri"/>
              <sz val="10"/>
            </rPr>
            <t xml:space="preserve"> 3 of 12 — Start: 3.0 · senior practitioner title; Evidence reads like A3: Client-reported issues and application support; mistakes escalate and need urgent fixing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2.5 of 12 · between A2 and A3 — not counted: the weight is 0% at this level — Start: 2.0 · individual contributor, so influence only; Evidence reads like A3: Training new joiners is a listed responsibility → moved up 0.5; Team: 0 direct reports · IC
</t>
          </r>
          <r>
            <rPr>
              <rFont val="Calibri"/>
              <b val="1"/>
              <sz val="10"/>
            </rPr>
            <t>Experience &amp; Qualification:</t>
          </r>
          <r>
            <rPr>
              <rFont val="Calibri"/>
              <sz val="10"/>
            </rPr>
            <t xml:space="preserve"> 6.5 of 12 · between B3 and C1 — Experience: 10.3 yrs total · 6.3 before IRIS + 4.0 at IRIS = 6.2 on the experience scale; Qualification: MCA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5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3" s="12" t="inlineStr">
        <is>
          <r>
            <rPr>
              <rFont val="Calibri"/>
              <sz val="10"/>
            </rPr>
            <t xml:space="preserve">✓ HRIS: 10.3 yrs, MCA,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53" s="12" t="inlineStr">
        <is>
          <t>—</t>
        </is>
      </c>
      <c r="AA153" s="12" t="inlineStr">
        <is>
          <t>Nothing outstanding</t>
        </is>
      </c>
      <c r="AB15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Low · 9-Box Grid placement: Reliable Specialist.</t>
          </r>
        </is>
      </c>
      <c r="AC153" s="82" t="n"/>
      <c r="AD153" s="82" t="n"/>
      <c r="AE153" s="82" t="n"/>
      <c r="AF153" s="12" t="n">
        <v>3</v>
      </c>
    </row>
    <row r="154" ht="400" customHeight="1">
      <c r="A154" s="12" t="inlineStr">
        <is>
          <t>IRIS2295</t>
        </is>
      </c>
      <c r="B154" s="10" t="inlineStr">
        <is>
          <t>Sourav Moharana</t>
        </is>
      </c>
      <c r="C154" s="12" t="inlineStr">
        <is>
          <t>Technology</t>
        </is>
      </c>
      <c r="D154" s="12" t="inlineStr">
        <is>
          <t>Software Engineer</t>
        </is>
      </c>
      <c r="E154" s="78" t="inlineStr">
        <is>
          <t>Senior Software Engineer</t>
        </is>
      </c>
      <c r="F154" s="12" t="inlineStr">
        <is>
          <t>Engineering &amp; Development</t>
        </is>
      </c>
      <c r="G154" s="12" t="inlineStr">
        <is>
          <t>Backend Development</t>
        </is>
      </c>
      <c r="H154" s="12" t="inlineStr">
        <is>
          <t>IC</t>
        </is>
      </c>
      <c r="I154" s="42" t="inlineStr">
        <is>
          <t>L3 – Professional / Associate</t>
        </is>
      </c>
      <c r="J154" s="16" t="inlineStr">
        <is>
          <t>A3</t>
        </is>
      </c>
      <c r="K154" s="17" t="inlineStr">
        <is>
          <t>Senior Associate</t>
        </is>
      </c>
      <c r="L154" s="79" t="inlineStr">
        <is>
          <t>▲ Up</t>
        </is>
      </c>
      <c r="M154" s="12" t="inlineStr">
        <is>
          <t>iFile · Technology · Band A · Early career</t>
        </is>
      </c>
      <c r="N154" s="42" t="n">
        <v>2.5</v>
      </c>
      <c r="O154" s="42" t="n">
        <v>2</v>
      </c>
      <c r="P154" s="42" t="n">
        <v>2.5</v>
      </c>
      <c r="Q154" s="42" t="n">
        <v>1</v>
      </c>
      <c r="R154" s="42" t="n">
        <v>4</v>
      </c>
      <c r="S154" s="80" t="n">
        <v>3</v>
      </c>
      <c r="T154" s="81">
        <f>IF(OR($M154="",COUNT(N154,O154,P154,Q154,R154,S154)&lt;6),"",IFERROR(N154*INDEX(WM_C,MATCH($M154,WM_KEY,0))+O154*INDEX(WM_AU,MATCH($M154,WM_KEY,0))+P154*INDEX(WM_AC,MATCH($M154,WM_KEY,0))+Q154*INDEX(WM_L,MATCH($M154,WM_KEY,0))+R154*INDEX(WM_E,MATCH($M154,WM_KEY,0))+S154*INDEX(WM_BI,MATCH($M154,WM_KEY,0)),""))</f>
        <v>2.6</v>
      </c>
      <c r="U154" s="42" t="str">
        <f>IF(T154="","",INDEX({"A1","A2","A3","B1","B2","B3","C1","C2","D1","D2","E1","E2"},MAX(1,MIN(12,ROUND(T154,0)))))</f>
        <v>A3</v>
      </c>
      <c r="V154"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4"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4 of 12 — Experience: 5.2 yrs total · 3.0 before IRIS + 2.2 at IRIS = 3.9 on the experience scale; Qualification: B.Tech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5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4" s="12" t="inlineStr">
        <is>
          <r>
            <rPr>
              <rFont val="Calibri"/>
              <sz val="10"/>
            </rPr>
            <t xml:space="preserve">✓ HRIS: 5.2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54" s="12" t="inlineStr">
        <is>
          <t>—</t>
        </is>
      </c>
      <c r="AA154" s="12" t="inlineStr">
        <is>
          <t>Nothing outstanding</t>
        </is>
      </c>
      <c r="AB15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Trusted Professional.</t>
          </r>
        </is>
      </c>
      <c r="AC154" s="82" t="n"/>
      <c r="AD154" s="82" t="n"/>
      <c r="AE154" s="82" t="n"/>
      <c r="AF154" s="12" t="n">
        <v>3</v>
      </c>
    </row>
    <row r="155" ht="400" customHeight="1">
      <c r="A155" s="12" t="inlineStr">
        <is>
          <t>IRIS2004</t>
        </is>
      </c>
      <c r="B155" s="10" t="inlineStr">
        <is>
          <t>Swati Patil</t>
        </is>
      </c>
      <c r="C155" s="12" t="inlineStr">
        <is>
          <t>Technology</t>
        </is>
      </c>
      <c r="D155" s="12" t="inlineStr">
        <is>
          <t>Software Engineer</t>
        </is>
      </c>
      <c r="E155" s="78" t="inlineStr">
        <is>
          <t>Senior Software Engineer</t>
        </is>
      </c>
      <c r="F155" s="12" t="inlineStr">
        <is>
          <t>Engineering &amp; Development</t>
        </is>
      </c>
      <c r="G155" s="12" t="inlineStr">
        <is>
          <t>Full-Stack Development</t>
        </is>
      </c>
      <c r="H155" s="12" t="inlineStr">
        <is>
          <t>IC</t>
        </is>
      </c>
      <c r="I155" s="42" t="inlineStr">
        <is>
          <t>L3 – Professional / Associate</t>
        </is>
      </c>
      <c r="J155" s="16" t="inlineStr">
        <is>
          <t>A3</t>
        </is>
      </c>
      <c r="K155" s="17" t="inlineStr">
        <is>
          <t>Senior Associate</t>
        </is>
      </c>
      <c r="L155" s="79" t="inlineStr">
        <is>
          <t>▲ Up</t>
        </is>
      </c>
      <c r="M155" s="12" t="inlineStr">
        <is>
          <t>iFile · Technology · Band A · Early career</t>
        </is>
      </c>
      <c r="N155" s="42" t="n">
        <v>2</v>
      </c>
      <c r="O155" s="42" t="n">
        <v>2</v>
      </c>
      <c r="P155" s="42" t="n">
        <v>2</v>
      </c>
      <c r="Q155" s="42" t="n">
        <v>1</v>
      </c>
      <c r="R155" s="42" t="n">
        <v>3.5</v>
      </c>
      <c r="S155" s="80" t="n">
        <v>2</v>
      </c>
      <c r="T155" s="81">
        <f>IF(OR($M155="",COUNT(N155,O155,P155,Q155,R155,S155)&lt;6),"",IFERROR(N155*INDEX(WM_C,MATCH($M155,WM_KEY,0))+O155*INDEX(WM_AU,MATCH($M155,WM_KEY,0))+P155*INDEX(WM_AC,MATCH($M155,WM_KEY,0))+Q155*INDEX(WM_L,MATCH($M155,WM_KEY,0))+R155*INDEX(WM_E,MATCH($M155,WM_KEY,0))+S155*INDEX(WM_BI,MATCH($M155,WM_KEY,0)),""))</f>
        <v>2.15</v>
      </c>
      <c r="U155" s="42" t="str">
        <f>IF(T155="","",INDEX({"A1","A2","A3","B1","B2","B3","C1","C2","D1","D2","E1","E2"},MAX(1,MIN(12,ROUND(T155,0)))))</f>
        <v>A2</v>
      </c>
      <c r="V155"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4.5 years' experience is 2 years or more.
</t>
          </r>
          <r>
            <rPr>
              <rFont val="Calibri"/>
              <b val="1"/>
              <sz val="10"/>
            </rPr>
            <t>Final level:</t>
          </r>
          <r>
            <rPr>
              <rFont val="Calibri"/>
              <sz val="10"/>
            </rPr>
            <t xml:space="preserve"> A3.</t>
          </r>
        </is>
      </c>
      <c r="W155" s="12" t="inlineStr">
        <is>
          <r>
            <rPr>
              <rFont val="Calibri"/>
              <b val="1"/>
              <sz val="10"/>
            </rPr>
            <t>Complexity &amp; Expertise:</t>
          </r>
          <r>
            <rPr>
              <rFont val="Calibri"/>
              <sz val="10"/>
            </rPr>
            <t xml:space="preserve"> 2 of 12 — Start: 2.0 · practitioner title; Evidence reads like A2: Develops features, fixes issues, tests and supports production in Java/Angular; no specifics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technical implementation → matches the start
</t>
          </r>
          <r>
            <rPr>
              <rFont val="Calibri"/>
              <b val="1"/>
              <sz val="10"/>
            </rPr>
            <t>Accountability &amp; Impact:</t>
          </r>
          <r>
            <rPr>
              <rFont val="Calibri"/>
              <sz val="10"/>
            </rPr>
            <t xml:space="preserve"> 2 of 12 — Start: 2.0 · practitioner title; Evidence reads like A2: Accountable for 'application quality'; manager notes she closes assigned defects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3.5 of 12 · between A3 and B1 — Experience: 4.5 yrs total · 4.5 at IRIS; none recorded before IRIS = 3.6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5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5" s="12" t="inlineStr">
        <is>
          <r>
            <rPr>
              <rFont val="Calibri"/>
              <sz val="10"/>
            </rPr>
            <t xml:space="preserve">✓ HRIS: 4.5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55" s="12" t="inlineStr">
        <is>
          <t>—</t>
        </is>
      </c>
      <c r="AA155" s="12" t="inlineStr">
        <is>
          <t>Nothing outstanding</t>
        </is>
      </c>
      <c r="AB15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Low · 9-Box Grid placement: Reliable Specialist.</t>
          </r>
        </is>
      </c>
      <c r="AC155" s="82" t="n"/>
      <c r="AD155" s="82" t="n"/>
      <c r="AE155" s="82" t="n"/>
      <c r="AF155" s="12" t="n">
        <v>2</v>
      </c>
    </row>
    <row r="156" ht="400" customHeight="1">
      <c r="A156" s="12" t="inlineStr">
        <is>
          <t>IRIS2459</t>
        </is>
      </c>
      <c r="B156" s="10" t="inlineStr">
        <is>
          <t>Viranchi Suresh Bhure</t>
        </is>
      </c>
      <c r="C156" s="12" t="inlineStr">
        <is>
          <t>Technology</t>
        </is>
      </c>
      <c r="D156" s="12" t="inlineStr">
        <is>
          <t>Software Engineer</t>
        </is>
      </c>
      <c r="E156" s="78" t="inlineStr">
        <is>
          <t>Senior Software Engineer</t>
        </is>
      </c>
      <c r="F156" s="12" t="inlineStr">
        <is>
          <t>Engineering &amp; Development</t>
        </is>
      </c>
      <c r="G156" s="12" t="inlineStr">
        <is>
          <t>Backend Development</t>
        </is>
      </c>
      <c r="H156" s="12" t="inlineStr">
        <is>
          <t>IC</t>
        </is>
      </c>
      <c r="I156" s="42" t="inlineStr">
        <is>
          <t>L3 – Professional / Associate</t>
        </is>
      </c>
      <c r="J156" s="16" t="inlineStr">
        <is>
          <t>A3</t>
        </is>
      </c>
      <c r="K156" s="17" t="inlineStr">
        <is>
          <t>Senior Associate</t>
        </is>
      </c>
      <c r="L156" s="79" t="inlineStr">
        <is>
          <t>▲ Up</t>
        </is>
      </c>
      <c r="M156" s="12" t="inlineStr">
        <is>
          <t>iFile · Technology · Band A · Early career</t>
        </is>
      </c>
      <c r="N156" s="42" t="n">
        <v>2.5</v>
      </c>
      <c r="O156" s="42" t="n">
        <v>2</v>
      </c>
      <c r="P156" s="42" t="n">
        <v>2.5</v>
      </c>
      <c r="Q156" s="42" t="n">
        <v>1</v>
      </c>
      <c r="R156" s="42" t="n">
        <v>3</v>
      </c>
      <c r="S156" s="80" t="n">
        <v>2.5</v>
      </c>
      <c r="T156" s="81">
        <f>IF(OR($M156="",COUNT(N156,O156,P156,Q156,R156,S156)&lt;6),"",IFERROR(N156*INDEX(WM_C,MATCH($M156,WM_KEY,0))+O156*INDEX(WM_AU,MATCH($M156,WM_KEY,0))+P156*INDEX(WM_AC,MATCH($M156,WM_KEY,0))+Q156*INDEX(WM_L,MATCH($M156,WM_KEY,0))+R156*INDEX(WM_E,MATCH($M156,WM_KEY,0))+S156*INDEX(WM_BI,MATCH($M156,WM_KEY,0)),""))</f>
        <v>2.47</v>
      </c>
      <c r="U156" s="42" t="str">
        <f>IF(T156="","",INDEX({"A1","A2","A3","B1","B2","B3","C1","C2","D1","D2","E1","E2"},MAX(1,MIN(12,ROUND(T156,0)))))</f>
        <v>A2</v>
      </c>
      <c r="V156" s="12" t="inlineStr">
        <is>
          <r>
            <rPr>
              <rFont val="Calibri"/>
              <sz val="10"/>
            </rPr>
            <t xml:space="preserve">New level A3 · Senior Associate. Current level on record: L3 – Professional / Associate. Change: ▲ Up.
Score 2.47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3.5 years' experience is 2 years or more.
</t>
          </r>
          <r>
            <rPr>
              <rFont val="Calibri"/>
              <b val="1"/>
              <sz val="10"/>
            </rPr>
            <t>Final level:</t>
          </r>
          <r>
            <rPr>
              <rFont val="Calibri"/>
              <sz val="10"/>
            </rPr>
            <t xml:space="preserve"> A3.</t>
          </r>
        </is>
      </c>
      <c r="W156"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3 of 12 — Experience: 3.5 yrs total · 2.8 before IRIS + 0.7 at IRIS = 3.2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5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6" s="12" t="inlineStr">
        <is>
          <r>
            <rPr>
              <rFont val="Calibri"/>
              <sz val="10"/>
            </rPr>
            <t xml:space="preserve">✓ HRIS: 3.5 yrs, B.E,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56" s="12" t="inlineStr">
        <is>
          <t>—</t>
        </is>
      </c>
      <c r="AA156" s="12" t="inlineStr">
        <is>
          <t>Nothing outstanding</t>
        </is>
      </c>
      <c r="AB15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AC156" s="82" t="n"/>
      <c r="AD156" s="82" t="n"/>
      <c r="AE156" s="82" t="n"/>
      <c r="AF156" s="12" t="n">
        <v>2.5</v>
      </c>
    </row>
    <row r="157" ht="400" customHeight="1">
      <c r="A157" s="12" t="inlineStr">
        <is>
          <t>IRIS2447</t>
        </is>
      </c>
      <c r="B157" s="10" t="inlineStr">
        <is>
          <t>Yash Chikane</t>
        </is>
      </c>
      <c r="C157" s="12" t="inlineStr">
        <is>
          <t>Technology</t>
        </is>
      </c>
      <c r="D157" s="12" t="inlineStr">
        <is>
          <t>Senior Software Engineer - AI/ML</t>
        </is>
      </c>
      <c r="E157" s="78" t="inlineStr">
        <is>
          <t>Senior AI/ML Engineer</t>
        </is>
      </c>
      <c r="F157" s="12" t="inlineStr">
        <is>
          <t>Engineering &amp; Development</t>
        </is>
      </c>
      <c r="G157" s="12" t="inlineStr">
        <is>
          <t>AI / ML &amp; GenAI Engineering</t>
        </is>
      </c>
      <c r="H157" s="12" t="inlineStr">
        <is>
          <t>IC</t>
        </is>
      </c>
      <c r="I157" s="42" t="inlineStr">
        <is>
          <t>Not in current mapping files</t>
        </is>
      </c>
      <c r="J157" s="16" t="inlineStr">
        <is>
          <t>A3</t>
        </is>
      </c>
      <c r="K157" s="17" t="inlineStr">
        <is>
          <t>Senior Associate</t>
        </is>
      </c>
      <c r="L157" s="85" t="inlineStr">
        <is>
          <t>● Newly mapped</t>
        </is>
      </c>
      <c r="M157" s="12" t="inlineStr">
        <is>
          <t>iFile · Technology · Band A · Early career</t>
        </is>
      </c>
      <c r="N157" s="42" t="n">
        <v>3</v>
      </c>
      <c r="O157" s="42" t="n">
        <v>2.5</v>
      </c>
      <c r="P157" s="42" t="n">
        <v>2.5</v>
      </c>
      <c r="Q157" s="42" t="n">
        <v>1.5</v>
      </c>
      <c r="R157" s="42" t="n">
        <v>4</v>
      </c>
      <c r="S157" s="80" t="n">
        <v>2.5</v>
      </c>
      <c r="T157" s="81">
        <f>IF(OR($M157="",COUNT(N157,O157,P157,Q157,R157,S157)&lt;6),"",IFERROR(N157*INDEX(WM_C,MATCH($M157,WM_KEY,0))+O157*INDEX(WM_AU,MATCH($M157,WM_KEY,0))+P157*INDEX(WM_AC,MATCH($M157,WM_KEY,0))+Q157*INDEX(WM_L,MATCH($M157,WM_KEY,0))+R157*INDEX(WM_E,MATCH($M157,WM_KEY,0))+S157*INDEX(WM_BI,MATCH($M157,WM_KEY,0)),""))</f>
        <v>2.97</v>
      </c>
      <c r="U157" s="42" t="str">
        <f>IF(T157="","",INDEX({"A1","A2","A3","B1","B2","B3","C1","C2","D1","D2","E1","E2"},MAX(1,MIN(12,ROUND(T157,0)))))</f>
        <v>A3</v>
      </c>
      <c r="V157" s="12" t="inlineStr">
        <is>
          <r>
            <rPr>
              <rFont val="Calibri"/>
              <sz val="10"/>
            </rPr>
            <t xml:space="preserve">New level A3 · Senior Associate. Current level on record: Not in current mapping files. Change: ● Newly mapped.
Score 2.97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7" s="12" t="inlineStr">
        <is>
          <r>
            <rPr>
              <rFont val="Calibri"/>
              <b val="1"/>
              <sz val="10"/>
            </rPr>
            <t>Complexity &amp; Expertise:</t>
          </r>
          <r>
            <rPr>
              <rFont val="Calibri"/>
              <sz val="10"/>
            </rPr>
            <t xml:space="preserve"> 3 of 12 — Start: 3.0 · senior practitioner title; Evidence reads like A3: Designs, builds, deploys and optimises AI/ML and GenAI solutions in Python; no specific product named → matches the start
</t>
          </r>
          <r>
            <rPr>
              <rFont val="Calibri"/>
              <b val="1"/>
              <sz val="10"/>
            </rPr>
            <t>Autonomy &amp; Decision:</t>
          </r>
          <r>
            <rPr>
              <rFont val="Calibri"/>
              <sz val="10"/>
            </rPr>
            <t xml:space="preserve"> 2.5 of 12 · between A2 and A3 — Start: 3.0 · senior practitioner title; Evidence reads like A2: Decides optimisation and approach on own work → moved down 0.5
</t>
          </r>
          <r>
            <rPr>
              <rFont val="Calibri"/>
              <b val="1"/>
              <sz val="10"/>
            </rPr>
            <t>Accountability &amp; Impact:</t>
          </r>
          <r>
            <rPr>
              <rFont val="Calibri"/>
              <sz val="10"/>
            </rPr>
            <t xml:space="preserve"> 2.5 of 12 · between A2 and A3 — Start: 3.0 · senior practitioner title; Evidence reads like A2: Code readability, secure libraries and right approach in own solutions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4 of 12 — Experience: 4.9 yrs total · 4.1 before IRIS + 0.8 at IRIS = 3.8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5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7" s="12" t="inlineStr">
        <is>
          <r>
            <rPr>
              <rFont val="Calibri"/>
              <sz val="10"/>
            </rPr>
            <t xml:space="preserve">✓ HRIS: 4.9 yrs, B.E, 0 direct reports
✓ Survey: 20 of 20 questions answered
✗ KRAs: none on file
✓ Manager mapping: rating, 9-box
✗ Job description: not on file
</t>
          </r>
          <r>
            <rPr>
              <rFont val="Calibri"/>
              <b val="1"/>
              <sz val="10"/>
            </rPr>
            <t>Confidence:</t>
          </r>
          <r>
            <rPr>
              <rFont val="Calibri"/>
              <sz val="10"/>
            </rPr>
            <t xml:space="preserve"> Medium</t>
          </r>
        </is>
      </c>
      <c r="Z157" s="12" t="inlineStr">
        <is>
          <t>—</t>
        </is>
      </c>
      <c r="AA157" s="12" t="inlineStr">
        <is>
          <t>Nothing outstanding</t>
        </is>
      </c>
      <c r="AB15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cause.
Manager talent mapping — Latest rating: Not rated · manager · 9-Box Grid placement: Not placed · manager.</t>
          </r>
        </is>
      </c>
      <c r="AC157" s="82" t="n"/>
      <c r="AD157" s="82" t="n"/>
      <c r="AE157" s="82" t="n"/>
      <c r="AF157" s="12" t="n">
        <v>2.5</v>
      </c>
    </row>
    <row r="158" ht="400" customHeight="1">
      <c r="A158" s="12" t="inlineStr">
        <is>
          <t>IRIS2529</t>
        </is>
      </c>
      <c r="B158" s="10" t="inlineStr">
        <is>
          <t>Yash Raj</t>
        </is>
      </c>
      <c r="C158" s="12" t="inlineStr">
        <is>
          <t>Technology</t>
        </is>
      </c>
      <c r="D158" s="12" t="inlineStr">
        <is>
          <t>Software Engineer</t>
        </is>
      </c>
      <c r="E158" s="78" t="inlineStr">
        <is>
          <t>Senior Database Engineer</t>
        </is>
      </c>
      <c r="F158" s="12" t="inlineStr">
        <is>
          <t>Engineering &amp; Development</t>
        </is>
      </c>
      <c r="G158" s="12" t="inlineStr">
        <is>
          <t>Data Engineering &amp; Database Development</t>
        </is>
      </c>
      <c r="H158" s="12" t="inlineStr">
        <is>
          <t>IC</t>
        </is>
      </c>
      <c r="I158" s="42" t="inlineStr">
        <is>
          <t>L3 – Professional / Associate</t>
        </is>
      </c>
      <c r="J158" s="16" t="inlineStr">
        <is>
          <t>A3</t>
        </is>
      </c>
      <c r="K158" s="17" t="inlineStr">
        <is>
          <t>Senior Associate</t>
        </is>
      </c>
      <c r="L158" s="79" t="inlineStr">
        <is>
          <t>▲ Up</t>
        </is>
      </c>
      <c r="M158" s="12" t="inlineStr">
        <is>
          <t>iFile · Technology · Band A · Early career</t>
        </is>
      </c>
      <c r="N158" s="42" t="n">
        <v>2.5</v>
      </c>
      <c r="O158" s="42" t="n">
        <v>2.5</v>
      </c>
      <c r="P158" s="42" t="n">
        <v>2.5</v>
      </c>
      <c r="Q158" s="42" t="n">
        <v>1</v>
      </c>
      <c r="R158" s="42" t="n">
        <v>3</v>
      </c>
      <c r="S158" s="80" t="n">
        <v>2.5</v>
      </c>
      <c r="T158" s="81">
        <f>IF(OR($M158="",COUNT(N158,O158,P158,Q158,R158,S158)&lt;6),"",IFERROR(N158*INDEX(WM_C,MATCH($M158,WM_KEY,0))+O158*INDEX(WM_AU,MATCH($M158,WM_KEY,0))+P158*INDEX(WM_AC,MATCH($M158,WM_KEY,0))+Q158*INDEX(WM_L,MATCH($M158,WM_KEY,0))+R158*INDEX(WM_E,MATCH($M158,WM_KEY,0))+S158*INDEX(WM_BI,MATCH($M158,WM_KEY,0)),""))</f>
        <v>2.55</v>
      </c>
      <c r="U158" s="42" t="str">
        <f>IF(T158="","",INDEX({"A1","A2","A3","B1","B2","B3","C1","C2","D1","D2","E1","E2"},MAX(1,MIN(12,ROUND(T158,0)))))</f>
        <v>A3</v>
      </c>
      <c r="V158" s="12" t="inlineStr">
        <is>
          <r>
            <rPr>
              <rFont val="Calibri"/>
              <sz val="10"/>
            </rPr>
            <t xml:space="preserve">New level A3 · Senior Associate. Current level on record: L3 – Professional / Associate. Change: ▲ Up.
Score 2.55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8" s="12" t="inlineStr">
        <is>
          <r>
            <rPr>
              <rFont val="Calibri"/>
              <b val="1"/>
              <sz val="10"/>
            </rPr>
            <t>Complexity &amp; Expertise:</t>
          </r>
          <r>
            <rPr>
              <rFont val="Calibri"/>
              <sz val="10"/>
            </rPr>
            <t xml:space="preserve"> 2.5 of 12 · between A2 and A3 — Start: 2.0 · practitioner title; Evidence reads like A3: Builds end-to-end ETL pipelines, data models and dashboards in Python, Apache Hop, Airflow and Superset → moved up 0.5;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2.0 · practitioner title; Evidence reads like A3: Independently troubleshoots pipeline failures, optimises jobs and handles data-quality issues → moved up 0.5
</t>
          </r>
          <r>
            <rPr>
              <rFont val="Calibri"/>
              <b val="1"/>
              <sz val="10"/>
            </rPr>
            <t>Accountability &amp; Impact:</t>
          </r>
          <r>
            <rPr>
              <rFont val="Calibri"/>
              <sz val="10"/>
            </rPr>
            <t xml:space="preserve"> 2.5 of 12 · between A2 and A3 — Start: 2.0 · practitioner title; Evidence reads like A3: Pipelines end to end; failures hit downstream reporting and analytics teams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3 of 12 — Experience: 2.7 yrs total · 2.3 before IRIS + 0.4 at IRIS = 2.9 on the experience scale; Qualification: B.Tech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5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58" s="12" t="inlineStr">
        <is>
          <r>
            <rPr>
              <rFont val="Calibri"/>
              <sz val="10"/>
            </rPr>
            <t xml:space="preserve">✓ HRIS: 2.7 yrs, B.Tech, 0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158" s="12" t="inlineStr">
        <is>
          <t>—</t>
        </is>
      </c>
      <c r="AA158" s="12" t="inlineStr">
        <is>
          <t>Nothing outstanding</t>
        </is>
      </c>
      <c r="AB15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Reliable Specialist.</t>
          </r>
        </is>
      </c>
      <c r="AC158" s="82" t="n"/>
      <c r="AD158" s="82" t="n"/>
      <c r="AE158" s="82" t="n"/>
      <c r="AF158" s="12" t="n">
        <v>2.5</v>
      </c>
    </row>
    <row r="159" ht="400" customHeight="1">
      <c r="A159" s="12" t="inlineStr">
        <is>
          <t>IRIS2507</t>
        </is>
      </c>
      <c r="B159" s="10" t="inlineStr">
        <is>
          <t>Tanishq Gupta</t>
        </is>
      </c>
      <c r="C159" s="12" t="inlineStr">
        <is>
          <t>Technology</t>
        </is>
      </c>
      <c r="D159" s="12" t="inlineStr">
        <is>
          <t>Business Analyst</t>
        </is>
      </c>
      <c r="E159" s="12" t="inlineStr">
        <is>
          <t>Business Analyst</t>
        </is>
      </c>
      <c r="F159" s="12" t="inlineStr">
        <is>
          <t>Business Analysis</t>
        </is>
      </c>
      <c r="G159" s="12" t="inlineStr">
        <is>
          <t>Business Analysis</t>
        </is>
      </c>
      <c r="H159" s="12" t="inlineStr">
        <is>
          <t>IC</t>
        </is>
      </c>
      <c r="I159" s="42" t="inlineStr">
        <is>
          <t>L3 – Professional / Associate</t>
        </is>
      </c>
      <c r="J159" s="16" t="inlineStr">
        <is>
          <t>A2</t>
        </is>
      </c>
      <c r="K159" s="17" t="inlineStr">
        <is>
          <t>Associate</t>
        </is>
      </c>
      <c r="L159" s="87" t="inlineStr">
        <is>
          <t>• Same level</t>
        </is>
      </c>
      <c r="M159" s="12" t="inlineStr">
        <is>
          <t>iFile · Technology · Band A · Early career</t>
        </is>
      </c>
      <c r="N159" s="42" t="n">
        <v>3</v>
      </c>
      <c r="O159" s="42" t="n">
        <v>3</v>
      </c>
      <c r="P159" s="42" t="n">
        <v>2.5</v>
      </c>
      <c r="Q159" s="42" t="n">
        <v>2</v>
      </c>
      <c r="R159" s="42" t="n">
        <v>1.5</v>
      </c>
      <c r="S159" s="80" t="n">
        <v>2.5</v>
      </c>
      <c r="T159" s="81">
        <f>IF(OR($M159="",COUNT(N159,O159,P159,Q159,R159,S159)&lt;6),"",IFERROR(N159*INDEX(WM_C,MATCH($M159,WM_KEY,0))+O159*INDEX(WM_AU,MATCH($M159,WM_KEY,0))+P159*INDEX(WM_AC,MATCH($M159,WM_KEY,0))+Q159*INDEX(WM_L,MATCH($M159,WM_KEY,0))+R159*INDEX(WM_E,MATCH($M159,WM_KEY,0))+S159*INDEX(WM_BI,MATCH($M159,WM_KEY,0)),""))</f>
        <v>2.8</v>
      </c>
      <c r="U159" s="42" t="str">
        <f>IF(T159="","",INDEX({"A1","A2","A3","B1","B2","B3","C1","C2","D1","D2","E1","E2"},MAX(1,MIN(12,ROUND(T159,0)))))</f>
        <v>A3</v>
      </c>
      <c r="V159" s="12" t="inlineStr">
        <is>
          <r>
            <rPr>
              <rFont val="Calibri"/>
              <sz val="10"/>
            </rPr>
            <t xml:space="preserve">New level A2 · Associate. Current level on record: L3 – Professional / Associate. Change: • Same level.
Score 2.80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Capped at A2:</t>
          </r>
          <r>
            <rPr>
              <rFont val="Calibri"/>
              <sz val="10"/>
            </rPr>
            <t xml:space="preserve"> 0.5 years' experience is under 1 year.
</t>
          </r>
          <r>
            <rPr>
              <rFont val="Calibri"/>
              <b val="1"/>
              <sz val="10"/>
            </rPr>
            <t>Final level:</t>
          </r>
          <r>
            <rPr>
              <rFont val="Calibri"/>
              <sz val="10"/>
            </rPr>
            <t xml:space="preserve"> A2.</t>
          </r>
        </is>
      </c>
      <c r="W159" s="12" t="inlineStr">
        <is>
          <r>
            <rPr>
              <rFont val="Calibri"/>
              <b val="1"/>
              <sz val="10"/>
            </rPr>
            <t>Complexity &amp; Expertise:</t>
          </r>
          <r>
            <rPr>
              <rFont val="Calibri"/>
              <sz val="10"/>
            </rPr>
            <t xml:space="preserve"> 3 of 12 — Start: 3.0 · senior practitioner title; Evidence reads like A3: Gap analysis and discovery for a new product; BRDs, FRDs, user stories, process flows, traceability → matches the start; KRA: “1. Deliver &gt;=90% of assigned BRDs/user stories approved with &lt;=1 revision cycle 2. Achieve &gt;=85% on-time delivery of BA deliverables…”
</t>
          </r>
          <r>
            <rPr>
              <rFont val="Calibri"/>
              <b val="1"/>
              <sz val="10"/>
            </rPr>
            <t>Autonomy &amp; Decision:</t>
          </r>
          <r>
            <rPr>
              <rFont val="Calibri"/>
              <sz val="10"/>
            </rPr>
            <t xml:space="preserve"> 3 of 12 — Start: 3.0 · senior practitioner title; Evidence reads like A3: Decides requirement structure, story breakdown, gap recommendations; scope and priority sit with product owner → matches the start
</t>
          </r>
          <r>
            <rPr>
              <rFont val="Calibri"/>
              <b val="1"/>
              <sz val="10"/>
            </rPr>
            <t>Accountability &amp; Impact:</t>
          </r>
          <r>
            <rPr>
              <rFont val="Calibri"/>
              <sz val="10"/>
            </rPr>
            <t xml:space="preserve"> 2.5 of 12 · between A2 and A3 — Start: 3.0 · senior practitioner title; Evidence reads like A2: Accuracy and completeness of gap analysis, BRDs, FRDs and user stories → moved down 0.5; KRA: “1. Deliver &gt;=90% of assigned BRDs/user stories approved with &lt;=1 revision cycle 2. Achieve &gt;=85% on-time delivery of BA deliverables…”
</t>
          </r>
          <r>
            <rPr>
              <rFont val="Calibri"/>
              <b val="1"/>
              <sz val="10"/>
            </rPr>
            <t>Leadership &amp; Strategy:</t>
          </r>
          <r>
            <rPr>
              <rFont val="Calibri"/>
              <sz val="10"/>
            </rPr>
            <t xml:space="preserve"> 2 of 12 — not counted: the weight is 0% at this level — Start: 2.0 · individual contributor, so influence only; Evidence reads like A2: Clarifies with developers and QA; guidance to team members only in manager note → matches the start; Team: 0 direct reports · IC
</t>
          </r>
          <r>
            <rPr>
              <rFont val="Calibri"/>
              <b val="1"/>
              <sz val="10"/>
            </rPr>
            <t>Experience &amp; Qualification:</t>
          </r>
          <r>
            <rPr>
              <rFont val="Calibri"/>
              <sz val="10"/>
            </rPr>
            <t xml:space="preserve"> 1.5 of 12 · between A1 and A2 — Experience: 0.5 yrs total · 0.5 at IRIS; none recorded before IRIS = 1.5 on the experience scale; Qualification: MBA · postgraduate → no change
</t>
          </r>
          <r>
            <rPr>
              <rFont val="Calibri"/>
              <b val="1"/>
              <sz val="10"/>
            </rPr>
            <t>Business Impact:</t>
          </r>
          <r>
            <rPr>
              <rFont val="Calibri"/>
              <sz val="10"/>
            </rPr>
            <t xml:space="preserve"> 2.5 of 12 — a starting estimate. —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r>
        </is>
      </c>
      <c r="X159"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Business Analyst / Business Analyst
</t>
          </r>
          <r>
            <rPr>
              <rFont val="Calibri"/>
              <b val="1"/>
              <sz val="10"/>
            </rPr>
            <t>At peers:</t>
          </r>
          <r>
            <rPr>
              <rFont val="Calibri"/>
              <sz val="10"/>
            </rPr>
            <t xml:space="preserve"> Big Four consulting – Analyst · IRIS Vs Market Benchmark — IIBA certification pathway: ECBA · Infosys / Accenture – JL3B · L11 Analyst
</t>
          </r>
          <r>
            <rPr>
              <rFont val="Calibri"/>
              <b val="1"/>
              <sz val="10"/>
            </rPr>
            <t>Typical experience:</t>
          </r>
          <r>
            <rPr>
              <rFont val="Calibri"/>
              <sz val="10"/>
            </rPr>
            <t xml:space="preserve"> 0–3 yrs · IRIS guide 0–2
</t>
          </r>
          <r>
            <rPr>
              <rFont val="Calibri"/>
              <b val="1"/>
              <sz val="10"/>
            </rPr>
            <t>Standard:</t>
          </r>
          <r>
            <rPr>
              <rFont val="Calibri"/>
              <sz val="10"/>
            </rPr>
            <t xml:space="preserve"> IIBA BABOK v3; certifications ECBA → CCBA → CBAP</t>
          </r>
        </is>
      </c>
      <c r="Y159" s="12" t="inlineStr">
        <is>
          <r>
            <rPr>
              <rFont val="Calibri"/>
              <sz val="10"/>
            </rPr>
            <t xml:space="preserve">✓ HRIS: 0.5 yrs, MBA,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59" s="12" t="inlineStr">
        <is>
          <t>—</t>
        </is>
      </c>
      <c r="AA159" s="12" t="inlineStr">
        <is>
          <t>Nothing outstanding</t>
        </is>
      </c>
      <c r="AB15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From the survey and manager mapping — critical role: no; successor named: no.
</t>
          </r>
          <r>
            <rPr>
              <rFont val="Calibri"/>
              <b val="1"/>
              <sz val="10"/>
            </rPr>
            <t>If the work is missed · role-holders' themes:</t>
          </r>
          <r>
            <rPr>
              <rFont val="Calibri"/>
              <sz val="10"/>
            </rPr>
            <t xml:space="preserve"> client · rework · delays.
Manager talent mapping — Latest rating: 3 · Potential: Medium · 9-Box Grid placement: Core Contributor.</t>
          </r>
        </is>
      </c>
      <c r="AC159" s="82" t="n"/>
      <c r="AD159" s="82" t="n"/>
      <c r="AE159" s="82" t="n"/>
      <c r="AF159" s="12" t="n">
        <v>2.5</v>
      </c>
    </row>
    <row r="160" ht="400" customHeight="1">
      <c r="A160" s="12" t="inlineStr">
        <is>
          <t>IRIS2451</t>
        </is>
      </c>
      <c r="B160" s="10" t="inlineStr">
        <is>
          <t>Anurag Gupta</t>
        </is>
      </c>
      <c r="C160" s="12" t="inlineStr">
        <is>
          <t>Technology</t>
        </is>
      </c>
      <c r="D160" s="12" t="inlineStr">
        <is>
          <t>Trainee Software Engineer</t>
        </is>
      </c>
      <c r="E160" s="78" t="inlineStr">
        <is>
          <t>UI Developer</t>
        </is>
      </c>
      <c r="F160" s="12" t="inlineStr">
        <is>
          <t>Engineering &amp; Development</t>
        </is>
      </c>
      <c r="G160" s="12" t="inlineStr">
        <is>
          <t>Front-End / UI Development</t>
        </is>
      </c>
      <c r="H160" s="12" t="inlineStr">
        <is>
          <t>IC</t>
        </is>
      </c>
      <c r="I160" s="42" t="inlineStr">
        <is>
          <t>L2 – Trainee</t>
        </is>
      </c>
      <c r="J160" s="16" t="inlineStr">
        <is>
          <t>A2</t>
        </is>
      </c>
      <c r="K160" s="17" t="inlineStr">
        <is>
          <t>Associate</t>
        </is>
      </c>
      <c r="L160" s="79" t="inlineStr">
        <is>
          <t>▲ Up</t>
        </is>
      </c>
      <c r="M160" s="12" t="inlineStr">
        <is>
          <t>iFile · Technology · Band A · Early career</t>
        </is>
      </c>
      <c r="N160" s="42" t="n">
        <v>2</v>
      </c>
      <c r="O160" s="42" t="n">
        <v>1.5</v>
      </c>
      <c r="P160" s="42" t="n">
        <v>1.5</v>
      </c>
      <c r="Q160" s="42" t="n">
        <v>1</v>
      </c>
      <c r="R160" s="42" t="n">
        <v>2.5</v>
      </c>
      <c r="S160" s="80" t="n">
        <v>1.5</v>
      </c>
      <c r="T160" s="81">
        <f>IF(OR($M160="",COUNT(N160,O160,P160,Q160,R160,S160)&lt;6),"",IFERROR(N160*INDEX(WM_C,MATCH($M160,WM_KEY,0))+O160*INDEX(WM_AU,MATCH($M160,WM_KEY,0))+P160*INDEX(WM_AC,MATCH($M160,WM_KEY,0))+Q160*INDEX(WM_L,MATCH($M160,WM_KEY,0))+R160*INDEX(WM_E,MATCH($M160,WM_KEY,0))+S160*INDEX(WM_BI,MATCH($M160,WM_KEY,0)),""))</f>
        <v>1.92</v>
      </c>
      <c r="U160" s="42" t="str">
        <f>IF(T160="","",INDEX({"A1","A2","A3","B1","B2","B3","C1","C2","D1","D2","E1","E2"},MAX(1,MIN(12,ROUND(T160,0)))))</f>
        <v>A2</v>
      </c>
      <c r="V160" s="12" t="inlineStr">
        <is>
          <r>
            <rPr>
              <rFont val="Calibri"/>
              <sz val="10"/>
            </rPr>
            <t xml:space="preserve">New level A2 · Associate. Current level on record: L2 – Trainee. Change: ▲ Up.
Score 1.92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 years' experience is 2 years or more.
• </t>
          </r>
          <r>
            <rPr>
              <rFont val="Calibri"/>
              <b val="1"/>
              <sz val="10"/>
            </rPr>
            <t>Lowered from A3 to A2:</t>
          </r>
          <r>
            <rPr>
              <rFont val="Calibri"/>
              <sz val="10"/>
            </rPr>
            <t xml:space="preserve"> the work itself · complexity 2, accountability 1.5, average 1.75 supports at most A2.
</t>
          </r>
          <r>
            <rPr>
              <rFont val="Calibri"/>
              <b val="1"/>
              <sz val="10"/>
            </rPr>
            <t>Final level:</t>
          </r>
          <r>
            <rPr>
              <rFont val="Calibri"/>
              <sz val="10"/>
            </rPr>
            <t xml:space="preserve"> A2.</t>
          </r>
        </is>
      </c>
      <c r="W160" s="12" t="inlineStr">
        <is>
          <r>
            <rPr>
              <rFont val="Calibri"/>
              <b val="1"/>
              <sz val="10"/>
            </rPr>
            <t>Complexity &amp; Expertise:</t>
          </r>
          <r>
            <rPr>
              <rFont val="Calibri"/>
              <sz val="10"/>
            </rPr>
            <t xml:space="preserve"> 2 of 12 — Start: 1.0 · trainee / intern title; Evidence: rated like 11 colleagues in the same role and department · own answers too general to rate → moved +1.0; KRA: “1. Provide production support/Upgrade of SBC. 2. Work independently and complete tasks on time and guide team members. 3. Improve the…”
</t>
          </r>
          <r>
            <rPr>
              <rFont val="Calibri"/>
              <b val="1"/>
              <sz val="10"/>
            </rPr>
            <t>Autonomy &amp; Decision:</t>
          </r>
          <r>
            <rPr>
              <rFont val="Calibri"/>
              <sz val="10"/>
            </rPr>
            <t xml:space="preserve"> 1.5 of 12 · between A1 and A2 — Start: 1.0 · trainee / intern title; Evidence: rated like 11 colleagues in the same role and department · own answers too general to rate → moved +0.5
</t>
          </r>
          <r>
            <rPr>
              <rFont val="Calibri"/>
              <b val="1"/>
              <sz val="10"/>
            </rPr>
            <t>Accountability &amp; Impact:</t>
          </r>
          <r>
            <rPr>
              <rFont val="Calibri"/>
              <sz val="10"/>
            </rPr>
            <t xml:space="preserve"> 1.5 of 12 · between A1 and A2 — Start: 1.0 · trainee / intern title; Evidence: rated like 11 colleagues in the same role and department · own answers too general to rate → moved +0.5; KRA: “1. Provide production support/Upgrade of SBC. 2. Work independently and complete tasks on time and guide team members. 3. Improve the…”
</t>
          </r>
          <r>
            <rPr>
              <rFont val="Calibri"/>
              <b val="1"/>
              <sz val="10"/>
            </rPr>
            <t>Leadership &amp; Strategy:</t>
          </r>
          <r>
            <rPr>
              <rFont val="Calibri"/>
              <sz val="10"/>
            </rPr>
            <t xml:space="preserve"> 1 of 12 — not counted: the weight is 0% at this level — Start: 1.0 · individual contributor, so influence only; Evidence: rated like 11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2.0 yrs total · 1.2 before IRIS + 0.8 at IRIS = 2.5 on the experience scale; Qualification: B.Sc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160"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0" s="12" t="inlineStr">
        <is>
          <r>
            <rPr>
              <rFont val="Calibri"/>
              <sz val="10"/>
            </rPr>
            <t xml:space="preserve">✓ HRIS: 2.0 yrs, B.Sc, 0 direct reports
✓ Survey: 20 of 20 questions answered
✓ KRAs: quarterly
✓ Manager mapping: rating, potential, 9-box
✗ Job description: not on file
</t>
          </r>
          <r>
            <rPr>
              <rFont val="Calibri"/>
              <b val="1"/>
              <sz val="10"/>
            </rPr>
            <t>Confidence:</t>
          </r>
          <r>
            <rPr>
              <rFont val="Calibri"/>
              <sz val="10"/>
            </rPr>
            <t xml:space="preserve"> Low</t>
          </r>
        </is>
      </c>
      <c r="Z160" s="84" t="inlineStr">
        <is>
          <r>
            <rPr>
              <rFont val="Calibri"/>
              <color rgb="009C5700"/>
              <sz val="10"/>
            </rPr>
            <t xml:space="preserve">• </t>
          </r>
          <r>
            <rPr>
              <rFont val="Calibri"/>
              <b val="1"/>
              <color rgb="009C5700"/>
              <sz val="10"/>
            </rPr>
            <t>Near a gate:</t>
          </r>
          <r>
            <rPr>
              <rFont val="Calibri"/>
              <color rgb="009C5700"/>
              <sz val="10"/>
            </rPr>
            <t xml:space="preserve"> role substance: complexity–accountability average 1.75 is 0.25 short of 2, which would lift the limit by one level; Band A experience rule: 2 yrs is within three months of the 1- or 2-year threshold</t>
          </r>
        </is>
      </c>
      <c r="AA160" s="12" t="inlineStr">
        <is>
          <t>Nothing outstanding</t>
        </is>
      </c>
      <c r="AB160"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Medium · 9-Box Grid placement: Trusted Professional.</t>
          </r>
        </is>
      </c>
      <c r="AC160" s="82" t="n"/>
      <c r="AD160" s="82" t="n"/>
      <c r="AE160" s="82" t="n"/>
      <c r="AF160" s="12" t="n">
        <v>1.5</v>
      </c>
    </row>
    <row r="161" ht="400" customHeight="1">
      <c r="A161" s="12" t="inlineStr">
        <is>
          <t>IRIS2482</t>
        </is>
      </c>
      <c r="B161" s="10" t="inlineStr">
        <is>
          <t>Aquib Shah</t>
        </is>
      </c>
      <c r="C161" s="12" t="inlineStr">
        <is>
          <t>Technology</t>
        </is>
      </c>
      <c r="D161" s="12" t="inlineStr">
        <is>
          <t>Trainee Software Engineer</t>
        </is>
      </c>
      <c r="E161" s="78" t="inlineStr">
        <is>
          <t>Software Engineer</t>
        </is>
      </c>
      <c r="F161" s="12" t="inlineStr">
        <is>
          <t>Engineering &amp; Development</t>
        </is>
      </c>
      <c r="G161" s="12" t="inlineStr">
        <is>
          <t>Backend Development</t>
        </is>
      </c>
      <c r="H161" s="12" t="inlineStr">
        <is>
          <t>IC</t>
        </is>
      </c>
      <c r="I161" s="42" t="inlineStr">
        <is>
          <t>L2 – Trainee</t>
        </is>
      </c>
      <c r="J161" s="16" t="inlineStr">
        <is>
          <t>A2</t>
        </is>
      </c>
      <c r="K161" s="17" t="inlineStr">
        <is>
          <t>Associate</t>
        </is>
      </c>
      <c r="L161" s="79" t="inlineStr">
        <is>
          <t>▲ Up</t>
        </is>
      </c>
      <c r="M161" s="12" t="inlineStr">
        <is>
          <t>iFile · Technology · Band A · Early career</t>
        </is>
      </c>
      <c r="N161" s="42" t="n">
        <v>2</v>
      </c>
      <c r="O161" s="42" t="n">
        <v>1.5</v>
      </c>
      <c r="P161" s="42" t="n">
        <v>1.5</v>
      </c>
      <c r="Q161" s="42" t="n">
        <v>1</v>
      </c>
      <c r="R161" s="42" t="n">
        <v>2.5</v>
      </c>
      <c r="S161" s="80" t="n">
        <v>1.5</v>
      </c>
      <c r="T161" s="81">
        <f>IF(OR($M161="",COUNT(N161,O161,P161,Q161,R161,S161)&lt;6),"",IFERROR(N161*INDEX(WM_C,MATCH($M161,WM_KEY,0))+O161*INDEX(WM_AU,MATCH($M161,WM_KEY,0))+P161*INDEX(WM_AC,MATCH($M161,WM_KEY,0))+Q161*INDEX(WM_L,MATCH($M161,WM_KEY,0))+R161*INDEX(WM_E,MATCH($M161,WM_KEY,0))+S161*INDEX(WM_BI,MATCH($M161,WM_KEY,0)),""))</f>
        <v>1.92</v>
      </c>
      <c r="U161" s="42" t="str">
        <f>IF(T161="","",INDEX({"A1","A2","A3","B1","B2","B3","C1","C2","D1","D2","E1","E2"},MAX(1,MIN(12,ROUND(T161,0)))))</f>
        <v>A2</v>
      </c>
      <c r="V161" s="12" t="inlineStr">
        <is>
          <r>
            <rPr>
              <rFont val="Calibri"/>
              <sz val="10"/>
            </rPr>
            <t xml:space="preserve">New level A2 · Associate. Current level on record: L2 – Trainee. Change: ▲ Up.
Score 1.92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2.4 years' experience is 2 years or more.
• </t>
          </r>
          <r>
            <rPr>
              <rFont val="Calibri"/>
              <b val="1"/>
              <sz val="10"/>
            </rPr>
            <t>Lowered from A3 to A2:</t>
          </r>
          <r>
            <rPr>
              <rFont val="Calibri"/>
              <sz val="10"/>
            </rPr>
            <t xml:space="preserve"> the work itself · complexity 2, accountability 1.5, average 1.75 supports at most A2.
</t>
          </r>
          <r>
            <rPr>
              <rFont val="Calibri"/>
              <b val="1"/>
              <sz val="10"/>
            </rPr>
            <t>Final level:</t>
          </r>
          <r>
            <rPr>
              <rFont val="Calibri"/>
              <sz val="10"/>
            </rPr>
            <t xml:space="preserve"> A2.</t>
          </r>
        </is>
      </c>
      <c r="W161" s="12" t="inlineStr">
        <is>
          <r>
            <rPr>
              <rFont val="Calibri"/>
              <b val="1"/>
              <sz val="10"/>
            </rPr>
            <t>Complexity &amp; Expertise:</t>
          </r>
          <r>
            <rPr>
              <rFont val="Calibri"/>
              <sz val="10"/>
            </rPr>
            <t xml:space="preserve"> 2 of 12 — Start: 1.0 · trainee / intern title; Evidence: rated like 11 colleagues in the same role and department · own answers too general to rate → moved +1.0; KRA: “1. Deliver committed sprint stories with &gt;=90% sprint commitment adherence across the year 2. Maintain code quality: defect leakage to…”
</t>
          </r>
          <r>
            <rPr>
              <rFont val="Calibri"/>
              <b val="1"/>
              <sz val="10"/>
            </rPr>
            <t>Autonomy &amp; Decision:</t>
          </r>
          <r>
            <rPr>
              <rFont val="Calibri"/>
              <sz val="10"/>
            </rPr>
            <t xml:space="preserve"> 1.5 of 12 · between A1 and A2 — Start: 1.0 · trainee / intern title; Evidence: rated like 11 colleagues in the same role and department · own answers too general to rate → moved +0.5
</t>
          </r>
          <r>
            <rPr>
              <rFont val="Calibri"/>
              <b val="1"/>
              <sz val="10"/>
            </rPr>
            <t>Accountability &amp; Impact:</t>
          </r>
          <r>
            <rPr>
              <rFont val="Calibri"/>
              <sz val="10"/>
            </rPr>
            <t xml:space="preserve"> 1.5 of 12 · between A1 and A2 — Start: 1.0 · trainee / intern title; Evidence: rated like 11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11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2.4 yrs total · 1.8 before IRIS + 0.6 at IRIS = 2.7 on the experience scale; Qualification: B.E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161"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1" s="12" t="inlineStr">
        <is>
          <r>
            <rPr>
              <rFont val="Calibri"/>
              <sz val="10"/>
            </rPr>
            <t xml:space="preserve">✓ HRIS: 2.4 yrs, B.E,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61" s="84" t="inlineStr">
        <is>
          <r>
            <rPr>
              <rFont val="Calibri"/>
              <color rgb="009C5700"/>
              <sz val="10"/>
            </rPr>
            <t xml:space="preserve">• </t>
          </r>
          <r>
            <rPr>
              <rFont val="Calibri"/>
              <b val="1"/>
              <color rgb="009C5700"/>
              <sz val="10"/>
            </rPr>
            <t>Near a gate:</t>
          </r>
          <r>
            <rPr>
              <rFont val="Calibri"/>
              <color rgb="009C5700"/>
              <sz val="10"/>
            </rPr>
            <t xml:space="preserve"> role substance: complexity–accountability average 1.75 is 0.25 short of 2, which would lift the limit by one level</t>
          </r>
        </is>
      </c>
      <c r="AA161" s="12" t="inlineStr">
        <is>
          <t>Nothing outstanding</t>
        </is>
      </c>
      <c r="AB161"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2 · Potential: Medium · 9-Box Grid placement: High Impact / Growth Talent.</t>
          </r>
        </is>
      </c>
      <c r="AC161" s="82" t="n"/>
      <c r="AD161" s="82" t="n"/>
      <c r="AE161" s="82" t="n"/>
      <c r="AF161" s="12" t="n">
        <v>1.5</v>
      </c>
    </row>
    <row r="162" ht="400" customHeight="1">
      <c r="A162" s="12" t="inlineStr">
        <is>
          <t>IRIS2321</t>
        </is>
      </c>
      <c r="B162" s="10" t="inlineStr">
        <is>
          <t>Chandani Gusain</t>
        </is>
      </c>
      <c r="C162" s="12" t="inlineStr">
        <is>
          <t>Technology</t>
        </is>
      </c>
      <c r="D162" s="12" t="inlineStr">
        <is>
          <t>Software Engineer</t>
        </is>
      </c>
      <c r="E162" s="78" t="inlineStr">
        <is>
          <t>UI Developer</t>
        </is>
      </c>
      <c r="F162" s="12" t="inlineStr">
        <is>
          <t>Engineering &amp; Development</t>
        </is>
      </c>
      <c r="G162" s="12" t="inlineStr">
        <is>
          <t>Front-End / UI Development</t>
        </is>
      </c>
      <c r="H162" s="12" t="inlineStr">
        <is>
          <t>IC</t>
        </is>
      </c>
      <c r="I162" s="42" t="inlineStr">
        <is>
          <t>L3 – Professional / Associate</t>
        </is>
      </c>
      <c r="J162" s="16" t="inlineStr">
        <is>
          <t>A2</t>
        </is>
      </c>
      <c r="K162" s="17" t="inlineStr">
        <is>
          <t>Associate</t>
        </is>
      </c>
      <c r="L162" s="87" t="inlineStr">
        <is>
          <t>• Same level</t>
        </is>
      </c>
      <c r="M162" s="12" t="inlineStr">
        <is>
          <t>iFile · Technology · Band A · Early career</t>
        </is>
      </c>
      <c r="N162" s="42" t="n">
        <v>2</v>
      </c>
      <c r="O162" s="42" t="n">
        <v>2</v>
      </c>
      <c r="P162" s="42" t="n">
        <v>2</v>
      </c>
      <c r="Q162" s="42" t="n">
        <v>1</v>
      </c>
      <c r="R162" s="42" t="n">
        <v>2.5</v>
      </c>
      <c r="S162" s="80" t="n">
        <v>2.5</v>
      </c>
      <c r="T162" s="81">
        <f>IF(OR($M162="",COUNT(N162,O162,P162,Q162,R162,S162)&lt;6),"",IFERROR(N162*INDEX(WM_C,MATCH($M162,WM_KEY,0))+O162*INDEX(WM_AU,MATCH($M162,WM_KEY,0))+P162*INDEX(WM_AC,MATCH($M162,WM_KEY,0))+Q162*INDEX(WM_L,MATCH($M162,WM_KEY,0))+R162*INDEX(WM_E,MATCH($M162,WM_KEY,0))+S162*INDEX(WM_BI,MATCH($M162,WM_KEY,0)),""))</f>
        <v>2.08</v>
      </c>
      <c r="U162" s="42" t="str">
        <f>IF(T162="","",INDEX({"A1","A2","A3","B1","B2","B3","C1","C2","D1","D2","E1","E2"},MAX(1,MIN(12,ROUND(T162,0)))))</f>
        <v>A2</v>
      </c>
      <c r="V162" s="12" t="inlineStr">
        <is>
          <r>
            <rPr>
              <rFont val="Calibri"/>
              <sz val="10"/>
            </rPr>
            <t xml:space="preserve">New level A2 · Associate. Current level on record: L3 – Professional / Associate. Change: • Same level.
Score 2.08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2" s="12" t="inlineStr">
        <is>
          <r>
            <rPr>
              <rFont val="Calibri"/>
              <b val="1"/>
              <sz val="10"/>
            </rPr>
            <t>Complexity &amp; Expertise:</t>
          </r>
          <r>
            <rPr>
              <rFont val="Calibri"/>
              <sz val="10"/>
            </rPr>
            <t xml:space="preserve"> 2 of 12 — Start: 2.0 · practitioner title; Evidence reads like A2: Angular web modules, API integration, testing and debugging; KRA lists delivered modules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reads like A2: Decides to optimise and refactor own code → matches the start
</t>
          </r>
          <r>
            <rPr>
              <rFont val="Calibri"/>
              <b val="1"/>
              <sz val="10"/>
            </rPr>
            <t>Accountability &amp; Impact:</t>
          </r>
          <r>
            <rPr>
              <rFont val="Calibri"/>
              <sz val="10"/>
            </rPr>
            <t xml:space="preserve"> 2 of 12 — Start: 2.0 · practitioner title; Evidence reads like A2: Own UI features from requirement understanding to delivery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2.5 of 12 · between A2 and A3 — Experience: 1.9 yrs total · 1.9 at IRIS; none recorded before IRIS = 2.5 on the experience scale; Qualification: B.SC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62"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2" s="12" t="inlineStr">
        <is>
          <r>
            <rPr>
              <rFont val="Calibri"/>
              <sz val="10"/>
            </rPr>
            <t xml:space="preserve">✓ HRIS: 1.9 yrs, B.SC,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62" s="12" t="inlineStr">
        <is>
          <t>—</t>
        </is>
      </c>
      <c r="AA162" s="12" t="inlineStr">
        <is>
          <t>Nothing outstanding</t>
        </is>
      </c>
      <c r="AB16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High · 9-Box Grid placement: Trusted Professional.</t>
          </r>
        </is>
      </c>
      <c r="AC162" s="82" t="n"/>
      <c r="AD162" s="82" t="n"/>
      <c r="AE162" s="82" t="n"/>
      <c r="AF162" s="12" t="n">
        <v>2.5</v>
      </c>
    </row>
    <row r="163" ht="400" customHeight="1">
      <c r="A163" s="12" t="inlineStr">
        <is>
          <t>IRIS2524</t>
        </is>
      </c>
      <c r="B163" s="10" t="inlineStr">
        <is>
          <t>Chetna Vijay Nile</t>
        </is>
      </c>
      <c r="C163" s="12" t="inlineStr">
        <is>
          <t>Technology</t>
        </is>
      </c>
      <c r="D163" s="12" t="inlineStr">
        <is>
          <t>Software Engineer</t>
        </is>
      </c>
      <c r="E163" s="12" t="inlineStr">
        <is>
          <t>Software Engineer</t>
        </is>
      </c>
      <c r="F163" s="12" t="inlineStr">
        <is>
          <t>Engineering &amp; Development</t>
        </is>
      </c>
      <c r="G163" s="12" t="inlineStr">
        <is>
          <t>Full-Stack Development</t>
        </is>
      </c>
      <c r="H163" s="12" t="inlineStr">
        <is>
          <t>IC</t>
        </is>
      </c>
      <c r="I163" s="42" t="inlineStr">
        <is>
          <t>L3 – Professional / Associate</t>
        </is>
      </c>
      <c r="J163" s="16" t="inlineStr">
        <is>
          <t>A2</t>
        </is>
      </c>
      <c r="K163" s="17" t="inlineStr">
        <is>
          <t>Associate</t>
        </is>
      </c>
      <c r="L163" s="87" t="inlineStr">
        <is>
          <t>• Same level</t>
        </is>
      </c>
      <c r="M163" s="12" t="inlineStr">
        <is>
          <t>iFile · Technology · Band A · Early career</t>
        </is>
      </c>
      <c r="N163" s="42" t="n">
        <v>2.5</v>
      </c>
      <c r="O163" s="42" t="n">
        <v>2</v>
      </c>
      <c r="P163" s="42" t="n">
        <v>2.5</v>
      </c>
      <c r="Q163" s="42" t="n">
        <v>1</v>
      </c>
      <c r="R163" s="42" t="n">
        <v>1.5</v>
      </c>
      <c r="S163" s="80" t="n">
        <v>2.5</v>
      </c>
      <c r="T163" s="81">
        <f>IF(OR($M163="",COUNT(N163,O163,P163,Q163,R163,S163)&lt;6),"",IFERROR(N163*INDEX(WM_C,MATCH($M163,WM_KEY,0))+O163*INDEX(WM_AU,MATCH($M163,WM_KEY,0))+P163*INDEX(WM_AC,MATCH($M163,WM_KEY,0))+Q163*INDEX(WM_L,MATCH($M163,WM_KEY,0))+R163*INDEX(WM_E,MATCH($M163,WM_KEY,0))+S163*INDEX(WM_BI,MATCH($M163,WM_KEY,0)),""))</f>
        <v>2.32</v>
      </c>
      <c r="U163" s="42" t="str">
        <f>IF(T163="","",INDEX({"A1","A2","A3","B1","B2","B3","C1","C2","D1","D2","E1","E2"},MAX(1,MIN(12,ROUND(T163,0)))))</f>
        <v>A2</v>
      </c>
      <c r="V163" s="12" t="inlineStr">
        <is>
          <r>
            <rPr>
              <rFont val="Calibri"/>
              <sz val="10"/>
            </rPr>
            <t xml:space="preserve">New level A2 · Associate. Current level on record: L3 – Professional / Associate. Change: • Same level.
Score 2.32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3"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1.5 of 12 · between A1 and A2 — Experience: 0.4 yrs total · 0.4 at IRIS; none recorded before IRIS = 1.4 on the experience scale; Qualification: PGDM · postgraduate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63"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3" s="12" t="inlineStr">
        <is>
          <r>
            <rPr>
              <rFont val="Calibri"/>
              <sz val="10"/>
            </rPr>
            <t xml:space="preserve">✓ HRIS: 0.4 yrs, PGDM, 0 direct reports
✓ Survey: 19 of 20 questions answered
✓ KRAs: self, manager-set, quarterly
✓ Manager mapping: rating, potential, 9-box
✗ Job description: not on file
</t>
          </r>
          <r>
            <rPr>
              <rFont val="Calibri"/>
              <b val="1"/>
              <sz val="10"/>
            </rPr>
            <t>Confidence:</t>
          </r>
          <r>
            <rPr>
              <rFont val="Calibri"/>
              <sz val="10"/>
            </rPr>
            <t xml:space="preserve"> Low</t>
          </r>
        </is>
      </c>
      <c r="Z163" s="12" t="inlineStr">
        <is>
          <t>—</t>
        </is>
      </c>
      <c r="AA163" s="12" t="inlineStr">
        <is>
          <t>Nothing outstanding</t>
        </is>
      </c>
      <c r="AB16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2 · Potential: Low · 9-Box Grid placement: Emerging Talent.</t>
          </r>
        </is>
      </c>
      <c r="AC163" s="82" t="n"/>
      <c r="AD163" s="82" t="n"/>
      <c r="AE163" s="82" t="n"/>
      <c r="AF163" s="12" t="n">
        <v>2.5</v>
      </c>
    </row>
    <row r="164" ht="400" customHeight="1">
      <c r="A164" s="12" t="inlineStr">
        <is>
          <t>IRIS2396</t>
        </is>
      </c>
      <c r="B164" s="10" t="inlineStr">
        <is>
          <t>Chirag Suryawanshi</t>
        </is>
      </c>
      <c r="C164" s="12" t="inlineStr">
        <is>
          <t>Technology</t>
        </is>
      </c>
      <c r="D164" s="12" t="inlineStr">
        <is>
          <t>Trainee Software Engineer</t>
        </is>
      </c>
      <c r="E164" s="78" t="inlineStr">
        <is>
          <t>Software Engineer</t>
        </is>
      </c>
      <c r="F164" s="12" t="inlineStr">
        <is>
          <t>Engineering &amp; Development</t>
        </is>
      </c>
      <c r="G164" s="12" t="inlineStr">
        <is>
          <t>Backend Development</t>
        </is>
      </c>
      <c r="H164" s="12" t="inlineStr">
        <is>
          <t>IC</t>
        </is>
      </c>
      <c r="I164" s="42" t="inlineStr">
        <is>
          <t>L2 – Trainee</t>
        </is>
      </c>
      <c r="J164" s="16" t="inlineStr">
        <is>
          <t>A2</t>
        </is>
      </c>
      <c r="K164" s="17" t="inlineStr">
        <is>
          <t>Associate</t>
        </is>
      </c>
      <c r="L164" s="79" t="inlineStr">
        <is>
          <t>▲ Up</t>
        </is>
      </c>
      <c r="M164" s="12" t="inlineStr">
        <is>
          <t>iFile · Technology · Band A · Early career</t>
        </is>
      </c>
      <c r="N164" s="42" t="n">
        <v>2</v>
      </c>
      <c r="O164" s="42" t="n">
        <v>1.5</v>
      </c>
      <c r="P164" s="42" t="n">
        <v>1.5</v>
      </c>
      <c r="Q164" s="42" t="n">
        <v>1</v>
      </c>
      <c r="R164" s="42" t="n">
        <v>2</v>
      </c>
      <c r="S164" s="80" t="n">
        <v>2</v>
      </c>
      <c r="T164" s="81">
        <f>IF(OR($M164="",COUNT(N164,O164,P164,Q164,R164,S164)&lt;6),"",IFERROR(N164*INDEX(WM_C,MATCH($M164,WM_KEY,0))+O164*INDEX(WM_AU,MATCH($M164,WM_KEY,0))+P164*INDEX(WM_AC,MATCH($M164,WM_KEY,0))+Q164*INDEX(WM_L,MATCH($M164,WM_KEY,0))+R164*INDEX(WM_E,MATCH($M164,WM_KEY,0))+S164*INDEX(WM_BI,MATCH($M164,WM_KEY,0)),""))</f>
        <v>1.9</v>
      </c>
      <c r="U164" s="42" t="str">
        <f>IF(T164="","",INDEX({"A1","A2","A3","B1","B2","B3","C1","C2","D1","D2","E1","E2"},MAX(1,MIN(12,ROUND(T164,0)))))</f>
        <v>A2</v>
      </c>
      <c r="V164" s="12" t="inlineStr">
        <is>
          <r>
            <rPr>
              <rFont val="Calibri"/>
              <sz val="10"/>
            </rPr>
            <t xml:space="preserve">New level A2 · Associate. Current level on record: L2 – Trainee. Change: ▲ Up.
Score 1.90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4" s="12" t="inlineStr">
        <is>
          <r>
            <rPr>
              <rFont val="Calibri"/>
              <b val="1"/>
              <sz val="10"/>
            </rPr>
            <t>Complexity &amp; Expertise:</t>
          </r>
          <r>
            <rPr>
              <rFont val="Calibri"/>
              <sz val="10"/>
            </rPr>
            <t xml:space="preserve"> 2 of 12 — Start: 1.0 · trainee / intern title; Evidence: rated like 11 colleagues in the same role and department · own answers too general to rate → moved +1.0; KRA: “1. Deliver committed sprint stories with &gt;=90% sprint commitment adherence across the year 2. Maintain code quality: defect leakage to…”
</t>
          </r>
          <r>
            <rPr>
              <rFont val="Calibri"/>
              <b val="1"/>
              <sz val="10"/>
            </rPr>
            <t>Autonomy &amp; Decision:</t>
          </r>
          <r>
            <rPr>
              <rFont val="Calibri"/>
              <sz val="10"/>
            </rPr>
            <t xml:space="preserve"> 1.5 of 12 · between A1 and A2 — Start: 1.0 · trainee / intern title; Evidence: rated like 11 colleagues in the same role and department · own answers too general to rate → moved +0.5
</t>
          </r>
          <r>
            <rPr>
              <rFont val="Calibri"/>
              <b val="1"/>
              <sz val="10"/>
            </rPr>
            <t>Accountability &amp; Impact:</t>
          </r>
          <r>
            <rPr>
              <rFont val="Calibri"/>
              <sz val="10"/>
            </rPr>
            <t xml:space="preserve"> 1.5 of 12 · between A1 and A2 — Start: 1.0 · trainee / intern title; Evidence: rated like 11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11 colleagues in the same role and department · own answers too general to rate → no change; Team: 0 direct reports · IC
</t>
          </r>
          <r>
            <rPr>
              <rFont val="Calibri"/>
              <b val="1"/>
              <sz val="10"/>
            </rPr>
            <t>Experience &amp; Qualification:</t>
          </r>
          <r>
            <rPr>
              <rFont val="Calibri"/>
              <sz val="10"/>
            </rPr>
            <t xml:space="preserve"> 2 of 12 — Experience: 1.2 yrs total · 1.2 at IRIS; none recorded before IRIS = 2.1 on the experience scale; Qualification: B.Tech · graduate, relevant to the work → no change
</t>
          </r>
          <r>
            <rPr>
              <rFont val="Calibri"/>
              <b val="1"/>
              <sz val="10"/>
            </rPr>
            <t>Business Impact:</t>
          </r>
          <r>
            <rPr>
              <rFont val="Calibri"/>
              <sz val="10"/>
            </rPr>
            <t xml:space="preserve"> 2 of 12 — a starting estimate. — Start: 1.5,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t>
          </r>
        </is>
      </c>
      <c r="X164"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4" s="12" t="inlineStr">
        <is>
          <r>
            <rPr>
              <rFont val="Calibri"/>
              <sz val="10"/>
            </rPr>
            <t xml:space="preserve">✓ HRIS: 1.2 yrs, B.Tech, 0 direct reports
✓ Survey: 18 of 20 questions answered
✓ KRAs: self, manager-set, quarterly
✓ Manager mapping: rating, potential, 9-box
✗ Job description: not on file
</t>
          </r>
          <r>
            <rPr>
              <rFont val="Calibri"/>
              <b val="1"/>
              <sz val="10"/>
            </rPr>
            <t>Confidence:</t>
          </r>
          <r>
            <rPr>
              <rFont val="Calibri"/>
              <sz val="10"/>
            </rPr>
            <t xml:space="preserve"> Low</t>
          </r>
        </is>
      </c>
      <c r="Z164" s="12" t="inlineStr">
        <is>
          <t>—</t>
        </is>
      </c>
      <c r="AA164" s="12" t="inlineStr">
        <is>
          <t>Nothing outstanding</t>
        </is>
      </c>
      <c r="AB164"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From the survey and manager mapping — critical role: yes; successor named: no.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4 · Potential: High · 9-Box Grid placement: High Impact / Growth Talent.</t>
          </r>
        </is>
      </c>
      <c r="AC164" s="82" t="n"/>
      <c r="AD164" s="82" t="n"/>
      <c r="AE164" s="82" t="n"/>
      <c r="AF164" s="12" t="n">
        <v>2</v>
      </c>
    </row>
    <row r="165" ht="400" customHeight="1">
      <c r="A165" s="12" t="inlineStr">
        <is>
          <t>IRIS2320</t>
        </is>
      </c>
      <c r="B165" s="10" t="inlineStr">
        <is>
          <t>Faisal Pathan</t>
        </is>
      </c>
      <c r="C165" s="12" t="inlineStr">
        <is>
          <t>Technology</t>
        </is>
      </c>
      <c r="D165" s="12" t="inlineStr">
        <is>
          <t>Software Engineer</t>
        </is>
      </c>
      <c r="E165" s="78" t="inlineStr">
        <is>
          <t>UI Developer</t>
        </is>
      </c>
      <c r="F165" s="12" t="inlineStr">
        <is>
          <t>Engineering &amp; Development</t>
        </is>
      </c>
      <c r="G165" s="12" t="inlineStr">
        <is>
          <t>Front-End / UI Development</t>
        </is>
      </c>
      <c r="H165" s="12" t="inlineStr">
        <is>
          <t>IC</t>
        </is>
      </c>
      <c r="I165" s="42" t="inlineStr">
        <is>
          <t>L3 – Professional / Associate</t>
        </is>
      </c>
      <c r="J165" s="16" t="inlineStr">
        <is>
          <t>A2</t>
        </is>
      </c>
      <c r="K165" s="17" t="inlineStr">
        <is>
          <t>Associate</t>
        </is>
      </c>
      <c r="L165" s="87" t="inlineStr">
        <is>
          <t>• Same level</t>
        </is>
      </c>
      <c r="M165" s="12" t="inlineStr">
        <is>
          <t>iFile · Technology · Band A · Early career</t>
        </is>
      </c>
      <c r="N165" s="42" t="n">
        <v>2.5</v>
      </c>
      <c r="O165" s="42" t="n">
        <v>2</v>
      </c>
      <c r="P165" s="42" t="n">
        <v>2.5</v>
      </c>
      <c r="Q165" s="42" t="n">
        <v>1</v>
      </c>
      <c r="R165" s="42" t="n">
        <v>2.5</v>
      </c>
      <c r="S165" s="80" t="n">
        <v>3</v>
      </c>
      <c r="T165" s="81">
        <f>IF(OR($M165="",COUNT(N165,O165,P165,Q165,R165,S165)&lt;6),"",IFERROR(N165*INDEX(WM_C,MATCH($M165,WM_KEY,0))+O165*INDEX(WM_AU,MATCH($M165,WM_KEY,0))+P165*INDEX(WM_AC,MATCH($M165,WM_KEY,0))+Q165*INDEX(WM_L,MATCH($M165,WM_KEY,0))+R165*INDEX(WM_E,MATCH($M165,WM_KEY,0))+S165*INDEX(WM_BI,MATCH($M165,WM_KEY,0)),""))</f>
        <v>2.45</v>
      </c>
      <c r="U165" s="42" t="str">
        <f>IF(T165="","",INDEX({"A1","A2","A3","B1","B2","B3","C1","C2","D1","D2","E1","E2"},MAX(1,MIN(12,ROUND(T165,0)))))</f>
        <v>A2</v>
      </c>
      <c r="V165" s="12" t="inlineStr">
        <is>
          <r>
            <rPr>
              <rFont val="Calibri"/>
              <sz val="10"/>
            </rPr>
            <t xml:space="preserve">New level A2 · Associate. Current level on record: L3 – Professional / Associate. Change: • Same level.
Score 2.45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5"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1.9 yrs total · 1.9 at IRIS; none recorded before IRIS = 2.5 on the experience scale; Qualification: B.SC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65"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5" s="12" t="inlineStr">
        <is>
          <r>
            <rPr>
              <rFont val="Calibri"/>
              <sz val="10"/>
            </rPr>
            <t xml:space="preserve">✓ HRIS: 1.9 yrs, B.SC,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65" s="84" t="inlineStr">
        <is>
          <r>
            <rPr>
              <rFont val="Calibri"/>
              <color rgb="009C5700"/>
              <sz val="10"/>
            </rPr>
            <t xml:space="preserve">• </t>
          </r>
          <r>
            <rPr>
              <rFont val="Calibri"/>
              <b val="1"/>
              <color rgb="009C5700"/>
              <sz val="10"/>
            </rPr>
            <t>Close call:</t>
          </r>
          <r>
            <rPr>
              <rFont val="Calibri"/>
              <color rgb="009C5700"/>
              <sz val="10"/>
            </rPr>
            <t xml:space="preserve"> score 2.45 is within 0.05 of a rounding point</t>
          </r>
        </is>
      </c>
      <c r="AA165" s="12" t="inlineStr">
        <is>
          <t>Nothing outstanding</t>
        </is>
      </c>
      <c r="AB165"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4 · Potential: High · 9-Box Grid placement: High Impact / Growth Talent.</t>
          </r>
        </is>
      </c>
      <c r="AC165" s="82" t="n"/>
      <c r="AD165" s="82" t="n"/>
      <c r="AE165" s="82" t="n"/>
      <c r="AF165" s="12" t="n">
        <v>3</v>
      </c>
    </row>
    <row r="166" ht="400" customHeight="1">
      <c r="A166" s="12" t="inlineStr">
        <is>
          <t>IRIS2385</t>
        </is>
      </c>
      <c r="B166" s="10" t="inlineStr">
        <is>
          <t>Hemant Sakunde</t>
        </is>
      </c>
      <c r="C166" s="12" t="inlineStr">
        <is>
          <t>Technology</t>
        </is>
      </c>
      <c r="D166" s="12" t="inlineStr">
        <is>
          <t>Trainee Software Engineer</t>
        </is>
      </c>
      <c r="E166" s="78" t="inlineStr">
        <is>
          <t>Software Engineer</t>
        </is>
      </c>
      <c r="F166" s="12" t="inlineStr">
        <is>
          <t>Engineering &amp; Development</t>
        </is>
      </c>
      <c r="G166" s="12" t="inlineStr">
        <is>
          <t>Full-Stack Development</t>
        </is>
      </c>
      <c r="H166" s="12" t="inlineStr">
        <is>
          <t>IC</t>
        </is>
      </c>
      <c r="I166" s="42" t="inlineStr">
        <is>
          <t>L2 – Trainee</t>
        </is>
      </c>
      <c r="J166" s="16" t="inlineStr">
        <is>
          <t>A2</t>
        </is>
      </c>
      <c r="K166" s="17" t="inlineStr">
        <is>
          <t>Associate</t>
        </is>
      </c>
      <c r="L166" s="79" t="inlineStr">
        <is>
          <t>▲ Up</t>
        </is>
      </c>
      <c r="M166" s="12" t="inlineStr">
        <is>
          <t>iFile · Technology · Band A · Early career</t>
        </is>
      </c>
      <c r="N166" s="42" t="n">
        <v>2</v>
      </c>
      <c r="O166" s="42" t="n">
        <v>1.5</v>
      </c>
      <c r="P166" s="42" t="n">
        <v>1.5</v>
      </c>
      <c r="Q166" s="42" t="n">
        <v>1</v>
      </c>
      <c r="R166" s="42" t="n">
        <v>2</v>
      </c>
      <c r="S166" s="80" t="n">
        <v>1.5</v>
      </c>
      <c r="T166" s="81">
        <f>IF(OR($M166="",COUNT(N166,O166,P166,Q166,R166,S166)&lt;6),"",IFERROR(N166*INDEX(WM_C,MATCH($M166,WM_KEY,0))+O166*INDEX(WM_AU,MATCH($M166,WM_KEY,0))+P166*INDEX(WM_AC,MATCH($M166,WM_KEY,0))+Q166*INDEX(WM_L,MATCH($M166,WM_KEY,0))+R166*INDEX(WM_E,MATCH($M166,WM_KEY,0))+S166*INDEX(WM_BI,MATCH($M166,WM_KEY,0)),""))</f>
        <v>1.87</v>
      </c>
      <c r="U166" s="42" t="str">
        <f>IF(T166="","",INDEX({"A1","A2","A3","B1","B2","B3","C1","C2","D1","D2","E1","E2"},MAX(1,MIN(12,ROUND(T166,0)))))</f>
        <v>A2</v>
      </c>
      <c r="V166" s="12" t="inlineStr">
        <is>
          <r>
            <rPr>
              <rFont val="Calibri"/>
              <sz val="10"/>
            </rPr>
            <t xml:space="preserve">New level A2 · Associate. Current level on record: L2 – Trainee. Change: ▲ Up.
Score 1.87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6" s="12" t="inlineStr">
        <is>
          <r>
            <rPr>
              <rFont val="Calibri"/>
              <b val="1"/>
              <sz val="10"/>
            </rPr>
            <t>Complexity &amp; Expertise:</t>
          </r>
          <r>
            <rPr>
              <rFont val="Calibri"/>
              <sz val="10"/>
            </rPr>
            <t xml:space="preserve"> 2 of 12 — Start: 1.0 · trainee / intern title; Evidence reads like A3: Covers UI, API development, DevOps, database management and deployment on a new product → moved up 1; KRA: “1. Deliver committed sprint stories with &gt;=90% sprint commitment adherence across the year 2. Maintain code quality: defect leakage to…”
</t>
          </r>
          <r>
            <rPr>
              <rFont val="Calibri"/>
              <b val="1"/>
              <sz val="10"/>
            </rPr>
            <t>Autonomy &amp; Decision:</t>
          </r>
          <r>
            <rPr>
              <rFont val="Calibri"/>
              <sz val="10"/>
            </rPr>
            <t xml:space="preserve"> 1.5 of 12 · between A1 and A2 — Start: 1.0 · trainee / intern title; Evidence reads like A2: Only prioritising bug fixes named → moved up 0.5
</t>
          </r>
          <r>
            <rPr>
              <rFont val="Calibri"/>
              <b val="1"/>
              <sz val="10"/>
            </rPr>
            <t>Accountability &amp; Impact:</t>
          </r>
          <r>
            <rPr>
              <rFont val="Calibri"/>
              <sz val="10"/>
            </rPr>
            <t xml:space="preserve"> 1.5 of 12 · between A1 and A2 — Start: 1.0 · trainee / intern title; Evidence reads like A2: Smooth client demos: consistent data, no bugs, timely deployment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1.3 yrs total · 1.3 at IRIS; none recorded before IRIS = 2.1 on the experience scale; Qualification: B.E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166"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6" s="12" t="inlineStr">
        <is>
          <r>
            <rPr>
              <rFont val="Calibri"/>
              <sz val="10"/>
            </rPr>
            <t xml:space="preserve">✓ HRIS: 1.3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66" s="12" t="inlineStr">
        <is>
          <t>—</t>
        </is>
      </c>
      <c r="AA166" s="12" t="inlineStr">
        <is>
          <t>Nothing outstanding</t>
        </is>
      </c>
      <c r="AB166"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From the survey and manager mapping — successor named: yes.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4 · Potential: High · 9-Box Grid placement: Trusted Professional.</t>
          </r>
        </is>
      </c>
      <c r="AC166" s="82" t="n"/>
      <c r="AD166" s="82" t="n"/>
      <c r="AE166" s="82" t="n"/>
      <c r="AF166" s="12" t="n">
        <v>1.5</v>
      </c>
    </row>
    <row r="167" ht="400" customHeight="1">
      <c r="A167" s="12" t="inlineStr">
        <is>
          <t>IRIS2322</t>
        </is>
      </c>
      <c r="B167" s="10" t="inlineStr">
        <is>
          <t>Lalita Dixit</t>
        </is>
      </c>
      <c r="C167" s="12" t="inlineStr">
        <is>
          <t>Technology</t>
        </is>
      </c>
      <c r="D167" s="12" t="inlineStr">
        <is>
          <t>Software Engineer</t>
        </is>
      </c>
      <c r="E167" s="78" t="inlineStr">
        <is>
          <t>UI Developer</t>
        </is>
      </c>
      <c r="F167" s="12" t="inlineStr">
        <is>
          <t>Engineering &amp; Development</t>
        </is>
      </c>
      <c r="G167" s="12" t="inlineStr">
        <is>
          <t>Front-End / UI Development</t>
        </is>
      </c>
      <c r="H167" s="12" t="inlineStr">
        <is>
          <t>IC</t>
        </is>
      </c>
      <c r="I167" s="42" t="inlineStr">
        <is>
          <t>L3 – Professional / Associate</t>
        </is>
      </c>
      <c r="J167" s="16" t="inlineStr">
        <is>
          <t>A2</t>
        </is>
      </c>
      <c r="K167" s="17" t="inlineStr">
        <is>
          <t>Associate</t>
        </is>
      </c>
      <c r="L167" s="87" t="inlineStr">
        <is>
          <t>• Same level</t>
        </is>
      </c>
      <c r="M167" s="12" t="inlineStr">
        <is>
          <t>iFile · Technology · Band A · Early career</t>
        </is>
      </c>
      <c r="N167" s="42" t="n">
        <v>2.5</v>
      </c>
      <c r="O167" s="42" t="n">
        <v>2</v>
      </c>
      <c r="P167" s="42" t="n">
        <v>2.5</v>
      </c>
      <c r="Q167" s="42" t="n">
        <v>1</v>
      </c>
      <c r="R167" s="42" t="n">
        <v>2.5</v>
      </c>
      <c r="S167" s="80" t="n">
        <v>3</v>
      </c>
      <c r="T167" s="81">
        <f>IF(OR($M167="",COUNT(N167,O167,P167,Q167,R167,S167)&lt;6),"",IFERROR(N167*INDEX(WM_C,MATCH($M167,WM_KEY,0))+O167*INDEX(WM_AU,MATCH($M167,WM_KEY,0))+P167*INDEX(WM_AC,MATCH($M167,WM_KEY,0))+Q167*INDEX(WM_L,MATCH($M167,WM_KEY,0))+R167*INDEX(WM_E,MATCH($M167,WM_KEY,0))+S167*INDEX(WM_BI,MATCH($M167,WM_KEY,0)),""))</f>
        <v>2.45</v>
      </c>
      <c r="U167" s="42" t="str">
        <f>IF(T167="","",INDEX({"A1","A2","A3","B1","B2","B3","C1","C2","D1","D2","E1","E2"},MAX(1,MIN(12,ROUND(T167,0)))))</f>
        <v>A2</v>
      </c>
      <c r="V167" s="12" t="inlineStr">
        <is>
          <r>
            <rPr>
              <rFont val="Calibri"/>
              <sz val="10"/>
            </rPr>
            <t xml:space="preserve">New level A2 · Associate. Current level on record: L3 – Professional / Associate. Change: • Same level.
Score 2.45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7"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1.9 yrs total · 1.9 at IRIS; none recorded before IRIS = 2.5 on the experience scale; Qualification: B.SC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67"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7" s="12" t="inlineStr">
        <is>
          <r>
            <rPr>
              <rFont val="Calibri"/>
              <sz val="10"/>
            </rPr>
            <t xml:space="preserve">✓ HRIS: 1.9 yrs, B.SC,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67" s="84" t="inlineStr">
        <is>
          <r>
            <rPr>
              <rFont val="Calibri"/>
              <color rgb="009C5700"/>
              <sz val="10"/>
            </rPr>
            <t xml:space="preserve">• </t>
          </r>
          <r>
            <rPr>
              <rFont val="Calibri"/>
              <b val="1"/>
              <color rgb="009C5700"/>
              <sz val="10"/>
            </rPr>
            <t>Close call:</t>
          </r>
          <r>
            <rPr>
              <rFont val="Calibri"/>
              <color rgb="009C5700"/>
              <sz val="10"/>
            </rPr>
            <t xml:space="preserve"> score 2.45 is within 0.05 of a rounding point</t>
          </r>
        </is>
      </c>
      <c r="AA167" s="12" t="inlineStr">
        <is>
          <t>Nothing outstanding</t>
        </is>
      </c>
      <c r="AB167"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Medium · 9-Box Grid placement: Reliable Specialist.</t>
          </r>
        </is>
      </c>
      <c r="AC167" s="82" t="n"/>
      <c r="AD167" s="82" t="n"/>
      <c r="AE167" s="82" t="n"/>
      <c r="AF167" s="12" t="n">
        <v>3</v>
      </c>
    </row>
    <row r="168" ht="400" customHeight="1">
      <c r="A168" s="12" t="inlineStr">
        <is>
          <t>IRIS2525</t>
        </is>
      </c>
      <c r="B168" s="10" t="inlineStr">
        <is>
          <t>Rajeev Gupta</t>
        </is>
      </c>
      <c r="C168" s="12" t="inlineStr">
        <is>
          <t>Technology</t>
        </is>
      </c>
      <c r="D168" s="12" t="inlineStr">
        <is>
          <t>Software Engineer</t>
        </is>
      </c>
      <c r="E168" s="78" t="inlineStr">
        <is>
          <t>UI Developer</t>
        </is>
      </c>
      <c r="F168" s="12" t="inlineStr">
        <is>
          <t>Engineering &amp; Development</t>
        </is>
      </c>
      <c r="G168" s="12" t="inlineStr">
        <is>
          <t>Front-End / UI Development</t>
        </is>
      </c>
      <c r="H168" s="12" t="inlineStr">
        <is>
          <t>IC</t>
        </is>
      </c>
      <c r="I168" s="42" t="inlineStr">
        <is>
          <t>L3 – Professional / Associate</t>
        </is>
      </c>
      <c r="J168" s="16" t="inlineStr">
        <is>
          <t>A2</t>
        </is>
      </c>
      <c r="K168" s="17" t="inlineStr">
        <is>
          <t>Associate</t>
        </is>
      </c>
      <c r="L168" s="87" t="inlineStr">
        <is>
          <t>• Same level</t>
        </is>
      </c>
      <c r="M168" s="12" t="inlineStr">
        <is>
          <t>iFile · Technology · Band A · Early career</t>
        </is>
      </c>
      <c r="N168" s="42" t="n">
        <v>2</v>
      </c>
      <c r="O168" s="42" t="n">
        <v>2</v>
      </c>
      <c r="P168" s="42" t="n">
        <v>2</v>
      </c>
      <c r="Q168" s="42" t="n">
        <v>1.5</v>
      </c>
      <c r="R168" s="42" t="n">
        <v>2.5</v>
      </c>
      <c r="S168" s="80" t="n">
        <v>2</v>
      </c>
      <c r="T168" s="81">
        <f>IF(OR($M168="",COUNT(N168,O168,P168,Q168,R168,S168)&lt;6),"",IFERROR(N168*INDEX(WM_C,MATCH($M168,WM_KEY,0))+O168*INDEX(WM_AU,MATCH($M168,WM_KEY,0))+P168*INDEX(WM_AC,MATCH($M168,WM_KEY,0))+Q168*INDEX(WM_L,MATCH($M168,WM_KEY,0))+R168*INDEX(WM_E,MATCH($M168,WM_KEY,0))+S168*INDEX(WM_BI,MATCH($M168,WM_KEY,0)),""))</f>
        <v>2.05</v>
      </c>
      <c r="U168" s="42" t="str">
        <f>IF(T168="","",INDEX({"A1","A2","A3","B1","B2","B3","C1","C2","D1","D2","E1","E2"},MAX(1,MIN(12,ROUND(T168,0)))))</f>
        <v>A2</v>
      </c>
      <c r="V168" s="12" t="inlineStr">
        <is>
          <r>
            <rPr>
              <rFont val="Calibri"/>
              <sz val="10"/>
            </rPr>
            <t xml:space="preserve">New level A2 · Associate. Current level on record: L3 – Professional / Associate. Change: • Same level.
Score 2.05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8" s="12" t="inlineStr">
        <is>
          <r>
            <rPr>
              <rFont val="Calibri"/>
              <b val="1"/>
              <sz val="10"/>
            </rPr>
            <t>Complexity &amp; Expertise:</t>
          </r>
          <r>
            <rPr>
              <rFont val="Calibri"/>
              <sz val="10"/>
            </rPr>
            <t xml:space="preserve"> 2 of 12 — Start: 2.0 · practitioner title; Evidence reads like A2: Develops new features per client requirement; no specific module, problem or technique described → matches the start; KRA: “1. Provide production support and work on assigned Webform projects. 2. Work independently and complete tasks on time and guide team…”
</t>
          </r>
          <r>
            <rPr>
              <rFont val="Calibri"/>
              <b val="1"/>
              <sz val="10"/>
            </rPr>
            <t>Autonomy &amp; Decision:</t>
          </r>
          <r>
            <rPr>
              <rFont val="Calibri"/>
              <sz val="10"/>
            </rPr>
            <t xml:space="preserve"> 2 of 12 — Start: 2.0 · practitioner title; Evidence reads like A2: 'Strategy then implement': chooses own approach; nothing more specific → matches the start
</t>
          </r>
          <r>
            <rPr>
              <rFont val="Calibri"/>
              <b val="1"/>
              <sz val="10"/>
            </rPr>
            <t>Accountability &amp; Impact:</t>
          </r>
          <r>
            <rPr>
              <rFont val="Calibri"/>
              <sz val="10"/>
            </rPr>
            <t xml:space="preserve"> 2 of 12 — Start: 2.0 · practitioner title; Evidence reads like A2: Accountable for delivering own work within the timeframe → matches the start; KRA: “1. Provide production support and work on assigned Webform projects. 2. Work independently and complete tasks on time and guide team…”
</t>
          </r>
          <r>
            <rPr>
              <rFont val="Calibri"/>
              <b val="1"/>
              <sz val="10"/>
            </rPr>
            <t>Leadership &amp; Strategy:</t>
          </r>
          <r>
            <rPr>
              <rFont val="Calibri"/>
              <sz val="10"/>
            </rPr>
            <t xml:space="preserve"> 1.5 of 12 · between A1 and A2 — not counted: the weight is 0% at this level — Start: 1.0 · individual contributor, so influence only; Evidence reads like A2: KRA expects guiding team members; survey describes none → moved up 0.5; Team: 0 direct reports · IC
</t>
          </r>
          <r>
            <rPr>
              <rFont val="Calibri"/>
              <b val="1"/>
              <sz val="10"/>
            </rPr>
            <t>Experience &amp; Qualification:</t>
          </r>
          <r>
            <rPr>
              <rFont val="Calibri"/>
              <sz val="10"/>
            </rPr>
            <t xml:space="preserve"> 2.5 of 12 · between A2 and A3 — Experience: 1.7 yrs total · 1.3 before IRIS + 0.4 at IRIS = 2.4 on the experience scale; Qualification: B.Tech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8"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8" s="12" t="inlineStr">
        <is>
          <r>
            <rPr>
              <rFont val="Calibri"/>
              <sz val="10"/>
            </rPr>
            <t xml:space="preserve">✓ HRIS: 1.7 yrs, B.Tech, 0 direct reports
✓ Survey: 20 of 20 questions answered
✓ KRAs: quarterly
✓ Manager mapping: rating, potential, 9-box
✗ Job description: not on file
</t>
          </r>
          <r>
            <rPr>
              <rFont val="Calibri"/>
              <b val="1"/>
              <sz val="10"/>
            </rPr>
            <t>Confidence:</t>
          </r>
          <r>
            <rPr>
              <rFont val="Calibri"/>
              <sz val="10"/>
            </rPr>
            <t xml:space="preserve"> Medium</t>
          </r>
        </is>
      </c>
      <c r="Z168" s="12" t="inlineStr">
        <is>
          <t>—</t>
        </is>
      </c>
      <c r="AA168" s="12" t="inlineStr">
        <is>
          <t>Nothing outstanding</t>
        </is>
      </c>
      <c r="AB168"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3 · Potential: Medium · 9-Box Grid placement: Trusted Professional.</t>
          </r>
        </is>
      </c>
      <c r="AC168" s="82" t="n"/>
      <c r="AD168" s="82" t="n"/>
      <c r="AE168" s="82" t="n"/>
      <c r="AF168" s="12" t="n">
        <v>2</v>
      </c>
    </row>
    <row r="169" ht="400" customHeight="1">
      <c r="A169" s="12" t="inlineStr">
        <is>
          <t>IRIS2314</t>
        </is>
      </c>
      <c r="B169" s="10" t="inlineStr">
        <is>
          <t>Shubham Nimse</t>
        </is>
      </c>
      <c r="C169" s="12" t="inlineStr">
        <is>
          <t>Technology</t>
        </is>
      </c>
      <c r="D169" s="12" t="inlineStr">
        <is>
          <t>Trainee Software Engineer</t>
        </is>
      </c>
      <c r="E169" s="78" t="inlineStr">
        <is>
          <t>Software Engineer</t>
        </is>
      </c>
      <c r="F169" s="12" t="inlineStr">
        <is>
          <t>Engineering &amp; Development</t>
        </is>
      </c>
      <c r="G169" s="12" t="inlineStr">
        <is>
          <t>Full-Stack Development</t>
        </is>
      </c>
      <c r="H169" s="12" t="inlineStr">
        <is>
          <t>IC</t>
        </is>
      </c>
      <c r="I169" s="42" t="inlineStr">
        <is>
          <t>L2 – Trainee</t>
        </is>
      </c>
      <c r="J169" s="16" t="inlineStr">
        <is>
          <t>A2</t>
        </is>
      </c>
      <c r="K169" s="17" t="inlineStr">
        <is>
          <t>Associate</t>
        </is>
      </c>
      <c r="L169" s="79" t="inlineStr">
        <is>
          <t>▲ Up</t>
        </is>
      </c>
      <c r="M169" s="12" t="inlineStr">
        <is>
          <t>iFile · Technology · Band A · Early career</t>
        </is>
      </c>
      <c r="N169" s="42" t="n">
        <v>1.5</v>
      </c>
      <c r="O169" s="42" t="n">
        <v>1.5</v>
      </c>
      <c r="P169" s="42" t="n">
        <v>2</v>
      </c>
      <c r="Q169" s="42" t="n">
        <v>1.5</v>
      </c>
      <c r="R169" s="42" t="n">
        <v>3</v>
      </c>
      <c r="S169" s="80" t="n">
        <v>2</v>
      </c>
      <c r="T169" s="81">
        <f>IF(OR($M169="",COUNT(N169,O169,P169,Q169,R169,S169)&lt;6),"",IFERROR(N169*INDEX(WM_C,MATCH($M169,WM_KEY,0))+O169*INDEX(WM_AU,MATCH($M169,WM_KEY,0))+P169*INDEX(WM_AC,MATCH($M169,WM_KEY,0))+Q169*INDEX(WM_L,MATCH($M169,WM_KEY,0))+R169*INDEX(WM_E,MATCH($M169,WM_KEY,0))+S169*INDEX(WM_BI,MATCH($M169,WM_KEY,0)),""))</f>
        <v>1.7</v>
      </c>
      <c r="U169" s="42" t="str">
        <f>IF(T169="","",INDEX({"A1","A2","A3","B1","B2","B3","C1","C2","D1","D2","E1","E2"},MAX(1,MIN(12,ROUND(T169,0)))))</f>
        <v>A2</v>
      </c>
      <c r="V169" s="12" t="inlineStr">
        <is>
          <r>
            <rPr>
              <rFont val="Calibri"/>
              <sz val="10"/>
            </rPr>
            <t xml:space="preserve">New level A2 · Associate. Current level on record: L2 – Trainee. Change: ▲ Up.
Score 1.70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2.5 years' experience is 2 years or more.
• </t>
          </r>
          <r>
            <rPr>
              <rFont val="Calibri"/>
              <b val="1"/>
              <sz val="10"/>
            </rPr>
            <t>Lowered from A3 to A2:</t>
          </r>
          <r>
            <rPr>
              <rFont val="Calibri"/>
              <sz val="10"/>
            </rPr>
            <t xml:space="preserve"> the work itself · complexity 1.5, accountability 2, average 1.75 supports at most A2.
</t>
          </r>
          <r>
            <rPr>
              <rFont val="Calibri"/>
              <b val="1"/>
              <sz val="10"/>
            </rPr>
            <t>Final level:</t>
          </r>
          <r>
            <rPr>
              <rFont val="Calibri"/>
              <sz val="10"/>
            </rPr>
            <t xml:space="preserve"> A2.</t>
          </r>
        </is>
      </c>
      <c r="W169" s="12" t="inlineStr">
        <is>
          <r>
            <rPr>
              <rFont val="Calibri"/>
              <b val="1"/>
              <sz val="10"/>
            </rPr>
            <t>Complexity &amp; Expertise:</t>
          </r>
          <r>
            <rPr>
              <rFont val="Calibri"/>
              <sz val="10"/>
            </rPr>
            <t xml:space="preserve"> 1.5 of 12 · between A1 and A2 — Start: 1.0 · trainee / intern title; Evidence reads like A2: New features, bug fixes, deployment, documentation and testing on assigned returns → moved up 0.5; KRA: “1. Provide production support and work on assigned Webform projects. 2. Work independently and complete tasks on time and guide team…”
</t>
          </r>
          <r>
            <rPr>
              <rFont val="Calibri"/>
              <b val="1"/>
              <sz val="10"/>
            </rPr>
            <t>Autonomy &amp; Decision:</t>
          </r>
          <r>
            <rPr>
              <rFont val="Calibri"/>
              <sz val="10"/>
            </rPr>
            <t xml:space="preserve"> 1.5 of 12 · between A1 and A2 — Start: 1.0 · trainee / intern title; Evidence reads like A2: Decides the development approach for own work → moved up 0.5
</t>
          </r>
          <r>
            <rPr>
              <rFont val="Calibri"/>
              <b val="1"/>
              <sz val="10"/>
            </rPr>
            <t>Accountability &amp; Impact:</t>
          </r>
          <r>
            <rPr>
              <rFont val="Calibri"/>
              <sz val="10"/>
            </rPr>
            <t xml:space="preserve"> 2 of 12 — Start: 1.0 · trainee / intern title; Evidence reads like A3: Whole lifecycle of assigned returns from development to production go-live and later bugs → moved up 1; KRA: “1. Provide production support and work on assigned Webform projects. 2. Work independently and complete tasks on time and guide team…”
</t>
          </r>
          <r>
            <rPr>
              <rFont val="Calibri"/>
              <b val="1"/>
              <sz val="10"/>
            </rPr>
            <t>Leadership &amp; Strategy:</t>
          </r>
          <r>
            <rPr>
              <rFont val="Calibri"/>
              <sz val="10"/>
            </rPr>
            <t xml:space="preserve"> 1.5 of 12 · between A1 and A2 — not counted: the weight is 0% at this level — Start: 1.0 · individual contributor, so influence only; Evidence reads like A2: Helps new peers with knowledge transfer on projects → moved up 0.5; Team: 0 direct reports · IC
</t>
          </r>
          <r>
            <rPr>
              <rFont val="Calibri"/>
              <b val="1"/>
              <sz val="10"/>
            </rPr>
            <t>Experience &amp; Qualification:</t>
          </r>
          <r>
            <rPr>
              <rFont val="Calibri"/>
              <sz val="10"/>
            </rPr>
            <t xml:space="preserve"> 3 of 12 — Experience: 2.5 yrs total · 0.5 before IRIS + 2.0 at IRIS = 2.8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9"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69" s="12" t="inlineStr">
        <is>
          <r>
            <rPr>
              <rFont val="Calibri"/>
              <sz val="10"/>
            </rPr>
            <t xml:space="preserve">✓ HRIS: 2.5 yrs, B.E, 0 direct reports
✓ Survey: 19 of 20 questions answered
✓ KRAs: quarterly
✓ Manager mapping: rating, potential, 9-box
✗ Job description: not on file
</t>
          </r>
          <r>
            <rPr>
              <rFont val="Calibri"/>
              <b val="1"/>
              <sz val="10"/>
            </rPr>
            <t>Confidence:</t>
          </r>
          <r>
            <rPr>
              <rFont val="Calibri"/>
              <sz val="10"/>
            </rPr>
            <t xml:space="preserve"> High</t>
          </r>
        </is>
      </c>
      <c r="Z169" s="84" t="inlineStr">
        <is>
          <r>
            <rPr>
              <rFont val="Calibri"/>
              <color rgb="009C5700"/>
              <sz val="10"/>
            </rPr>
            <t xml:space="preserve">• </t>
          </r>
          <r>
            <rPr>
              <rFont val="Calibri"/>
              <b val="1"/>
              <color rgb="009C5700"/>
              <sz val="10"/>
            </rPr>
            <t>Near a gate:</t>
          </r>
          <r>
            <rPr>
              <rFont val="Calibri"/>
              <color rgb="009C5700"/>
              <sz val="10"/>
            </rPr>
            <t xml:space="preserve"> role substance: complexity–accountability average 1.75 is 0.25 short of 2, which would lift the limit by one level</t>
          </r>
        </is>
      </c>
      <c r="AA169" s="12" t="inlineStr">
        <is>
          <t>Nothing outstanding</t>
        </is>
      </c>
      <c r="AB16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4 · Potential: High · 9-Box Grid placement: Trusted Professional.</t>
          </r>
        </is>
      </c>
      <c r="AC169" s="82" t="n"/>
      <c r="AD169" s="82" t="n"/>
      <c r="AE169" s="82" t="n"/>
      <c r="AF169" s="12" t="n">
        <v>2</v>
      </c>
    </row>
    <row r="170" ht="400" customHeight="1">
      <c r="A170" s="12" t="inlineStr">
        <is>
          <t>IRIS2483</t>
        </is>
      </c>
      <c r="B170" s="10" t="inlineStr">
        <is>
          <t>Soham Narsinge</t>
        </is>
      </c>
      <c r="C170" s="12" t="inlineStr">
        <is>
          <t>Technology</t>
        </is>
      </c>
      <c r="D170" s="12" t="inlineStr">
        <is>
          <t>Trainee Software Engineer</t>
        </is>
      </c>
      <c r="E170" s="78" t="inlineStr">
        <is>
          <t>AI/ML Engineer</t>
        </is>
      </c>
      <c r="F170" s="12" t="inlineStr">
        <is>
          <t>Engineering &amp; Development</t>
        </is>
      </c>
      <c r="G170" s="12" t="inlineStr">
        <is>
          <t>AI / ML &amp; GenAI Engineering</t>
        </is>
      </c>
      <c r="H170" s="12" t="inlineStr">
        <is>
          <t>IC</t>
        </is>
      </c>
      <c r="I170" s="42" t="inlineStr">
        <is>
          <t>Not in current mapping files</t>
        </is>
      </c>
      <c r="J170" s="16" t="inlineStr">
        <is>
          <t>A2</t>
        </is>
      </c>
      <c r="K170" s="17" t="inlineStr">
        <is>
          <t>Associate</t>
        </is>
      </c>
      <c r="L170" s="85" t="inlineStr">
        <is>
          <t>● Newly mapped</t>
        </is>
      </c>
      <c r="M170" s="12" t="inlineStr">
        <is>
          <t>iFile · Technology · Band A · Early career</t>
        </is>
      </c>
      <c r="N170" s="42" t="n">
        <v>2</v>
      </c>
      <c r="O170" s="42" t="n">
        <v>1.5</v>
      </c>
      <c r="P170" s="42" t="n">
        <v>1.5</v>
      </c>
      <c r="Q170" s="42" t="n">
        <v>1</v>
      </c>
      <c r="R170" s="42" t="n">
        <v>2</v>
      </c>
      <c r="S170" s="80" t="n">
        <v>1.5</v>
      </c>
      <c r="T170" s="81">
        <f>IF(OR($M170="",COUNT(N170,O170,P170,Q170,R170,S170)&lt;6),"",IFERROR(N170*INDEX(WM_C,MATCH($M170,WM_KEY,0))+O170*INDEX(WM_AU,MATCH($M170,WM_KEY,0))+P170*INDEX(WM_AC,MATCH($M170,WM_KEY,0))+Q170*INDEX(WM_L,MATCH($M170,WM_KEY,0))+R170*INDEX(WM_E,MATCH($M170,WM_KEY,0))+S170*INDEX(WM_BI,MATCH($M170,WM_KEY,0)),""))</f>
        <v>1.87</v>
      </c>
      <c r="U170" s="42" t="str">
        <f>IF(T170="","",INDEX({"A1","A2","A3","B1","B2","B3","C1","C2","D1","D2","E1","E2"},MAX(1,MIN(12,ROUND(T170,0)))))</f>
        <v>A2</v>
      </c>
      <c r="V170" s="12" t="inlineStr">
        <is>
          <r>
            <rPr>
              <rFont val="Calibri"/>
              <sz val="10"/>
            </rPr>
            <t xml:space="preserve">New level A2 · Associate. Current level on record: Not in current mapping files. Change: ● Newly mapped.
Score 1.87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0" s="12" t="inlineStr">
        <is>
          <r>
            <rPr>
              <rFont val="Calibri"/>
              <b val="1"/>
              <sz val="10"/>
            </rPr>
            <t>Complexity &amp; Expertise:</t>
          </r>
          <r>
            <rPr>
              <rFont val="Calibri"/>
              <sz val="10"/>
            </rPr>
            <t xml:space="preserve"> 2 of 12 — Start: 1.0 · trainee / intern title; Evidence reads like A3: Builds AI POCs with RAG, OCR/VLMs, prompt engineering and model evaluation; regulatory research → moved up 1
</t>
          </r>
          <r>
            <rPr>
              <rFont val="Calibri"/>
              <b val="1"/>
              <sz val="10"/>
            </rPr>
            <t>Autonomy &amp; Decision:</t>
          </r>
          <r>
            <rPr>
              <rFont val="Calibri"/>
              <sz val="10"/>
            </rPr>
            <t xml:space="preserve"> 1.5 of 12 · between A1 and A2 — Start: 1.0 · trainee / intern title; Evidence reads like A2: Only quality testing of AI POCs named → moved up 0.5
</t>
          </r>
          <r>
            <rPr>
              <rFont val="Calibri"/>
              <b val="1"/>
              <sz val="10"/>
            </rPr>
            <t>Accountability &amp; Impact:</t>
          </r>
          <r>
            <rPr>
              <rFont val="Calibri"/>
              <sz val="10"/>
            </rPr>
            <t xml:space="preserve"> 1.5 of 12 · between A1 and A2 — Start: 1.0 · trainee / intern title; Evidence reads like A2: own survey / KRA answers · summarised by the rater; not quoted → moved up 0.5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1.3 yrs total · 0.7 before IRIS + 0.6 at IRIS = 2.1 on the experience scale; Qualification: B.E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170"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70" s="12" t="inlineStr">
        <is>
          <r>
            <rPr>
              <rFont val="Calibri"/>
              <sz val="10"/>
            </rPr>
            <t xml:space="preserve">✓ HRIS: 1.3 yrs, B.E, 0 direct reports
✓ Survey: 20 of 20 questions answered
✗ KRAs: none on file
✓ Manager mapping: rating, 9-box
✗ Job description: not on file
</t>
          </r>
          <r>
            <rPr>
              <rFont val="Calibri"/>
              <b val="1"/>
              <sz val="10"/>
            </rPr>
            <t>Confidence:</t>
          </r>
          <r>
            <rPr>
              <rFont val="Calibri"/>
              <sz val="10"/>
            </rPr>
            <t xml:space="preserve"> High</t>
          </r>
        </is>
      </c>
      <c r="Z170" s="12" t="inlineStr">
        <is>
          <t>—</t>
        </is>
      </c>
      <c r="AA170" s="12" t="inlineStr">
        <is>
          <t>Nothing outstanding</t>
        </is>
      </c>
      <c r="AB170"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incorrect · lead · delays · rework.
Manager talent mapping — Latest rating: Not rated · manager · 9-Box Grid placement: Not placed · manager.</t>
          </r>
        </is>
      </c>
      <c r="AC170" s="82" t="n"/>
      <c r="AD170" s="82" t="n"/>
      <c r="AE170" s="82" t="n"/>
      <c r="AF170" s="12" t="n">
        <v>1.5</v>
      </c>
    </row>
    <row r="171" ht="400" customHeight="1">
      <c r="A171" s="12" t="inlineStr">
        <is>
          <t>IRIS2429</t>
        </is>
      </c>
      <c r="B171" s="10" t="inlineStr">
        <is>
          <t>Subham Chakrabertty</t>
        </is>
      </c>
      <c r="C171" s="12" t="inlineStr">
        <is>
          <t>Technology</t>
        </is>
      </c>
      <c r="D171" s="12" t="inlineStr">
        <is>
          <t>Trainee Software Engineer</t>
        </is>
      </c>
      <c r="E171" s="78" t="inlineStr">
        <is>
          <t>Software Engineer</t>
        </is>
      </c>
      <c r="F171" s="12" t="inlineStr">
        <is>
          <t>Engineering &amp; Development</t>
        </is>
      </c>
      <c r="G171" s="12" t="inlineStr">
        <is>
          <t>Backend Development</t>
        </is>
      </c>
      <c r="H171" s="12" t="inlineStr">
        <is>
          <t>IC</t>
        </is>
      </c>
      <c r="I171" s="42" t="inlineStr">
        <is>
          <t>L2 – Trainee</t>
        </is>
      </c>
      <c r="J171" s="16" t="inlineStr">
        <is>
          <t>A2</t>
        </is>
      </c>
      <c r="K171" s="17" t="inlineStr">
        <is>
          <t>Associate</t>
        </is>
      </c>
      <c r="L171" s="79" t="inlineStr">
        <is>
          <t>▲ Up</t>
        </is>
      </c>
      <c r="M171" s="12" t="inlineStr">
        <is>
          <t>iFile · Technology · Band A · Early career</t>
        </is>
      </c>
      <c r="N171" s="42" t="n">
        <v>2</v>
      </c>
      <c r="O171" s="42" t="n">
        <v>1.5</v>
      </c>
      <c r="P171" s="42" t="n">
        <v>1.5</v>
      </c>
      <c r="Q171" s="42" t="n">
        <v>1</v>
      </c>
      <c r="R171" s="42" t="n">
        <v>2.5</v>
      </c>
      <c r="S171" s="80" t="n">
        <v>1.5</v>
      </c>
      <c r="T171" s="81">
        <f>IF(OR($M171="",COUNT(N171,O171,P171,Q171,R171,S171)&lt;6),"",IFERROR(N171*INDEX(WM_C,MATCH($M171,WM_KEY,0))+O171*INDEX(WM_AU,MATCH($M171,WM_KEY,0))+P171*INDEX(WM_AC,MATCH($M171,WM_KEY,0))+Q171*INDEX(WM_L,MATCH($M171,WM_KEY,0))+R171*INDEX(WM_E,MATCH($M171,WM_KEY,0))+S171*INDEX(WM_BI,MATCH($M171,WM_KEY,0)),""))</f>
        <v>1.92</v>
      </c>
      <c r="U171" s="42" t="str">
        <f>IF(T171="","",INDEX({"A1","A2","A3","B1","B2","B3","C1","C2","D1","D2","E1","E2"},MAX(1,MIN(12,ROUND(T171,0)))))</f>
        <v>A2</v>
      </c>
      <c r="V171" s="12" t="inlineStr">
        <is>
          <r>
            <rPr>
              <rFont val="Calibri"/>
              <sz val="10"/>
            </rPr>
            <t xml:space="preserve">New level A2 · Associate. Current level on record: L2 – Trainee. Change: ▲ Up.
Score 1.92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1" s="12" t="inlineStr">
        <is>
          <r>
            <rPr>
              <rFont val="Calibri"/>
              <b val="1"/>
              <sz val="10"/>
            </rPr>
            <t>Complexity &amp; Expertise:</t>
          </r>
          <r>
            <rPr>
              <rFont val="Calibri"/>
              <sz val="10"/>
            </rPr>
            <t xml:space="preserve"> 2 of 12 — Start: 1.0 · trainee / intern title; Evidence: rated like 11 colleagues in the same role and department · own answers too general to rate → moved +1.0; KRA: “1. Provide production support/Upgrade of SBC. 2. Work independently and complete tasks on time and guide team members. 3. Improve the…”
</t>
          </r>
          <r>
            <rPr>
              <rFont val="Calibri"/>
              <b val="1"/>
              <sz val="10"/>
            </rPr>
            <t>Autonomy &amp; Decision:</t>
          </r>
          <r>
            <rPr>
              <rFont val="Calibri"/>
              <sz val="10"/>
            </rPr>
            <t xml:space="preserve"> 1.5 of 12 · between A1 and A2 — Start: 1.0 · trainee / intern title; Evidence: rated like 11 colleagues in the same role and department · own answers too general to rate → moved +0.5
</t>
          </r>
          <r>
            <rPr>
              <rFont val="Calibri"/>
              <b val="1"/>
              <sz val="10"/>
            </rPr>
            <t>Accountability &amp; Impact:</t>
          </r>
          <r>
            <rPr>
              <rFont val="Calibri"/>
              <sz val="10"/>
            </rPr>
            <t xml:space="preserve"> 1.5 of 12 · between A1 and A2 — Start: 1.0 · trainee / intern title; Evidence: rated like 11 colleagues in the same role and department · own answers too general to rate → moved +0.5; KRA: “1. Provide production support/Upgrade of SBC. 2. Work independently and complete tasks on time and guide team members. 3. Improve the…”
</t>
          </r>
          <r>
            <rPr>
              <rFont val="Calibri"/>
              <b val="1"/>
              <sz val="10"/>
            </rPr>
            <t>Leadership &amp; Strategy:</t>
          </r>
          <r>
            <rPr>
              <rFont val="Calibri"/>
              <sz val="10"/>
            </rPr>
            <t xml:space="preserve"> 1 of 12 — not counted: the weight is 0% at this level — Start: 1.0 · individual contributor, so influence only; Evidence: rated like 11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1.1 yrs total · 1.1 at IRIS; none recorded before IRIS = 2.0 on the experience scale; Qualification: MCA · postgraduate, relevant to the work → +0.5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171"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71" s="12" t="inlineStr">
        <is>
          <r>
            <rPr>
              <rFont val="Calibri"/>
              <sz val="10"/>
            </rPr>
            <t xml:space="preserve">✓ HRIS: 1.1 yrs, MCA, 0 direct reports
✓ Survey: 20 of 20 questions answered
✓ KRAs: quarterly
✓ Manager mapping: rating, potential, 9-box
✗ Job description: not on file
</t>
          </r>
          <r>
            <rPr>
              <rFont val="Calibri"/>
              <b val="1"/>
              <sz val="10"/>
            </rPr>
            <t>Confidence:</t>
          </r>
          <r>
            <rPr>
              <rFont val="Calibri"/>
              <sz val="10"/>
            </rPr>
            <t xml:space="preserve"> Low</t>
          </r>
        </is>
      </c>
      <c r="Z171" s="12" t="inlineStr">
        <is>
          <t>—</t>
        </is>
      </c>
      <c r="AA171" s="12" t="inlineStr">
        <is>
          <t>Nothing outstanding</t>
        </is>
      </c>
      <c r="AB171"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4 · Potential: Medium · 9-Box Grid placement: Trusted Professional.</t>
          </r>
        </is>
      </c>
      <c r="AC171" s="82" t="n"/>
      <c r="AD171" s="82" t="n"/>
      <c r="AE171" s="82" t="n"/>
      <c r="AF171" s="12" t="n">
        <v>1.5</v>
      </c>
    </row>
    <row r="172" ht="400" customHeight="1">
      <c r="A172" s="12" t="inlineStr">
        <is>
          <t>IRIS2255</t>
        </is>
      </c>
      <c r="B172" s="10" t="inlineStr">
        <is>
          <t>Tanay Hisariya</t>
        </is>
      </c>
      <c r="C172" s="12" t="inlineStr">
        <is>
          <t>Technology</t>
        </is>
      </c>
      <c r="D172" s="12" t="inlineStr">
        <is>
          <t>Trainee Software Engineer</t>
        </is>
      </c>
      <c r="E172" s="78" t="inlineStr">
        <is>
          <t>Software Engineer</t>
        </is>
      </c>
      <c r="F172" s="12" t="inlineStr">
        <is>
          <t>Engineering &amp; Development</t>
        </is>
      </c>
      <c r="G172" s="12" t="inlineStr">
        <is>
          <t>Full-Stack Development</t>
        </is>
      </c>
      <c r="H172" s="12" t="inlineStr">
        <is>
          <t>IC</t>
        </is>
      </c>
      <c r="I172" s="42" t="inlineStr">
        <is>
          <t>L2 – Trainee</t>
        </is>
      </c>
      <c r="J172" s="16" t="inlineStr">
        <is>
          <t>A2</t>
        </is>
      </c>
      <c r="K172" s="17" t="inlineStr">
        <is>
          <t>Associate</t>
        </is>
      </c>
      <c r="L172" s="79" t="inlineStr">
        <is>
          <t>▲ Up</t>
        </is>
      </c>
      <c r="M172" s="12" t="inlineStr">
        <is>
          <t>iFile · Technology · Band A · Early career</t>
        </is>
      </c>
      <c r="N172" s="42" t="n">
        <v>1.5</v>
      </c>
      <c r="O172" s="42" t="n">
        <v>1.5</v>
      </c>
      <c r="P172" s="42" t="n">
        <v>1.5</v>
      </c>
      <c r="Q172" s="42" t="n">
        <v>1</v>
      </c>
      <c r="R172" s="42" t="n">
        <v>2.5</v>
      </c>
      <c r="S172" s="80" t="n">
        <v>2.5</v>
      </c>
      <c r="T172" s="81">
        <f>IF(OR($M172="",COUNT(N172,O172,P172,Q172,R172,S172)&lt;6),"",IFERROR(N172*INDEX(WM_C,MATCH($M172,WM_KEY,0))+O172*INDEX(WM_AU,MATCH($M172,WM_KEY,0))+P172*INDEX(WM_AC,MATCH($M172,WM_KEY,0))+Q172*INDEX(WM_L,MATCH($M172,WM_KEY,0))+R172*INDEX(WM_E,MATCH($M172,WM_KEY,0))+S172*INDEX(WM_BI,MATCH($M172,WM_KEY,0)),""))</f>
        <v>1.66</v>
      </c>
      <c r="U172" s="42" t="str">
        <f>IF(T172="","",INDEX({"A1","A2","A3","B1","B2","B3","C1","C2","D1","D2","E1","E2"},MAX(1,MIN(12,ROUND(T172,0)))))</f>
        <v>A2</v>
      </c>
      <c r="V172" s="12" t="inlineStr">
        <is>
          <r>
            <rPr>
              <rFont val="Calibri"/>
              <sz val="10"/>
            </rPr>
            <t xml:space="preserve">New level A2 · Associate. Current level on record: L2 – Trainee. Change: ▲ Up.
Score 1.66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 </t>
          </r>
          <r>
            <rPr>
              <rFont val="Calibri"/>
              <b val="1"/>
              <sz val="10"/>
            </rPr>
            <t>Lowered from A3 to A2:</t>
          </r>
          <r>
            <rPr>
              <rFont val="Calibri"/>
              <sz val="10"/>
            </rPr>
            <t xml:space="preserve"> the work itself · complexity 1.5, accountability 1.5, average 1.50 supports at most A2.
</t>
          </r>
          <r>
            <rPr>
              <rFont val="Calibri"/>
              <b val="1"/>
              <sz val="10"/>
            </rPr>
            <t>Final level:</t>
          </r>
          <r>
            <rPr>
              <rFont val="Calibri"/>
              <sz val="10"/>
            </rPr>
            <t xml:space="preserve"> A2.</t>
          </r>
        </is>
      </c>
      <c r="W172" s="12" t="inlineStr">
        <is>
          <r>
            <rPr>
              <rFont val="Calibri"/>
              <b val="1"/>
              <sz val="10"/>
            </rPr>
            <t>Complexity &amp; Expertise:</t>
          </r>
          <r>
            <rPr>
              <rFont val="Calibri"/>
              <sz val="10"/>
            </rPr>
            <t xml:space="preserve"> 1.5 of 12 · between A1 and A2 — Start: 1.0 · trainee / intern title; Evidence reads like A2: Creates backend APIs/services in Java Spring Boot; coding, unit testing, deployment → moved up 0.5; KRA: “1. Deliver committed sprint stories with &gt;=90% sprint commitment adherence across the year 2. Maintain code quality: defect leakage to…”
</t>
          </r>
          <r>
            <rPr>
              <rFont val="Calibri"/>
              <b val="1"/>
              <sz val="10"/>
            </rPr>
            <t>Autonomy &amp; Decision:</t>
          </r>
          <r>
            <rPr>
              <rFont val="Calibri"/>
              <sz val="10"/>
            </rPr>
            <t xml:space="preserve"> 1.5 of 12 · between A1 and A2 — Start: 1.0 · trainee / intern title; Evidence reads like A2: Decides basic code architecture only → moved up 0.5
</t>
          </r>
          <r>
            <rPr>
              <rFont val="Calibri"/>
              <b val="1"/>
              <sz val="10"/>
            </rPr>
            <t>Accountability &amp; Impact:</t>
          </r>
          <r>
            <rPr>
              <rFont val="Calibri"/>
              <sz val="10"/>
            </rPr>
            <t xml:space="preserve"> 1.5 of 12 · between A1 and A2 — Start: 1.0 · trainee / intern title; Evidence reads like A2: Development, unit testing and proper working of own functionality → moved up 0.5; KRA: “1. Deliver committed sprint stories with &gt;=90% sprint commitment adherence across the year 2. Maintain code quality: defect leakage to…”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2.5 of 12 — a starting estimate. — Start: 1.5,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A2 = Own deliverables feed a team's output and turnaround · A3 = A process or client deliverable depends on this work</t>
          </r>
        </is>
      </c>
      <c r="X172"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172" s="12" t="inlineStr">
        <is>
          <r>
            <rPr>
              <rFont val="Calibri"/>
              <sz val="10"/>
            </rPr>
            <t xml:space="preserve">✓ HRIS: 2.3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72" s="12" t="inlineStr">
        <is>
          <t>—</t>
        </is>
      </c>
      <c r="AA172" s="12" t="inlineStr">
        <is>
          <t>Nothing outstanding</t>
        </is>
      </c>
      <c r="AB17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From the survey and manager mapping — critical role: yes; work only this person does: yes; successor named: no.
</t>
          </r>
          <r>
            <rPr>
              <rFont val="Calibri"/>
              <b val="1"/>
              <sz val="10"/>
            </rPr>
            <t>If the work is missed · role-holders' themes:</t>
          </r>
          <r>
            <rPr>
              <rFont val="Calibri"/>
              <sz val="10"/>
            </rPr>
            <t xml:space="preserve"> client · impacts.
</t>
          </r>
          <r>
            <rPr>
              <rFont val="Calibri"/>
              <b val="1"/>
              <sz val="10"/>
            </rPr>
            <t>Measured on · manager-set KRA themes:</t>
          </r>
          <r>
            <rPr>
              <rFont val="Calibri"/>
              <sz val="10"/>
            </rPr>
            <t xml:space="preserve"> assigned · improve · resolve · code · leakage qa/uat · coverage.
Manager talent mapping — Latest rating: 4 · Potential: High · 9-Box Grid placement: High Impact / Growth Talent.</t>
          </r>
        </is>
      </c>
      <c r="AC172" s="82" t="n"/>
      <c r="AD172" s="82" t="n"/>
      <c r="AE172" s="82" t="n"/>
      <c r="AF172" s="12" t="n">
        <v>2.5</v>
      </c>
    </row>
    <row r="173" ht="80" customHeight="1">
      <c r="A173" s="12" t="inlineStr">
        <is>
          <t>IRIS2542</t>
        </is>
      </c>
      <c r="B173" s="10" t="inlineStr">
        <is>
          <t>Parmesh Vala</t>
        </is>
      </c>
      <c r="C173" s="12" t="inlineStr">
        <is>
          <t>Technology</t>
        </is>
      </c>
      <c r="D173" s="12" t="inlineStr">
        <is>
          <t>Trainee Business Analyst</t>
        </is>
      </c>
      <c r="E173" s="12" t="inlineStr">
        <is>
          <t>Trainee Business Analyst</t>
        </is>
      </c>
      <c r="F173" s="12" t="inlineStr">
        <is>
          <t>Business Analysis</t>
        </is>
      </c>
      <c r="G173" s="12" t="inlineStr">
        <is>
          <t>Business Analysis</t>
        </is>
      </c>
      <c r="H173" s="12" t="inlineStr">
        <is>
          <t>IC</t>
        </is>
      </c>
      <c r="I173" s="42" t="inlineStr">
        <is>
          <t>L1 – Intern</t>
        </is>
      </c>
      <c r="J173" s="16" t="inlineStr">
        <is>
          <t>A1</t>
        </is>
      </c>
      <c r="K173" s="17" t="inlineStr">
        <is>
          <t>Intern / Trainee</t>
        </is>
      </c>
      <c r="L173" s="87" t="inlineStr">
        <is>
          <t>• Same level</t>
        </is>
      </c>
      <c r="M173" s="12" t="inlineStr">
        <is>
          <t>—</t>
        </is>
      </c>
      <c r="N173" s="42" t="inlineStr">
        <is>
          <t>—</t>
        </is>
      </c>
      <c r="O173" s="42" t="inlineStr">
        <is>
          <t>—</t>
        </is>
      </c>
      <c r="P173" s="42" t="inlineStr">
        <is>
          <t>—</t>
        </is>
      </c>
      <c r="Q173" s="42" t="inlineStr">
        <is>
          <t>—</t>
        </is>
      </c>
      <c r="R173" s="42" t="inlineStr">
        <is>
          <t>—</t>
        </is>
      </c>
      <c r="S173" s="80" t="inlineStr">
        <is>
          <t>—</t>
        </is>
      </c>
      <c r="T173" s="81" t="inlineStr">
        <is>
          <t>—</t>
        </is>
      </c>
      <c r="U173" s="42" t="inlineStr">
        <is>
          <t>Not scored</t>
        </is>
      </c>
      <c r="V173" s="12" t="inlineStr">
        <is>
          <t>New level A1 · Intern / Trainee. Current level on record: L1 – Intern. Change: • Same level.
Interns and first-year trainees start at A1.</t>
        </is>
      </c>
      <c r="W173" s="12" t="inlineStr">
        <is>
          <r>
            <rPr>
              <rFont val="Calibri"/>
              <b val="1"/>
              <sz val="10"/>
            </rPr>
            <t>Not scored:</t>
          </r>
          <r>
            <rPr>
              <rFont val="Calibri"/>
              <sz val="10"/>
            </rPr>
            <t xml:space="preserve"> interns and first-year trainees start at A1.</t>
          </r>
        </is>
      </c>
      <c r="X173"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Business Analyst
</t>
          </r>
          <r>
            <rPr>
              <rFont val="Calibri"/>
              <b val="1"/>
              <sz val="10"/>
            </rPr>
            <t>Standard:</t>
          </r>
          <r>
            <rPr>
              <rFont val="Calibri"/>
              <sz val="10"/>
            </rPr>
            <t xml:space="preserve"> IIBA BABOK v3; certifications ECBA → CCBA → CBAP</t>
          </r>
        </is>
      </c>
      <c r="Y173" s="12" t="inlineStr">
        <is>
          <r>
            <rPr>
              <rFont val="Calibri"/>
              <sz val="10"/>
            </rPr>
            <t xml:space="preserve">✓ HRIS: 0.2 yrs, B.Tech,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73" s="12" t="inlineStr">
        <is>
          <t>—</t>
        </is>
      </c>
      <c r="AA173" s="12" t="inlineStr">
        <is>
          <t>Nothing outstanding</t>
        </is>
      </c>
      <c r="AB173"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client · rework · delays.
Manager talent mapping — Latest rating: 4 · Potential: High · 9-Box Grid placement: Emerging Talent.</t>
          </r>
        </is>
      </c>
      <c r="AC173" s="82" t="n"/>
      <c r="AD173" s="82" t="n"/>
      <c r="AE173" s="82" t="n"/>
      <c r="AF173" s="12" t="inlineStr">
        <is>
          <t>—</t>
        </is>
      </c>
    </row>
    <row r="174" ht="119" customHeight="1">
      <c r="A174" s="12" t="inlineStr">
        <is>
          <t>IRIS2559</t>
        </is>
      </c>
      <c r="B174" s="10" t="inlineStr">
        <is>
          <t>Amaan Ullah</t>
        </is>
      </c>
      <c r="C174" s="12" t="inlineStr">
        <is>
          <t>Technology</t>
        </is>
      </c>
      <c r="D174" s="12" t="inlineStr">
        <is>
          <t>Trainee Software Engineer</t>
        </is>
      </c>
      <c r="E174" s="12" t="inlineStr">
        <is>
          <t>Trainee Software Engineer</t>
        </is>
      </c>
      <c r="F174" s="12" t="inlineStr">
        <is>
          <t>Engineering &amp; Development</t>
        </is>
      </c>
      <c r="G174" s="12" t="inlineStr">
        <is>
          <t>Full-Stack Development</t>
        </is>
      </c>
      <c r="H174" s="12" t="inlineStr">
        <is>
          <t>IC</t>
        </is>
      </c>
      <c r="I174" s="42" t="inlineStr">
        <is>
          <t>L1 – Intern</t>
        </is>
      </c>
      <c r="J174" s="16" t="inlineStr">
        <is>
          <t>A1</t>
        </is>
      </c>
      <c r="K174" s="17" t="inlineStr">
        <is>
          <t>Intern / Trainee</t>
        </is>
      </c>
      <c r="L174" s="87" t="inlineStr">
        <is>
          <t>• Same level</t>
        </is>
      </c>
      <c r="M174" s="12" t="inlineStr">
        <is>
          <t>—</t>
        </is>
      </c>
      <c r="N174" s="42" t="inlineStr">
        <is>
          <t>—</t>
        </is>
      </c>
      <c r="O174" s="42" t="inlineStr">
        <is>
          <t>—</t>
        </is>
      </c>
      <c r="P174" s="42" t="inlineStr">
        <is>
          <t>—</t>
        </is>
      </c>
      <c r="Q174" s="42" t="inlineStr">
        <is>
          <t>—</t>
        </is>
      </c>
      <c r="R174" s="42" t="inlineStr">
        <is>
          <t>—</t>
        </is>
      </c>
      <c r="S174" s="80" t="inlineStr">
        <is>
          <t>—</t>
        </is>
      </c>
      <c r="T174" s="81" t="inlineStr">
        <is>
          <t>—</t>
        </is>
      </c>
      <c r="U174" s="42" t="inlineStr">
        <is>
          <t>Not scored</t>
        </is>
      </c>
      <c r="V174" s="12" t="inlineStr">
        <is>
          <t>New level A1 · Intern / Trainee. Current level on record: L1 – Intern. Change: • Same level.
Interns and first-year trainees start at A1.</t>
        </is>
      </c>
      <c r="W174" s="12" t="inlineStr">
        <is>
          <r>
            <rPr>
              <rFont val="Calibri"/>
              <b val="1"/>
              <sz val="10"/>
            </rPr>
            <t>Not scored:</t>
          </r>
          <r>
            <rPr>
              <rFont val="Calibri"/>
              <sz val="10"/>
            </rPr>
            <t xml:space="preserve"> interns and first-year trainees start at A1.</t>
          </r>
        </is>
      </c>
      <c r="X174"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174" s="12" t="inlineStr">
        <is>
          <r>
            <rPr>
              <rFont val="Calibri"/>
              <sz val="10"/>
            </rPr>
            <t xml:space="preserve">✓ HRIS: 0.4 yrs, B.Tech, 0 direct reports
✓ Survey: 20 of 20 questions answered
✓ KRAs: self, manager-set, quarterly
✓ Manager mapping: rating, potential, 9-box — filled from talent-mapping files: experience outside, experience at IRIS
✗ Job description: not on file
</t>
          </r>
          <r>
            <rPr>
              <rFont val="Calibri"/>
              <b val="1"/>
              <sz val="10"/>
            </rPr>
            <t>Confidence:</t>
          </r>
          <r>
            <rPr>
              <rFont val="Calibri"/>
              <sz val="10"/>
            </rPr>
            <t xml:space="preserve"> Medium</t>
          </r>
        </is>
      </c>
      <c r="Z174" s="12" t="inlineStr">
        <is>
          <t>—</t>
        </is>
      </c>
      <c r="AA174" s="12" t="inlineStr">
        <is>
          <t>Nothing outstanding</t>
        </is>
      </c>
      <c r="AB174"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3 · Potential: Medium · 9-Box Grid placement: Emerging Talent.</t>
          </r>
        </is>
      </c>
      <c r="AC174" s="82" t="n"/>
      <c r="AD174" s="82" t="n"/>
      <c r="AE174" s="82" t="n"/>
      <c r="AF174" s="12" t="inlineStr">
        <is>
          <t>—</t>
        </is>
      </c>
    </row>
    <row r="175" ht="119" customHeight="1">
      <c r="A175" s="12" t="inlineStr">
        <is>
          <t>IRIS2441</t>
        </is>
      </c>
      <c r="B175" s="10" t="inlineStr">
        <is>
          <t>Mayuresh Raghunath Mahale</t>
        </is>
      </c>
      <c r="C175" s="12" t="inlineStr">
        <is>
          <t>Technology</t>
        </is>
      </c>
      <c r="D175" s="12" t="inlineStr">
        <is>
          <t>Trainee Software Engineer</t>
        </is>
      </c>
      <c r="E175" s="12" t="inlineStr">
        <is>
          <t>Trainee Software Engineer</t>
        </is>
      </c>
      <c r="F175" s="12" t="inlineStr">
        <is>
          <t>Engineering &amp; Development</t>
        </is>
      </c>
      <c r="G175" s="12" t="inlineStr">
        <is>
          <t>Full-Stack Development</t>
        </is>
      </c>
      <c r="H175" s="12" t="inlineStr">
        <is>
          <t>IC</t>
        </is>
      </c>
      <c r="I175" s="42" t="inlineStr">
        <is>
          <t>L2 – Trainee</t>
        </is>
      </c>
      <c r="J175" s="16" t="inlineStr">
        <is>
          <t>A1</t>
        </is>
      </c>
      <c r="K175" s="17" t="inlineStr">
        <is>
          <t>Intern / Trainee</t>
        </is>
      </c>
      <c r="L175" s="87" t="inlineStr">
        <is>
          <t>• Same level</t>
        </is>
      </c>
      <c r="M175" s="12" t="inlineStr">
        <is>
          <t>—</t>
        </is>
      </c>
      <c r="N175" s="42" t="inlineStr">
        <is>
          <t>—</t>
        </is>
      </c>
      <c r="O175" s="42" t="inlineStr">
        <is>
          <t>—</t>
        </is>
      </c>
      <c r="P175" s="42" t="inlineStr">
        <is>
          <t>—</t>
        </is>
      </c>
      <c r="Q175" s="42" t="inlineStr">
        <is>
          <t>—</t>
        </is>
      </c>
      <c r="R175" s="42" t="inlineStr">
        <is>
          <t>—</t>
        </is>
      </c>
      <c r="S175" s="80" t="inlineStr">
        <is>
          <t>—</t>
        </is>
      </c>
      <c r="T175" s="81" t="inlineStr">
        <is>
          <t>—</t>
        </is>
      </c>
      <c r="U175" s="42" t="inlineStr">
        <is>
          <t>Not scored</t>
        </is>
      </c>
      <c r="V175" s="12" t="inlineStr">
        <is>
          <t>New level A1 · Intern / Trainee. Current level on record: L2 – Trainee. Change: • Same level.
Interns and first-year trainees start at A1.</t>
        </is>
      </c>
      <c r="W175" s="12" t="inlineStr">
        <is>
          <r>
            <rPr>
              <rFont val="Calibri"/>
              <b val="1"/>
              <sz val="10"/>
            </rPr>
            <t>Not scored:</t>
          </r>
          <r>
            <rPr>
              <rFont val="Calibri"/>
              <sz val="10"/>
            </rPr>
            <t xml:space="preserve"> interns and first-year trainees start at A1.</t>
          </r>
        </is>
      </c>
      <c r="X175"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175" s="12" t="inlineStr">
        <is>
          <r>
            <rPr>
              <rFont val="Calibri"/>
              <sz val="10"/>
            </rPr>
            <t xml:space="preserve">✓ HRIS: 0.9 yrs, B.E, 0 direct reports
✓ Survey: 20 of 20 questions answered
✓ KRAs: quarterly
✓ Manager mapping: rating, potential, 9-box
✗ Job description: not on file
</t>
          </r>
          <r>
            <rPr>
              <rFont val="Calibri"/>
              <b val="1"/>
              <sz val="10"/>
            </rPr>
            <t>Confidence:</t>
          </r>
          <r>
            <rPr>
              <rFont val="Calibri"/>
              <sz val="10"/>
            </rPr>
            <t xml:space="preserve"> Medium</t>
          </r>
        </is>
      </c>
      <c r="Z175" s="12" t="inlineStr">
        <is>
          <t>—</t>
        </is>
      </c>
      <c r="AA175" s="12" t="inlineStr">
        <is>
          <t>Nothing outstanding</t>
        </is>
      </c>
      <c r="AB175"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3 · Potential: Medium · 9-Box Grid placement: Trusted Professional.</t>
          </r>
        </is>
      </c>
      <c r="AC175" s="82" t="n"/>
      <c r="AD175" s="82" t="n"/>
      <c r="AE175" s="82" t="n"/>
      <c r="AF175" s="12" t="inlineStr">
        <is>
          <t>—</t>
        </is>
      </c>
    </row>
    <row r="176" ht="80" customHeight="1">
      <c r="A176" s="12" t="inlineStr">
        <is>
          <t>INTN0289</t>
        </is>
      </c>
      <c r="B176" s="10" t="inlineStr">
        <is>
          <t>Pradnya Shindhe</t>
        </is>
      </c>
      <c r="C176" s="12" t="inlineStr">
        <is>
          <t>Technology</t>
        </is>
      </c>
      <c r="D176" s="12" t="inlineStr">
        <is>
          <t>Intern</t>
        </is>
      </c>
      <c r="E176" s="78" t="inlineStr">
        <is>
          <t>Intern – Front-End / UI Development</t>
        </is>
      </c>
      <c r="F176" s="12" t="inlineStr">
        <is>
          <t>Engineering &amp; Development</t>
        </is>
      </c>
      <c r="G176" s="12" t="inlineStr">
        <is>
          <t>Front-End / UI Development</t>
        </is>
      </c>
      <c r="H176" s="12" t="inlineStr">
        <is>
          <t>IC</t>
        </is>
      </c>
      <c r="I176" s="42" t="inlineStr">
        <is>
          <t>L1 – Intern</t>
        </is>
      </c>
      <c r="J176" s="16" t="inlineStr">
        <is>
          <t>A1</t>
        </is>
      </c>
      <c r="K176" s="17" t="inlineStr">
        <is>
          <t>Intern / Trainee</t>
        </is>
      </c>
      <c r="L176" s="87" t="inlineStr">
        <is>
          <t>• Same level</t>
        </is>
      </c>
      <c r="M176" s="12" t="inlineStr">
        <is>
          <t>—</t>
        </is>
      </c>
      <c r="N176" s="42" t="inlineStr">
        <is>
          <t>—</t>
        </is>
      </c>
      <c r="O176" s="42" t="inlineStr">
        <is>
          <t>—</t>
        </is>
      </c>
      <c r="P176" s="42" t="inlineStr">
        <is>
          <t>—</t>
        </is>
      </c>
      <c r="Q176" s="42" t="inlineStr">
        <is>
          <t>—</t>
        </is>
      </c>
      <c r="R176" s="42" t="inlineStr">
        <is>
          <t>—</t>
        </is>
      </c>
      <c r="S176" s="80" t="inlineStr">
        <is>
          <t>—</t>
        </is>
      </c>
      <c r="T176" s="81" t="inlineStr">
        <is>
          <t>—</t>
        </is>
      </c>
      <c r="U176" s="42" t="inlineStr">
        <is>
          <t>Not scored</t>
        </is>
      </c>
      <c r="V176" s="12" t="inlineStr">
        <is>
          <t>New level A1 · Intern / Trainee. Current level on record: L1 – Intern. Change: • Same level.
Interns and first-year trainees start at A1.</t>
        </is>
      </c>
      <c r="W176" s="12" t="inlineStr">
        <is>
          <r>
            <rPr>
              <rFont val="Calibri"/>
              <b val="1"/>
              <sz val="10"/>
            </rPr>
            <t>Not scored:</t>
          </r>
          <r>
            <rPr>
              <rFont val="Calibri"/>
              <sz val="10"/>
            </rPr>
            <t xml:space="preserve"> interns and first-year trainees start at A1.</t>
          </r>
        </is>
      </c>
      <c r="X176"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176" s="12" t="inlineStr">
        <is>
          <r>
            <rPr>
              <rFont val="Calibri"/>
              <sz val="10"/>
            </rPr>
            <t xml:space="preserve">✓ HRIS: 0.7 yrs, BCA, 0 direct reports
✓ Survey: 20 of 20 questions answered
✓ KRAs: quarterly
✓ Manager mapping: rating, 9-box
✗ Job description: not on file
</t>
          </r>
          <r>
            <rPr>
              <rFont val="Calibri"/>
              <b val="1"/>
              <sz val="10"/>
            </rPr>
            <t>Confidence:</t>
          </r>
          <r>
            <rPr>
              <rFont val="Calibri"/>
              <sz val="10"/>
            </rPr>
            <t xml:space="preserve"> Medium</t>
          </r>
        </is>
      </c>
      <c r="Z176" s="12" t="inlineStr">
        <is>
          <t>—</t>
        </is>
      </c>
      <c r="AA176" s="12" t="inlineStr">
        <is>
          <t>Nothing outstanding</t>
        </is>
      </c>
      <c r="AB176"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impact · delays · rework · delivery.
Manager talent mapping — Latest rating: 3 · 9-Box Grid placement: Trusted Professional.</t>
          </r>
        </is>
      </c>
      <c r="AC176" s="82" t="n"/>
      <c r="AD176" s="82" t="n"/>
      <c r="AE176" s="82" t="n"/>
      <c r="AF176" s="12" t="inlineStr">
        <is>
          <t>—</t>
        </is>
      </c>
    </row>
    <row r="177" ht="106" customHeight="1">
      <c r="A177" s="12" t="inlineStr">
        <is>
          <t>IRIS2442</t>
        </is>
      </c>
      <c r="B177" s="10" t="inlineStr">
        <is>
          <t>Rushikesh Shrikhande</t>
        </is>
      </c>
      <c r="C177" s="12" t="inlineStr">
        <is>
          <t>Technology</t>
        </is>
      </c>
      <c r="D177" s="12" t="inlineStr">
        <is>
          <t>Trainee Software Engineer</t>
        </is>
      </c>
      <c r="E177" s="12" t="inlineStr">
        <is>
          <t>Trainee Software Engineer</t>
        </is>
      </c>
      <c r="F177" s="12" t="inlineStr">
        <is>
          <t>Engineering &amp; Development</t>
        </is>
      </c>
      <c r="G177" s="12" t="inlineStr">
        <is>
          <t>Backend Development</t>
        </is>
      </c>
      <c r="H177" s="12" t="inlineStr">
        <is>
          <t>IC</t>
        </is>
      </c>
      <c r="I177" s="42" t="inlineStr">
        <is>
          <t>L2 – Trainee</t>
        </is>
      </c>
      <c r="J177" s="16" t="inlineStr">
        <is>
          <t>A1</t>
        </is>
      </c>
      <c r="K177" s="17" t="inlineStr">
        <is>
          <t>Intern / Trainee</t>
        </is>
      </c>
      <c r="L177" s="87" t="inlineStr">
        <is>
          <t>• Same level</t>
        </is>
      </c>
      <c r="M177" s="12" t="inlineStr">
        <is>
          <t>—</t>
        </is>
      </c>
      <c r="N177" s="42" t="inlineStr">
        <is>
          <t>—</t>
        </is>
      </c>
      <c r="O177" s="42" t="inlineStr">
        <is>
          <t>—</t>
        </is>
      </c>
      <c r="P177" s="42" t="inlineStr">
        <is>
          <t>—</t>
        </is>
      </c>
      <c r="Q177" s="42" t="inlineStr">
        <is>
          <t>—</t>
        </is>
      </c>
      <c r="R177" s="42" t="inlineStr">
        <is>
          <t>—</t>
        </is>
      </c>
      <c r="S177" s="80" t="inlineStr">
        <is>
          <t>—</t>
        </is>
      </c>
      <c r="T177" s="81" t="inlineStr">
        <is>
          <t>—</t>
        </is>
      </c>
      <c r="U177" s="42" t="inlineStr">
        <is>
          <t>Not scored</t>
        </is>
      </c>
      <c r="V177" s="12" t="inlineStr">
        <is>
          <t>New level A1 · Intern / Trainee. Current level on record: L2 – Trainee. Change: • Same level.
Interns and first-year trainees start at A1.</t>
        </is>
      </c>
      <c r="W177" s="12" t="inlineStr">
        <is>
          <r>
            <rPr>
              <rFont val="Calibri"/>
              <b val="1"/>
              <sz val="10"/>
            </rPr>
            <t>Not scored:</t>
          </r>
          <r>
            <rPr>
              <rFont val="Calibri"/>
              <sz val="10"/>
            </rPr>
            <t xml:space="preserve"> interns and first-year trainees start at A1.</t>
          </r>
        </is>
      </c>
      <c r="X177"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177" s="12" t="inlineStr">
        <is>
          <r>
            <rPr>
              <rFont val="Calibri"/>
              <sz val="10"/>
            </rPr>
            <t xml:space="preserve">✓ HRIS: 0.9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77" s="12" t="inlineStr">
        <is>
          <t>—</t>
        </is>
      </c>
      <c r="AA177" s="12" t="inlineStr">
        <is>
          <t>Nothing outstanding</t>
        </is>
      </c>
      <c r="AB177"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3 · Potential: Low · 9-Box Grid placement: Core Contributor.</t>
          </r>
        </is>
      </c>
      <c r="AC177" s="82" t="n"/>
      <c r="AD177" s="82" t="n"/>
      <c r="AE177" s="82" t="n"/>
      <c r="AF177" s="12" t="inlineStr">
        <is>
          <t>—</t>
        </is>
      </c>
    </row>
    <row r="178" ht="119" customHeight="1">
      <c r="A178" s="12" t="inlineStr">
        <is>
          <t>INTN0305</t>
        </is>
      </c>
      <c r="B178" s="10" t="inlineStr">
        <is>
          <t>Samiksha Sawant</t>
        </is>
      </c>
      <c r="C178" s="12" t="inlineStr">
        <is>
          <t>Technology</t>
        </is>
      </c>
      <c r="D178" s="12" t="inlineStr">
        <is>
          <t>Intern</t>
        </is>
      </c>
      <c r="E178" s="78" t="inlineStr">
        <is>
          <t>Intern – Software Development</t>
        </is>
      </c>
      <c r="F178" s="12" t="inlineStr">
        <is>
          <t>Engineering &amp; Development</t>
        </is>
      </c>
      <c r="G178" s="12" t="inlineStr">
        <is>
          <t>Backend Development</t>
        </is>
      </c>
      <c r="H178" s="12" t="inlineStr">
        <is>
          <t>IC</t>
        </is>
      </c>
      <c r="I178" s="42" t="inlineStr">
        <is>
          <t>Not in current mapping files</t>
        </is>
      </c>
      <c r="J178" s="16" t="inlineStr">
        <is>
          <t>A1</t>
        </is>
      </c>
      <c r="K178" s="17" t="inlineStr">
        <is>
          <t>Intern / Trainee</t>
        </is>
      </c>
      <c r="L178" s="85" t="inlineStr">
        <is>
          <t>● Newly mapped</t>
        </is>
      </c>
      <c r="M178" s="12" t="inlineStr">
        <is>
          <t>—</t>
        </is>
      </c>
      <c r="N178" s="42" t="inlineStr">
        <is>
          <t>—</t>
        </is>
      </c>
      <c r="O178" s="42" t="inlineStr">
        <is>
          <t>—</t>
        </is>
      </c>
      <c r="P178" s="42" t="inlineStr">
        <is>
          <t>—</t>
        </is>
      </c>
      <c r="Q178" s="42" t="inlineStr">
        <is>
          <t>—</t>
        </is>
      </c>
      <c r="R178" s="42" t="inlineStr">
        <is>
          <t>—</t>
        </is>
      </c>
      <c r="S178" s="80" t="inlineStr">
        <is>
          <t>—</t>
        </is>
      </c>
      <c r="T178" s="81" t="inlineStr">
        <is>
          <t>—</t>
        </is>
      </c>
      <c r="U178" s="42" t="inlineStr">
        <is>
          <t>Not scored</t>
        </is>
      </c>
      <c r="V178" s="12" t="inlineStr">
        <is>
          <t>New level A1 · Intern / Trainee. Current level on record: Not in current mapping files. Change: ● Newly mapped.
Interns and first-year trainees start at A1.</t>
        </is>
      </c>
      <c r="W178" s="12" t="inlineStr">
        <is>
          <r>
            <rPr>
              <rFont val="Calibri"/>
              <b val="1"/>
              <sz val="10"/>
            </rPr>
            <t>Not scored:</t>
          </r>
          <r>
            <rPr>
              <rFont val="Calibri"/>
              <sz val="10"/>
            </rPr>
            <t xml:space="preserve"> interns and first-year trainees start at A1.</t>
          </r>
        </is>
      </c>
      <c r="X178"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178" s="12" t="inlineStr">
        <is>
          <r>
            <rPr>
              <rFont val="Calibri"/>
              <sz val="10"/>
            </rPr>
            <t xml:space="preserve">✓ HRIS: 0.2 yrs, B.E, 0 direct reports
✓ Survey: 20 of 20 questions answered
✗ KRAs: none on file
✓ Manager mapping: rating, 9-box
✗ Job description: not on file
</t>
          </r>
          <r>
            <rPr>
              <rFont val="Calibri"/>
              <b val="1"/>
              <sz val="10"/>
            </rPr>
            <t>Confidence:</t>
          </r>
          <r>
            <rPr>
              <rFont val="Calibri"/>
              <sz val="10"/>
            </rPr>
            <t xml:space="preserve"> Medium</t>
          </r>
        </is>
      </c>
      <c r="Z178" s="12" t="inlineStr">
        <is>
          <t>—</t>
        </is>
      </c>
      <c r="AA178" s="12" t="inlineStr">
        <is>
          <t>Nothing outstanding</t>
        </is>
      </c>
      <c r="AB178"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Not rated · manager · 9-Box Grid placement: Not placed · manager.</t>
          </r>
        </is>
      </c>
      <c r="AC178" s="82" t="n"/>
      <c r="AD178" s="82" t="n"/>
      <c r="AE178" s="82" t="n"/>
      <c r="AF178" s="12" t="inlineStr">
        <is>
          <t>—</t>
        </is>
      </c>
    </row>
    <row r="179" ht="93" customHeight="1">
      <c r="A179" s="12" t="inlineStr">
        <is>
          <t>IRIS2484</t>
        </is>
      </c>
      <c r="B179" s="10" t="inlineStr">
        <is>
          <t>Vinay Gajula</t>
        </is>
      </c>
      <c r="C179" s="12" t="inlineStr">
        <is>
          <t>Technology</t>
        </is>
      </c>
      <c r="D179" s="12" t="inlineStr">
        <is>
          <t>Trainee Software Engineer</t>
        </is>
      </c>
      <c r="E179" s="78" t="inlineStr">
        <is>
          <t>Trainee AI/ML Engineer</t>
        </is>
      </c>
      <c r="F179" s="12" t="inlineStr">
        <is>
          <t>Engineering &amp; Development</t>
        </is>
      </c>
      <c r="G179" s="12" t="inlineStr">
        <is>
          <t>AI / ML &amp; GenAI Engineering</t>
        </is>
      </c>
      <c r="H179" s="12" t="inlineStr">
        <is>
          <t>IC</t>
        </is>
      </c>
      <c r="I179" s="42" t="inlineStr">
        <is>
          <t>Not in current mapping files</t>
        </is>
      </c>
      <c r="J179" s="16" t="inlineStr">
        <is>
          <t>A1</t>
        </is>
      </c>
      <c r="K179" s="17" t="inlineStr">
        <is>
          <t>Intern / Trainee</t>
        </is>
      </c>
      <c r="L179" s="85" t="inlineStr">
        <is>
          <t>● Newly mapped</t>
        </is>
      </c>
      <c r="M179" s="12" t="inlineStr">
        <is>
          <t>—</t>
        </is>
      </c>
      <c r="N179" s="42" t="inlineStr">
        <is>
          <t>—</t>
        </is>
      </c>
      <c r="O179" s="42" t="inlineStr">
        <is>
          <t>—</t>
        </is>
      </c>
      <c r="P179" s="42" t="inlineStr">
        <is>
          <t>—</t>
        </is>
      </c>
      <c r="Q179" s="42" t="inlineStr">
        <is>
          <t>—</t>
        </is>
      </c>
      <c r="R179" s="42" t="inlineStr">
        <is>
          <t>—</t>
        </is>
      </c>
      <c r="S179" s="80" t="inlineStr">
        <is>
          <t>—</t>
        </is>
      </c>
      <c r="T179" s="81" t="inlineStr">
        <is>
          <t>—</t>
        </is>
      </c>
      <c r="U179" s="42" t="inlineStr">
        <is>
          <t>Not scored</t>
        </is>
      </c>
      <c r="V179" s="12" t="inlineStr">
        <is>
          <t>New level A1 · Intern / Trainee. Current level on record: Not in current mapping files. Change: ● Newly mapped.
Interns and first-year trainees start at A1.</t>
        </is>
      </c>
      <c r="W179" s="12" t="inlineStr">
        <is>
          <r>
            <rPr>
              <rFont val="Calibri"/>
              <b val="1"/>
              <sz val="10"/>
            </rPr>
            <t>Not scored:</t>
          </r>
          <r>
            <rPr>
              <rFont val="Calibri"/>
              <sz val="10"/>
            </rPr>
            <t xml:space="preserve"> interns and first-year trainees start at A1.</t>
          </r>
        </is>
      </c>
      <c r="X179"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179" s="12" t="inlineStr">
        <is>
          <r>
            <rPr>
              <rFont val="Calibri"/>
              <sz val="10"/>
            </rPr>
            <t xml:space="preserve">✓ HRIS: 0.6 yrs, B.E, 0 direct reports
✓ Survey: 20 of 20 questions answered
✗ KRAs: none on file
✓ Manager mapping: rating, 9-box
✗ Job description: not on file
</t>
          </r>
          <r>
            <rPr>
              <rFont val="Calibri"/>
              <b val="1"/>
              <sz val="10"/>
            </rPr>
            <t>Confidence:</t>
          </r>
          <r>
            <rPr>
              <rFont val="Calibri"/>
              <sz val="10"/>
            </rPr>
            <t xml:space="preserve"> Low</t>
          </r>
        </is>
      </c>
      <c r="Z179" s="12" t="inlineStr">
        <is>
          <t>—</t>
        </is>
      </c>
      <c r="AA179" s="12" t="inlineStr">
        <is>
          <t>Nothing outstanding</t>
        </is>
      </c>
      <c r="AB179"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delays · lead · incorrect · rework · quality.
Manager talent mapping — Latest rating: Not rated · manager · 9-Box Grid placement: Not placed · manager.</t>
          </r>
        </is>
      </c>
      <c r="AC179" s="82" t="n"/>
      <c r="AD179" s="82" t="n"/>
      <c r="AE179" s="82" t="n"/>
      <c r="AF179" s="12" t="inlineStr">
        <is>
          <t>—</t>
        </is>
      </c>
    </row>
    <row r="180" ht="93" customHeight="1">
      <c r="A180" s="12" t="inlineStr">
        <is>
          <t>No Emp ID · in-house consultant</t>
        </is>
      </c>
      <c r="B180" s="10" t="inlineStr">
        <is>
          <t>Aloke Chatterjee</t>
        </is>
      </c>
      <c r="C180" s="12" t="inlineStr">
        <is>
          <t>Technology</t>
        </is>
      </c>
      <c r="D180" s="12" t="inlineStr">
        <is>
          <t>Consultant</t>
        </is>
      </c>
      <c r="E180" s="78" t="inlineStr">
        <is>
          <t>Associate Consultant – Software Development</t>
        </is>
      </c>
      <c r="F180" s="12" t="inlineStr">
        <is>
          <t>Engineering &amp; Development</t>
        </is>
      </c>
      <c r="G180" s="12" t="inlineStr">
        <is>
          <t>Backend Development</t>
        </is>
      </c>
      <c r="H180" s="12" t="inlineStr">
        <is>
          <t>Consultant</t>
        </is>
      </c>
      <c r="I180" s="42" t="inlineStr">
        <is>
          <t>—</t>
        </is>
      </c>
      <c r="J180" s="36" t="inlineStr">
        <is>
          <t>X1</t>
        </is>
      </c>
      <c r="K180" s="37" t="inlineStr">
        <is>
          <t>Associate Consultant</t>
        </is>
      </c>
      <c r="L180" s="87" t="inlineStr">
        <is>
          <t>• Same level</t>
        </is>
      </c>
      <c r="M180" s="12" t="inlineStr">
        <is>
          <t>—</t>
        </is>
      </c>
      <c r="N180" s="42" t="inlineStr">
        <is>
          <t>—</t>
        </is>
      </c>
      <c r="O180" s="42" t="inlineStr">
        <is>
          <t>—</t>
        </is>
      </c>
      <c r="P180" s="42" t="inlineStr">
        <is>
          <t>—</t>
        </is>
      </c>
      <c r="Q180" s="42" t="inlineStr">
        <is>
          <t>—</t>
        </is>
      </c>
      <c r="R180" s="42" t="inlineStr">
        <is>
          <t>—</t>
        </is>
      </c>
      <c r="S180" s="80" t="inlineStr">
        <is>
          <t>—</t>
        </is>
      </c>
      <c r="T180" s="81" t="inlineStr">
        <is>
          <t>—</t>
        </is>
      </c>
      <c r="U180" s="42" t="inlineStr">
        <is>
          <t>Not scored</t>
        </is>
      </c>
      <c r="V180" s="12" t="inlineStr">
        <is>
          <t>New level X1 · Associate Consultant. Current level on record: —. Change: • Same level.
Consultants sit outside the career ladder, at X1–X3 by the scope of their statement of work.</t>
        </is>
      </c>
      <c r="W180" s="12" t="inlineStr">
        <is>
          <r>
            <rPr>
              <rFont val="Calibri"/>
              <b val="1"/>
              <sz val="10"/>
            </rPr>
            <t>Not scored:</t>
          </r>
          <r>
            <rPr>
              <rFont val="Calibri"/>
              <sz val="10"/>
            </rPr>
            <t xml:space="preserve"> consultants sit outside the career ladder · X1–X3, by the scope of their statement of work.</t>
          </r>
        </is>
      </c>
      <c r="X180" s="12" t="inlineStr">
        <is>
          <r>
            <rPr>
              <rFont val="Calibri"/>
              <b val="1"/>
              <sz val="10"/>
            </rPr>
            <t>Consultant:</t>
          </r>
          <r>
            <rPr>
              <rFont val="Calibri"/>
              <sz val="10"/>
            </rPr>
            <t xml:space="preserve"> priced by rate card under the statement of work.</t>
          </r>
        </is>
      </c>
      <c r="Y180"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0" s="12" t="inlineStr">
        <is>
          <t>—</t>
        </is>
      </c>
      <c r="AA180" s="12" t="inlineStr">
        <is>
          <t>Nothing outstanding</t>
        </is>
      </c>
      <c r="AB180"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0" s="82" t="n"/>
      <c r="AD180" s="82" t="n"/>
      <c r="AE180" s="82" t="n"/>
      <c r="AF180" s="12" t="inlineStr">
        <is>
          <t>—</t>
        </is>
      </c>
    </row>
    <row r="181" ht="93" customHeight="1">
      <c r="A181" s="12" t="inlineStr">
        <is>
          <t>No Emp ID · external consultant</t>
        </is>
      </c>
      <c r="B181" s="10" t="inlineStr">
        <is>
          <t>Bhumika Viroja</t>
        </is>
      </c>
      <c r="C181" s="12" t="inlineStr">
        <is>
          <t>Technology</t>
        </is>
      </c>
      <c r="D181" s="12" t="inlineStr">
        <is>
          <t>Consultant</t>
        </is>
      </c>
      <c r="E181" s="78" t="inlineStr">
        <is>
          <t>Associate Consultant – Software Development</t>
        </is>
      </c>
      <c r="F181" s="12" t="inlineStr">
        <is>
          <t>Engineering &amp; Development</t>
        </is>
      </c>
      <c r="G181" s="12" t="inlineStr">
        <is>
          <t>Backend Development</t>
        </is>
      </c>
      <c r="H181" s="12" t="inlineStr">
        <is>
          <t>Consultant</t>
        </is>
      </c>
      <c r="I181" s="42" t="inlineStr">
        <is>
          <t>—</t>
        </is>
      </c>
      <c r="J181" s="36" t="inlineStr">
        <is>
          <t>X1</t>
        </is>
      </c>
      <c r="K181" s="37" t="inlineStr">
        <is>
          <t>Associate Consultant</t>
        </is>
      </c>
      <c r="L181" s="87" t="inlineStr">
        <is>
          <t>• Same level</t>
        </is>
      </c>
      <c r="M181" s="12" t="inlineStr">
        <is>
          <t>—</t>
        </is>
      </c>
      <c r="N181" s="42" t="inlineStr">
        <is>
          <t>—</t>
        </is>
      </c>
      <c r="O181" s="42" t="inlineStr">
        <is>
          <t>—</t>
        </is>
      </c>
      <c r="P181" s="42" t="inlineStr">
        <is>
          <t>—</t>
        </is>
      </c>
      <c r="Q181" s="42" t="inlineStr">
        <is>
          <t>—</t>
        </is>
      </c>
      <c r="R181" s="42" t="inlineStr">
        <is>
          <t>—</t>
        </is>
      </c>
      <c r="S181" s="80" t="inlineStr">
        <is>
          <t>—</t>
        </is>
      </c>
      <c r="T181" s="81" t="inlineStr">
        <is>
          <t>—</t>
        </is>
      </c>
      <c r="U181" s="42" t="inlineStr">
        <is>
          <t>Not scored</t>
        </is>
      </c>
      <c r="V181" s="12" t="inlineStr">
        <is>
          <t>New level X1 · Associate Consultant. Current level on record: —. Change: • Same level.
Consultants sit outside the career ladder, at X1–X3 by the scope of their statement of work.</t>
        </is>
      </c>
      <c r="W181" s="12" t="inlineStr">
        <is>
          <r>
            <rPr>
              <rFont val="Calibri"/>
              <b val="1"/>
              <sz val="10"/>
            </rPr>
            <t>Not scored:</t>
          </r>
          <r>
            <rPr>
              <rFont val="Calibri"/>
              <sz val="10"/>
            </rPr>
            <t xml:space="preserve"> consultants sit outside the career ladder · X1–X3, by the scope of their statement of work.</t>
          </r>
        </is>
      </c>
      <c r="X181" s="12" t="inlineStr">
        <is>
          <r>
            <rPr>
              <rFont val="Calibri"/>
              <b val="1"/>
              <sz val="10"/>
            </rPr>
            <t>Consultant:</t>
          </r>
          <r>
            <rPr>
              <rFont val="Calibri"/>
              <sz val="10"/>
            </rPr>
            <t xml:space="preserve"> priced by rate card under the statement of work.</t>
          </r>
        </is>
      </c>
      <c r="Y181"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1" s="12" t="inlineStr">
        <is>
          <t>—</t>
        </is>
      </c>
      <c r="AA181" s="12" t="inlineStr">
        <is>
          <t>Nothing outstanding</t>
        </is>
      </c>
      <c r="AB181"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1" s="82" t="n"/>
      <c r="AD181" s="82" t="n"/>
      <c r="AE181" s="82" t="n"/>
      <c r="AF181" s="12" t="inlineStr">
        <is>
          <t>—</t>
        </is>
      </c>
    </row>
    <row r="182" ht="93" customHeight="1">
      <c r="A182" s="12" t="inlineStr">
        <is>
          <t>No Emp ID · external consultant</t>
        </is>
      </c>
      <c r="B182" s="10" t="inlineStr">
        <is>
          <t>Dhruv Patel</t>
        </is>
      </c>
      <c r="C182" s="12" t="inlineStr">
        <is>
          <t>Technology</t>
        </is>
      </c>
      <c r="D182" s="12" t="inlineStr">
        <is>
          <t>Consultant</t>
        </is>
      </c>
      <c r="E182" s="78" t="inlineStr">
        <is>
          <t>Associate Consultant – Software Development</t>
        </is>
      </c>
      <c r="F182" s="12" t="inlineStr">
        <is>
          <t>Engineering &amp; Development</t>
        </is>
      </c>
      <c r="G182" s="12" t="inlineStr">
        <is>
          <t>Backend Development</t>
        </is>
      </c>
      <c r="H182" s="12" t="inlineStr">
        <is>
          <t>Consultant</t>
        </is>
      </c>
      <c r="I182" s="42" t="inlineStr">
        <is>
          <t>—</t>
        </is>
      </c>
      <c r="J182" s="36" t="inlineStr">
        <is>
          <t>X1</t>
        </is>
      </c>
      <c r="K182" s="37" t="inlineStr">
        <is>
          <t>Associate Consultant</t>
        </is>
      </c>
      <c r="L182" s="87" t="inlineStr">
        <is>
          <t>• Same level</t>
        </is>
      </c>
      <c r="M182" s="12" t="inlineStr">
        <is>
          <t>—</t>
        </is>
      </c>
      <c r="N182" s="42" t="inlineStr">
        <is>
          <t>—</t>
        </is>
      </c>
      <c r="O182" s="42" t="inlineStr">
        <is>
          <t>—</t>
        </is>
      </c>
      <c r="P182" s="42" t="inlineStr">
        <is>
          <t>—</t>
        </is>
      </c>
      <c r="Q182" s="42" t="inlineStr">
        <is>
          <t>—</t>
        </is>
      </c>
      <c r="R182" s="42" t="inlineStr">
        <is>
          <t>—</t>
        </is>
      </c>
      <c r="S182" s="80" t="inlineStr">
        <is>
          <t>—</t>
        </is>
      </c>
      <c r="T182" s="81" t="inlineStr">
        <is>
          <t>—</t>
        </is>
      </c>
      <c r="U182" s="42" t="inlineStr">
        <is>
          <t>Not scored</t>
        </is>
      </c>
      <c r="V182" s="12" t="inlineStr">
        <is>
          <t>New level X1 · Associate Consultant. Current level on record: —. Change: • Same level.
Consultants sit outside the career ladder, at X1–X3 by the scope of their statement of work.</t>
        </is>
      </c>
      <c r="W182" s="12" t="inlineStr">
        <is>
          <r>
            <rPr>
              <rFont val="Calibri"/>
              <b val="1"/>
              <sz val="10"/>
            </rPr>
            <t>Not scored:</t>
          </r>
          <r>
            <rPr>
              <rFont val="Calibri"/>
              <sz val="10"/>
            </rPr>
            <t xml:space="preserve"> consultants sit outside the career ladder · X1–X3, by the scope of their statement of work.</t>
          </r>
        </is>
      </c>
      <c r="X182" s="12" t="inlineStr">
        <is>
          <r>
            <rPr>
              <rFont val="Calibri"/>
              <b val="1"/>
              <sz val="10"/>
            </rPr>
            <t>Consultant:</t>
          </r>
          <r>
            <rPr>
              <rFont val="Calibri"/>
              <sz val="10"/>
            </rPr>
            <t xml:space="preserve"> priced by rate card under the statement of work.</t>
          </r>
        </is>
      </c>
      <c r="Y182"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2" s="12" t="inlineStr">
        <is>
          <t>—</t>
        </is>
      </c>
      <c r="AA182" s="12" t="inlineStr">
        <is>
          <t>Nothing outstanding</t>
        </is>
      </c>
      <c r="AB182"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2" s="82" t="n"/>
      <c r="AD182" s="82" t="n"/>
      <c r="AE182" s="82" t="n"/>
      <c r="AF182" s="12" t="inlineStr">
        <is>
          <t>—</t>
        </is>
      </c>
    </row>
    <row r="183" ht="132" customHeight="1">
      <c r="A183" s="12" t="inlineStr">
        <is>
          <t>No Emp ID · external consultant</t>
        </is>
      </c>
      <c r="B183" s="10" t="inlineStr">
        <is>
          <t>Dinesh Choudhary</t>
        </is>
      </c>
      <c r="C183" s="12" t="inlineStr">
        <is>
          <t>Technology</t>
        </is>
      </c>
      <c r="D183" s="12" t="inlineStr">
        <is>
          <t>Consultant</t>
        </is>
      </c>
      <c r="E183" s="78" t="inlineStr">
        <is>
          <t>Associate Consultant – Software Development</t>
        </is>
      </c>
      <c r="F183" s="12" t="inlineStr">
        <is>
          <t>Engineering &amp; Development</t>
        </is>
      </c>
      <c r="G183" s="12" t="inlineStr">
        <is>
          <t>Backend Development</t>
        </is>
      </c>
      <c r="H183" s="12" t="inlineStr">
        <is>
          <t>Consultant</t>
        </is>
      </c>
      <c r="I183" s="42" t="inlineStr">
        <is>
          <t>L3 – Professional / Associate</t>
        </is>
      </c>
      <c r="J183" s="36" t="inlineStr">
        <is>
          <t>X1</t>
        </is>
      </c>
      <c r="K183" s="37" t="inlineStr">
        <is>
          <t>Associate Consultant</t>
        </is>
      </c>
      <c r="L183" s="87" t="inlineStr">
        <is>
          <t>• Same level</t>
        </is>
      </c>
      <c r="M183" s="12" t="inlineStr">
        <is>
          <t>—</t>
        </is>
      </c>
      <c r="N183" s="42" t="inlineStr">
        <is>
          <t>—</t>
        </is>
      </c>
      <c r="O183" s="42" t="inlineStr">
        <is>
          <t>—</t>
        </is>
      </c>
      <c r="P183" s="42" t="inlineStr">
        <is>
          <t>—</t>
        </is>
      </c>
      <c r="Q183" s="42" t="inlineStr">
        <is>
          <t>—</t>
        </is>
      </c>
      <c r="R183" s="42" t="inlineStr">
        <is>
          <t>—</t>
        </is>
      </c>
      <c r="S183" s="80" t="inlineStr">
        <is>
          <t>—</t>
        </is>
      </c>
      <c r="T183" s="81" t="inlineStr">
        <is>
          <t>—</t>
        </is>
      </c>
      <c r="U183" s="42" t="inlineStr">
        <is>
          <t>Not scored</t>
        </is>
      </c>
      <c r="V183" s="12" t="inlineStr">
        <is>
          <t>New level X1 · Associate Consultant. Current level on record: L3 – Professional / Associate. Change: • Same level.
Consultants sit outside the career ladder, at X1–X3 by the scope of their statement of work.</t>
        </is>
      </c>
      <c r="W183" s="12" t="inlineStr">
        <is>
          <r>
            <rPr>
              <rFont val="Calibri"/>
              <b val="1"/>
              <sz val="10"/>
            </rPr>
            <t>Not scored:</t>
          </r>
          <r>
            <rPr>
              <rFont val="Calibri"/>
              <sz val="10"/>
            </rPr>
            <t xml:space="preserve"> consultants sit outside the career ladder · X1–X3, by the scope of their statement of work.</t>
          </r>
        </is>
      </c>
      <c r="X183" s="12" t="inlineStr">
        <is>
          <r>
            <rPr>
              <rFont val="Calibri"/>
              <b val="1"/>
              <sz val="10"/>
            </rPr>
            <t>Consultant:</t>
          </r>
          <r>
            <rPr>
              <rFont val="Calibri"/>
              <sz val="10"/>
            </rPr>
            <t xml:space="preserve"> priced by rate card under the statement of work.</t>
          </r>
        </is>
      </c>
      <c r="Y183" s="12" t="inlineStr">
        <is>
          <r>
            <rPr>
              <rFont val="Calibri"/>
              <sz val="10"/>
            </rPr>
            <t xml:space="preserve">✗ HRIS: 5.5 yrs, qualification missing, 0 direct reports
✗ Survey: no response
✓ KRAs: self, manager-set, quarterly
✓ Manager mapping: rating, potential, 9-box — filled from talent-mapping files: experience outside, experience at IRIS, qualification, reporting manager
✗ Job description: not on file
</t>
          </r>
          <r>
            <rPr>
              <rFont val="Calibri"/>
              <b val="1"/>
              <sz val="10"/>
            </rPr>
            <t>Confidence:</t>
          </r>
          <r>
            <rPr>
              <rFont val="Calibri"/>
              <sz val="10"/>
            </rPr>
            <t xml:space="preserve"> —</t>
          </r>
        </is>
      </c>
      <c r="Z183" s="12" t="inlineStr">
        <is>
          <t>—</t>
        </is>
      </c>
      <c r="AA183" s="12" t="inlineStr">
        <is>
          <t>Nothing outstanding</t>
        </is>
      </c>
      <c r="AB183" s="12" t="inlineStr">
        <is>
          <r>
            <rPr>
              <rFont val="Calibri"/>
              <b val="1"/>
              <sz val="10"/>
            </rPr>
            <t>What the role answers for:</t>
          </r>
          <r>
            <rPr>
              <rFont val="Calibri"/>
              <sz val="10"/>
            </rPr>
            <t xml:space="preserve"> —.
From the survey and manager mapping — critical role: yes; successor named: no.
</t>
          </r>
          <r>
            <rPr>
              <rFont val="Calibri"/>
              <b val="1"/>
              <sz val="10"/>
            </rPr>
            <t>If the work is missed · role-holders' themes:</t>
          </r>
          <r>
            <rPr>
              <rFont val="Calibri"/>
              <sz val="10"/>
            </rPr>
            <t xml:space="preserve"> delays · rework · issues · impact.
Manager talent mapping — Latest rating: 4 · Potential: High · 9-Box Grid placement: High Impact / Growth Talent.</t>
          </r>
        </is>
      </c>
      <c r="AC183" s="82" t="n"/>
      <c r="AD183" s="82" t="n"/>
      <c r="AE183" s="82" t="n"/>
      <c r="AF183" s="12" t="inlineStr">
        <is>
          <t>—</t>
        </is>
      </c>
    </row>
    <row r="184" ht="93" customHeight="1">
      <c r="A184" s="12" t="inlineStr">
        <is>
          <t>No Emp ID · external consultant</t>
        </is>
      </c>
      <c r="B184" s="10" t="inlineStr">
        <is>
          <t>Falguni</t>
        </is>
      </c>
      <c r="C184" s="12" t="inlineStr">
        <is>
          <t>Technology</t>
        </is>
      </c>
      <c r="D184" s="12" t="inlineStr">
        <is>
          <t>Consultant</t>
        </is>
      </c>
      <c r="E184" s="78" t="inlineStr">
        <is>
          <t>Associate Consultant – Software Development</t>
        </is>
      </c>
      <c r="F184" s="12" t="inlineStr">
        <is>
          <t>Engineering &amp; Development</t>
        </is>
      </c>
      <c r="G184" s="12" t="inlineStr">
        <is>
          <t>Backend Development</t>
        </is>
      </c>
      <c r="H184" s="12" t="inlineStr">
        <is>
          <t>Consultant</t>
        </is>
      </c>
      <c r="I184" s="42" t="inlineStr">
        <is>
          <t>—</t>
        </is>
      </c>
      <c r="J184" s="36" t="inlineStr">
        <is>
          <t>X1</t>
        </is>
      </c>
      <c r="K184" s="37" t="inlineStr">
        <is>
          <t>Associate Consultant</t>
        </is>
      </c>
      <c r="L184" s="87" t="inlineStr">
        <is>
          <t>• Same level</t>
        </is>
      </c>
      <c r="M184" s="12" t="inlineStr">
        <is>
          <t>—</t>
        </is>
      </c>
      <c r="N184" s="42" t="inlineStr">
        <is>
          <t>—</t>
        </is>
      </c>
      <c r="O184" s="42" t="inlineStr">
        <is>
          <t>—</t>
        </is>
      </c>
      <c r="P184" s="42" t="inlineStr">
        <is>
          <t>—</t>
        </is>
      </c>
      <c r="Q184" s="42" t="inlineStr">
        <is>
          <t>—</t>
        </is>
      </c>
      <c r="R184" s="42" t="inlineStr">
        <is>
          <t>—</t>
        </is>
      </c>
      <c r="S184" s="80" t="inlineStr">
        <is>
          <t>—</t>
        </is>
      </c>
      <c r="T184" s="81" t="inlineStr">
        <is>
          <t>—</t>
        </is>
      </c>
      <c r="U184" s="42" t="inlineStr">
        <is>
          <t>Not scored</t>
        </is>
      </c>
      <c r="V184" s="12" t="inlineStr">
        <is>
          <t>New level X1 · Associate Consultant. Current level on record: —. Change: • Same level.
Consultants sit outside the career ladder, at X1–X3 by the scope of their statement of work.</t>
        </is>
      </c>
      <c r="W184" s="12" t="inlineStr">
        <is>
          <r>
            <rPr>
              <rFont val="Calibri"/>
              <b val="1"/>
              <sz val="10"/>
            </rPr>
            <t>Not scored:</t>
          </r>
          <r>
            <rPr>
              <rFont val="Calibri"/>
              <sz val="10"/>
            </rPr>
            <t xml:space="preserve"> consultants sit outside the career ladder · X1–X3, by the scope of their statement of work.</t>
          </r>
        </is>
      </c>
      <c r="X184" s="12" t="inlineStr">
        <is>
          <r>
            <rPr>
              <rFont val="Calibri"/>
              <b val="1"/>
              <sz val="10"/>
            </rPr>
            <t>Consultant:</t>
          </r>
          <r>
            <rPr>
              <rFont val="Calibri"/>
              <sz val="10"/>
            </rPr>
            <t xml:space="preserve"> priced by rate card under the statement of work.</t>
          </r>
        </is>
      </c>
      <c r="Y184"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4" s="12" t="inlineStr">
        <is>
          <t>—</t>
        </is>
      </c>
      <c r="AA184" s="12" t="inlineStr">
        <is>
          <t>Nothing outstanding</t>
        </is>
      </c>
      <c r="AB184"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4" s="82" t="n"/>
      <c r="AD184" s="82" t="n"/>
      <c r="AE184" s="82" t="n"/>
      <c r="AF184" s="12" t="inlineStr">
        <is>
          <t>—</t>
        </is>
      </c>
    </row>
    <row r="185" ht="93" customHeight="1">
      <c r="A185" s="12" t="inlineStr">
        <is>
          <t>No Emp ID · external consultant</t>
        </is>
      </c>
      <c r="B185" s="10" t="inlineStr">
        <is>
          <t>Hardikraja</t>
        </is>
      </c>
      <c r="C185" s="12" t="inlineStr">
        <is>
          <t>Technology</t>
        </is>
      </c>
      <c r="D185" s="12" t="inlineStr">
        <is>
          <t>Consultant</t>
        </is>
      </c>
      <c r="E185" s="78" t="inlineStr">
        <is>
          <t>Associate Consultant – Software Development</t>
        </is>
      </c>
      <c r="F185" s="12" t="inlineStr">
        <is>
          <t>Engineering &amp; Development</t>
        </is>
      </c>
      <c r="G185" s="12" t="inlineStr">
        <is>
          <t>Backend Development</t>
        </is>
      </c>
      <c r="H185" s="12" t="inlineStr">
        <is>
          <t>Consultant</t>
        </is>
      </c>
      <c r="I185" s="42" t="inlineStr">
        <is>
          <t>—</t>
        </is>
      </c>
      <c r="J185" s="36" t="inlineStr">
        <is>
          <t>X1</t>
        </is>
      </c>
      <c r="K185" s="37" t="inlineStr">
        <is>
          <t>Associate Consultant</t>
        </is>
      </c>
      <c r="L185" s="87" t="inlineStr">
        <is>
          <t>• Same level</t>
        </is>
      </c>
      <c r="M185" s="12" t="inlineStr">
        <is>
          <t>—</t>
        </is>
      </c>
      <c r="N185" s="42" t="inlineStr">
        <is>
          <t>—</t>
        </is>
      </c>
      <c r="O185" s="42" t="inlineStr">
        <is>
          <t>—</t>
        </is>
      </c>
      <c r="P185" s="42" t="inlineStr">
        <is>
          <t>—</t>
        </is>
      </c>
      <c r="Q185" s="42" t="inlineStr">
        <is>
          <t>—</t>
        </is>
      </c>
      <c r="R185" s="42" t="inlineStr">
        <is>
          <t>—</t>
        </is>
      </c>
      <c r="S185" s="80" t="inlineStr">
        <is>
          <t>—</t>
        </is>
      </c>
      <c r="T185" s="81" t="inlineStr">
        <is>
          <t>—</t>
        </is>
      </c>
      <c r="U185" s="42" t="inlineStr">
        <is>
          <t>Not scored</t>
        </is>
      </c>
      <c r="V185" s="12" t="inlineStr">
        <is>
          <t>New level X1 · Associate Consultant. Current level on record: —. Change: • Same level.
Consultants sit outside the career ladder, at X1–X3 by the scope of their statement of work.</t>
        </is>
      </c>
      <c r="W185" s="12" t="inlineStr">
        <is>
          <r>
            <rPr>
              <rFont val="Calibri"/>
              <b val="1"/>
              <sz val="10"/>
            </rPr>
            <t>Not scored:</t>
          </r>
          <r>
            <rPr>
              <rFont val="Calibri"/>
              <sz val="10"/>
            </rPr>
            <t xml:space="preserve"> consultants sit outside the career ladder · X1–X3, by the scope of their statement of work.</t>
          </r>
        </is>
      </c>
      <c r="X185" s="12" t="inlineStr">
        <is>
          <r>
            <rPr>
              <rFont val="Calibri"/>
              <b val="1"/>
              <sz val="10"/>
            </rPr>
            <t>Consultant:</t>
          </r>
          <r>
            <rPr>
              <rFont val="Calibri"/>
              <sz val="10"/>
            </rPr>
            <t xml:space="preserve"> priced by rate card under the statement of work.</t>
          </r>
        </is>
      </c>
      <c r="Y185"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5" s="12" t="inlineStr">
        <is>
          <t>—</t>
        </is>
      </c>
      <c r="AA185" s="12" t="inlineStr">
        <is>
          <t>Nothing outstanding</t>
        </is>
      </c>
      <c r="AB185"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5" s="82" t="n"/>
      <c r="AD185" s="82" t="n"/>
      <c r="AE185" s="82" t="n"/>
      <c r="AF185" s="12" t="inlineStr">
        <is>
          <t>—</t>
        </is>
      </c>
    </row>
    <row r="186" ht="93" customHeight="1">
      <c r="A186" s="12" t="inlineStr">
        <is>
          <t>No Emp ID · external consultant</t>
        </is>
      </c>
      <c r="B186" s="10" t="inlineStr">
        <is>
          <t>Jay Kalariya</t>
        </is>
      </c>
      <c r="C186" s="12" t="inlineStr">
        <is>
          <t>Technology</t>
        </is>
      </c>
      <c r="D186" s="12" t="inlineStr">
        <is>
          <t>Consultant</t>
        </is>
      </c>
      <c r="E186" s="78" t="inlineStr">
        <is>
          <t>Associate Consultant – Software Development</t>
        </is>
      </c>
      <c r="F186" s="12" t="inlineStr">
        <is>
          <t>Engineering &amp; Development</t>
        </is>
      </c>
      <c r="G186" s="12" t="inlineStr">
        <is>
          <t>Backend Development</t>
        </is>
      </c>
      <c r="H186" s="12" t="inlineStr">
        <is>
          <t>Consultant</t>
        </is>
      </c>
      <c r="I186" s="42" t="inlineStr">
        <is>
          <t>—</t>
        </is>
      </c>
      <c r="J186" s="36" t="inlineStr">
        <is>
          <t>X1</t>
        </is>
      </c>
      <c r="K186" s="37" t="inlineStr">
        <is>
          <t>Associate Consultant</t>
        </is>
      </c>
      <c r="L186" s="87" t="inlineStr">
        <is>
          <t>• Same level</t>
        </is>
      </c>
      <c r="M186" s="12" t="inlineStr">
        <is>
          <t>—</t>
        </is>
      </c>
      <c r="N186" s="42" t="inlineStr">
        <is>
          <t>—</t>
        </is>
      </c>
      <c r="O186" s="42" t="inlineStr">
        <is>
          <t>—</t>
        </is>
      </c>
      <c r="P186" s="42" t="inlineStr">
        <is>
          <t>—</t>
        </is>
      </c>
      <c r="Q186" s="42" t="inlineStr">
        <is>
          <t>—</t>
        </is>
      </c>
      <c r="R186" s="42" t="inlineStr">
        <is>
          <t>—</t>
        </is>
      </c>
      <c r="S186" s="80" t="inlineStr">
        <is>
          <t>—</t>
        </is>
      </c>
      <c r="T186" s="81" t="inlineStr">
        <is>
          <t>—</t>
        </is>
      </c>
      <c r="U186" s="42" t="inlineStr">
        <is>
          <t>Not scored</t>
        </is>
      </c>
      <c r="V186" s="12" t="inlineStr">
        <is>
          <t>New level X1 · Associate Consultant. Current level on record: —. Change: • Same level.
Consultants sit outside the career ladder, at X1–X3 by the scope of their statement of work.</t>
        </is>
      </c>
      <c r="W186" s="12" t="inlineStr">
        <is>
          <r>
            <rPr>
              <rFont val="Calibri"/>
              <b val="1"/>
              <sz val="10"/>
            </rPr>
            <t>Not scored:</t>
          </r>
          <r>
            <rPr>
              <rFont val="Calibri"/>
              <sz val="10"/>
            </rPr>
            <t xml:space="preserve"> consultants sit outside the career ladder · X1–X3, by the scope of their statement of work.</t>
          </r>
        </is>
      </c>
      <c r="X186" s="12" t="inlineStr">
        <is>
          <r>
            <rPr>
              <rFont val="Calibri"/>
              <b val="1"/>
              <sz val="10"/>
            </rPr>
            <t>Consultant:</t>
          </r>
          <r>
            <rPr>
              <rFont val="Calibri"/>
              <sz val="10"/>
            </rPr>
            <t xml:space="preserve"> priced by rate card under the statement of work.</t>
          </r>
        </is>
      </c>
      <c r="Y186"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6" s="12" t="inlineStr">
        <is>
          <t>—</t>
        </is>
      </c>
      <c r="AA186" s="12" t="inlineStr">
        <is>
          <t>Nothing outstanding</t>
        </is>
      </c>
      <c r="AB186"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6" s="82" t="n"/>
      <c r="AD186" s="82" t="n"/>
      <c r="AE186" s="82" t="n"/>
      <c r="AF186" s="12" t="inlineStr">
        <is>
          <t>—</t>
        </is>
      </c>
    </row>
    <row r="187" ht="93" customHeight="1">
      <c r="A187" s="12" t="inlineStr">
        <is>
          <t>No Emp ID · in-house consultant</t>
        </is>
      </c>
      <c r="B187" s="10" t="inlineStr">
        <is>
          <t>Nilimesh Baruah</t>
        </is>
      </c>
      <c r="C187" s="12" t="inlineStr">
        <is>
          <t>Technology</t>
        </is>
      </c>
      <c r="D187" s="12" t="inlineStr">
        <is>
          <t>Consultant</t>
        </is>
      </c>
      <c r="E187" s="78" t="inlineStr">
        <is>
          <t>Associate Consultant – Software Development</t>
        </is>
      </c>
      <c r="F187" s="12" t="inlineStr">
        <is>
          <t>Engineering &amp; Development</t>
        </is>
      </c>
      <c r="G187" s="12" t="inlineStr">
        <is>
          <t>Backend Development</t>
        </is>
      </c>
      <c r="H187" s="12" t="inlineStr">
        <is>
          <t>Consultant</t>
        </is>
      </c>
      <c r="I187" s="42" t="inlineStr">
        <is>
          <t>—</t>
        </is>
      </c>
      <c r="J187" s="36" t="inlineStr">
        <is>
          <t>X1</t>
        </is>
      </c>
      <c r="K187" s="37" t="inlineStr">
        <is>
          <t>Associate Consultant</t>
        </is>
      </c>
      <c r="L187" s="87" t="inlineStr">
        <is>
          <t>• Same level</t>
        </is>
      </c>
      <c r="M187" s="12" t="inlineStr">
        <is>
          <t>—</t>
        </is>
      </c>
      <c r="N187" s="42" t="inlineStr">
        <is>
          <t>—</t>
        </is>
      </c>
      <c r="O187" s="42" t="inlineStr">
        <is>
          <t>—</t>
        </is>
      </c>
      <c r="P187" s="42" t="inlineStr">
        <is>
          <t>—</t>
        </is>
      </c>
      <c r="Q187" s="42" t="inlineStr">
        <is>
          <t>—</t>
        </is>
      </c>
      <c r="R187" s="42" t="inlineStr">
        <is>
          <t>—</t>
        </is>
      </c>
      <c r="S187" s="80" t="inlineStr">
        <is>
          <t>—</t>
        </is>
      </c>
      <c r="T187" s="81" t="inlineStr">
        <is>
          <t>—</t>
        </is>
      </c>
      <c r="U187" s="42" t="inlineStr">
        <is>
          <t>Not scored</t>
        </is>
      </c>
      <c r="V187" s="12" t="inlineStr">
        <is>
          <t>New level X1 · Associate Consultant. Current level on record: —. Change: • Same level.
Consultants sit outside the career ladder, at X1–X3 by the scope of their statement of work.</t>
        </is>
      </c>
      <c r="W187" s="12" t="inlineStr">
        <is>
          <r>
            <rPr>
              <rFont val="Calibri"/>
              <b val="1"/>
              <sz val="10"/>
            </rPr>
            <t>Not scored:</t>
          </r>
          <r>
            <rPr>
              <rFont val="Calibri"/>
              <sz val="10"/>
            </rPr>
            <t xml:space="preserve"> consultants sit outside the career ladder · X1–X3, by the scope of their statement of work.</t>
          </r>
        </is>
      </c>
      <c r="X187" s="12" t="inlineStr">
        <is>
          <r>
            <rPr>
              <rFont val="Calibri"/>
              <b val="1"/>
              <sz val="10"/>
            </rPr>
            <t>Consultant:</t>
          </r>
          <r>
            <rPr>
              <rFont val="Calibri"/>
              <sz val="10"/>
            </rPr>
            <t xml:space="preserve"> priced by rate card under the statement of work.</t>
          </r>
        </is>
      </c>
      <c r="Y187"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7" s="12" t="inlineStr">
        <is>
          <t>—</t>
        </is>
      </c>
      <c r="AA187" s="12" t="inlineStr">
        <is>
          <t>Nothing outstanding</t>
        </is>
      </c>
      <c r="AB187"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7" s="82" t="n"/>
      <c r="AD187" s="82" t="n"/>
      <c r="AE187" s="82" t="n"/>
      <c r="AF187" s="12" t="inlineStr">
        <is>
          <t>—</t>
        </is>
      </c>
    </row>
    <row r="188" ht="93" customHeight="1">
      <c r="A188" s="12" t="inlineStr">
        <is>
          <t>No Emp ID · external consultant</t>
        </is>
      </c>
      <c r="B188" s="10" t="inlineStr">
        <is>
          <t>Peshal Jha</t>
        </is>
      </c>
      <c r="C188" s="12" t="inlineStr">
        <is>
          <t>Technology</t>
        </is>
      </c>
      <c r="D188" s="12" t="inlineStr">
        <is>
          <t>Consultant</t>
        </is>
      </c>
      <c r="E188" s="78" t="inlineStr">
        <is>
          <t>Associate Consultant – Software Development</t>
        </is>
      </c>
      <c r="F188" s="12" t="inlineStr">
        <is>
          <t>Engineering &amp; Development</t>
        </is>
      </c>
      <c r="G188" s="12" t="inlineStr">
        <is>
          <t>Backend Development</t>
        </is>
      </c>
      <c r="H188" s="12" t="inlineStr">
        <is>
          <t>Consultant</t>
        </is>
      </c>
      <c r="I188" s="42" t="inlineStr">
        <is>
          <t>—</t>
        </is>
      </c>
      <c r="J188" s="36" t="inlineStr">
        <is>
          <t>X1</t>
        </is>
      </c>
      <c r="K188" s="37" t="inlineStr">
        <is>
          <t>Associate Consultant</t>
        </is>
      </c>
      <c r="L188" s="87" t="inlineStr">
        <is>
          <t>• Same level</t>
        </is>
      </c>
      <c r="M188" s="12" t="inlineStr">
        <is>
          <t>—</t>
        </is>
      </c>
      <c r="N188" s="42" t="inlineStr">
        <is>
          <t>—</t>
        </is>
      </c>
      <c r="O188" s="42" t="inlineStr">
        <is>
          <t>—</t>
        </is>
      </c>
      <c r="P188" s="42" t="inlineStr">
        <is>
          <t>—</t>
        </is>
      </c>
      <c r="Q188" s="42" t="inlineStr">
        <is>
          <t>—</t>
        </is>
      </c>
      <c r="R188" s="42" t="inlineStr">
        <is>
          <t>—</t>
        </is>
      </c>
      <c r="S188" s="80" t="inlineStr">
        <is>
          <t>—</t>
        </is>
      </c>
      <c r="T188" s="81" t="inlineStr">
        <is>
          <t>—</t>
        </is>
      </c>
      <c r="U188" s="42" t="inlineStr">
        <is>
          <t>Not scored</t>
        </is>
      </c>
      <c r="V188" s="12" t="inlineStr">
        <is>
          <t>New level X1 · Associate Consultant. Current level on record: —. Change: • Same level.
Consultants sit outside the career ladder, at X1–X3 by the scope of their statement of work.</t>
        </is>
      </c>
      <c r="W188" s="12" t="inlineStr">
        <is>
          <r>
            <rPr>
              <rFont val="Calibri"/>
              <b val="1"/>
              <sz val="10"/>
            </rPr>
            <t>Not scored:</t>
          </r>
          <r>
            <rPr>
              <rFont val="Calibri"/>
              <sz val="10"/>
            </rPr>
            <t xml:space="preserve"> consultants sit outside the career ladder · X1–X3, by the scope of their statement of work.</t>
          </r>
        </is>
      </c>
      <c r="X188" s="12" t="inlineStr">
        <is>
          <r>
            <rPr>
              <rFont val="Calibri"/>
              <b val="1"/>
              <sz val="10"/>
            </rPr>
            <t>Consultant:</t>
          </r>
          <r>
            <rPr>
              <rFont val="Calibri"/>
              <sz val="10"/>
            </rPr>
            <t xml:space="preserve"> priced by rate card under the statement of work.</t>
          </r>
        </is>
      </c>
      <c r="Y188"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8" s="12" t="inlineStr">
        <is>
          <t>—</t>
        </is>
      </c>
      <c r="AA188" s="12" t="inlineStr">
        <is>
          <t>Nothing outstanding</t>
        </is>
      </c>
      <c r="AB188"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8" s="82" t="n"/>
      <c r="AD188" s="82" t="n"/>
      <c r="AE188" s="82" t="n"/>
      <c r="AF188" s="12" t="inlineStr">
        <is>
          <t>—</t>
        </is>
      </c>
    </row>
    <row r="189" ht="93" customHeight="1">
      <c r="A189" s="12" t="inlineStr">
        <is>
          <t>No Emp ID · external consultant</t>
        </is>
      </c>
      <c r="B189" s="10" t="inlineStr">
        <is>
          <t>Poonam Rajput</t>
        </is>
      </c>
      <c r="C189" s="12" t="inlineStr">
        <is>
          <t>Technology</t>
        </is>
      </c>
      <c r="D189" s="12" t="inlineStr">
        <is>
          <t>Consultant</t>
        </is>
      </c>
      <c r="E189" s="78" t="inlineStr">
        <is>
          <t>Associate Consultant – Software Development</t>
        </is>
      </c>
      <c r="F189" s="12" t="inlineStr">
        <is>
          <t>Engineering &amp; Development</t>
        </is>
      </c>
      <c r="G189" s="12" t="inlineStr">
        <is>
          <t>Backend Development</t>
        </is>
      </c>
      <c r="H189" s="12" t="inlineStr">
        <is>
          <t>Consultant</t>
        </is>
      </c>
      <c r="I189" s="42" t="inlineStr">
        <is>
          <t>—</t>
        </is>
      </c>
      <c r="J189" s="36" t="inlineStr">
        <is>
          <t>X1</t>
        </is>
      </c>
      <c r="K189" s="37" t="inlineStr">
        <is>
          <t>Associate Consultant</t>
        </is>
      </c>
      <c r="L189" s="87" t="inlineStr">
        <is>
          <t>• Same level</t>
        </is>
      </c>
      <c r="M189" s="12" t="inlineStr">
        <is>
          <t>—</t>
        </is>
      </c>
      <c r="N189" s="42" t="inlineStr">
        <is>
          <t>—</t>
        </is>
      </c>
      <c r="O189" s="42" t="inlineStr">
        <is>
          <t>—</t>
        </is>
      </c>
      <c r="P189" s="42" t="inlineStr">
        <is>
          <t>—</t>
        </is>
      </c>
      <c r="Q189" s="42" t="inlineStr">
        <is>
          <t>—</t>
        </is>
      </c>
      <c r="R189" s="42" t="inlineStr">
        <is>
          <t>—</t>
        </is>
      </c>
      <c r="S189" s="80" t="inlineStr">
        <is>
          <t>—</t>
        </is>
      </c>
      <c r="T189" s="81" t="inlineStr">
        <is>
          <t>—</t>
        </is>
      </c>
      <c r="U189" s="42" t="inlineStr">
        <is>
          <t>Not scored</t>
        </is>
      </c>
      <c r="V189" s="12" t="inlineStr">
        <is>
          <t>New level X1 · Associate Consultant. Current level on record: —. Change: • Same level.
Consultants sit outside the career ladder, at X1–X3 by the scope of their statement of work.</t>
        </is>
      </c>
      <c r="W189" s="12" t="inlineStr">
        <is>
          <r>
            <rPr>
              <rFont val="Calibri"/>
              <b val="1"/>
              <sz val="10"/>
            </rPr>
            <t>Not scored:</t>
          </r>
          <r>
            <rPr>
              <rFont val="Calibri"/>
              <sz val="10"/>
            </rPr>
            <t xml:space="preserve"> consultants sit outside the career ladder · X1–X3, by the scope of their statement of work.</t>
          </r>
        </is>
      </c>
      <c r="X189" s="12" t="inlineStr">
        <is>
          <r>
            <rPr>
              <rFont val="Calibri"/>
              <b val="1"/>
              <sz val="10"/>
            </rPr>
            <t>Consultant:</t>
          </r>
          <r>
            <rPr>
              <rFont val="Calibri"/>
              <sz val="10"/>
            </rPr>
            <t xml:space="preserve"> priced by rate card under the statement of work.</t>
          </r>
        </is>
      </c>
      <c r="Y189"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89" s="12" t="inlineStr">
        <is>
          <t>—</t>
        </is>
      </c>
      <c r="AA189" s="12" t="inlineStr">
        <is>
          <t>Nothing outstanding</t>
        </is>
      </c>
      <c r="AB189"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89" s="82" t="n"/>
      <c r="AD189" s="82" t="n"/>
      <c r="AE189" s="82" t="n"/>
      <c r="AF189" s="12" t="inlineStr">
        <is>
          <t>—</t>
        </is>
      </c>
    </row>
    <row r="190" ht="93" customHeight="1">
      <c r="A190" s="12" t="inlineStr">
        <is>
          <t>No Emp ID · external consultant</t>
        </is>
      </c>
      <c r="B190" s="10" t="inlineStr">
        <is>
          <t>Shifa Salheen</t>
        </is>
      </c>
      <c r="C190" s="12" t="inlineStr">
        <is>
          <t>Technology</t>
        </is>
      </c>
      <c r="D190" s="12" t="inlineStr">
        <is>
          <t>Consultant</t>
        </is>
      </c>
      <c r="E190" s="78" t="inlineStr">
        <is>
          <t>Associate Consultant – Software Development</t>
        </is>
      </c>
      <c r="F190" s="12" t="inlineStr">
        <is>
          <t>Engineering &amp; Development</t>
        </is>
      </c>
      <c r="G190" s="12" t="inlineStr">
        <is>
          <t>Backend Development</t>
        </is>
      </c>
      <c r="H190" s="12" t="inlineStr">
        <is>
          <t>Consultant</t>
        </is>
      </c>
      <c r="I190" s="42" t="inlineStr">
        <is>
          <t>—</t>
        </is>
      </c>
      <c r="J190" s="36" t="inlineStr">
        <is>
          <t>X1</t>
        </is>
      </c>
      <c r="K190" s="37" t="inlineStr">
        <is>
          <t>Associate Consultant</t>
        </is>
      </c>
      <c r="L190" s="87" t="inlineStr">
        <is>
          <t>• Same level</t>
        </is>
      </c>
      <c r="M190" s="12" t="inlineStr">
        <is>
          <t>—</t>
        </is>
      </c>
      <c r="N190" s="42" t="inlineStr">
        <is>
          <t>—</t>
        </is>
      </c>
      <c r="O190" s="42" t="inlineStr">
        <is>
          <t>—</t>
        </is>
      </c>
      <c r="P190" s="42" t="inlineStr">
        <is>
          <t>—</t>
        </is>
      </c>
      <c r="Q190" s="42" t="inlineStr">
        <is>
          <t>—</t>
        </is>
      </c>
      <c r="R190" s="42" t="inlineStr">
        <is>
          <t>—</t>
        </is>
      </c>
      <c r="S190" s="80" t="inlineStr">
        <is>
          <t>—</t>
        </is>
      </c>
      <c r="T190" s="81" t="inlineStr">
        <is>
          <t>—</t>
        </is>
      </c>
      <c r="U190" s="42" t="inlineStr">
        <is>
          <t>Not scored</t>
        </is>
      </c>
      <c r="V190" s="12" t="inlineStr">
        <is>
          <t>New level X1 · Associate Consultant. Current level on record: —. Change: • Same level.
Consultants sit outside the career ladder, at X1–X3 by the scope of their statement of work.</t>
        </is>
      </c>
      <c r="W190" s="12" t="inlineStr">
        <is>
          <r>
            <rPr>
              <rFont val="Calibri"/>
              <b val="1"/>
              <sz val="10"/>
            </rPr>
            <t>Not scored:</t>
          </r>
          <r>
            <rPr>
              <rFont val="Calibri"/>
              <sz val="10"/>
            </rPr>
            <t xml:space="preserve"> consultants sit outside the career ladder · X1–X3, by the scope of their statement of work.</t>
          </r>
        </is>
      </c>
      <c r="X190" s="12" t="inlineStr">
        <is>
          <r>
            <rPr>
              <rFont val="Calibri"/>
              <b val="1"/>
              <sz val="10"/>
            </rPr>
            <t>Consultant:</t>
          </r>
          <r>
            <rPr>
              <rFont val="Calibri"/>
              <sz val="10"/>
            </rPr>
            <t xml:space="preserve"> priced by rate card under the statement of work.</t>
          </r>
        </is>
      </c>
      <c r="Y190"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90" s="12" t="inlineStr">
        <is>
          <t>—</t>
        </is>
      </c>
      <c r="AA190" s="12" t="inlineStr">
        <is>
          <t>Nothing outstanding</t>
        </is>
      </c>
      <c r="AB190"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90" s="82" t="n"/>
      <c r="AD190" s="82" t="n"/>
      <c r="AE190" s="82" t="n"/>
      <c r="AF190" s="12" t="inlineStr">
        <is>
          <t>—</t>
        </is>
      </c>
    </row>
    <row r="191" ht="93" customHeight="1">
      <c r="A191" s="12" t="inlineStr">
        <is>
          <t>No Emp ID · external consultant</t>
        </is>
      </c>
      <c r="B191" s="10" t="inlineStr">
        <is>
          <t>Snnehasis Debyans</t>
        </is>
      </c>
      <c r="C191" s="12" t="inlineStr">
        <is>
          <t>Technology</t>
        </is>
      </c>
      <c r="D191" s="12" t="inlineStr">
        <is>
          <t>Consultant</t>
        </is>
      </c>
      <c r="E191" s="78" t="inlineStr">
        <is>
          <t>Associate Consultant – Software Development</t>
        </is>
      </c>
      <c r="F191" s="12" t="inlineStr">
        <is>
          <t>Engineering &amp; Development</t>
        </is>
      </c>
      <c r="G191" s="12" t="inlineStr">
        <is>
          <t>Backend Development</t>
        </is>
      </c>
      <c r="H191" s="12" t="inlineStr">
        <is>
          <t>Consultant</t>
        </is>
      </c>
      <c r="I191" s="42" t="inlineStr">
        <is>
          <t>—</t>
        </is>
      </c>
      <c r="J191" s="36" t="inlineStr">
        <is>
          <t>X1</t>
        </is>
      </c>
      <c r="K191" s="37" t="inlineStr">
        <is>
          <t>Associate Consultant</t>
        </is>
      </c>
      <c r="L191" s="87" t="inlineStr">
        <is>
          <t>• Same level</t>
        </is>
      </c>
      <c r="M191" s="12" t="inlineStr">
        <is>
          <t>—</t>
        </is>
      </c>
      <c r="N191" s="42" t="inlineStr">
        <is>
          <t>—</t>
        </is>
      </c>
      <c r="O191" s="42" t="inlineStr">
        <is>
          <t>—</t>
        </is>
      </c>
      <c r="P191" s="42" t="inlineStr">
        <is>
          <t>—</t>
        </is>
      </c>
      <c r="Q191" s="42" t="inlineStr">
        <is>
          <t>—</t>
        </is>
      </c>
      <c r="R191" s="42" t="inlineStr">
        <is>
          <t>—</t>
        </is>
      </c>
      <c r="S191" s="80" t="inlineStr">
        <is>
          <t>—</t>
        </is>
      </c>
      <c r="T191" s="81" t="inlineStr">
        <is>
          <t>—</t>
        </is>
      </c>
      <c r="U191" s="42" t="inlineStr">
        <is>
          <t>Not scored</t>
        </is>
      </c>
      <c r="V191" s="12" t="inlineStr">
        <is>
          <t>New level X1 · Associate Consultant. Current level on record: —. Change: • Same level.
Consultants sit outside the career ladder, at X1–X3 by the scope of their statement of work.</t>
        </is>
      </c>
      <c r="W191" s="12" t="inlineStr">
        <is>
          <r>
            <rPr>
              <rFont val="Calibri"/>
              <b val="1"/>
              <sz val="10"/>
            </rPr>
            <t>Not scored:</t>
          </r>
          <r>
            <rPr>
              <rFont val="Calibri"/>
              <sz val="10"/>
            </rPr>
            <t xml:space="preserve"> consultants sit outside the career ladder · X1–X3, by the scope of their statement of work.</t>
          </r>
        </is>
      </c>
      <c r="X191" s="12" t="inlineStr">
        <is>
          <r>
            <rPr>
              <rFont val="Calibri"/>
              <b val="1"/>
              <sz val="10"/>
            </rPr>
            <t>Consultant:</t>
          </r>
          <r>
            <rPr>
              <rFont val="Calibri"/>
              <sz val="10"/>
            </rPr>
            <t xml:space="preserve"> priced by rate card under the statement of work.</t>
          </r>
        </is>
      </c>
      <c r="Y191"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91" s="12" t="inlineStr">
        <is>
          <t>—</t>
        </is>
      </c>
      <c r="AA191" s="12" t="inlineStr">
        <is>
          <t>Nothing outstanding</t>
        </is>
      </c>
      <c r="AB191"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91" s="82" t="n"/>
      <c r="AD191" s="82" t="n"/>
      <c r="AE191" s="82" t="n"/>
      <c r="AF191" s="12" t="inlineStr">
        <is>
          <t>—</t>
        </is>
      </c>
    </row>
    <row r="192" ht="93" customHeight="1">
      <c r="A192" s="12" t="inlineStr">
        <is>
          <t>No Emp ID · external consultant</t>
        </is>
      </c>
      <c r="B192" s="10" t="inlineStr">
        <is>
          <t>Vivek Kumar Singh</t>
        </is>
      </c>
      <c r="C192" s="12" t="inlineStr">
        <is>
          <t>Technology</t>
        </is>
      </c>
      <c r="D192" s="12" t="inlineStr">
        <is>
          <t>Consultant</t>
        </is>
      </c>
      <c r="E192" s="78" t="inlineStr">
        <is>
          <t>Associate Consultant – Software Development</t>
        </is>
      </c>
      <c r="F192" s="12" t="inlineStr">
        <is>
          <t>Engineering &amp; Development</t>
        </is>
      </c>
      <c r="G192" s="12" t="inlineStr">
        <is>
          <t>Backend Development</t>
        </is>
      </c>
      <c r="H192" s="12" t="inlineStr">
        <is>
          <t>Consultant</t>
        </is>
      </c>
      <c r="I192" s="42" t="inlineStr">
        <is>
          <t>—</t>
        </is>
      </c>
      <c r="J192" s="36" t="inlineStr">
        <is>
          <t>X1</t>
        </is>
      </c>
      <c r="K192" s="37" t="inlineStr">
        <is>
          <t>Associate Consultant</t>
        </is>
      </c>
      <c r="L192" s="87" t="inlineStr">
        <is>
          <t>• Same level</t>
        </is>
      </c>
      <c r="M192" s="12" t="inlineStr">
        <is>
          <t>—</t>
        </is>
      </c>
      <c r="N192" s="42" t="inlineStr">
        <is>
          <t>—</t>
        </is>
      </c>
      <c r="O192" s="42" t="inlineStr">
        <is>
          <t>—</t>
        </is>
      </c>
      <c r="P192" s="42" t="inlineStr">
        <is>
          <t>—</t>
        </is>
      </c>
      <c r="Q192" s="42" t="inlineStr">
        <is>
          <t>—</t>
        </is>
      </c>
      <c r="R192" s="42" t="inlineStr">
        <is>
          <t>—</t>
        </is>
      </c>
      <c r="S192" s="80" t="inlineStr">
        <is>
          <t>—</t>
        </is>
      </c>
      <c r="T192" s="81" t="inlineStr">
        <is>
          <t>—</t>
        </is>
      </c>
      <c r="U192" s="42" t="inlineStr">
        <is>
          <t>Not scored</t>
        </is>
      </c>
      <c r="V192" s="12" t="inlineStr">
        <is>
          <t>New level X1 · Associate Consultant. Current level on record: —. Change: • Same level.
Consultants sit outside the career ladder, at X1–X3 by the scope of their statement of work.</t>
        </is>
      </c>
      <c r="W192" s="12" t="inlineStr">
        <is>
          <r>
            <rPr>
              <rFont val="Calibri"/>
              <b val="1"/>
              <sz val="10"/>
            </rPr>
            <t>Not scored:</t>
          </r>
          <r>
            <rPr>
              <rFont val="Calibri"/>
              <sz val="10"/>
            </rPr>
            <t xml:space="preserve"> consultants sit outside the career ladder · X1–X3, by the scope of their statement of work.</t>
          </r>
        </is>
      </c>
      <c r="X192" s="12" t="inlineStr">
        <is>
          <r>
            <rPr>
              <rFont val="Calibri"/>
              <b val="1"/>
              <sz val="10"/>
            </rPr>
            <t>Consultant:</t>
          </r>
          <r>
            <rPr>
              <rFont val="Calibri"/>
              <sz val="10"/>
            </rPr>
            <t xml:space="preserve"> priced by rate card under the statement of work.</t>
          </r>
        </is>
      </c>
      <c r="Y192"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192" s="12" t="inlineStr">
        <is>
          <t>—</t>
        </is>
      </c>
      <c r="AA192" s="12" t="inlineStr">
        <is>
          <t>Nothing outstanding</t>
        </is>
      </c>
      <c r="AB192"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192" s="82" t="n"/>
      <c r="AD192" s="82" t="n"/>
      <c r="AE192" s="82" t="n"/>
      <c r="AF192" s="12" t="inlineStr">
        <is>
          <t>—</t>
        </is>
      </c>
    </row>
    <row r="193" ht="400" customHeight="1">
      <c r="A193" s="12" t="inlineStr">
        <is>
          <t>IRIS0362</t>
        </is>
      </c>
      <c r="B193" s="10" t="inlineStr">
        <is>
          <t>Rahul Dhamne</t>
        </is>
      </c>
      <c r="C193" s="12" t="inlineStr">
        <is>
          <t>XBRL Consulting</t>
        </is>
      </c>
      <c r="D193" s="12" t="inlineStr">
        <is>
          <t>Head Consulting</t>
        </is>
      </c>
      <c r="E193" s="78" t="inlineStr">
        <is>
          <t>Head – Consulting</t>
        </is>
      </c>
      <c r="F193" s="12" t="inlineStr">
        <is>
          <t>Consulting &amp; Professional Services</t>
        </is>
      </c>
      <c r="G193" s="12" t="inlineStr">
        <is>
          <t>Professional Services Leadership</t>
        </is>
      </c>
      <c r="H193" s="12" t="inlineStr">
        <is>
          <t>People Manager</t>
        </is>
      </c>
      <c r="I193" s="42" t="inlineStr">
        <is>
          <t>L7 – Head / Sr Director</t>
        </is>
      </c>
      <c r="J193" s="28" t="inlineStr">
        <is>
          <t>C2</t>
        </is>
      </c>
      <c r="K193" s="29" t="inlineStr">
        <is>
          <t>Head of Function</t>
        </is>
      </c>
      <c r="L193" s="87" t="inlineStr">
        <is>
          <t>• Same level</t>
        </is>
      </c>
      <c r="M193" s="12" t="inlineStr">
        <is>
          <t>iFile · XBRL Consulting · Band C · Head / Manager</t>
        </is>
      </c>
      <c r="N193" s="42" t="n">
        <v>8</v>
      </c>
      <c r="O193" s="42" t="n">
        <v>8</v>
      </c>
      <c r="P193" s="42" t="n">
        <v>7.5</v>
      </c>
      <c r="Q193" s="42" t="n">
        <v>7</v>
      </c>
      <c r="R193" s="42" t="n">
        <v>10</v>
      </c>
      <c r="S193" s="80" t="n">
        <v>7.5</v>
      </c>
      <c r="T193" s="81">
        <f>IF(OR($M193="",COUNT(N193,O193,P193,Q193,R193,S193)&lt;6),"",IFERROR(N193*INDEX(WM_C,MATCH($M193,WM_KEY,0))+O193*INDEX(WM_AU,MATCH($M193,WM_KEY,0))+P193*INDEX(WM_AC,MATCH($M193,WM_KEY,0))+Q193*INDEX(WM_L,MATCH($M193,WM_KEY,0))+R193*INDEX(WM_E,MATCH($M193,WM_KEY,0))+S193*INDEX(WM_BI,MATCH($M193,WM_KEY,0)),""))</f>
        <v>7.855</v>
      </c>
      <c r="U193" s="42" t="str">
        <f>IF(T193="","",INDEX({"A1","A2","A3","B1","B2","B3","C1","C2","D1","D2","E1","E2"},MAX(1,MIN(12,ROUND(T193,0)))))</f>
        <v>C2</v>
      </c>
      <c r="V193" s="12" t="inlineStr">
        <is>
          <r>
            <rPr>
              <rFont val="Calibri"/>
              <sz val="10"/>
            </rPr>
            <t xml:space="preserve">New level C2 · Head of Function. Current level on record: L7 – Head / Sr Director. Change: • Same level.
Score 7.85 on the ladder scale → indicated level C2.
</t>
          </r>
          <r>
            <rPr>
              <rFont val="Calibri"/>
              <b val="1"/>
              <sz val="10"/>
            </rPr>
            <t>Weights:</t>
          </r>
          <r>
            <rPr>
              <rFont val="Calibri"/>
              <sz val="10"/>
            </rPr>
            <t xml:space="preserve"> Complexity 43% · Autonomy 18% · Leadership 15% · Accountability 11%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3"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7.5 of 12 · between C1 and C2 — Start: 7.5 · head-of-function title; 15 direct reports, 35 people below, 3 of them lead teams; Evidence: no survey answers or KRAs on file → rating stays at the start
</t>
          </r>
          <r>
            <rPr>
              <rFont val="Calibri"/>
              <b val="1"/>
              <sz val="10"/>
            </rPr>
            <t>Leadership &amp; Strategy:</t>
          </r>
          <r>
            <rPr>
              <rFont val="Calibri"/>
              <sz val="10"/>
            </rPr>
            <t xml:space="preserve"> 7 of 12 — Start: 7.0; Evidence: no survey answers or KRAs on file → rating stays at the start; Team: 15 direct reports · People Manager
</t>
          </r>
          <r>
            <rPr>
              <rFont val="Calibri"/>
              <b val="1"/>
              <sz val="10"/>
            </rPr>
            <t>Experience &amp; Qualification:</t>
          </r>
          <r>
            <rPr>
              <rFont val="Calibri"/>
              <sz val="10"/>
            </rPr>
            <t xml:space="preserve"> 10 of 12 — Experience: 16.9 yrs total · 0.4 before IRIS + 16.5 at IRIS = 8.8 on the experience scale; Qualification: CA · professional, relevant to the work → +1.0
</t>
          </r>
          <r>
            <rPr>
              <rFont val="Calibri"/>
              <b val="1"/>
              <sz val="10"/>
            </rPr>
            <t>Business Impact:</t>
          </r>
          <r>
            <rPr>
              <rFont val="Calibri"/>
              <sz val="10"/>
            </rPr>
            <t xml:space="preserve"> 7.5 of 12 — a starting estimate. —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r>
        </is>
      </c>
      <c r="X193" s="12"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Big Four – Director
</t>
          </r>
          <r>
            <rPr>
              <rFont val="Calibri"/>
              <b val="1"/>
              <sz val="10"/>
            </rPr>
            <t>Standard:</t>
          </r>
          <r>
            <rPr>
              <rFont val="Calibri"/>
              <sz val="10"/>
            </rPr>
            <t xml:space="preserve"> XBRL US GAAP Certificate; XBRL International specifications</t>
          </r>
        </is>
      </c>
      <c r="Y193" s="12" t="inlineStr">
        <is>
          <r>
            <rPr>
              <rFont val="Calibri"/>
              <sz val="10"/>
            </rPr>
            <t xml:space="preserve">✓ HRIS: 16.9 yrs, CA, 15 direct reports
✗ Survey: no response
✗ KRAs: none on file
✓ Manager mapping: rating, 9-box
✗ Job description: not on file
</t>
          </r>
          <r>
            <rPr>
              <rFont val="Calibri"/>
              <b val="1"/>
              <sz val="10"/>
            </rPr>
            <t>Confidence:</t>
          </r>
          <r>
            <rPr>
              <rFont val="Calibri"/>
              <sz val="10"/>
            </rPr>
            <t xml:space="preserve"> Medium</t>
          </r>
        </is>
      </c>
      <c r="Z193" s="12" t="inlineStr">
        <is>
          <t>—</t>
        </is>
      </c>
      <c r="AA193" s="86" t="inlineStr">
        <is>
          <t>• Survey response or KRAs describing the work · nothing on file — Employee + manager</t>
        </is>
      </c>
      <c r="AB193" s="12"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7.5 of 12 · C2-level impact.
Leads 15 direct reports.
Manager talent mapping — Latest rating: Not rated · manager · 9-Box Grid placement: Not placed · manager.</t>
          </r>
        </is>
      </c>
      <c r="AC193" s="82" t="n"/>
      <c r="AD193" s="82" t="n"/>
      <c r="AE193" s="82" t="n"/>
      <c r="AF193" s="12" t="n">
        <v>7.5</v>
      </c>
    </row>
    <row r="194" ht="400" customHeight="1">
      <c r="A194" s="12" t="inlineStr">
        <is>
          <t>IRIS2306</t>
        </is>
      </c>
      <c r="B194" s="10" t="inlineStr">
        <is>
          <t>Akshay Jain</t>
        </is>
      </c>
      <c r="C194" s="12" t="inlineStr">
        <is>
          <t>XBRL Consulting</t>
        </is>
      </c>
      <c r="D194" s="12" t="inlineStr">
        <is>
          <t>Lead Consultant</t>
        </is>
      </c>
      <c r="E194" s="78" t="inlineStr">
        <is>
          <t>Senior Taxonomy Specialist</t>
        </is>
      </c>
      <c r="F194" s="12" t="inlineStr">
        <is>
          <t>Consulting &amp; Professional Services</t>
        </is>
      </c>
      <c r="G194" s="12" t="inlineStr">
        <is>
          <t>Taxonomy Design &amp; Regulatory Consulting</t>
        </is>
      </c>
      <c r="H194" s="12" t="inlineStr">
        <is>
          <t>IC</t>
        </is>
      </c>
      <c r="I194" s="42" t="inlineStr">
        <is>
          <t>L5 – Lead · IC</t>
        </is>
      </c>
      <c r="J194" s="20" t="inlineStr">
        <is>
          <t>B2</t>
        </is>
      </c>
      <c r="K194" s="21" t="inlineStr">
        <is>
          <t>Senior Specialist</t>
        </is>
      </c>
      <c r="L194" s="83" t="inlineStr">
        <is>
          <t>▼ Down · pay &amp; title protected</t>
        </is>
      </c>
      <c r="M194" s="12" t="inlineStr">
        <is>
          <t>iFile · XBRL Consulting · Band B · Expert / POD Lead</t>
        </is>
      </c>
      <c r="N194" s="42" t="n">
        <v>4.5</v>
      </c>
      <c r="O194" s="42" t="n">
        <v>4.5</v>
      </c>
      <c r="P194" s="42" t="n">
        <v>4.5</v>
      </c>
      <c r="Q194" s="42" t="n">
        <v>3.5</v>
      </c>
      <c r="R194" s="42" t="n">
        <v>8.5</v>
      </c>
      <c r="S194" s="80" t="n">
        <v>4.5</v>
      </c>
      <c r="T194" s="81">
        <f>IF(OR($M194="",COUNT(N194,O194,P194,Q194,R194,S194)&lt;6),"",IFERROR(N194*INDEX(WM_C,MATCH($M194,WM_KEY,0))+O194*INDEX(WM_AU,MATCH($M194,WM_KEY,0))+P194*INDEX(WM_AC,MATCH($M194,WM_KEY,0))+Q194*INDEX(WM_L,MATCH($M194,WM_KEY,0))+R194*INDEX(WM_E,MATCH($M194,WM_KEY,0))+S194*INDEX(WM_BI,MATCH($M194,WM_KEY,0)),""))</f>
        <v>4.85</v>
      </c>
      <c r="U194" s="42" t="str">
        <f>IF(T194="","",INDEX({"A1","A2","A3","B1","B2","B3","C1","C2","D1","D2","E1","E2"},MAX(1,MIN(12,ROUND(T194,0)))))</f>
        <v>B2</v>
      </c>
      <c r="V194" s="12" t="inlineStr">
        <is>
          <r>
            <rPr>
              <rFont val="Calibri"/>
              <sz val="10"/>
            </rPr>
            <t xml:space="preserve">New level B2 · Senior Specialist. Current level on record: L5 – Lead · IC. Change: ▼ Down · pay &amp; title protected.
Score 4.85 on the ladder scale → indicated level B2.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94" s="12" t="inlineStr">
        <is>
          <r>
            <rPr>
              <rFont val="Calibri"/>
              <b val="1"/>
              <sz val="10"/>
            </rPr>
            <t>Complexity &amp; Expertise:</t>
          </r>
          <r>
            <rPr>
              <rFont val="Calibri"/>
              <sz val="10"/>
            </rPr>
            <t xml:space="preserve"> 4.5 of 12 · between B1 and B2 — Start: 5.0 · manager / senior specialist title; Evidence reads like A3: Requirement gathering, data dictionary development, testing and R&amp;D; one-line answers → moved down 0.5; KRA: “1. Lead domain delivery for assigned iFILE implementations with &gt;=98% mapping accuracy, on schedule. 2. Own quality of assigned taxonomy…”
</t>
          </r>
          <r>
            <rPr>
              <rFont val="Calibri"/>
              <b val="1"/>
              <sz val="10"/>
            </rPr>
            <t>Autonomy &amp; Decision:</t>
          </r>
          <r>
            <rPr>
              <rFont val="Calibri"/>
              <sz val="10"/>
            </rPr>
            <t xml:space="preserve"> 4.5 of 12 · between B1 and B2 — Start: 5.0 · manager / senior specialist title; Evidence reads like A2: Decides the data dictionary; nothing wider described → moved down 0.5
</t>
          </r>
          <r>
            <rPr>
              <rFont val="Calibri"/>
              <b val="1"/>
              <sz val="10"/>
            </rPr>
            <t>Accountability &amp; Impact:</t>
          </r>
          <r>
            <rPr>
              <rFont val="Calibri"/>
              <sz val="10"/>
            </rPr>
            <t xml:space="preserve"> 4.5 of 12 · between B1 and B2 — Start: 5.0 · manager / senior specialist title; Evidence reads like A2: Accountable for the data dictionary; errors mean rework and escalation → moved down 0.5; KRA: “1. Lead domain delivery for assigned iFILE implementations with &gt;=98% mapping accuracy, on schedule. 2. Own quality of assigned taxonomy…”
</t>
          </r>
          <r>
            <rPr>
              <rFont val="Calibri"/>
              <b val="1"/>
              <sz val="10"/>
            </rPr>
            <t>Leadership &amp; Strategy:</t>
          </r>
          <r>
            <rPr>
              <rFont val="Calibri"/>
              <sz val="10"/>
            </rPr>
            <t xml:space="preserve"> 3.5 of 12 · between A3 and B1 — Start: 4.0 · individual contributor, so influence only; Evidence reads like A1: No leading, mentoring or team described despite Lead title → moved down 0.5; Team: 0 direct reports · IC
</t>
          </r>
          <r>
            <rPr>
              <rFont val="Calibri"/>
              <b val="1"/>
              <sz val="10"/>
            </rPr>
            <t>Experience &amp; Qualification:</t>
          </r>
          <r>
            <rPr>
              <rFont val="Calibri"/>
              <sz val="10"/>
            </rPr>
            <t xml:space="preserve"> 8.5 of 12 · between C2 and D1 — Experience: 13.8 yrs total · 11.8 before IRIS + 2.0 at IRIS = 7.7 on the experience scale; Qualification: CWA · professional, relevant to the work → +1.0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94" s="12" t="inlineStr">
        <is>
          <r>
            <rPr>
              <rFont val="Calibri"/>
              <b val="1"/>
              <sz val="10"/>
            </rPr>
            <t>Market level:</t>
          </r>
          <r>
            <rPr>
              <rFont val="Calibri"/>
              <sz val="10"/>
            </rPr>
            <t xml:space="preserve"> P4 / M3 · SFIA 4–5
</t>
          </r>
          <r>
            <rPr>
              <rFont val="Calibri"/>
              <b val="1"/>
              <sz val="10"/>
            </rPr>
            <t>Typical title:</t>
          </r>
          <r>
            <rPr>
              <rFont val="Calibri"/>
              <sz val="10"/>
            </rPr>
            <t xml:space="preserve"> Senior Consultant / Team Lead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194" s="12" t="inlineStr">
        <is>
          <r>
            <rPr>
              <rFont val="Calibri"/>
              <sz val="10"/>
            </rPr>
            <t xml:space="preserve">✓ HRIS: 13.8 yrs, CWA, 0 direct reports
✓ Survey: 14 of 20 questions answered
✓ KRAs: manager-set, quarterly
✓ Manager mapping: rating, potential, 9-box
✗ Job description: not on file
</t>
          </r>
          <r>
            <rPr>
              <rFont val="Calibri"/>
              <b val="1"/>
              <sz val="10"/>
            </rPr>
            <t>Confidence:</t>
          </r>
          <r>
            <rPr>
              <rFont val="Calibri"/>
              <sz val="10"/>
            </rPr>
            <t xml:space="preserve"> Medium</t>
          </r>
        </is>
      </c>
      <c r="Z194"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194" s="12" t="inlineStr">
        <is>
          <t>Nothing outstanding</t>
        </is>
      </c>
      <c r="AB194"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successor named: yes.
</t>
          </r>
          <r>
            <rPr>
              <rFont val="Calibri"/>
              <b val="1"/>
              <sz val="10"/>
            </rPr>
            <t>Measured on · manager-set KRA themes:</t>
          </r>
          <r>
            <rPr>
              <rFont val="Calibri"/>
              <sz val="10"/>
            </rPr>
            <t xml:space="preserve"> ifile business · analyst contribute · resolve · domain delivery · serve analyst · milestones on-time.
Manager talent mapping — Latest rating: 4 · Potential: High · 9-Box Grid placement: Future Leader.</t>
          </r>
        </is>
      </c>
      <c r="AC194" s="82" t="n"/>
      <c r="AD194" s="82" t="n"/>
      <c r="AE194" s="82" t="n"/>
      <c r="AF194" s="12" t="n">
        <v>4.5</v>
      </c>
    </row>
    <row r="195" ht="400" customHeight="1">
      <c r="A195" s="12" t="inlineStr">
        <is>
          <t>IRIS0448</t>
        </is>
      </c>
      <c r="B195" s="10" t="inlineStr">
        <is>
          <t>Kulanand Rupani</t>
        </is>
      </c>
      <c r="C195" s="12" t="inlineStr">
        <is>
          <t>XBRL Consulting</t>
        </is>
      </c>
      <c r="D195" s="12" t="inlineStr">
        <is>
          <t>Consultant</t>
        </is>
      </c>
      <c r="E195" s="78" t="inlineStr">
        <is>
          <t>Senior Taxonomy Specialist</t>
        </is>
      </c>
      <c r="F195" s="12" t="inlineStr">
        <is>
          <t>Consulting &amp; Professional Services</t>
        </is>
      </c>
      <c r="G195" s="12" t="inlineStr">
        <is>
          <t>Taxonomy Design &amp; Regulatory Consulting</t>
        </is>
      </c>
      <c r="H195" s="12" t="inlineStr">
        <is>
          <t>IC</t>
        </is>
      </c>
      <c r="I195" s="42" t="inlineStr">
        <is>
          <t>L3 – Professional / Associate</t>
        </is>
      </c>
      <c r="J195" s="20" t="inlineStr">
        <is>
          <t>B2</t>
        </is>
      </c>
      <c r="K195" s="21" t="inlineStr">
        <is>
          <t>Senior Specialist</t>
        </is>
      </c>
      <c r="L195" s="79" t="inlineStr">
        <is>
          <t>▲ Up</t>
        </is>
      </c>
      <c r="M195" s="12" t="inlineStr">
        <is>
          <t>iFile · XBRL Consulting · Band B · Expert / POD Lead</t>
        </is>
      </c>
      <c r="N195" s="42" t="n">
        <v>4</v>
      </c>
      <c r="O195" s="42" t="n">
        <v>4</v>
      </c>
      <c r="P195" s="42" t="n">
        <v>4</v>
      </c>
      <c r="Q195" s="42" t="n">
        <v>3</v>
      </c>
      <c r="R195" s="42" t="n">
        <v>9.5</v>
      </c>
      <c r="S195" s="80" t="n">
        <v>4</v>
      </c>
      <c r="T195" s="81">
        <f>IF(OR($M195="",COUNT(N195,O195,P195,Q195,R195,S195)&lt;6),"",IFERROR(N195*INDEX(WM_C,MATCH($M195,WM_KEY,0))+O195*INDEX(WM_AU,MATCH($M195,WM_KEY,0))+P195*INDEX(WM_AC,MATCH($M195,WM_KEY,0))+Q195*INDEX(WM_L,MATCH($M195,WM_KEY,0))+R195*INDEX(WM_E,MATCH($M195,WM_KEY,0))+S195*INDEX(WM_BI,MATCH($M195,WM_KEY,0)),""))</f>
        <v>4.5</v>
      </c>
      <c r="U195" s="42" t="str">
        <f>IF(T195="","",INDEX({"A1","A2","A3","B1","B2","B3","C1","C2","D1","D2","E1","E2"},MAX(1,MIN(12,ROUND(T195,0)))))</f>
        <v>B2</v>
      </c>
      <c r="V195" s="12" t="inlineStr">
        <is>
          <r>
            <rPr>
              <rFont val="Calibri"/>
              <sz val="10"/>
            </rPr>
            <t xml:space="preserve">New level B2 · Senior Specialist. Current level on record: L3 – Professional / Associate. Change: ▲ Up.
Score 4.50 on the ladder scale → indicated level B2.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5" s="12" t="inlineStr">
        <is>
          <r>
            <rPr>
              <rFont val="Calibri"/>
              <b val="1"/>
              <sz val="10"/>
            </rPr>
            <t>Complexity &amp; Expertise:</t>
          </r>
          <r>
            <rPr>
              <rFont val="Calibri"/>
              <sz val="10"/>
            </rPr>
            <t xml:space="preserve"> 4 of 12 — Start: 3.0 · senior practitioner title; Evidence reads like B2: Leads RBI CIMS taxonomy: new returns, change requests, modelling, validation, technical problem-solving → moved up 1; KRA: “1. Lead domain delivery for assigned iFILE implementations with &gt;=98% mapping accuracy, on schedule. 2. Own quality of assigned taxonomy…”
</t>
          </r>
          <r>
            <rPr>
              <rFont val="Calibri"/>
              <b val="1"/>
              <sz val="10"/>
            </rPr>
            <t>Autonomy &amp; Decision:</t>
          </r>
          <r>
            <rPr>
              <rFont val="Calibri"/>
              <sz val="10"/>
            </rPr>
            <t xml:space="preserve"> 4 of 12 — Start: 3.0 · senior practitioner title; Evidence reads like B2: Plans and prioritises taxonomy work, assigns work within team, makes technical and implementation decisions → moved up 1
</t>
          </r>
          <r>
            <rPr>
              <rFont val="Calibri"/>
              <b val="1"/>
              <sz val="10"/>
            </rPr>
            <t>Accountability &amp; Impact:</t>
          </r>
          <r>
            <rPr>
              <rFont val="Calibri"/>
              <sz val="10"/>
            </rPr>
            <t xml:space="preserve"> 4 of 12 — Start: 3.0 · senior practitioner title; Evidence reads like B2: Personally accountable for overall delivery of RBI CIMS taxonomy returns and change requests → moved up 1; KRA: “1. Lead domain delivery for assigned iFILE implementations with &gt;=98% mapping accuracy, on schedule. 2. Own quality of assigned taxonomy…”
</t>
          </r>
          <r>
            <rPr>
              <rFont val="Calibri"/>
              <b val="1"/>
              <sz val="10"/>
            </rPr>
            <t>Leadership &amp; Strategy:</t>
          </r>
          <r>
            <rPr>
              <rFont val="Calibri"/>
              <sz val="10"/>
            </rPr>
            <t xml:space="preserve"> 3 of 12 — Start: 2.0 · individual contributor, so influence only; Evidence reads like B1: Leads the taxonomy team and assigns its work; no formal reports in HR data → moved up 1; Team: 0 direct reports · IC
</t>
          </r>
          <r>
            <rPr>
              <rFont val="Calibri"/>
              <b val="1"/>
              <sz val="10"/>
            </rPr>
            <t>Experience &amp; Qualification:</t>
          </r>
          <r>
            <rPr>
              <rFont val="Calibri"/>
              <sz val="10"/>
            </rPr>
            <t xml:space="preserve"> 9.5 of 12 · between D1 and D2 — Experience: 16.2 yrs total · 16.2 at IRIS; none recorded before IRIS = 8.6 on the experience scale; Qualification: ICWA · professional, relevant to the work → +1.0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95" s="12" t="inlineStr">
        <is>
          <r>
            <rPr>
              <rFont val="Calibri"/>
              <b val="1"/>
              <sz val="10"/>
            </rPr>
            <t>Market level:</t>
          </r>
          <r>
            <rPr>
              <rFont val="Calibri"/>
              <sz val="10"/>
            </rPr>
            <t xml:space="preserve"> P4 / M3 · SFIA 4–5
</t>
          </r>
          <r>
            <rPr>
              <rFont val="Calibri"/>
              <b val="1"/>
              <sz val="10"/>
            </rPr>
            <t>Typical title:</t>
          </r>
          <r>
            <rPr>
              <rFont val="Calibri"/>
              <sz val="10"/>
            </rPr>
            <t xml:space="preserve"> Senior Consultant / Team Lead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195" s="12" t="inlineStr">
        <is>
          <r>
            <rPr>
              <rFont val="Calibri"/>
              <sz val="10"/>
            </rPr>
            <t xml:space="preserve">✓ HRIS: 16.2 yrs, ICWA,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95" s="84" t="inlineStr">
        <is>
          <r>
            <rPr>
              <rFont val="Calibri"/>
              <color rgb="009C5700"/>
              <sz val="10"/>
            </rPr>
            <t xml:space="preserve">• </t>
          </r>
          <r>
            <rPr>
              <rFont val="Calibri"/>
              <b val="1"/>
              <color rgb="009C5700"/>
              <sz val="10"/>
            </rPr>
            <t>Close call:</t>
          </r>
          <r>
            <rPr>
              <rFont val="Calibri"/>
              <color rgb="009C5700"/>
              <sz val="10"/>
            </rPr>
            <t xml:space="preserve"> score 4.50 is within 0.05 of a rounding point</t>
          </r>
        </is>
      </c>
      <c r="AA195" s="86" t="inlineStr">
        <is>
          <t>• Confirm the reporting line — Manager</t>
        </is>
      </c>
      <c r="AB195"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From the survey and manager mapping — successor named: yes.
</t>
          </r>
          <r>
            <rPr>
              <rFont val="Calibri"/>
              <b val="1"/>
              <sz val="10"/>
            </rPr>
            <t>Measured on · manager-set KRA themes:</t>
          </r>
          <r>
            <rPr>
              <rFont val="Calibri"/>
              <sz val="10"/>
            </rPr>
            <t xml:space="preserve"> ifile business · analyst contribute · resolve · domain delivery · serve analyst · milestones on-time.
Manager talent mapping — Latest rating: 3 · Potential: Medium · 9-Box Grid placement: Trusted Professional.</t>
          </r>
        </is>
      </c>
      <c r="AC195" s="82" t="n"/>
      <c r="AD195" s="82" t="n"/>
      <c r="AE195" s="82" t="n"/>
      <c r="AF195" s="12" t="n">
        <v>4</v>
      </c>
    </row>
    <row r="196" ht="400" customHeight="1">
      <c r="A196" s="12" t="inlineStr">
        <is>
          <t>IRIS1035</t>
        </is>
      </c>
      <c r="B196" s="10" t="inlineStr">
        <is>
          <t>Shraddha Bagul</t>
        </is>
      </c>
      <c r="C196" s="12" t="inlineStr">
        <is>
          <t>XBRL Consulting</t>
        </is>
      </c>
      <c r="D196" s="12" t="inlineStr">
        <is>
          <t>Lead Consultant</t>
        </is>
      </c>
      <c r="E196" s="78" t="inlineStr">
        <is>
          <t>Senior Manager – Taxonomy Consulting</t>
        </is>
      </c>
      <c r="F196" s="12" t="inlineStr">
        <is>
          <t>Consulting &amp; Professional Services</t>
        </is>
      </c>
      <c r="G196" s="12" t="inlineStr">
        <is>
          <t>Taxonomy Design &amp; Regulatory Consulting</t>
        </is>
      </c>
      <c r="H196" s="12" t="inlineStr">
        <is>
          <t>People Manager</t>
        </is>
      </c>
      <c r="I196" s="42" t="inlineStr">
        <is>
          <t>L5 – Lead · IC</t>
        </is>
      </c>
      <c r="J196" s="20" t="inlineStr">
        <is>
          <t>B2</t>
        </is>
      </c>
      <c r="K196" s="21" t="inlineStr">
        <is>
          <t>Manager</t>
        </is>
      </c>
      <c r="L196" s="87" t="inlineStr">
        <is>
          <t>• Same level</t>
        </is>
      </c>
      <c r="M196" s="12" t="inlineStr">
        <is>
          <t>iFile · XBRL Consulting · Band B · People Manager</t>
        </is>
      </c>
      <c r="N196" s="42" t="n">
        <v>5</v>
      </c>
      <c r="O196" s="42" t="n">
        <v>5</v>
      </c>
      <c r="P196" s="42" t="n">
        <v>5</v>
      </c>
      <c r="Q196" s="42" t="n">
        <v>5</v>
      </c>
      <c r="R196" s="42" t="n">
        <v>9</v>
      </c>
      <c r="S196" s="80" t="n">
        <v>5</v>
      </c>
      <c r="T196" s="81">
        <f>IF(OR($M196="",COUNT(N196,O196,P196,Q196,R196,S196)&lt;6),"",IFERROR(N196*INDEX(WM_C,MATCH($M196,WM_KEY,0))+O196*INDEX(WM_AU,MATCH($M196,WM_KEY,0))+P196*INDEX(WM_AC,MATCH($M196,WM_KEY,0))+Q196*INDEX(WM_L,MATCH($M196,WM_KEY,0))+R196*INDEX(WM_E,MATCH($M196,WM_KEY,0))+S196*INDEX(WM_BI,MATCH($M196,WM_KEY,0)),""))</f>
        <v>5.4</v>
      </c>
      <c r="U196" s="42" t="str">
        <f>IF(T196="","",INDEX({"A1","A2","A3","B1","B2","B3","C1","C2","D1","D2","E1","E2"},MAX(1,MIN(12,ROUND(T196,0)))))</f>
        <v>B2</v>
      </c>
      <c r="V196" s="12" t="inlineStr">
        <is>
          <r>
            <rPr>
              <rFont val="Calibri"/>
              <sz val="10"/>
            </rPr>
            <t xml:space="preserve">New level B2 · Manager. Current level on record: L5 – Lead · IC. Change: • Same level.
Score 5.40 on the ladder scale → indicated level B2.
</t>
          </r>
          <r>
            <rPr>
              <rFont val="Calibri"/>
              <b val="1"/>
              <sz val="10"/>
            </rPr>
            <t>Weights:</t>
          </r>
          <r>
            <rPr>
              <rFont val="Calibri"/>
              <sz val="10"/>
            </rPr>
            <t xml:space="preserve"> Complexity 37% · Autonomy 18%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6" s="12" t="inlineStr">
        <is>
          <r>
            <rPr>
              <rFont val="Calibri"/>
              <b val="1"/>
              <sz val="10"/>
            </rPr>
            <t>Complexity &amp; Expertise:</t>
          </r>
          <r>
            <rPr>
              <rFont val="Calibri"/>
              <sz val="10"/>
            </rPr>
            <t xml:space="preserve"> 5 of 12 — Start: 5.0 · manager / senior specialist title; Evidence reads like B2: own survey / KRA answers · summarised by the rater; not quoted → matches the start; KRA: “1. Lead domain delivery for assigned iFILE implementations with &gt;=98% mapping accuracy, on schedule. 2. Own quality of assigned taxonomy…”
</t>
          </r>
          <r>
            <rPr>
              <rFont val="Calibri"/>
              <b val="1"/>
              <sz val="10"/>
            </rPr>
            <t>Autonomy &amp; Decision:</t>
          </r>
          <r>
            <rPr>
              <rFont val="Calibri"/>
              <sz val="10"/>
            </rPr>
            <t xml:space="preserve"> 5 of 12 — Start: 5.0 · manager / senior specialist title; Evidence reads like B2: Decides project and resource plans and taxonomy modelling → matches the start
</t>
          </r>
          <r>
            <rPr>
              <rFont val="Calibri"/>
              <b val="1"/>
              <sz val="10"/>
            </rPr>
            <t>Accountability &amp; Impact:</t>
          </r>
          <r>
            <rPr>
              <rFont val="Calibri"/>
              <sz val="10"/>
            </rPr>
            <t xml:space="preserve"> 5 of 12 — Start: 5.0 · manager / senior specialist title; 13 direct reports; Evidence reads like B2: Taxonomy packages, RFP responses and on-time project delivery through a 13-person team → matches the start; KRA: “1. Lead domain delivery for assigned iFILE implementations with &gt;=98% mapping accuracy, on schedule. 2. Own quality of assigned taxonomy…”
</t>
          </r>
          <r>
            <rPr>
              <rFont val="Calibri"/>
              <b val="1"/>
              <sz val="10"/>
            </rPr>
            <t>Leadership &amp; Strategy:</t>
          </r>
          <r>
            <rPr>
              <rFont val="Calibri"/>
              <sz val="10"/>
            </rPr>
            <t xml:space="preserve"> 5 of 12 — Start: 5.0; Evidence reads like B2: 13 direct reports; resource planning and training team members → matches the start; Team: 13 direct reports · People Manager
</t>
          </r>
          <r>
            <rPr>
              <rFont val="Calibri"/>
              <b val="1"/>
              <sz val="10"/>
            </rPr>
            <t>Experience &amp; Qualification:</t>
          </r>
          <r>
            <rPr>
              <rFont val="Calibri"/>
              <sz val="10"/>
            </rPr>
            <t xml:space="preserve"> 9 of 12 — Experience: 14.8 yrs total · 14.8 at IRIS; none recorded before IRIS = 8.1 on the experience scale; Qualification: CA · professional, relevant to the work → +1.0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196"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196" s="12" t="inlineStr">
        <is>
          <r>
            <rPr>
              <rFont val="Calibri"/>
              <sz val="10"/>
            </rPr>
            <t xml:space="preserve">✓ HRIS: 14.8 yrs, CA, 13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96" s="12" t="inlineStr">
        <is>
          <t>—</t>
        </is>
      </c>
      <c r="AA196" s="12" t="inlineStr">
        <is>
          <t>Nothing outstanding</t>
        </is>
      </c>
      <c r="AB19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13 direct reports.
From the survey and manager mapping —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ifile business · analyst contribute · resolve · domain delivery · serve analyst · milestones on-time.
Manager talent mapping — Latest rating: 5 · Potential: High · 9-Box Grid placement: Future Leader.</t>
          </r>
        </is>
      </c>
      <c r="AC196" s="82" t="n"/>
      <c r="AD196" s="82" t="n"/>
      <c r="AE196" s="82" t="n"/>
      <c r="AF196" s="12" t="n">
        <v>5</v>
      </c>
    </row>
    <row r="197" ht="400" customHeight="1">
      <c r="A197" s="12" t="inlineStr">
        <is>
          <t>IRIS1618</t>
        </is>
      </c>
      <c r="B197" s="10" t="inlineStr">
        <is>
          <t>Sujeet Rathod</t>
        </is>
      </c>
      <c r="C197" s="12" t="inlineStr">
        <is>
          <t>XBRL Consulting</t>
        </is>
      </c>
      <c r="D197" s="12" t="inlineStr">
        <is>
          <t>Lead Consultant</t>
        </is>
      </c>
      <c r="E197" s="78" t="inlineStr">
        <is>
          <t>Manager – Taxonomy Consulting</t>
        </is>
      </c>
      <c r="F197" s="12" t="inlineStr">
        <is>
          <t>Consulting &amp; Professional Services</t>
        </is>
      </c>
      <c r="G197" s="12" t="inlineStr">
        <is>
          <t>Taxonomy Design &amp; Regulatory Consulting</t>
        </is>
      </c>
      <c r="H197" s="12" t="inlineStr">
        <is>
          <t>People Manager</t>
        </is>
      </c>
      <c r="I197" s="42" t="inlineStr">
        <is>
          <t>L5 – Lead · IC</t>
        </is>
      </c>
      <c r="J197" s="20" t="inlineStr">
        <is>
          <t>B2</t>
        </is>
      </c>
      <c r="K197" s="21" t="inlineStr">
        <is>
          <t>Manager</t>
        </is>
      </c>
      <c r="L197" s="83" t="inlineStr">
        <is>
          <t>▼ Down · pay &amp; title protected</t>
        </is>
      </c>
      <c r="M197" s="12" t="inlineStr">
        <is>
          <t>iFile · XBRL Consulting · Band B · People Manager</t>
        </is>
      </c>
      <c r="N197" s="42" t="n">
        <v>4.5</v>
      </c>
      <c r="O197" s="42" t="n">
        <v>4.5</v>
      </c>
      <c r="P197" s="42" t="n">
        <v>4</v>
      </c>
      <c r="Q197" s="42" t="n">
        <v>4</v>
      </c>
      <c r="R197" s="42" t="n">
        <v>9</v>
      </c>
      <c r="S197" s="80" t="n">
        <v>4.5</v>
      </c>
      <c r="T197" s="81">
        <f>IF(OR($M197="",COUNT(N197,O197,P197,Q197,R197,S197)&lt;6),"",IFERROR(N197*INDEX(WM_C,MATCH($M197,WM_KEY,0))+O197*INDEX(WM_AU,MATCH($M197,WM_KEY,0))+P197*INDEX(WM_AC,MATCH($M197,WM_KEY,0))+Q197*INDEX(WM_L,MATCH($M197,WM_KEY,0))+R197*INDEX(WM_E,MATCH($M197,WM_KEY,0))+S197*INDEX(WM_BI,MATCH($M197,WM_KEY,0)),""))</f>
        <v>4.82</v>
      </c>
      <c r="U197" s="42" t="str">
        <f>IF(T197="","",INDEX({"A1","A2","A3","B1","B2","B3","C1","C2","D1","D2","E1","E2"},MAX(1,MIN(12,ROUND(T197,0)))))</f>
        <v>B2</v>
      </c>
      <c r="V197" s="12" t="inlineStr">
        <is>
          <r>
            <rPr>
              <rFont val="Calibri"/>
              <sz val="10"/>
            </rPr>
            <t xml:space="preserve">New level B2 · Manager. Current level on record: L5 – Lead · IC. Change: ▼ Down · pay &amp; title protected.
Score 4.82 on the ladder scale → indicated level B2.
</t>
          </r>
          <r>
            <rPr>
              <rFont val="Calibri"/>
              <b val="1"/>
              <sz val="10"/>
            </rPr>
            <t>Weights:</t>
          </r>
          <r>
            <rPr>
              <rFont val="Calibri"/>
              <sz val="10"/>
            </rPr>
            <t xml:space="preserve"> Complexity 37% · Autonomy 18%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97" s="12" t="inlineStr">
        <is>
          <r>
            <rPr>
              <rFont val="Calibri"/>
              <b val="1"/>
              <sz val="10"/>
            </rPr>
            <t>Complexity &amp; Expertise:</t>
          </r>
          <r>
            <rPr>
              <rFont val="Calibri"/>
              <sz val="10"/>
            </rPr>
            <t xml:space="preserve"> 4.5 of 12 · between B1 and B2 — Start: 5.0 · manager / senior specialist title; Evidence reads like B1: Decides taxonomy architecture; XBRL and financial expertise; client training. Very brief answers → moved down 0.5; KRA: “1. Lead domain delivery for assigned iFILE implementations with &gt;=98% mapping accuracy, on schedule. 2. Own quality of assigned taxonomy…”
</t>
          </r>
          <r>
            <rPr>
              <rFont val="Calibri"/>
              <b val="1"/>
              <sz val="10"/>
            </rPr>
            <t>Autonomy &amp; Decision:</t>
          </r>
          <r>
            <rPr>
              <rFont val="Calibri"/>
              <sz val="10"/>
            </rPr>
            <t xml:space="preserve"> 4.5 of 12 · between B1 and B2 — Start: 5.0 · manager / senior specialist title; Evidence reads like B1: Taxonomy architecture decided independently for projects delivered by the team → moved down 0.5
</t>
          </r>
          <r>
            <rPr>
              <rFont val="Calibri"/>
              <b val="1"/>
              <sz val="10"/>
            </rPr>
            <t>Accountability &amp; Impact:</t>
          </r>
          <r>
            <rPr>
              <rFont val="Calibri"/>
              <sz val="10"/>
            </rPr>
            <t xml:space="preserve"> 4 of 12 — Start: 4.5 · manager / senior specialist title; 5 direct reports; Evidence reads like B1: Project deliverables and taxonomy accuracy with a 5-person team; handles client escalations → moved down 0.5; KRA: “1. Lead domain delivery for assigned iFILE implementations with &gt;=98% mapping accuracy, on schedule. 2. Own quality of assigned taxonomy…”
</t>
          </r>
          <r>
            <rPr>
              <rFont val="Calibri"/>
              <b val="1"/>
              <sz val="10"/>
            </rPr>
            <t>Leadership &amp; Strategy:</t>
          </r>
          <r>
            <rPr>
              <rFont val="Calibri"/>
              <sz val="10"/>
            </rPr>
            <t xml:space="preserve"> 4 of 12 — Start: 4.0; Evidence reads like B1: Team management listed; 5 direct reports → matches the start; Team: 5 direct reports · People Manager
</t>
          </r>
          <r>
            <rPr>
              <rFont val="Calibri"/>
              <b val="1"/>
              <sz val="10"/>
            </rPr>
            <t>Experience &amp; Qualification:</t>
          </r>
          <r>
            <rPr>
              <rFont val="Calibri"/>
              <sz val="10"/>
            </rPr>
            <t xml:space="preserve"> 9 of 12 — Experience: 14.6 yrs total · 5.0 before IRIS + 9.6 at IRIS = 8.0 on the experience scale; Qualification: ICWA · professional, relevant to the work → +1.0
</t>
          </r>
          <r>
            <rPr>
              <rFont val="Calibri"/>
              <b val="1"/>
              <sz val="10"/>
            </rPr>
            <t>Business Impact:</t>
          </r>
          <r>
            <rPr>
              <rFont val="Calibri"/>
              <sz val="10"/>
            </rPr>
            <t xml:space="preserve"> 4.5 of 12 — a starting estimate. — Start: 4,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97"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197" s="12" t="inlineStr">
        <is>
          <r>
            <rPr>
              <rFont val="Calibri"/>
              <sz val="10"/>
            </rPr>
            <t xml:space="preserve">✓ HRIS: 14.6 yrs, ICWA, 5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97" s="84" t="inlineStr">
        <is>
          <r>
            <rPr>
              <rFont val="Calibri"/>
              <color rgb="009C5700"/>
              <sz val="10"/>
            </rPr>
            <t xml:space="preserve">• </t>
          </r>
          <r>
            <rPr>
              <rFont val="Calibri"/>
              <b val="1"/>
              <color rgb="009C5700"/>
              <sz val="10"/>
            </rPr>
            <t>Moves down:</t>
          </r>
          <r>
            <rPr>
              <rFont val="Calibri"/>
              <color rgb="009C5700"/>
              <sz val="10"/>
            </rPr>
            <t xml:space="preserve"> protected for one cycle</t>
          </r>
        </is>
      </c>
      <c r="AA197" s="12" t="inlineStr">
        <is>
          <t>Nothing outstanding</t>
        </is>
      </c>
      <c r="AB19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5 direct reports.
From the survey and manager mapping — work only this person does: yes;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ifile business · analyst contribute · resolve · domain delivery · serve analyst · milestones on-time.
Manager talent mapping — Latest rating: 5 · Potential: High · 9-Box Grid placement: Future Leader.</t>
          </r>
        </is>
      </c>
      <c r="AC197" s="82" t="n"/>
      <c r="AD197" s="82" t="n"/>
      <c r="AE197" s="82" t="n"/>
      <c r="AF197" s="12" t="n">
        <v>4.5</v>
      </c>
    </row>
    <row r="198" ht="400" customHeight="1">
      <c r="A198" s="12" t="inlineStr">
        <is>
          <t>IRIS1063</t>
        </is>
      </c>
      <c r="B198" s="10" t="inlineStr">
        <is>
          <t>Vishram Modak</t>
        </is>
      </c>
      <c r="C198" s="12" t="inlineStr">
        <is>
          <t>XBRL Consulting</t>
        </is>
      </c>
      <c r="D198" s="12" t="inlineStr">
        <is>
          <t>Senior consultant</t>
        </is>
      </c>
      <c r="E198" s="78" t="inlineStr">
        <is>
          <t>Senior Taxonomy Specialist</t>
        </is>
      </c>
      <c r="F198" s="12" t="inlineStr">
        <is>
          <t>Consulting &amp; Professional Services</t>
        </is>
      </c>
      <c r="G198" s="12" t="inlineStr">
        <is>
          <t>Taxonomy Design &amp; Regulatory Consulting</t>
        </is>
      </c>
      <c r="H198" s="12" t="inlineStr">
        <is>
          <t>IC</t>
        </is>
      </c>
      <c r="I198" s="42" t="inlineStr">
        <is>
          <t>L4 – Senior</t>
        </is>
      </c>
      <c r="J198" s="20" t="inlineStr">
        <is>
          <t>B2</t>
        </is>
      </c>
      <c r="K198" s="21" t="inlineStr">
        <is>
          <t>Senior Specialist</t>
        </is>
      </c>
      <c r="L198" s="79" t="inlineStr">
        <is>
          <t>▲ Up</t>
        </is>
      </c>
      <c r="M198" s="12" t="inlineStr">
        <is>
          <t>iFile · XBRL Consulting · Band B · Expert / POD Lead</t>
        </is>
      </c>
      <c r="N198" s="42" t="n">
        <v>4.5</v>
      </c>
      <c r="O198" s="42" t="n">
        <v>4.5</v>
      </c>
      <c r="P198" s="42" t="n">
        <v>4.5</v>
      </c>
      <c r="Q198" s="42" t="n">
        <v>3.5</v>
      </c>
      <c r="R198" s="42" t="n">
        <v>11.5</v>
      </c>
      <c r="S198" s="80" t="n">
        <v>4.5</v>
      </c>
      <c r="T198" s="81">
        <f>IF(OR($M198="",COUNT(N198,O198,P198,Q198,R198,S198)&lt;6),"",IFERROR(N198*INDEX(WM_C,MATCH($M198,WM_KEY,0))+O198*INDEX(WM_AU,MATCH($M198,WM_KEY,0))+P198*INDEX(WM_AC,MATCH($M198,WM_KEY,0))+Q198*INDEX(WM_L,MATCH($M198,WM_KEY,0))+R198*INDEX(WM_E,MATCH($M198,WM_KEY,0))+S198*INDEX(WM_BI,MATCH($M198,WM_KEY,0)),""))</f>
        <v>5.15</v>
      </c>
      <c r="U198" s="42" t="str">
        <f>IF(T198="","",INDEX({"A1","A2","A3","B1","B2","B3","C1","C2","D1","D2","E1","E2"},MAX(1,MIN(12,ROUND(T198,0)))))</f>
        <v>B2</v>
      </c>
      <c r="V198" s="12" t="inlineStr">
        <is>
          <r>
            <rPr>
              <rFont val="Calibri"/>
              <sz val="10"/>
            </rPr>
            <t xml:space="preserve">New level B2 · Senior Specialist. Current level on record: L4 – Senior. Change: ▲ Up.
Score 5.15 on the ladder scale → indicated level B2.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8" s="12" t="inlineStr">
        <is>
          <r>
            <rPr>
              <rFont val="Calibri"/>
              <b val="1"/>
              <sz val="10"/>
            </rPr>
            <t>Complexity &amp; Expertise:</t>
          </r>
          <r>
            <rPr>
              <rFont val="Calibri"/>
              <sz val="10"/>
            </rPr>
            <t xml:space="preserve"> 4.5 of 12 · between B1 and B2 — Start: 5.0 · manager / senior specialist title; Evidence reads like A3: Develops XBRL taxonomy sets, supports reporting tool, client clarifications and research; abstract wording → moved down 0.5; KRA: “1. Lead domain delivery for assigned iFILE implementations with &gt;=98% mapping accuracy, on schedule. 2. Own quality of assigned taxonomy…”
</t>
          </r>
          <r>
            <rPr>
              <rFont val="Calibri"/>
              <b val="1"/>
              <sz val="10"/>
            </rPr>
            <t>Autonomy &amp; Decision:</t>
          </r>
          <r>
            <rPr>
              <rFont val="Calibri"/>
              <sz val="10"/>
            </rPr>
            <t xml:space="preserve"> 4.5 of 12 · between B1 and B2 — Start: 5.0 · manager / senior specialist title; Evidence reads like A3: Decides taxonomy set, research and client interaction independently → moved down 0.5
</t>
          </r>
          <r>
            <rPr>
              <rFont val="Calibri"/>
              <b val="1"/>
              <sz val="10"/>
            </rPr>
            <t>Accountability &amp; Impact:</t>
          </r>
          <r>
            <rPr>
              <rFont val="Calibri"/>
              <sz val="10"/>
            </rPr>
            <t xml:space="preserve"> 4.5 of 12 · between B1 and B2 — Start: 5.0 · manager / senior specialist title; Evidence reads like A3: Taxonomy set and reporting tool serving regulator's purpose; project failure and reputation risk → moved down 0.5; KRA: “1. Lead domain delivery for assigned iFILE implementations with &gt;=98% mapping accuracy, on schedule. 2. Own quality of assigned taxonomy…”
</t>
          </r>
          <r>
            <rPr>
              <rFont val="Calibri"/>
              <b val="1"/>
              <sz val="10"/>
            </rPr>
            <t>Leadership &amp; Strategy:</t>
          </r>
          <r>
            <rPr>
              <rFont val="Calibri"/>
              <sz val="10"/>
            </rPr>
            <t xml:space="preserve"> 3.5 of 12 · between A3 and B1 — Start: 4.0 · individual contributor, so influence only; Evidence reads like A1: Stakeholder coordination only; no guiding of others described → moved down 0.5; Team: 0 direct reports · IC
</t>
          </r>
          <r>
            <rPr>
              <rFont val="Calibri"/>
              <b val="1"/>
              <sz val="10"/>
            </rPr>
            <t>Experience &amp; Qualification:</t>
          </r>
          <r>
            <rPr>
              <rFont val="Calibri"/>
              <sz val="10"/>
            </rPr>
            <t xml:space="preserve"> 11.5 of 12 · between E1 and E2 — Experience: 22.2 yrs total · 7.7 before IRIS + 14.5 at IRIS = 10.4 on the experience scale; Qualification: CA · professional, relevant to the work → +1.0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98" s="12" t="inlineStr">
        <is>
          <r>
            <rPr>
              <rFont val="Calibri"/>
              <b val="1"/>
              <sz val="10"/>
            </rPr>
            <t>Market level:</t>
          </r>
          <r>
            <rPr>
              <rFont val="Calibri"/>
              <sz val="10"/>
            </rPr>
            <t xml:space="preserve"> P4 / M3 · SFIA 4–5
</t>
          </r>
          <r>
            <rPr>
              <rFont val="Calibri"/>
              <b val="1"/>
              <sz val="10"/>
            </rPr>
            <t>Typical title:</t>
          </r>
          <r>
            <rPr>
              <rFont val="Calibri"/>
              <sz val="10"/>
            </rPr>
            <t xml:space="preserve"> Senior Consultant / Team Lead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198" s="12" t="inlineStr">
        <is>
          <r>
            <rPr>
              <rFont val="Calibri"/>
              <sz val="10"/>
            </rPr>
            <t xml:space="preserve">✓ HRIS: 22.2 yrs, CA,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98" s="12" t="inlineStr">
        <is>
          <t>—</t>
        </is>
      </c>
      <c r="AA198" s="12" t="inlineStr">
        <is>
          <t>Nothing outstanding</t>
        </is>
      </c>
      <c r="AB19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successor named: yes.
</t>
          </r>
          <r>
            <rPr>
              <rFont val="Calibri"/>
              <b val="1"/>
              <sz val="10"/>
            </rPr>
            <t>Measured on · manager-set KRA themes:</t>
          </r>
          <r>
            <rPr>
              <rFont val="Calibri"/>
              <sz val="10"/>
            </rPr>
            <t xml:space="preserve"> ifile business · analyst contribute · resolve · domain delivery · serve analyst · milestones on-time.
Manager talent mapping — Latest rating: 3 · Potential: Medium · 9-Box Grid placement: Reliable Specialist.</t>
          </r>
        </is>
      </c>
      <c r="AC198" s="82" t="n"/>
      <c r="AD198" s="82" t="n"/>
      <c r="AE198" s="82" t="n"/>
      <c r="AF198" s="12" t="n">
        <v>4.5</v>
      </c>
    </row>
    <row r="199" ht="400" customHeight="1">
      <c r="A199" s="12" t="inlineStr">
        <is>
          <t>IRIS0828</t>
        </is>
      </c>
      <c r="B199" s="10" t="inlineStr">
        <is>
          <t>Anirudh Singh Bartwal</t>
        </is>
      </c>
      <c r="C199" s="12" t="inlineStr">
        <is>
          <t>XBRL Consulting</t>
        </is>
      </c>
      <c r="D199" s="12" t="inlineStr">
        <is>
          <t>Senior consultant</t>
        </is>
      </c>
      <c r="E199" s="78" t="inlineStr">
        <is>
          <t>Senior Taxonomy Specialist</t>
        </is>
      </c>
      <c r="F199" s="12" t="inlineStr">
        <is>
          <t>Consulting &amp; Professional Services</t>
        </is>
      </c>
      <c r="G199" s="12" t="inlineStr">
        <is>
          <t>Taxonomy Design &amp; Regulatory Consulting</t>
        </is>
      </c>
      <c r="H199" s="12" t="inlineStr">
        <is>
          <t>IC</t>
        </is>
      </c>
      <c r="I199" s="42" t="inlineStr">
        <is>
          <t>L4 – Senior</t>
        </is>
      </c>
      <c r="J199" s="20" t="inlineStr">
        <is>
          <t>B1</t>
        </is>
      </c>
      <c r="K199" s="21" t="inlineStr">
        <is>
          <t>Specialist</t>
        </is>
      </c>
      <c r="L199" s="79" t="inlineStr">
        <is>
          <t>▲ Up</t>
        </is>
      </c>
      <c r="M199" s="12" t="inlineStr">
        <is>
          <t>iFile · XBRL Consulting · Band B · Expert / POD Lead</t>
        </is>
      </c>
      <c r="N199" s="42" t="n">
        <v>4</v>
      </c>
      <c r="O199" s="42" t="n">
        <v>4</v>
      </c>
      <c r="P199" s="42" t="n">
        <v>4</v>
      </c>
      <c r="Q199" s="42" t="n">
        <v>3.5</v>
      </c>
      <c r="R199" s="42" t="n">
        <v>9</v>
      </c>
      <c r="S199" s="80" t="n">
        <v>4</v>
      </c>
      <c r="T199" s="81">
        <f>IF(OR($M199="",COUNT(N199,O199,P199,Q199,R199,S199)&lt;6),"",IFERROR(N199*INDEX(WM_C,MATCH($M199,WM_KEY,0))+O199*INDEX(WM_AU,MATCH($M199,WM_KEY,0))+P199*INDEX(WM_AC,MATCH($M199,WM_KEY,0))+Q199*INDEX(WM_L,MATCH($M199,WM_KEY,0))+R199*INDEX(WM_E,MATCH($M199,WM_KEY,0))+S199*INDEX(WM_BI,MATCH($M199,WM_KEY,0)),""))</f>
        <v>4.475</v>
      </c>
      <c r="U199" s="42" t="str">
        <f>IF(T199="","",INDEX({"A1","A2","A3","B1","B2","B3","C1","C2","D1","D2","E1","E2"},MAX(1,MIN(12,ROUND(T199,0)))))</f>
        <v>B1</v>
      </c>
      <c r="V199" s="12" t="inlineStr">
        <is>
          <r>
            <rPr>
              <rFont val="Calibri"/>
              <sz val="10"/>
            </rPr>
            <t xml:space="preserve">New level B1 · Specialist. Current level on record: L4 – Senior. Change: ▲ Up.
Score 4.48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9" s="12" t="inlineStr">
        <is>
          <r>
            <rPr>
              <rFont val="Calibri"/>
              <b val="1"/>
              <sz val="10"/>
            </rPr>
            <t>Complexity &amp; Expertise:</t>
          </r>
          <r>
            <rPr>
              <rFont val="Calibri"/>
              <sz val="10"/>
            </rPr>
            <t xml:space="preserve"> 4 of 12 — Start: 5.0 · manager / senior specialist title; Evidence reads like A3: Taxonomy modelling with business rules, table linkbase issues, software testing and test data → moved down 1; KRA: “1. Deliver assigned taxonomy development &amp; testing with &gt;=95% accuracy and zero critical post-release defects. 2. Achieve &gt;=95% on-time…”
</t>
          </r>
          <r>
            <rPr>
              <rFont val="Calibri"/>
              <b val="1"/>
              <sz val="10"/>
            </rPr>
            <t>Autonomy &amp; Decision:</t>
          </r>
          <r>
            <rPr>
              <rFont val="Calibri"/>
              <sz val="10"/>
            </rPr>
            <t xml:space="preserve"> 4 of 12 — Start: 5.0 · manager / senior specialist title; Evidence reads like A3: Decides taxonomy modelling and business rule development → moved down 1
</t>
          </r>
          <r>
            <rPr>
              <rFont val="Calibri"/>
              <b val="1"/>
              <sz val="10"/>
            </rPr>
            <t>Accountability &amp; Impact:</t>
          </r>
          <r>
            <rPr>
              <rFont val="Calibri"/>
              <sz val="10"/>
            </rPr>
            <t xml:space="preserve"> 4 of 12 — Start: 5.0 · manager / senior specialist title; Evidence reads like A2: Business rule taxonomy of own development; errors mean rework and delivery delay → moved down 1; KRA: “1. Deliver assigned taxonomy development &amp; testing with &gt;=95% accuracy and zero critical post-release defects. 2. Achieve &gt;=95% on-time…”
</t>
          </r>
          <r>
            <rPr>
              <rFont val="Calibri"/>
              <b val="1"/>
              <sz val="10"/>
            </rPr>
            <t>Leadership &amp; Strategy:</t>
          </r>
          <r>
            <rPr>
              <rFont val="Calibri"/>
              <sz val="10"/>
            </rPr>
            <t xml:space="preserve"> 3.5 of 12 · between A3 and B1 — Start: 4.0 · individual contributor, so influence only; Evidence reads like A3: Training new joinees is a listed responsibility → moved down 0.5; Team: 0 direct reports · IC
</t>
          </r>
          <r>
            <rPr>
              <rFont val="Calibri"/>
              <b val="1"/>
              <sz val="10"/>
            </rPr>
            <t>Experience &amp; Qualification:</t>
          </r>
          <r>
            <rPr>
              <rFont val="Calibri"/>
              <sz val="10"/>
            </rPr>
            <t xml:space="preserve"> 9 of 12 — Experience: 16.8 yrs total · 1.7 before IRIS + 15.1 at IRIS = 8.8 on the experience scale; Qualification: B.Com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99"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 Team Lead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99" s="12" t="inlineStr">
        <is>
          <r>
            <rPr>
              <rFont val="Calibri"/>
              <sz val="10"/>
            </rPr>
            <t xml:space="preserve">✓ HRIS: 16.8 yrs, B.Com,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99" s="84" t="inlineStr">
        <is>
          <r>
            <rPr>
              <rFont val="Calibri"/>
              <color rgb="009C5700"/>
              <sz val="10"/>
            </rPr>
            <t xml:space="preserve">• </t>
          </r>
          <r>
            <rPr>
              <rFont val="Calibri"/>
              <b val="1"/>
              <color rgb="009C5700"/>
              <sz val="10"/>
            </rPr>
            <t>Close call:</t>
          </r>
          <r>
            <rPr>
              <rFont val="Calibri"/>
              <color rgb="009C5700"/>
              <sz val="10"/>
            </rPr>
            <t xml:space="preserve"> score 4.48 is within 0.05 of a rounding point</t>
          </r>
        </is>
      </c>
      <c r="AA199" s="12" t="inlineStr">
        <is>
          <t>Nothing outstanding</t>
        </is>
      </c>
      <c r="AB19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From the survey and manager mapping — successor named: yes.
</t>
          </r>
          <r>
            <rPr>
              <rFont val="Calibri"/>
              <b val="1"/>
              <sz val="10"/>
            </rPr>
            <t>If the work is missed · role-holders' themes:</t>
          </r>
          <r>
            <rPr>
              <rFont val="Calibri"/>
              <sz val="10"/>
            </rPr>
            <t xml:space="preserve"> rework.
</t>
          </r>
          <r>
            <rPr>
              <rFont val="Calibri"/>
              <b val="1"/>
              <sz val="10"/>
            </rPr>
            <t>Measured on · manager-set KRA themes:</t>
          </r>
          <r>
            <rPr>
              <rFont val="Calibri"/>
              <sz val="10"/>
            </rPr>
            <t xml:space="preserve"> resolve · business · excel webform · deliver assigned · defect · critical.
Manager talent mapping — Latest rating: 3 · Potential: Medium · 9-Box Grid placement: Trusted Professional.</t>
          </r>
        </is>
      </c>
      <c r="AC199" s="82" t="n"/>
      <c r="AD199" s="82" t="n"/>
      <c r="AE199" s="82" t="n"/>
      <c r="AF199" s="12" t="n">
        <v>4</v>
      </c>
    </row>
    <row r="200" ht="400" customHeight="1">
      <c r="A200" s="12" t="inlineStr">
        <is>
          <t>IRIS0050</t>
        </is>
      </c>
      <c r="B200" s="10" t="inlineStr">
        <is>
          <t>Prashant Ramakant Wagh</t>
        </is>
      </c>
      <c r="C200" s="12" t="inlineStr">
        <is>
          <t>XBRL Consulting</t>
        </is>
      </c>
      <c r="D200" s="12" t="inlineStr">
        <is>
          <t>Consultant</t>
        </is>
      </c>
      <c r="E200" s="78" t="inlineStr">
        <is>
          <t>Taxonomy Specialist</t>
        </is>
      </c>
      <c r="F200" s="12" t="inlineStr">
        <is>
          <t>Consulting &amp; Professional Services</t>
        </is>
      </c>
      <c r="G200" s="12" t="inlineStr">
        <is>
          <t>Taxonomy Design &amp; Regulatory Consulting</t>
        </is>
      </c>
      <c r="H200" s="12" t="inlineStr">
        <is>
          <t>IC</t>
        </is>
      </c>
      <c r="I200" s="42" t="inlineStr">
        <is>
          <t>L3 – Professional / Associate</t>
        </is>
      </c>
      <c r="J200" s="20" t="inlineStr">
        <is>
          <t>B1</t>
        </is>
      </c>
      <c r="K200" s="21" t="inlineStr">
        <is>
          <t>Specialist</t>
        </is>
      </c>
      <c r="L200" s="79" t="inlineStr">
        <is>
          <t>▲ Up</t>
        </is>
      </c>
      <c r="M200" s="12" t="inlineStr">
        <is>
          <t>iFile · XBRL Consulting · Band B · Expert / POD Lead</t>
        </is>
      </c>
      <c r="N200" s="42" t="n">
        <v>3</v>
      </c>
      <c r="O200" s="42" t="n">
        <v>2.5</v>
      </c>
      <c r="P200" s="42" t="n">
        <v>3</v>
      </c>
      <c r="Q200" s="42" t="n">
        <v>1.5</v>
      </c>
      <c r="R200" s="42" t="n">
        <v>10</v>
      </c>
      <c r="S200" s="80" t="n">
        <v>3</v>
      </c>
      <c r="T200" s="81">
        <f>IF(OR($M200="",COUNT(N200,O200,P200,Q200,R200,S200)&lt;6),"",IFERROR(N200*INDEX(WM_C,MATCH($M200,WM_KEY,0))+O200*INDEX(WM_AU,MATCH($M200,WM_KEY,0))+P200*INDEX(WM_AC,MATCH($M200,WM_KEY,0))+Q200*INDEX(WM_L,MATCH($M200,WM_KEY,0))+R200*INDEX(WM_E,MATCH($M200,WM_KEY,0))+S200*INDEX(WM_BI,MATCH($M200,WM_KEY,0)),""))</f>
        <v>3.54</v>
      </c>
      <c r="U200" s="42" t="str">
        <f>IF(T200="","",INDEX({"A1","A2","A3","B1","B2","B3","C1","C2","D1","D2","E1","E2"},MAX(1,MIN(12,ROUND(T200,0)))))</f>
        <v>B1</v>
      </c>
      <c r="V200" s="12" t="inlineStr">
        <is>
          <r>
            <rPr>
              <rFont val="Calibri"/>
              <sz val="10"/>
            </rPr>
            <t xml:space="preserve">New level B1 · Specialist. Current level on record: L3 – Professional / Associate. Change: ▲ Up.
Score 3.54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0" s="12" t="inlineStr">
        <is>
          <r>
            <rPr>
              <rFont val="Calibri"/>
              <b val="1"/>
              <sz val="10"/>
            </rPr>
            <t>Complexity &amp; Expertise:</t>
          </r>
          <r>
            <rPr>
              <rFont val="Calibri"/>
              <sz val="10"/>
            </rPr>
            <t xml:space="preserve"> 3 of 12 — Start: 3.0 · senior practitioner title; Evidence reads like A3: Gathers regulator requirements, develops taxonomies, CMS and business validations across several projects at once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Decides own approach to completing tasks → moved down 0.5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KRA: “1. Deliver assigned taxonomy development &amp; testing with &gt;=95% accuracy and zero critical post-release defects. 2. Achieve &gt;=95% on-time…”
</t>
          </r>
          <r>
            <rPr>
              <rFont val="Calibri"/>
              <b val="1"/>
              <sz val="10"/>
            </rPr>
            <t>Leadership &amp; Strategy:</t>
          </r>
          <r>
            <rPr>
              <rFont val="Calibri"/>
              <sz val="10"/>
            </rPr>
            <t xml:space="preserve"> 1.5 of 12 · between A1 and A2 — Start: 2.0 · individual contributor, so influence only; Evidence reads like A1: None described → moved down 0.5; Team: 0 direct reports · IC
</t>
          </r>
          <r>
            <rPr>
              <rFont val="Calibri"/>
              <b val="1"/>
              <sz val="10"/>
            </rPr>
            <t>Experience &amp; Qualification:</t>
          </r>
          <r>
            <rPr>
              <rFont val="Calibri"/>
              <sz val="10"/>
            </rPr>
            <t xml:space="preserve"> 10 of 12 — Experience: 20.4 yrs total · 0.4 before IRIS + 20.0 at IRIS = 9.8 on the experience scale; Qualification: B.Com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00"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200" s="12" t="inlineStr">
        <is>
          <r>
            <rPr>
              <rFont val="Calibri"/>
              <sz val="10"/>
            </rPr>
            <t xml:space="preserve">✓ HRIS: 20.4 yrs, B.Com,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00" s="84" t="inlineStr">
        <is>
          <r>
            <rPr>
              <rFont val="Calibri"/>
              <color rgb="009C5700"/>
              <sz val="10"/>
            </rPr>
            <t xml:space="preserve">• </t>
          </r>
          <r>
            <rPr>
              <rFont val="Calibri"/>
              <b val="1"/>
              <color rgb="009C5700"/>
              <sz val="10"/>
            </rPr>
            <t>Close call:</t>
          </r>
          <r>
            <rPr>
              <rFont val="Calibri"/>
              <color rgb="009C5700"/>
              <sz val="10"/>
            </rPr>
            <t xml:space="preserve"> score 3.54 is within 0.05 of a rounding point</t>
          </r>
        </is>
      </c>
      <c r="AA200" s="12" t="inlineStr">
        <is>
          <t>Nothing outstanding</t>
        </is>
      </c>
      <c r="AB20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t>
          </r>
          <r>
            <rPr>
              <rFont val="Calibri"/>
              <b val="1"/>
              <sz val="10"/>
            </rPr>
            <t>Measured on · manager-set KRA themes:</t>
          </r>
          <r>
            <rPr>
              <rFont val="Calibri"/>
              <sz val="10"/>
            </rPr>
            <t xml:space="preserve"> resolve · business · excel webform · deliver assigned · defect · critical.
Manager talent mapping — Latest rating: 4 · Potential: Medium · 9-Box Grid placement: Trusted Professional.</t>
          </r>
        </is>
      </c>
      <c r="AC200" s="82" t="n"/>
      <c r="AD200" s="82" t="n"/>
      <c r="AE200" s="82" t="n"/>
      <c r="AF200" s="12" t="n">
        <v>3</v>
      </c>
    </row>
    <row r="201" ht="400" customHeight="1">
      <c r="A201" s="12" t="inlineStr">
        <is>
          <t>IRIS0557</t>
        </is>
      </c>
      <c r="B201" s="10" t="inlineStr">
        <is>
          <t>Shrinidhi Shetty</t>
        </is>
      </c>
      <c r="C201" s="12" t="inlineStr">
        <is>
          <t>XBRL Consulting</t>
        </is>
      </c>
      <c r="D201" s="12" t="inlineStr">
        <is>
          <t>Consultant</t>
        </is>
      </c>
      <c r="E201" s="78" t="inlineStr">
        <is>
          <t>Taxonomy Specialist</t>
        </is>
      </c>
      <c r="F201" s="12" t="inlineStr">
        <is>
          <t>Consulting &amp; Professional Services</t>
        </is>
      </c>
      <c r="G201" s="12" t="inlineStr">
        <is>
          <t>Taxonomy Design &amp; Regulatory Consulting</t>
        </is>
      </c>
      <c r="H201" s="12" t="inlineStr">
        <is>
          <t>IC</t>
        </is>
      </c>
      <c r="I201" s="42" t="inlineStr">
        <is>
          <t>L3 – Professional / Associate</t>
        </is>
      </c>
      <c r="J201" s="20" t="inlineStr">
        <is>
          <t>B1</t>
        </is>
      </c>
      <c r="K201" s="21" t="inlineStr">
        <is>
          <t>Specialist</t>
        </is>
      </c>
      <c r="L201" s="79" t="inlineStr">
        <is>
          <t>▲ Up</t>
        </is>
      </c>
      <c r="M201" s="12" t="inlineStr">
        <is>
          <t>iFile · XBRL Consulting · Band B · Expert / POD Lead</t>
        </is>
      </c>
      <c r="N201" s="42" t="n">
        <v>3.5</v>
      </c>
      <c r="O201" s="42" t="n">
        <v>3</v>
      </c>
      <c r="P201" s="42" t="n">
        <v>3</v>
      </c>
      <c r="Q201" s="42" t="n">
        <v>2.5</v>
      </c>
      <c r="R201" s="42" t="n">
        <v>9.5</v>
      </c>
      <c r="S201" s="80" t="n">
        <v>3</v>
      </c>
      <c r="T201" s="81">
        <f>IF(OR($M201="",COUNT(N201,O201,P201,Q201,R201,S201)&lt;6),"",IFERROR(N201*INDEX(WM_C,MATCH($M201,WM_KEY,0))+O201*INDEX(WM_AU,MATCH($M201,WM_KEY,0))+P201*INDEX(WM_AC,MATCH($M201,WM_KEY,0))+Q201*INDEX(WM_L,MATCH($M201,WM_KEY,0))+R201*INDEX(WM_E,MATCH($M201,WM_KEY,0))+S201*INDEX(WM_BI,MATCH($M201,WM_KEY,0)),""))</f>
        <v>3.88</v>
      </c>
      <c r="U201" s="42" t="str">
        <f>IF(T201="","",INDEX({"A1","A2","A3","B1","B2","B3","C1","C2","D1","D2","E1","E2"},MAX(1,MIN(12,ROUND(T201,0)))))</f>
        <v>B1</v>
      </c>
      <c r="V201" s="12" t="inlineStr">
        <is>
          <r>
            <rPr>
              <rFont val="Calibri"/>
              <sz val="10"/>
            </rPr>
            <t xml:space="preserve">New level B1 · Specialist. Current level on record: L3 – Professional / Associate. Change: ▲ Up.
Score 3.88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1" s="12" t="inlineStr">
        <is>
          <r>
            <rPr>
              <rFont val="Calibri"/>
              <b val="1"/>
              <sz val="10"/>
            </rPr>
            <t>Complexity &amp; Expertise:</t>
          </r>
          <r>
            <rPr>
              <rFont val="Calibri"/>
              <sz val="10"/>
            </rPr>
            <t xml:space="preserve"> 3.5 of 12 · between A3 and B1 — Start: 3.0 · senior practitioner title; Evidence reads like B1: XBRL SME: analyses spec updates, builds taxonomies and SRS, supports Bushchat formulas, builds automation tools → moved up 0.5; KRA: “1. Lead domain delivery for assigned iFILE implementations with &gt;=98% mapping accuracy, on schedule. 2. Own quality of assigned taxonomy…”
</t>
          </r>
          <r>
            <rPr>
              <rFont val="Calibri"/>
              <b val="1"/>
              <sz val="10"/>
            </rPr>
            <t>Autonomy &amp; Decision:</t>
          </r>
          <r>
            <rPr>
              <rFont val="Calibri"/>
              <sz val="10"/>
            </rPr>
            <t xml:space="preserve"> 3 of 12 — Start: 3.0 · senior practitioner title; Evidence reads like A3: Decides XBRL spec analysis and updates; judges when to ask rather than guess → matches the start
</t>
          </r>
          <r>
            <rPr>
              <rFont val="Calibri"/>
              <b val="1"/>
              <sz val="10"/>
            </rPr>
            <t>Accountability &amp; Impact:</t>
          </r>
          <r>
            <rPr>
              <rFont val="Calibri"/>
              <sz val="10"/>
            </rPr>
            <t xml:space="preserve"> 3 of 12 — Start: 3.0 · senior practitioner title; Evidence reads like A3: XBRL taxonomy for regulators; errors delay other teams and can trigger contract penalties → matches the start; KRA: “1. Lead domain delivery for assigned iFILE implementations with &gt;=98% mapping accuracy, on schedule. 2. Own quality of assigned taxonomy…”
</t>
          </r>
          <r>
            <rPr>
              <rFont val="Calibri"/>
              <b val="1"/>
              <sz val="10"/>
            </rPr>
            <t>Leadership &amp; Strategy:</t>
          </r>
          <r>
            <rPr>
              <rFont val="Calibri"/>
              <sz val="10"/>
            </rPr>
            <t xml:space="preserve"> 2.5 of 12 · between A2 and A3 — Start: 2.0 · individual contributor, so influence only; Evidence reads like A3: Training peers is a listed responsibility → moved up 0.5; Team: 0 direct reports · IC
</t>
          </r>
          <r>
            <rPr>
              <rFont val="Calibri"/>
              <b val="1"/>
              <sz val="10"/>
            </rPr>
            <t>Experience &amp; Qualification:</t>
          </r>
          <r>
            <rPr>
              <rFont val="Calibri"/>
              <sz val="10"/>
            </rPr>
            <t xml:space="preserve"> 9.5 of 12 · between D1 and D2 — Experience: 15.8 yrs total · 15.8 at IRIS; none recorded before IRIS = 8.4 on the experience scale; Qualification: CA · professional, relevant to the work → +1.0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01"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201" s="12" t="inlineStr">
        <is>
          <r>
            <rPr>
              <rFont val="Calibri"/>
              <sz val="10"/>
            </rPr>
            <t xml:space="preserve">✓ HRIS: 15.8 yrs, CA,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01" s="12" t="inlineStr">
        <is>
          <t>—</t>
        </is>
      </c>
      <c r="AA201" s="12" t="inlineStr">
        <is>
          <t>Nothing outstanding</t>
        </is>
      </c>
      <c r="AB20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t>
          </r>
          <r>
            <rPr>
              <rFont val="Calibri"/>
              <b val="1"/>
              <sz val="10"/>
            </rPr>
            <t>Measured on · manager-set KRA themes:</t>
          </r>
          <r>
            <rPr>
              <rFont val="Calibri"/>
              <sz val="10"/>
            </rPr>
            <t xml:space="preserve"> resolve · business · excel webform · deliver assigned · defect · critical.
Manager talent mapping — Latest rating: 3 · Potential: Low · 9-Box Grid placement: Misplaced Talent / Enigma.</t>
          </r>
        </is>
      </c>
      <c r="AC201" s="82" t="n"/>
      <c r="AD201" s="82" t="n"/>
      <c r="AE201" s="82" t="n"/>
      <c r="AF201" s="12" t="n">
        <v>3</v>
      </c>
    </row>
    <row r="202" ht="400" customHeight="1">
      <c r="A202" s="12" t="inlineStr">
        <is>
          <t>IRIS2045</t>
        </is>
      </c>
      <c r="B202" s="10" t="inlineStr">
        <is>
          <t>Bhagyashree Kamble</t>
        </is>
      </c>
      <c r="C202" s="12" t="inlineStr">
        <is>
          <t>XBRL Consulting</t>
        </is>
      </c>
      <c r="D202" s="12" t="inlineStr">
        <is>
          <t>Analyst</t>
        </is>
      </c>
      <c r="E202" s="78" t="inlineStr">
        <is>
          <t>Senior Taxonomy Analyst</t>
        </is>
      </c>
      <c r="F202" s="12" t="inlineStr">
        <is>
          <t>Consulting &amp; Professional Services</t>
        </is>
      </c>
      <c r="G202" s="12" t="inlineStr">
        <is>
          <t>Taxonomy Design &amp; Regulatory Consulting</t>
        </is>
      </c>
      <c r="H202" s="12" t="inlineStr">
        <is>
          <t>IC</t>
        </is>
      </c>
      <c r="I202" s="42" t="inlineStr">
        <is>
          <t>L3 – Professional / Associate</t>
        </is>
      </c>
      <c r="J202" s="16" t="inlineStr">
        <is>
          <t>A3</t>
        </is>
      </c>
      <c r="K202" s="17" t="inlineStr">
        <is>
          <t>Senior Associate</t>
        </is>
      </c>
      <c r="L202" s="79" t="inlineStr">
        <is>
          <t>▲ Up</t>
        </is>
      </c>
      <c r="M202" s="12" t="inlineStr">
        <is>
          <t>iFile · XBRL Consulting · Band A · Early career</t>
        </is>
      </c>
      <c r="N202" s="42" t="n">
        <v>2.5</v>
      </c>
      <c r="O202" s="42" t="n">
        <v>2</v>
      </c>
      <c r="P202" s="42" t="n">
        <v>2</v>
      </c>
      <c r="Q202" s="42" t="n">
        <v>1</v>
      </c>
      <c r="R202" s="42" t="n">
        <v>4</v>
      </c>
      <c r="S202" s="80" t="n">
        <v>2</v>
      </c>
      <c r="T202" s="81">
        <f>IF(OR($M202="",COUNT(N202,O202,P202,Q202,R202,S202)&lt;6),"",IFERROR(N202*INDEX(WM_C,MATCH($M202,WM_KEY,0))+O202*INDEX(WM_AU,MATCH($M202,WM_KEY,0))+P202*INDEX(WM_AC,MATCH($M202,WM_KEY,0))+Q202*INDEX(WM_L,MATCH($M202,WM_KEY,0))+R202*INDEX(WM_E,MATCH($M202,WM_KEY,0))+S202*INDEX(WM_BI,MATCH($M202,WM_KEY,0)),""))</f>
        <v>2.495</v>
      </c>
      <c r="U202" s="42" t="str">
        <f>IF(T202="","",INDEX({"A1","A2","A3","B1","B2","B3","C1","C2","D1","D2","E1","E2"},MAX(1,MIN(12,ROUND(T202,0)))))</f>
        <v>A2</v>
      </c>
      <c r="V202" s="12" t="inlineStr">
        <is>
          <r>
            <rPr>
              <rFont val="Calibri"/>
              <sz val="10"/>
            </rPr>
            <t xml:space="preserve">New level A3 · Senior Associate. Current level on record: L3 – Professional / Associate. Change: ▲ Up.
Score 2.50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5.5 years' experience is 2 years or more.
</t>
          </r>
          <r>
            <rPr>
              <rFont val="Calibri"/>
              <b val="1"/>
              <sz val="10"/>
            </rPr>
            <t>Final level:</t>
          </r>
          <r>
            <rPr>
              <rFont val="Calibri"/>
              <sz val="10"/>
            </rPr>
            <t xml:space="preserve"> A3.</t>
          </r>
        </is>
      </c>
      <c r="W202" s="12" t="inlineStr">
        <is>
          <r>
            <rPr>
              <rFont val="Calibri"/>
              <b val="1"/>
              <sz val="10"/>
            </rPr>
            <t>Complexity &amp; Expertise:</t>
          </r>
          <r>
            <rPr>
              <rFont val="Calibri"/>
              <sz val="10"/>
            </rPr>
            <t xml:space="preserve"> 2.5 of 12 · between A2 and A3 — Start: 2.0 · practitioner title; Evidence reads like A3: Taxonomy development and validation-rule development, mapping client data to XBRL standards → moved up 0.5; KRA: “1. Deliver assigned taxonomy development &amp; testing with &gt;=95% accuracy and zero critical post-release defects. 2. Achieve &gt;=95% on-time…”
</t>
          </r>
          <r>
            <rPr>
              <rFont val="Calibri"/>
              <b val="1"/>
              <sz val="10"/>
            </rPr>
            <t>Autonomy &amp; Decision:</t>
          </r>
          <r>
            <rPr>
              <rFont val="Calibri"/>
              <sz val="10"/>
            </rPr>
            <t xml:space="preserve"> 2 of 12 — Start: 2.0 · practitioner title; Evidence reads like A2: Only creating validations named → matches the start
</t>
          </r>
          <r>
            <rPr>
              <rFont val="Calibri"/>
              <b val="1"/>
              <sz val="10"/>
            </rPr>
            <t>Accountability &amp; Impact:</t>
          </r>
          <r>
            <rPr>
              <rFont val="Calibri"/>
              <sz val="10"/>
            </rPr>
            <t xml:space="preserve"> 2 of 12 — Start: 2.0 · practitioner title; Evidence reads like A2: Validation rules and client support for taxonomy → matches the start; KRA: “1. Deliver assigned taxonomy development &amp; testing with &gt;=95% accuracy and zero critical post-release defects. 2. Achieve &gt;=95% on-time…”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4 of 12 — Experience: 5.5 yrs total · 1.3 before IRIS + 4.2 at IRIS = 4.0 on the experience scale; Note: the record looks incomplete, so this is a minimum · HR to confirm;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2" s="12" t="inlineStr">
        <is>
          <r>
            <rPr>
              <rFont val="Calibri"/>
              <sz val="10"/>
            </rPr>
            <t xml:space="preserve">✓ HRIS: 5.5 yrs, B.Com, 0 direct reports
✓ Survey: 20 of 20 questions answered
✓ KRAs: manager-set, quarterly
✓ Manager mapping: rating, potential, 9-box
✗ Job description: not on file
</t>
          </r>
          <r>
            <rPr>
              <rFont val="Calibri"/>
              <b val="1"/>
              <sz val="10"/>
            </rPr>
            <t>Confidence:</t>
          </r>
          <r>
            <rPr>
              <rFont val="Calibri"/>
              <sz val="10"/>
            </rPr>
            <t xml:space="preserve"> Low</t>
          </r>
        </is>
      </c>
      <c r="Z202" s="12" t="inlineStr">
        <is>
          <t>—</t>
        </is>
      </c>
      <c r="AA202" s="86" t="inlineStr">
        <is>
          <t>• Correct the experience record — HR</t>
        </is>
      </c>
      <c r="AB20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2 · Potential: Medium · 9-Box Grid placement: Reliable Specialist.</t>
          </r>
        </is>
      </c>
      <c r="AC202" s="82" t="n"/>
      <c r="AD202" s="82" t="n"/>
      <c r="AE202" s="82" t="n"/>
      <c r="AF202" s="12" t="n">
        <v>2</v>
      </c>
    </row>
    <row r="203" ht="400" customHeight="1">
      <c r="A203" s="12" t="inlineStr">
        <is>
          <t>IRIS0617</t>
        </is>
      </c>
      <c r="B203" s="10" t="inlineStr">
        <is>
          <t>Bhakti Gosavi</t>
        </is>
      </c>
      <c r="C203" s="12" t="inlineStr">
        <is>
          <t>XBRL Consulting</t>
        </is>
      </c>
      <c r="D203" s="12" t="inlineStr">
        <is>
          <t>Analyst</t>
        </is>
      </c>
      <c r="E203" s="78" t="inlineStr">
        <is>
          <t>Senior Taxonomy Analyst</t>
        </is>
      </c>
      <c r="F203" s="12" t="inlineStr">
        <is>
          <t>Consulting &amp; Professional Services</t>
        </is>
      </c>
      <c r="G203" s="12" t="inlineStr">
        <is>
          <t>Taxonomy Design &amp; Regulatory Consulting</t>
        </is>
      </c>
      <c r="H203" s="12" t="inlineStr">
        <is>
          <t>IC</t>
        </is>
      </c>
      <c r="I203" s="42" t="inlineStr">
        <is>
          <t>L3 – Professional / Associate</t>
        </is>
      </c>
      <c r="J203" s="16" t="inlineStr">
        <is>
          <t>A3</t>
        </is>
      </c>
      <c r="K203" s="17" t="inlineStr">
        <is>
          <t>Senior Associate</t>
        </is>
      </c>
      <c r="L203" s="79" t="inlineStr">
        <is>
          <t>▲ Up</t>
        </is>
      </c>
      <c r="M203" s="12" t="inlineStr">
        <is>
          <t>iFile · XBRL Consulting · Band A · Early career</t>
        </is>
      </c>
      <c r="N203" s="42" t="n">
        <v>2</v>
      </c>
      <c r="O203" s="42" t="n">
        <v>2</v>
      </c>
      <c r="P203" s="42" t="n">
        <v>2</v>
      </c>
      <c r="Q203" s="42" t="n">
        <v>1</v>
      </c>
      <c r="R203" s="42" t="n">
        <v>9</v>
      </c>
      <c r="S203" s="80" t="n">
        <v>2</v>
      </c>
      <c r="T203" s="81">
        <f>IF(OR($M203="",COUNT(N203,O203,P203,Q203,R203,S203)&lt;6),"",IFERROR(N203*INDEX(WM_C,MATCH($M203,WM_KEY,0))+O203*INDEX(WM_AU,MATCH($M203,WM_KEY,0))+P203*INDEX(WM_AC,MATCH($M203,WM_KEY,0))+Q203*INDEX(WM_L,MATCH($M203,WM_KEY,0))+R203*INDEX(WM_E,MATCH($M203,WM_KEY,0))+S203*INDEX(WM_BI,MATCH($M203,WM_KEY,0)),""))</f>
        <v>2.7</v>
      </c>
      <c r="U203" s="42" t="str">
        <f>IF(T203="","",INDEX({"A1","A2","A3","B1","B2","B3","C1","C2","D1","D2","E1","E2"},MAX(1,MIN(12,ROUND(T203,0)))))</f>
        <v>A3</v>
      </c>
      <c r="V203" s="12" t="inlineStr">
        <is>
          <r>
            <rPr>
              <rFont val="Calibri"/>
              <sz val="10"/>
            </rPr>
            <t xml:space="preserve">New level A3 · Senior Associate. Current level on record: L3 – Professional / Associate. Change: ▲ Up.
Score 2.70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3" s="12" t="inlineStr">
        <is>
          <r>
            <rPr>
              <rFont val="Calibri"/>
              <b val="1"/>
              <sz val="10"/>
            </rPr>
            <t>Complexity &amp; Expertise:</t>
          </r>
          <r>
            <rPr>
              <rFont val="Calibri"/>
              <sz val="10"/>
            </rPr>
            <t xml:space="preserve"> 2 of 12 — Start: 2.0 · practitioner title; Evidence reads like A2: Formula creation and testing, instance creation, tool testing; routine taxonomy tasks, tersely described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 of 12 — Start: 2.0 · practitioner title; Evidence reads like A2: Only independent decision named is formula testing → matches the start
</t>
          </r>
          <r>
            <rPr>
              <rFont val="Calibri"/>
              <b val="1"/>
              <sz val="10"/>
            </rPr>
            <t>Accountability &amp; Impact:</t>
          </r>
          <r>
            <rPr>
              <rFont val="Calibri"/>
              <sz val="10"/>
            </rPr>
            <t xml:space="preserve"> 2 of 12 — Start: 2.0 · practitioner title; Evidence reads like A2: Accountable for own formula creation and testing; consequence is rework → matches the start; KRA: “1. Deliver assigned taxonomy development &amp; testing with &gt;=95% accuracy and zero critical post-release defects. 2. Achieve &gt;=95% on-time…”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9 of 12 — Experience: 15.4 yrs total · 15.4 at IRIS; none recorded before IRIS = 8.3 on the experience scale; Qualification: M.Com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3" s="12" t="inlineStr">
        <is>
          <r>
            <rPr>
              <rFont val="Calibri"/>
              <sz val="10"/>
            </rPr>
            <t xml:space="preserve">✓ HRIS: 15.4 yrs, M.Com,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03" s="12" t="inlineStr">
        <is>
          <t>—</t>
        </is>
      </c>
      <c r="AA203" s="12" t="inlineStr">
        <is>
          <t>Nothing outstanding</t>
        </is>
      </c>
      <c r="AB20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2 · Potential: Medium · 9-Box Grid placement: Reliable Specialist.</t>
          </r>
        </is>
      </c>
      <c r="AC203" s="82" t="n"/>
      <c r="AD203" s="82" t="n"/>
      <c r="AE203" s="82" t="n"/>
      <c r="AF203" s="12" t="n">
        <v>2</v>
      </c>
    </row>
    <row r="204" ht="400" customHeight="1">
      <c r="A204" s="12" t="inlineStr">
        <is>
          <t>IRIS0022</t>
        </is>
      </c>
      <c r="B204" s="10" t="inlineStr">
        <is>
          <t>Bhushan Patkar</t>
        </is>
      </c>
      <c r="C204" s="12" t="inlineStr">
        <is>
          <t>XBRL Consulting</t>
        </is>
      </c>
      <c r="D204" s="12" t="inlineStr">
        <is>
          <t>Senior Analyst</t>
        </is>
      </c>
      <c r="E204" s="78" t="inlineStr">
        <is>
          <t>Senior Taxonomy Analyst</t>
        </is>
      </c>
      <c r="F204" s="12" t="inlineStr">
        <is>
          <t>Consulting &amp; Professional Services</t>
        </is>
      </c>
      <c r="G204" s="12" t="inlineStr">
        <is>
          <t>Taxonomy Design &amp; Regulatory Consulting</t>
        </is>
      </c>
      <c r="H204" s="12" t="inlineStr">
        <is>
          <t>IC</t>
        </is>
      </c>
      <c r="I204" s="42" t="inlineStr">
        <is>
          <t>L4 – Senior</t>
        </is>
      </c>
      <c r="J204" s="16" t="inlineStr">
        <is>
          <t>A3</t>
        </is>
      </c>
      <c r="K204" s="17" t="inlineStr">
        <is>
          <t>Senior Associate</t>
        </is>
      </c>
      <c r="L204" s="87" t="inlineStr">
        <is>
          <t>• Same level</t>
        </is>
      </c>
      <c r="M204" s="12" t="inlineStr">
        <is>
          <t>iFile · XBRL Consulting · Band A · Early career</t>
        </is>
      </c>
      <c r="N204" s="42" t="n">
        <v>3</v>
      </c>
      <c r="O204" s="42" t="n">
        <v>2.5</v>
      </c>
      <c r="P204" s="42" t="n">
        <v>2.5</v>
      </c>
      <c r="Q204" s="42" t="n">
        <v>2</v>
      </c>
      <c r="R204" s="42" t="n">
        <v>10</v>
      </c>
      <c r="S204" s="80" t="n">
        <v>2.5</v>
      </c>
      <c r="T204" s="81">
        <f>IF(OR($M204="",COUNT(N204,O204,P204,Q204,R204,S204)&lt;6),"",IFERROR(N204*INDEX(WM_C,MATCH($M204,WM_KEY,0))+O204*INDEX(WM_AU,MATCH($M204,WM_KEY,0))+P204*INDEX(WM_AC,MATCH($M204,WM_KEY,0))+Q204*INDEX(WM_L,MATCH($M204,WM_KEY,0))+R204*INDEX(WM_E,MATCH($M204,WM_KEY,0))+S204*INDEX(WM_BI,MATCH($M204,WM_KEY,0)),""))</f>
        <v>3.545</v>
      </c>
      <c r="U204" s="42" t="str">
        <f>IF(T204="","",INDEX({"A1","A2","A3","B1","B2","B3","C1","C2","D1","D2","E1","E2"},MAX(1,MIN(12,ROUND(T204,0)))))</f>
        <v>B1</v>
      </c>
      <c r="V204" s="12" t="inlineStr">
        <is>
          <r>
            <rPr>
              <rFont val="Calibri"/>
              <sz val="10"/>
            </rPr>
            <t xml:space="preserve">New level A3 · Senior Associate. Current level on record: L4 – Senior. Change: • Same level.
Score 3.54 on the ladder scale → indicated level B1.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3.48.
</t>
          </r>
          <r>
            <rPr>
              <rFont val="Calibri"/>
              <b val="1"/>
              <sz val="10"/>
            </rPr>
            <t>Final level:</t>
          </r>
          <r>
            <rPr>
              <rFont val="Calibri"/>
              <sz val="10"/>
            </rPr>
            <t xml:space="preserve"> A3.</t>
          </r>
        </is>
      </c>
      <c r="W204" s="12" t="inlineStr">
        <is>
          <r>
            <rPr>
              <rFont val="Calibri"/>
              <b val="1"/>
              <sz val="10"/>
            </rPr>
            <t>Complexity &amp; Expertise:</t>
          </r>
          <r>
            <rPr>
              <rFont val="Calibri"/>
              <sz val="10"/>
            </rPr>
            <t xml:space="preserve"> 3 of 12 — Start: 3.0 · senior practitioner title; Evidence reads like A3: Template creation, requirement gathering, formula creation, client query solving, tool testing; terse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Decides formula creation only → moved down 0.5
</t>
          </r>
          <r>
            <rPr>
              <rFont val="Calibri"/>
              <b val="1"/>
              <sz val="10"/>
            </rPr>
            <t>Accountability &amp; Impact:</t>
          </r>
          <r>
            <rPr>
              <rFont val="Calibri"/>
              <sz val="10"/>
            </rPr>
            <t xml:space="preserve"> 2.5 of 12 · between A2 and A3 — Start: 3.0 · senior practitioner title; Evidence reads like A2: Taxonomy package named without detail; consequence is rework and retesting → moved down 0.5; KRA: “1. Deliver assigned taxonomy development &amp; testing with &gt;=95% accuracy and zero critical post-release defects. 2. Achieve &gt;=95% on-time…”
</t>
          </r>
          <r>
            <rPr>
              <rFont val="Calibri"/>
              <b val="1"/>
              <sz val="10"/>
            </rPr>
            <t>Leadership &amp; Strategy:</t>
          </r>
          <r>
            <rPr>
              <rFont val="Calibri"/>
              <sz val="10"/>
            </rPr>
            <t xml:space="preserve"> 2 of 12 — not counted: the weight is 0% at this level — Start: 2.0 · individual contributor, so influence only; Evidence reads like A2: Lists XBRL training sessions and 'resource allocation' with no team or detail → matches the start; Team: 0 direct reports · IC
</t>
          </r>
          <r>
            <rPr>
              <rFont val="Calibri"/>
              <b val="1"/>
              <sz val="10"/>
            </rPr>
            <t>Experience &amp; Qualification:</t>
          </r>
          <r>
            <rPr>
              <rFont val="Calibri"/>
              <sz val="10"/>
            </rPr>
            <t xml:space="preserve"> 10 of 12 — Experience: 21.6 yrs total · 21.6 at IRIS; none recorded before IRIS = 10.2 on the experience scale; Qualification: B.Com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0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4" s="12" t="inlineStr">
        <is>
          <r>
            <rPr>
              <rFont val="Calibri"/>
              <sz val="10"/>
            </rPr>
            <t xml:space="preserve">✓ HRIS: 21.6 yrs, B.Com, 0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204" s="84" t="inlineStr">
        <is>
          <r>
            <rPr>
              <rFont val="Calibri"/>
              <color rgb="009C5700"/>
              <sz val="10"/>
            </rPr>
            <t xml:space="preserve">• </t>
          </r>
          <r>
            <rPr>
              <rFont val="Calibri"/>
              <b val="1"/>
              <color rgb="009C5700"/>
              <sz val="10"/>
            </rPr>
            <t>Near a gate:</t>
          </r>
          <r>
            <rPr>
              <rFont val="Calibri"/>
              <color rgb="009C5700"/>
              <sz val="10"/>
            </rPr>
            <t xml:space="preserve"> top of band: 3.48 on Band B's weights, 0.02 short of the 3.5 needed to enter Band B</t>
          </r>
        </is>
      </c>
      <c r="AA204" s="12" t="inlineStr">
        <is>
          <t>Nothing outstanding</t>
        </is>
      </c>
      <c r="AB20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Medium · 9-Box Grid placement: Trusted Professional.</t>
          </r>
        </is>
      </c>
      <c r="AC204" s="82" t="n"/>
      <c r="AD204" s="82" t="n"/>
      <c r="AE204" s="82" t="n"/>
      <c r="AF204" s="12" t="n">
        <v>2.5</v>
      </c>
    </row>
    <row r="205" ht="400" customHeight="1">
      <c r="A205" s="12" t="inlineStr">
        <is>
          <t>IRIS2563</t>
        </is>
      </c>
      <c r="B205" s="10" t="inlineStr">
        <is>
          <t>Isheekka Gupta</t>
        </is>
      </c>
      <c r="C205" s="12" t="inlineStr">
        <is>
          <t>XBRL Consulting</t>
        </is>
      </c>
      <c r="D205" s="12" t="inlineStr">
        <is>
          <t>Consultant</t>
        </is>
      </c>
      <c r="E205" s="78" t="inlineStr">
        <is>
          <t>Senior Taxonomy Analyst</t>
        </is>
      </c>
      <c r="F205" s="12" t="inlineStr">
        <is>
          <t>Consulting &amp; Professional Services</t>
        </is>
      </c>
      <c r="G205" s="12" t="inlineStr">
        <is>
          <t>Taxonomy Design &amp; Regulatory Consulting</t>
        </is>
      </c>
      <c r="H205" s="12" t="inlineStr">
        <is>
          <t>IC</t>
        </is>
      </c>
      <c r="I205" s="42" t="inlineStr">
        <is>
          <t>Not in current mapping files</t>
        </is>
      </c>
      <c r="J205" s="16" t="inlineStr">
        <is>
          <t>A3</t>
        </is>
      </c>
      <c r="K205" s="17" t="inlineStr">
        <is>
          <t>Senior Associate</t>
        </is>
      </c>
      <c r="L205" s="85" t="inlineStr">
        <is>
          <t>● Newly mapped</t>
        </is>
      </c>
      <c r="M205" s="12" t="inlineStr">
        <is>
          <t>iFile · XBRL Consulting · Band A · Early career</t>
        </is>
      </c>
      <c r="N205" s="42" t="n">
        <v>2.5</v>
      </c>
      <c r="O205" s="42" t="n">
        <v>2.5</v>
      </c>
      <c r="P205" s="42" t="n">
        <v>2.5</v>
      </c>
      <c r="Q205" s="42" t="n">
        <v>1.5</v>
      </c>
      <c r="R205" s="42" t="n">
        <v>3.5</v>
      </c>
      <c r="S205" s="80" t="n">
        <v>2.5</v>
      </c>
      <c r="T205" s="81">
        <f>IF(OR($M205="",COUNT(N205,O205,P205,Q205,R205,S205)&lt;6),"",IFERROR(N205*INDEX(WM_C,MATCH($M205,WM_KEY,0))+O205*INDEX(WM_AU,MATCH($M205,WM_KEY,0))+P205*INDEX(WM_AC,MATCH($M205,WM_KEY,0))+Q205*INDEX(WM_L,MATCH($M205,WM_KEY,0))+R205*INDEX(WM_E,MATCH($M205,WM_KEY,0))+S205*INDEX(WM_BI,MATCH($M205,WM_KEY,0)),""))</f>
        <v>2.6</v>
      </c>
      <c r="U205" s="42" t="str">
        <f>IF(T205="","",INDEX({"A1","A2","A3","B1","B2","B3","C1","C2","D1","D2","E1","E2"},MAX(1,MIN(12,ROUND(T205,0)))))</f>
        <v>A3</v>
      </c>
      <c r="V205" s="12" t="inlineStr">
        <is>
          <r>
            <rPr>
              <rFont val="Calibri"/>
              <sz val="10"/>
            </rPr>
            <t xml:space="preserve">New level A3 · Senior Associate. Current level on record: Not in current mapping files. Change: ● Newly mapped.
Score 2.60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A3.</t>
          </r>
        </is>
      </c>
      <c r="W205" s="12" t="inlineStr">
        <is>
          <r>
            <rPr>
              <rFont val="Calibri"/>
              <b val="1"/>
              <sz val="10"/>
            </rPr>
            <t>Complexity &amp; Expertise:</t>
          </r>
          <r>
            <rPr>
              <rFont val="Calibri"/>
              <sz val="10"/>
            </rPr>
            <t xml:space="preserve"> 2.5 of 12 · between A2 and A3 — Start: 3.0 · senior practitioner title; Evidence reads like A2: own survey / KRA answers · summarised by the rater; not quoted → moved down 0.5
</t>
          </r>
          <r>
            <rPr>
              <rFont val="Calibri"/>
              <b val="1"/>
              <sz val="10"/>
            </rPr>
            <t>Autonomy &amp; Decision:</t>
          </r>
          <r>
            <rPr>
              <rFont val="Calibri"/>
              <sz val="10"/>
            </rPr>
            <t xml:space="preserve"> 2.5 of 12 · between A2 and A3 — Start: 3.0 · senior practitioner title; Evidence reads like A2: Decides: 'cms'; no real decision described → moved down 0.5
</t>
          </r>
          <r>
            <rPr>
              <rFont val="Calibri"/>
              <b val="1"/>
              <sz val="10"/>
            </rPr>
            <t>Accountability &amp; Impact:</t>
          </r>
          <r>
            <rPr>
              <rFont val="Calibri"/>
              <sz val="10"/>
            </rPr>
            <t xml:space="preserve"> 2.5 of 12 · between A2 and A3 — Start: 3.0 · senior practitioner title; Evidence reads like A2: States accountable for 'none'; no end-to-end ownership shown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'Leading' written with no team, object or detail → moved down 0.5; Team: 0 direct reports · IC
</t>
          </r>
          <r>
            <rPr>
              <rFont val="Calibri"/>
              <b val="1"/>
              <sz val="10"/>
            </rPr>
            <t>Experience &amp; Qualification:</t>
          </r>
          <r>
            <rPr>
              <rFont val="Calibri"/>
              <sz val="10"/>
            </rPr>
            <t xml:space="preserve"> 3.5 of 12 · between A3 and B1 — Experience: not on record · input needed from HR, so set at the role's own level: it neither helps nor hurts; Qualification: CA · professional, relevant to the work → +1.0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0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5" s="12" t="inlineStr">
        <is>
          <r>
            <rPr>
              <rFont val="Calibri"/>
              <sz val="10"/>
            </rPr>
            <t xml:space="preserve">✗ HRIS: experience missing, CA, 0 direct reports
✓ Survey: 16 of 20 questions answered
✗ KRAs: none on file
✓ Manager mapping: rating, 9-box
✗ Job description: not on file
</t>
          </r>
          <r>
            <rPr>
              <rFont val="Calibri"/>
              <b val="1"/>
              <sz val="10"/>
            </rPr>
            <t>Confidence:</t>
          </r>
          <r>
            <rPr>
              <rFont val="Calibri"/>
              <sz val="10"/>
            </rPr>
            <t xml:space="preserve"> Low</t>
          </r>
        </is>
      </c>
      <c r="Z205" s="84" t="inlineStr">
        <is>
          <r>
            <rPr>
              <rFont val="Calibri"/>
              <color rgb="009C5700"/>
              <sz val="10"/>
            </rPr>
            <t xml:space="preserve">• </t>
          </r>
          <r>
            <rPr>
              <rFont val="Calibri"/>
              <b val="1"/>
              <color rgb="009C5700"/>
              <sz val="10"/>
            </rPr>
            <t>Provisional:</t>
          </r>
          <r>
            <rPr>
              <rFont val="Calibri"/>
              <color rgb="009C5700"/>
              <sz val="10"/>
            </rPr>
            <t xml:space="preserve"> experience to be confirmed by HR</t>
          </r>
        </is>
      </c>
      <c r="AA205" s="86" t="inlineStr">
        <is>
          <t>• Total experience · outside + at IRIS — HR — HRIS
• Confirm prior experience · provisional placement — HR</t>
        </is>
      </c>
      <c r="AB20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Not rated · manager · 9-Box Grid placement: Not placed · manager.</t>
          </r>
        </is>
      </c>
      <c r="AC205" s="82" t="n"/>
      <c r="AD205" s="82" t="n"/>
      <c r="AE205" s="82" t="n"/>
      <c r="AF205" s="12" t="n">
        <v>2.5</v>
      </c>
    </row>
    <row r="206" ht="400" customHeight="1">
      <c r="A206" s="12" t="inlineStr">
        <is>
          <t>IRIS0049</t>
        </is>
      </c>
      <c r="B206" s="10" t="inlineStr">
        <is>
          <t>Kalyani Sunil Nagap</t>
        </is>
      </c>
      <c r="C206" s="12" t="inlineStr">
        <is>
          <t>XBRL Consulting</t>
        </is>
      </c>
      <c r="D206" s="12" t="inlineStr">
        <is>
          <t>Senior Analyst</t>
        </is>
      </c>
      <c r="E206" s="78" t="inlineStr">
        <is>
          <t>Taxonomy Specialist</t>
        </is>
      </c>
      <c r="F206" s="12" t="inlineStr">
        <is>
          <t>Consulting &amp; Professional Services</t>
        </is>
      </c>
      <c r="G206" s="12" t="inlineStr">
        <is>
          <t>Taxonomy Design &amp; Regulatory Consulting</t>
        </is>
      </c>
      <c r="H206" s="12" t="inlineStr">
        <is>
          <t>IC</t>
        </is>
      </c>
      <c r="I206" s="42" t="inlineStr">
        <is>
          <t>L4 – Senior</t>
        </is>
      </c>
      <c r="J206" s="16" t="inlineStr">
        <is>
          <t>A3</t>
        </is>
      </c>
      <c r="K206" s="17" t="inlineStr">
        <is>
          <t>Senior Associate</t>
        </is>
      </c>
      <c r="L206" s="79" t="inlineStr">
        <is>
          <t>▲ Up</t>
        </is>
      </c>
      <c r="M206" s="12" t="inlineStr">
        <is>
          <t>iFile · XBRL Consulting · Band A · Early career</t>
        </is>
      </c>
      <c r="N206" s="42" t="n">
        <v>3</v>
      </c>
      <c r="O206" s="42" t="n">
        <v>2.5</v>
      </c>
      <c r="P206" s="42" t="n">
        <v>3</v>
      </c>
      <c r="Q206" s="42" t="n">
        <v>1.5</v>
      </c>
      <c r="R206" s="42" t="n">
        <v>9.5</v>
      </c>
      <c r="S206" s="80" t="n">
        <v>3</v>
      </c>
      <c r="T206" s="81">
        <f>IF(OR($M206="",COUNT(N206,O206,P206,Q206,R206,S206)&lt;6),"",IFERROR(N206*INDEX(WM_C,MATCH($M206,WM_KEY,0))+O206*INDEX(WM_AU,MATCH($M206,WM_KEY,0))+P206*INDEX(WM_AC,MATCH($M206,WM_KEY,0))+Q206*INDEX(WM_L,MATCH($M206,WM_KEY,0))+R206*INDEX(WM_E,MATCH($M206,WM_KEY,0))+S206*INDEX(WM_BI,MATCH($M206,WM_KEY,0)),""))</f>
        <v>3.57</v>
      </c>
      <c r="U206" s="42" t="str">
        <f>IF(T206="","",INDEX({"A1","A2","A3","B1","B2","B3","C1","C2","D1","D2","E1","E2"},MAX(1,MIN(12,ROUND(T206,0)))))</f>
        <v>B1</v>
      </c>
      <c r="V206" s="12" t="inlineStr">
        <is>
          <r>
            <rPr>
              <rFont val="Calibri"/>
              <sz val="10"/>
            </rPr>
            <t xml:space="preserve">New level A3 · Senior Associate. Current level on record: L4 – Senior. Change: ▲ Up.
Score 3.57 on the ladder scale → indicated level B1.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W206" s="12" t="inlineStr">
        <is>
          <r>
            <rPr>
              <rFont val="Calibri"/>
              <b val="1"/>
              <sz val="10"/>
            </rPr>
            <t>Complexity &amp; Expertise:</t>
          </r>
          <r>
            <rPr>
              <rFont val="Calibri"/>
              <sz val="10"/>
            </rPr>
            <t xml:space="preserve"> 3 of 12 — Start: 3.0 · senior practitioner title; Evidence reads like A3: Develops and maintains taxonomies, templates and validation rules; analyses issues and change-request impacts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Decides appropriate testing for changes → moved down 0.5
</t>
          </r>
          <r>
            <rPr>
              <rFont val="Calibri"/>
              <b val="1"/>
              <sz val="10"/>
            </rPr>
            <t>Accountability &amp; Impact:</t>
          </r>
          <r>
            <rPr>
              <rFont val="Calibri"/>
              <sz val="10"/>
            </rPr>
            <t xml:space="preserve"> 3 of 12 — Start: 3.0 · senior practitioner title; Evidence reads like A3: Change requests implemented and client issues resolved within agreed timelines → matches the start; KRA: “1. Deliver assigned taxonomy development &amp; testing with &gt;=95% accuracy and zero critical post-release defects. 2. Achieve &gt;=95% on-time…”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9.5 of 12 · between D1 and D2 — Experience: 20.0 yrs total · 20.0 at IRIS; none recorded before IRIS = 9.7 on the experience scale; Qualification: B.Com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06" s="12"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6" s="12" t="inlineStr">
        <is>
          <r>
            <rPr>
              <rFont val="Calibri"/>
              <sz val="10"/>
            </rPr>
            <t xml:space="preserve">✓ HRIS: 20.0 yrs, B.Com,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06" s="84" t="inlineStr">
        <is>
          <r>
            <rPr>
              <rFont val="Calibri"/>
              <color rgb="009C5700"/>
              <sz val="10"/>
            </rPr>
            <t xml:space="preserve">• </t>
          </r>
          <r>
            <rPr>
              <rFont val="Calibri"/>
              <b val="1"/>
              <color rgb="009C5700"/>
              <sz val="10"/>
            </rPr>
            <t>Near a gate:</t>
          </r>
          <r>
            <rPr>
              <rFont val="Calibri"/>
              <color rgb="009C5700"/>
              <sz val="10"/>
            </rPr>
            <t xml:space="preserve"> top of band: 3.49 on Band B's weights, 0.01 short of the 3.5 needed to enter Band B
• </t>
          </r>
          <r>
            <rPr>
              <rFont val="Calibri"/>
              <b val="1"/>
              <color rgb="009C5700"/>
              <sz val="10"/>
            </rPr>
            <t>Title check:</t>
          </r>
          <r>
            <rPr>
              <rFont val="Calibri"/>
              <color rgb="009C5700"/>
              <sz val="10"/>
            </rPr>
            <t xml:space="preserve"> Check title against ladder</t>
          </r>
        </is>
      </c>
      <c r="AA206" s="12" t="inlineStr">
        <is>
          <t>Nothing outstanding</t>
        </is>
      </c>
      <c r="AB20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Reliable Specialist.</t>
          </r>
        </is>
      </c>
      <c r="AC206" s="82" t="n"/>
      <c r="AD206" s="82" t="n"/>
      <c r="AE206" s="82" t="n"/>
      <c r="AF206" s="12" t="n">
        <v>3</v>
      </c>
    </row>
    <row r="207" ht="400" customHeight="1">
      <c r="A207" s="12" t="inlineStr">
        <is>
          <t>IRIS2457</t>
        </is>
      </c>
      <c r="B207" s="10" t="inlineStr">
        <is>
          <t>Mayuri Ashok Mhetar</t>
        </is>
      </c>
      <c r="C207" s="12" t="inlineStr">
        <is>
          <t>XBRL Consulting</t>
        </is>
      </c>
      <c r="D207" s="12" t="inlineStr">
        <is>
          <t>XBRL Conversion Specialist</t>
        </is>
      </c>
      <c r="E207" s="78" t="inlineStr">
        <is>
          <t>Senior Financial Analyst</t>
        </is>
      </c>
      <c r="F207" s="12" t="inlineStr">
        <is>
          <t>Consulting &amp; Professional Services</t>
        </is>
      </c>
      <c r="G207" s="12" t="inlineStr">
        <is>
          <t>XBRL Tagging, Conversion &amp; Filing</t>
        </is>
      </c>
      <c r="H207" s="12" t="inlineStr">
        <is>
          <t>IC</t>
        </is>
      </c>
      <c r="I207" s="42" t="inlineStr">
        <is>
          <t>L3 – Professional / Associate</t>
        </is>
      </c>
      <c r="J207" s="16" t="inlineStr">
        <is>
          <t>A3</t>
        </is>
      </c>
      <c r="K207" s="17" t="inlineStr">
        <is>
          <t>Senior Associate</t>
        </is>
      </c>
      <c r="L207" s="79" t="inlineStr">
        <is>
          <t>▲ Up</t>
        </is>
      </c>
      <c r="M207" s="12" t="inlineStr">
        <is>
          <t>iFile · XBRL Consulting · Band A · Early career</t>
        </is>
      </c>
      <c r="N207" s="42" t="n">
        <v>2</v>
      </c>
      <c r="O207" s="42" t="n">
        <v>2</v>
      </c>
      <c r="P207" s="42" t="n">
        <v>2</v>
      </c>
      <c r="Q207" s="42" t="n">
        <v>1</v>
      </c>
      <c r="R207" s="42" t="n">
        <v>3</v>
      </c>
      <c r="S207" s="80" t="n">
        <v>2</v>
      </c>
      <c r="T207" s="81">
        <f>IF(OR($M207="",COUNT(N207,O207,P207,Q207,R207,S207)&lt;6),"",IFERROR(N207*INDEX(WM_C,MATCH($M207,WM_KEY,0))+O207*INDEX(WM_AU,MATCH($M207,WM_KEY,0))+P207*INDEX(WM_AC,MATCH($M207,WM_KEY,0))+Q207*INDEX(WM_L,MATCH($M207,WM_KEY,0))+R207*INDEX(WM_E,MATCH($M207,WM_KEY,0))+S207*INDEX(WM_BI,MATCH($M207,WM_KEY,0)),""))</f>
        <v>2.1</v>
      </c>
      <c r="U207" s="42" t="str">
        <f>IF(T207="","",INDEX({"A1","A2","A3","B1","B2","B3","C1","C2","D1","D2","E1","E2"},MAX(1,MIN(12,ROUND(T207,0)))))</f>
        <v>A2</v>
      </c>
      <c r="V207"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3.2 years' experience is 2 years or more.
</t>
          </r>
          <r>
            <rPr>
              <rFont val="Calibri"/>
              <b val="1"/>
              <sz val="10"/>
            </rPr>
            <t>Final level:</t>
          </r>
          <r>
            <rPr>
              <rFont val="Calibri"/>
              <sz val="10"/>
            </rPr>
            <t xml:space="preserve"> A3.</t>
          </r>
        </is>
      </c>
      <c r="W207" s="12" t="inlineStr">
        <is>
          <r>
            <rPr>
              <rFont val="Calibri"/>
              <b val="1"/>
              <sz val="10"/>
            </rPr>
            <t>Complexity &amp; Expertise:</t>
          </r>
          <r>
            <rPr>
              <rFont val="Calibri"/>
              <sz val="10"/>
            </rPr>
            <t xml:space="preserve"> 2 of 12 — Start: 2.0 · practitioner title; Evidence reads like A2: iFile webform and formula testing, test scenarios and scenario-specific test data creation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 of 12 — Start: 2.0 · practitioner title; Evidence reads like A2: Decides test data scenarios and how to validate formula calculations → matches the start
</t>
          </r>
          <r>
            <rPr>
              <rFont val="Calibri"/>
              <b val="1"/>
              <sz val="10"/>
            </rPr>
            <t>Accountability &amp; Impact:</t>
          </r>
          <r>
            <rPr>
              <rFont val="Calibri"/>
              <sz val="10"/>
            </rPr>
            <t xml:space="preserve"> 2 of 12 — Start: 2.0 · practitioner title; Evidence reads like A2: Own testing of iFile and formula functionality; missed defects cause development rework → matches the start; KRA: “1. Deliver assigned taxonomy development &amp; testing with &gt;=95% accuracy and zero critical post-release defects. 2. Achieve &gt;=95% on-time…”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3 of 12 — Experience: 3.2 yrs total · 2.5 before IRIS + 0.7 at IRIS = 3.1 on the experience scale;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7" s="12" t="inlineStr">
        <is>
          <r>
            <rPr>
              <rFont val="Calibri"/>
              <sz val="10"/>
            </rPr>
            <t xml:space="preserve">✓ HRIS: 3.2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07" s="12" t="inlineStr">
        <is>
          <t>—</t>
        </is>
      </c>
      <c r="AA207" s="12" t="inlineStr">
        <is>
          <t>Nothing outstanding</t>
        </is>
      </c>
      <c r="AB20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207" s="82" t="n"/>
      <c r="AD207" s="82" t="n"/>
      <c r="AE207" s="82" t="n"/>
      <c r="AF207" s="12" t="n">
        <v>2</v>
      </c>
    </row>
    <row r="208" ht="400" customHeight="1">
      <c r="A208" s="12" t="inlineStr">
        <is>
          <t>IRIS2458</t>
        </is>
      </c>
      <c r="B208" s="10" t="inlineStr">
        <is>
          <t>Musaf Shaikh</t>
        </is>
      </c>
      <c r="C208" s="12" t="inlineStr">
        <is>
          <t>XBRL Consulting</t>
        </is>
      </c>
      <c r="D208" s="12" t="inlineStr">
        <is>
          <t>XBRL Conversion Specialist</t>
        </is>
      </c>
      <c r="E208" s="78" t="inlineStr">
        <is>
          <t>Senior Financial Analyst</t>
        </is>
      </c>
      <c r="F208" s="12" t="inlineStr">
        <is>
          <t>Consulting &amp; Professional Services</t>
        </is>
      </c>
      <c r="G208" s="12" t="inlineStr">
        <is>
          <t>XBRL Tagging, Conversion &amp; Filing</t>
        </is>
      </c>
      <c r="H208" s="12" t="inlineStr">
        <is>
          <t>IC</t>
        </is>
      </c>
      <c r="I208" s="42" t="inlineStr">
        <is>
          <t>L3 – Professional / Associate</t>
        </is>
      </c>
      <c r="J208" s="16" t="inlineStr">
        <is>
          <t>A3</t>
        </is>
      </c>
      <c r="K208" s="17" t="inlineStr">
        <is>
          <t>Senior Associate</t>
        </is>
      </c>
      <c r="L208" s="79" t="inlineStr">
        <is>
          <t>▲ Up</t>
        </is>
      </c>
      <c r="M208" s="12" t="inlineStr">
        <is>
          <t>iFile · XBRL Consulting · Band A · Early career</t>
        </is>
      </c>
      <c r="N208" s="42" t="n">
        <v>2</v>
      </c>
      <c r="O208" s="42" t="n">
        <v>2</v>
      </c>
      <c r="P208" s="42" t="n">
        <v>2</v>
      </c>
      <c r="Q208" s="42" t="n">
        <v>1</v>
      </c>
      <c r="R208" s="42" t="n">
        <v>2.5</v>
      </c>
      <c r="S208" s="80" t="n">
        <v>2</v>
      </c>
      <c r="T208" s="81">
        <f>IF(OR($M208="",COUNT(N208,O208,P208,Q208,R208,S208)&lt;6),"",IFERROR(N208*INDEX(WM_C,MATCH($M208,WM_KEY,0))+O208*INDEX(WM_AU,MATCH($M208,WM_KEY,0))+P208*INDEX(WM_AC,MATCH($M208,WM_KEY,0))+Q208*INDEX(WM_L,MATCH($M208,WM_KEY,0))+R208*INDEX(WM_E,MATCH($M208,WM_KEY,0))+S208*INDEX(WM_BI,MATCH($M208,WM_KEY,0)),""))</f>
        <v>2.05</v>
      </c>
      <c r="U208" s="42" t="str">
        <f>IF(T208="","",INDEX({"A1","A2","A3","B1","B2","B3","C1","C2","D1","D2","E1","E2"},MAX(1,MIN(12,ROUND(T208,0)))))</f>
        <v>A2</v>
      </c>
      <c r="V208" s="12" t="inlineStr">
        <is>
          <r>
            <rPr>
              <rFont val="Calibri"/>
              <sz val="10"/>
            </rPr>
            <t xml:space="preserve">New level A3 · Senior Associate. Current level on record: L3 – Professional / Associate. Change: ▲ Up.
Score 2.05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2.2 years' experience is 2 years or more.
</t>
          </r>
          <r>
            <rPr>
              <rFont val="Calibri"/>
              <b val="1"/>
              <sz val="10"/>
            </rPr>
            <t>Final level:</t>
          </r>
          <r>
            <rPr>
              <rFont val="Calibri"/>
              <sz val="10"/>
            </rPr>
            <t xml:space="preserve"> A3.</t>
          </r>
        </is>
      </c>
      <c r="W208" s="12" t="inlineStr">
        <is>
          <r>
            <rPr>
              <rFont val="Calibri"/>
              <b val="1"/>
              <sz val="10"/>
            </rPr>
            <t>Complexity &amp; Expertise:</t>
          </r>
          <r>
            <rPr>
              <rFont val="Calibri"/>
              <sz val="10"/>
            </rPr>
            <t xml:space="preserve"> 2 of 12 — Start: 2.0 · practitioner title; Evidence reads like A2: KRA note only: outsourced XBRL conversions and IRIS Instant release testing to set targets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KRA note only: works to set accuracy, turnaround and SLA standards; no decisions described → matches the start
</t>
          </r>
          <r>
            <rPr>
              <rFont val="Calibri"/>
              <b val="1"/>
              <sz val="10"/>
            </rPr>
            <t>Accountability &amp; Impact:</t>
          </r>
          <r>
            <rPr>
              <rFont val="Calibri"/>
              <sz val="10"/>
            </rPr>
            <t xml:space="preserve"> 2 of 12 — Start: 2.0 · practitioner title; Evidence reads like A2: KRA note only: accuracy, turnaround and SLA on own conversions and client queries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KRA note lists no people responsibilities → matches the start; Team: 0 direct reports · IC
</t>
          </r>
          <r>
            <rPr>
              <rFont val="Calibri"/>
              <b val="1"/>
              <sz val="10"/>
            </rPr>
            <t>Experience &amp; Qualification:</t>
          </r>
          <r>
            <rPr>
              <rFont val="Calibri"/>
              <sz val="10"/>
            </rPr>
            <t xml:space="preserve"> 2.5 of 12 · between A2 and A3 — Experience: 2.2 yrs total · 1.5 before IRIS + 0.7 at IRIS = 2.6 on the experience scale;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8" s="12" t="inlineStr">
        <is>
          <r>
            <rPr>
              <rFont val="Calibri"/>
              <sz val="10"/>
            </rPr>
            <t xml:space="preserve">✓ HRIS: 2.2 yrs, B.Com, 0 direct reports
✗ Survey: no response
✓ KRAs: manager-set, quarterly
✓ Manager mapping: rating, potential, 9-box
✗ Job description: not on file
</t>
          </r>
          <r>
            <rPr>
              <rFont val="Calibri"/>
              <b val="1"/>
              <sz val="10"/>
            </rPr>
            <t>Confidence:</t>
          </r>
          <r>
            <rPr>
              <rFont val="Calibri"/>
              <sz val="10"/>
            </rPr>
            <t xml:space="preserve"> Medium</t>
          </r>
        </is>
      </c>
      <c r="Z208" s="84" t="inlineStr">
        <is>
          <r>
            <rPr>
              <rFont val="Calibri"/>
              <color rgb="009C5700"/>
              <sz val="10"/>
            </rPr>
            <t xml:space="preserve">• </t>
          </r>
          <r>
            <rPr>
              <rFont val="Calibri"/>
              <b val="1"/>
              <color rgb="009C5700"/>
              <sz val="10"/>
            </rPr>
            <t>Near a gate:</t>
          </r>
          <r>
            <rPr>
              <rFont val="Calibri"/>
              <color rgb="009C5700"/>
              <sz val="10"/>
            </rPr>
            <t xml:space="preserve"> Band A experience rule: 2.2 yrs is within three months of the 1- or 2-year threshold</t>
          </r>
        </is>
      </c>
      <c r="AA208" s="12" t="inlineStr">
        <is>
          <t>Nothing outstanding</t>
        </is>
      </c>
      <c r="AB20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208" s="82" t="n"/>
      <c r="AD208" s="82" t="n"/>
      <c r="AE208" s="82" t="n"/>
      <c r="AF208" s="12" t="n">
        <v>2</v>
      </c>
    </row>
    <row r="209" ht="400" customHeight="1">
      <c r="A209" s="12" t="inlineStr">
        <is>
          <t>IRIS1248</t>
        </is>
      </c>
      <c r="B209" s="10" t="inlineStr">
        <is>
          <t>Neha Periwal</t>
        </is>
      </c>
      <c r="C209" s="12" t="inlineStr">
        <is>
          <t>XBRL Consulting</t>
        </is>
      </c>
      <c r="D209" s="12" t="inlineStr">
        <is>
          <t>Consultant</t>
        </is>
      </c>
      <c r="E209" s="78" t="inlineStr">
        <is>
          <t>Senior Taxonomy Analyst</t>
        </is>
      </c>
      <c r="F209" s="12" t="inlineStr">
        <is>
          <t>Consulting &amp; Professional Services</t>
        </is>
      </c>
      <c r="G209" s="12" t="inlineStr">
        <is>
          <t>Taxonomy Design &amp; Regulatory Consulting</t>
        </is>
      </c>
      <c r="H209" s="12" t="inlineStr">
        <is>
          <t>IC</t>
        </is>
      </c>
      <c r="I209" s="42" t="inlineStr">
        <is>
          <t>L3 – Professional / Associate</t>
        </is>
      </c>
      <c r="J209" s="16" t="inlineStr">
        <is>
          <t>A3</t>
        </is>
      </c>
      <c r="K209" s="17" t="inlineStr">
        <is>
          <t>Senior Associate</t>
        </is>
      </c>
      <c r="L209" s="79" t="inlineStr">
        <is>
          <t>▲ Up</t>
        </is>
      </c>
      <c r="M209" s="12" t="inlineStr">
        <is>
          <t>iFile · XBRL Consulting · Band A · Early career</t>
        </is>
      </c>
      <c r="N209" s="42" t="n">
        <v>3</v>
      </c>
      <c r="O209" s="42" t="n">
        <v>2.5</v>
      </c>
      <c r="P209" s="42" t="n">
        <v>2.5</v>
      </c>
      <c r="Q209" s="42" t="n">
        <v>1.5</v>
      </c>
      <c r="R209" s="42" t="n">
        <v>10</v>
      </c>
      <c r="S209" s="80" t="n">
        <v>2.5</v>
      </c>
      <c r="T209" s="81">
        <f>IF(OR($M209="",COUNT(N209,O209,P209,Q209,R209,S209)&lt;6),"",IFERROR(N209*INDEX(WM_C,MATCH($M209,WM_KEY,0))+O209*INDEX(WM_AU,MATCH($M209,WM_KEY,0))+P209*INDEX(WM_AC,MATCH($M209,WM_KEY,0))+Q209*INDEX(WM_L,MATCH($M209,WM_KEY,0))+R209*INDEX(WM_E,MATCH($M209,WM_KEY,0))+S209*INDEX(WM_BI,MATCH($M209,WM_KEY,0)),""))</f>
        <v>3.545</v>
      </c>
      <c r="U209" s="42" t="str">
        <f>IF(T209="","",INDEX({"A1","A2","A3","B1","B2","B3","C1","C2","D1","D2","E1","E2"},MAX(1,MIN(12,ROUND(T209,0)))))</f>
        <v>B1</v>
      </c>
      <c r="V209" s="12" t="inlineStr">
        <is>
          <r>
            <rPr>
              <rFont val="Calibri"/>
              <sz val="10"/>
            </rPr>
            <t xml:space="preserve">New level A3 · Senior Associate. Current level on record: L3 – Professional / Associate. Change: ▲ Up.
Score 3.54 on the ladder scale → indicated level B1.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3.46.
</t>
          </r>
          <r>
            <rPr>
              <rFont val="Calibri"/>
              <b val="1"/>
              <sz val="10"/>
            </rPr>
            <t>Final level:</t>
          </r>
          <r>
            <rPr>
              <rFont val="Calibri"/>
              <sz val="10"/>
            </rPr>
            <t xml:space="preserve"> A3.</t>
          </r>
        </is>
      </c>
      <c r="W209" s="12" t="inlineStr">
        <is>
          <r>
            <rPr>
              <rFont val="Calibri"/>
              <b val="1"/>
              <sz val="10"/>
            </rPr>
            <t>Complexity &amp; Expertise:</t>
          </r>
          <r>
            <rPr>
              <rFont val="Calibri"/>
              <sz val="10"/>
            </rPr>
            <t xml:space="preserve"> 3 of 12 — Start: 3.0 · senior practitioner title; Evidence reads like A3: Taxonomy creation, analysis modelling, business rules, client management; takes calls when scenarios differ → matches the start; KRA: “1. Lead domain delivery for assigned iFILE implementations with &gt;=98% mapping accuracy, on schedule. 2. Own quality of assigned taxonomy…”
</t>
          </r>
          <r>
            <rPr>
              <rFont val="Calibri"/>
              <b val="1"/>
              <sz val="10"/>
            </rPr>
            <t>Autonomy &amp; Decision:</t>
          </r>
          <r>
            <rPr>
              <rFont val="Calibri"/>
              <sz val="10"/>
            </rPr>
            <t xml:space="preserve"> 2.5 of 12 · between A2 and A3 — Start: 3.0 · senior practitioner title; Evidence reads like A2: Decides only 'team interaction'; occasional calls on unusual scenarios → moved down 0.5
</t>
          </r>
          <r>
            <rPr>
              <rFont val="Calibri"/>
              <b val="1"/>
              <sz val="10"/>
            </rPr>
            <t>Accountability &amp; Impact:</t>
          </r>
          <r>
            <rPr>
              <rFont val="Calibri"/>
              <sz val="10"/>
            </rPr>
            <t xml:space="preserve"> 2.5 of 12 · between A2 and A3 — Start: 3.0 · senior practitioner title; Evidence reads like A2: Accountable for 'anything taxonomy related'; consequence is rework and management mails → moved down 0.5; KRA: “1. Lead domain delivery for assigned iFILE implementations with &gt;=98% mapping accuracy, on schedule. 2. Own quality of assigned taxonomy…”
</t>
          </r>
          <r>
            <rPr>
              <rFont val="Calibri"/>
              <b val="1"/>
              <sz val="10"/>
            </rPr>
            <t>Leadership &amp; Strategy:</t>
          </r>
          <r>
            <rPr>
              <rFont val="Calibri"/>
              <sz val="10"/>
            </rPr>
            <t xml:space="preserve"> 1.5 of 12 · between A1 and A2 — not counted: the weight is 0% at this level — Start: 2.0 · individual contributor, so influence only; Evidence reads like A1: Team work and coordination mentioned generically; no guiding of others → moved down 0.5; Team: 0 direct reports · IC
</t>
          </r>
          <r>
            <rPr>
              <rFont val="Calibri"/>
              <b val="1"/>
              <sz val="10"/>
            </rPr>
            <t>Experience &amp; Qualification:</t>
          </r>
          <r>
            <rPr>
              <rFont val="Calibri"/>
              <sz val="10"/>
            </rPr>
            <t xml:space="preserve"> 10 of 12 — Experience: 17.5 yrs total · 3.4 before IRIS + 14.1 at IRIS = 9.0 on the experience scale; Qualification: CA · professional, relevant to the work → +1.0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0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09" s="12" t="inlineStr">
        <is>
          <r>
            <rPr>
              <rFont val="Calibri"/>
              <sz val="10"/>
            </rPr>
            <t xml:space="preserve">✓ HRIS: 17.5 yrs, CA,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09" s="84" t="inlineStr">
        <is>
          <r>
            <rPr>
              <rFont val="Calibri"/>
              <color rgb="009C5700"/>
              <sz val="10"/>
            </rPr>
            <t xml:space="preserve">• </t>
          </r>
          <r>
            <rPr>
              <rFont val="Calibri"/>
              <b val="1"/>
              <color rgb="009C5700"/>
              <sz val="10"/>
            </rPr>
            <t>Near a gate:</t>
          </r>
          <r>
            <rPr>
              <rFont val="Calibri"/>
              <color rgb="009C5700"/>
              <sz val="10"/>
            </rPr>
            <t xml:space="preserve"> top of band: 3.46 on Band B's weights, 0.04 short of the 3.5 needed to enter Band B</t>
          </r>
        </is>
      </c>
      <c r="AA209" s="12" t="inlineStr">
        <is>
          <t>Nothing outstanding</t>
        </is>
      </c>
      <c r="AB20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Reliable Specialist.</t>
          </r>
        </is>
      </c>
      <c r="AC209" s="82" t="n"/>
      <c r="AD209" s="82" t="n"/>
      <c r="AE209" s="82" t="n"/>
      <c r="AF209" s="12" t="n">
        <v>2.5</v>
      </c>
    </row>
    <row r="210" ht="400" customHeight="1">
      <c r="A210" s="12" t="inlineStr">
        <is>
          <t>IRIS2088</t>
        </is>
      </c>
      <c r="B210" s="10" t="inlineStr">
        <is>
          <t>Pawan Khot</t>
        </is>
      </c>
      <c r="C210" s="12" t="inlineStr">
        <is>
          <t>XBRL Consulting</t>
        </is>
      </c>
      <c r="D210" s="12" t="inlineStr">
        <is>
          <t>Image Processing Specialist</t>
        </is>
      </c>
      <c r="E210" s="78" t="inlineStr">
        <is>
          <t>Senior Taxonomy Analyst</t>
        </is>
      </c>
      <c r="F210" s="12" t="inlineStr">
        <is>
          <t>Consulting &amp; Professional Services</t>
        </is>
      </c>
      <c r="G210" s="12" t="inlineStr">
        <is>
          <t>Taxonomy Design &amp; Regulatory Consulting</t>
        </is>
      </c>
      <c r="H210" s="12" t="inlineStr">
        <is>
          <t>IC</t>
        </is>
      </c>
      <c r="I210" s="42" t="inlineStr">
        <is>
          <t>Not in current mapping files</t>
        </is>
      </c>
      <c r="J210" s="16" t="inlineStr">
        <is>
          <t>A3</t>
        </is>
      </c>
      <c r="K210" s="17" t="inlineStr">
        <is>
          <t>Senior Associate</t>
        </is>
      </c>
      <c r="L210" s="85" t="inlineStr">
        <is>
          <t>● Newly mapped</t>
        </is>
      </c>
      <c r="M210" s="12" t="inlineStr">
        <is>
          <t>iFile · XBRL Consulting · Band A · Early career</t>
        </is>
      </c>
      <c r="N210" s="42" t="n">
        <v>2.5</v>
      </c>
      <c r="O210" s="42" t="n">
        <v>2.5</v>
      </c>
      <c r="P210" s="42" t="n">
        <v>2.5</v>
      </c>
      <c r="Q210" s="42" t="n">
        <v>1.5</v>
      </c>
      <c r="R210" s="42" t="n">
        <v>3.5</v>
      </c>
      <c r="S210" s="80" t="n">
        <v>2.5</v>
      </c>
      <c r="T210" s="81">
        <f>IF(OR($M210="",COUNT(N210,O210,P210,Q210,R210,S210)&lt;6),"",IFERROR(N210*INDEX(WM_C,MATCH($M210,WM_KEY,0))+O210*INDEX(WM_AU,MATCH($M210,WM_KEY,0))+P210*INDEX(WM_AC,MATCH($M210,WM_KEY,0))+Q210*INDEX(WM_L,MATCH($M210,WM_KEY,0))+R210*INDEX(WM_E,MATCH($M210,WM_KEY,0))+S210*INDEX(WM_BI,MATCH($M210,WM_KEY,0)),""))</f>
        <v>2.6</v>
      </c>
      <c r="U210" s="42" t="str">
        <f>IF(T210="","",INDEX({"A1","A2","A3","B1","B2","B3","C1","C2","D1","D2","E1","E2"},MAX(1,MIN(12,ROUND(T210,0)))))</f>
        <v>A3</v>
      </c>
      <c r="V210" s="12" t="inlineStr">
        <is>
          <r>
            <rPr>
              <rFont val="Calibri"/>
              <sz val="10"/>
            </rPr>
            <t xml:space="preserve">New level A3 · Senior Associate. Current level on record: Not in current mapping files. Change: ● Newly mapped.
Score 2.60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0" s="12" t="inlineStr">
        <is>
          <r>
            <rPr>
              <rFont val="Calibri"/>
              <b val="1"/>
              <sz val="10"/>
            </rPr>
            <t>Complexity &amp; Expertise:</t>
          </r>
          <r>
            <rPr>
              <rFont val="Calibri"/>
              <sz val="10"/>
            </rPr>
            <t xml:space="preserve"> 2.5 of 12 · between A2 and A3 — Start: 3.0 · senior practitioner title; Evidence reads like A2: Analyses company reports and tags them into XBRL using Mtool and Excel → moved down 0.5
</t>
          </r>
          <r>
            <rPr>
              <rFont val="Calibri"/>
              <b val="1"/>
              <sz val="10"/>
            </rPr>
            <t>Autonomy &amp; Decision:</t>
          </r>
          <r>
            <rPr>
              <rFont val="Calibri"/>
              <sz val="10"/>
            </rPr>
            <t xml:space="preserve"> 2.5 of 12 · between A2 and A3 — Start: 3.0 · senior practitioner title; Evidence reads like A2: Decides tagging only → moved down 0.5
</t>
          </r>
          <r>
            <rPr>
              <rFont val="Calibri"/>
              <b val="1"/>
              <sz val="10"/>
            </rPr>
            <t>Accountability &amp; Impact:</t>
          </r>
          <r>
            <rPr>
              <rFont val="Calibri"/>
              <sz val="10"/>
            </rPr>
            <t xml:space="preserve"> 2.5 of 12 · between A2 and A3 — Start: 3.0 · senior practitioner title; Evidence reads like A2: All company data properly tagged and quality of own output reports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3.5 of 12 · between A3 and B1 — Experience: 3.7 yrs total · 3.7 at IRIS; none recorded before IRIS = 3.3 on the experience scale; Qualification: B.Com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0" s="12" t="inlineStr">
        <is>
          <r>
            <rPr>
              <rFont val="Calibri"/>
              <sz val="10"/>
            </rPr>
            <t xml:space="preserve">✓ HRIS: 3.7 yrs, B.Com, 0 direct reports
✓ Survey: 20 of 20 questions answered
✗ KRAs: none on file
✓ Manager mapping: rating, 9-box
✗ Job description: not on file
</t>
          </r>
          <r>
            <rPr>
              <rFont val="Calibri"/>
              <b val="1"/>
              <sz val="10"/>
            </rPr>
            <t>Confidence:</t>
          </r>
          <r>
            <rPr>
              <rFont val="Calibri"/>
              <sz val="10"/>
            </rPr>
            <t xml:space="preserve"> Medium</t>
          </r>
        </is>
      </c>
      <c r="Z210" s="12" t="inlineStr">
        <is>
          <t>—</t>
        </is>
      </c>
      <c r="AA210" s="12" t="inlineStr">
        <is>
          <t>Nothing outstanding</t>
        </is>
      </c>
      <c r="AB2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Not rated · manager · 9-Box Grid placement: Not placed · manager.</t>
          </r>
        </is>
      </c>
      <c r="AC210" s="82" t="n"/>
      <c r="AD210" s="82" t="n"/>
      <c r="AE210" s="82" t="n"/>
      <c r="AF210" s="12" t="n">
        <v>2.5</v>
      </c>
    </row>
    <row r="211" ht="400" customHeight="1">
      <c r="A211" s="12" t="inlineStr">
        <is>
          <t>IRISC339</t>
        </is>
      </c>
      <c r="B211" s="10" t="inlineStr">
        <is>
          <t>Pranali Khanavkar</t>
        </is>
      </c>
      <c r="C211" s="12" t="inlineStr">
        <is>
          <t>XBRL Consulting</t>
        </is>
      </c>
      <c r="D211" s="12" t="inlineStr">
        <is>
          <t>Consultant</t>
        </is>
      </c>
      <c r="E211" s="78" t="inlineStr">
        <is>
          <t>Senior Taxonomy Analyst</t>
        </is>
      </c>
      <c r="F211" s="12" t="inlineStr">
        <is>
          <t>Consulting &amp; Professional Services</t>
        </is>
      </c>
      <c r="G211" s="12" t="inlineStr">
        <is>
          <t>Taxonomy Design &amp; Regulatory Consulting</t>
        </is>
      </c>
      <c r="H211" s="12" t="inlineStr">
        <is>
          <t>IC</t>
        </is>
      </c>
      <c r="I211" s="42" t="inlineStr">
        <is>
          <t>L3 – Professional / Associate</t>
        </is>
      </c>
      <c r="J211" s="16" t="inlineStr">
        <is>
          <t>A3</t>
        </is>
      </c>
      <c r="K211" s="17" t="inlineStr">
        <is>
          <t>Senior Associate</t>
        </is>
      </c>
      <c r="L211" s="79" t="inlineStr">
        <is>
          <t>▲ Up</t>
        </is>
      </c>
      <c r="M211" s="12" t="inlineStr">
        <is>
          <t>iFile · XBRL Consulting · Band A · Early career</t>
        </is>
      </c>
      <c r="N211" s="42" t="n">
        <v>2</v>
      </c>
      <c r="O211" s="42" t="n">
        <v>2</v>
      </c>
      <c r="P211" s="42" t="n">
        <v>2</v>
      </c>
      <c r="Q211" s="42" t="n">
        <v>1</v>
      </c>
      <c r="R211" s="42" t="n">
        <v>4</v>
      </c>
      <c r="S211" s="80" t="n">
        <v>2</v>
      </c>
      <c r="T211" s="81">
        <f>IF(OR($M211="",COUNT(N211,O211,P211,Q211,R211,S211)&lt;6),"",IFERROR(N211*INDEX(WM_C,MATCH($M211,WM_KEY,0))+O211*INDEX(WM_AU,MATCH($M211,WM_KEY,0))+P211*INDEX(WM_AC,MATCH($M211,WM_KEY,0))+Q211*INDEX(WM_L,MATCH($M211,WM_KEY,0))+R211*INDEX(WM_E,MATCH($M211,WM_KEY,0))+S211*INDEX(WM_BI,MATCH($M211,WM_KEY,0)),""))</f>
        <v>2.2</v>
      </c>
      <c r="U211" s="42" t="str">
        <f>IF(T211="","",INDEX({"A1","A2","A3","B1","B2","B3","C1","C2","D1","D2","E1","E2"},MAX(1,MIN(12,ROUND(T211,0)))))</f>
        <v>A2</v>
      </c>
      <c r="V211"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7.8 years' experience is 2 years or more.
</t>
          </r>
          <r>
            <rPr>
              <rFont val="Calibri"/>
              <b val="1"/>
              <sz val="10"/>
            </rPr>
            <t>Final level:</t>
          </r>
          <r>
            <rPr>
              <rFont val="Calibri"/>
              <sz val="10"/>
            </rPr>
            <t xml:space="preserve"> A3.</t>
          </r>
        </is>
      </c>
      <c r="W211" s="12" t="inlineStr">
        <is>
          <r>
            <rPr>
              <rFont val="Calibri"/>
              <b val="1"/>
              <sz val="10"/>
            </rPr>
            <t>Complexity &amp; Expertise:</t>
          </r>
          <r>
            <rPr>
              <rFont val="Calibri"/>
              <sz val="10"/>
            </rPr>
            <t xml:space="preserve"> 2 of 12 — Start: 2.0 · practitioner title; Evidence reads like A2: iXBRL tagging, MBRS validation checks and ACRA testing; standard conversion work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Decides data validation; rates own latitude as 'moderate' → matches the start
</t>
          </r>
          <r>
            <rPr>
              <rFont val="Calibri"/>
              <b val="1"/>
              <sz val="10"/>
            </rPr>
            <t>Accountability &amp; Impact:</t>
          </r>
          <r>
            <rPr>
              <rFont val="Calibri"/>
              <sz val="10"/>
            </rPr>
            <t xml:space="preserve"> 2 of 12 — Start: 2.0 · practitioner title; Evidence reads like A2: Quality check and accuracy of own tagging; poor QC causes client escalation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4 of 12 — Experience: 7.8 yrs; qualification: B.Com. 5.0 yrs used · the 7.8 yrs on record looks too high for the record — HR to check sits at 3.8 on the experience scale · the range it fits: B1; qualification B.Com · graduate, relevant to the work: no adjustment.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11"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1" s="12" t="inlineStr">
        <is>
          <r>
            <rPr>
              <rFont val="Calibri"/>
              <sz val="10"/>
            </rPr>
            <t xml:space="preserve">✓ HRIS: 7.8 yrs, B.Com, 0 direct reports
✓ Survey: 20 of 20 questions answered
✓ KRAs: manager-set, quarterly
✓ Manager mapping: rating, potential, 9-box
✗ Job description: not on file
</t>
          </r>
          <r>
            <rPr>
              <rFont val="Calibri"/>
              <b val="1"/>
              <sz val="10"/>
            </rPr>
            <t>Confidence:</t>
          </r>
          <r>
            <rPr>
              <rFont val="Calibri"/>
              <sz val="10"/>
            </rPr>
            <t xml:space="preserve"> Low</t>
          </r>
        </is>
      </c>
      <c r="Z211" s="12" t="inlineStr">
        <is>
          <t>—</t>
        </is>
      </c>
      <c r="AA211" s="86" t="inlineStr">
        <is>
          <t>• Correct the experience record — HR</t>
        </is>
      </c>
      <c r="AB21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Core Contributor.</t>
          </r>
        </is>
      </c>
      <c r="AC211" s="82" t="n"/>
      <c r="AD211" s="82" t="n"/>
      <c r="AE211" s="82" t="n"/>
      <c r="AF211" s="12" t="n">
        <v>2</v>
      </c>
    </row>
    <row r="212" ht="400" customHeight="1">
      <c r="A212" s="12" t="inlineStr">
        <is>
          <t>IRIS0359</t>
        </is>
      </c>
      <c r="B212" s="10" t="inlineStr">
        <is>
          <t>Prasad Chavan</t>
        </is>
      </c>
      <c r="C212" s="12" t="inlineStr">
        <is>
          <t>XBRL Consulting</t>
        </is>
      </c>
      <c r="D212" s="12" t="inlineStr">
        <is>
          <t>Consultant</t>
        </is>
      </c>
      <c r="E212" s="78" t="inlineStr">
        <is>
          <t>Senior Taxonomy Analyst</t>
        </is>
      </c>
      <c r="F212" s="12" t="inlineStr">
        <is>
          <t>Consulting &amp; Professional Services</t>
        </is>
      </c>
      <c r="G212" s="12" t="inlineStr">
        <is>
          <t>Taxonomy Design &amp; Regulatory Consulting</t>
        </is>
      </c>
      <c r="H212" s="12" t="inlineStr">
        <is>
          <t>IC</t>
        </is>
      </c>
      <c r="I212" s="42" t="inlineStr">
        <is>
          <t>L3 – Professional / Associate</t>
        </is>
      </c>
      <c r="J212" s="16" t="inlineStr">
        <is>
          <t>A3</t>
        </is>
      </c>
      <c r="K212" s="17" t="inlineStr">
        <is>
          <t>Senior Associate</t>
        </is>
      </c>
      <c r="L212" s="79" t="inlineStr">
        <is>
          <t>▲ Up</t>
        </is>
      </c>
      <c r="M212" s="12" t="inlineStr">
        <is>
          <t>iFile · XBRL Consulting · Band A · Early career</t>
        </is>
      </c>
      <c r="N212" s="42" t="n">
        <v>3</v>
      </c>
      <c r="O212" s="42" t="n">
        <v>2.5</v>
      </c>
      <c r="P212" s="42" t="n">
        <v>2.5</v>
      </c>
      <c r="Q212" s="42" t="n">
        <v>1.5</v>
      </c>
      <c r="R212" s="42" t="n">
        <v>8.5</v>
      </c>
      <c r="S212" s="80" t="n">
        <v>2.5</v>
      </c>
      <c r="T212" s="81">
        <f>IF(OR($M212="",COUNT(N212,O212,P212,Q212,R212,S212)&lt;6),"",IFERROR(N212*INDEX(WM_C,MATCH($M212,WM_KEY,0))+O212*INDEX(WM_AU,MATCH($M212,WM_KEY,0))+P212*INDEX(WM_AC,MATCH($M212,WM_KEY,0))+Q212*INDEX(WM_L,MATCH($M212,WM_KEY,0))+R212*INDEX(WM_E,MATCH($M212,WM_KEY,0))+S212*INDEX(WM_BI,MATCH($M212,WM_KEY,0)),""))</f>
        <v>3.395</v>
      </c>
      <c r="U212" s="42" t="str">
        <f>IF(T212="","",INDEX({"A1","A2","A3","B1","B2","B3","C1","C2","D1","D2","E1","E2"},MAX(1,MIN(12,ROUND(T212,0)))))</f>
        <v>A3</v>
      </c>
      <c r="V212" s="12" t="inlineStr">
        <is>
          <r>
            <rPr>
              <rFont val="Calibri"/>
              <sz val="10"/>
            </rPr>
            <t xml:space="preserve">New level A3 · Senior Associate. Current level on record: L3 – Professional / Associate. Change: ▲ Up.
Score 3.40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2" s="12" t="inlineStr">
        <is>
          <r>
            <rPr>
              <rFont val="Calibri"/>
              <b val="1"/>
              <sz val="10"/>
            </rPr>
            <t>Complexity &amp; Expertise:</t>
          </r>
          <r>
            <rPr>
              <rFont val="Calibri"/>
              <sz val="10"/>
            </rPr>
            <t xml:space="preserve"> 3 of 12 — Start: 3.0 · senior practitioner title; Evidence reads like A3: Taxonomy structure development with formula linkbase in Noah; client engagement; little detail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'Structure process define'; says approach is discussed with team members before proceeding → moved down 0.5
</t>
          </r>
          <r>
            <rPr>
              <rFont val="Calibri"/>
              <b val="1"/>
              <sz val="10"/>
            </rPr>
            <t>Accountability &amp; Impact:</t>
          </r>
          <r>
            <rPr>
              <rFont val="Calibri"/>
              <sz val="10"/>
            </rPr>
            <t xml:space="preserve"> 2.5 of 12 · between A2 and A3 — Start: 3.0 · senior practitioner title; Evidence reads like A2: Consistent, scalable taxonomy structure of own development; error means restart → moved down 0.5; KRA: “1. Deliver assigned taxonomy development &amp; testing with &gt;=95% accuracy and zero critical post-release defects. 2. Achieve &gt;=95% on-time…”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8.5 of 12 · between C2 and D1 — Experience: 16.2 yrs total · 16.2 at IRIS; none recorded before IRIS = 8.6 on the experience scale; Qualification: B.Com · graduate, relevant to the work → no change
</t>
          </r>
          <r>
            <rPr>
              <rFont val="Calibri"/>
              <b val="1"/>
              <sz val="10"/>
            </rPr>
            <t>Business Impact:</t>
          </r>
          <r>
            <rPr>
              <rFont val="Calibri"/>
              <sz val="10"/>
            </rPr>
            <t xml:space="preserve"> 2.5 of 12 — a starting estimate. —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r>
        </is>
      </c>
      <c r="X21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2" s="12" t="inlineStr">
        <is>
          <r>
            <rPr>
              <rFont val="Calibri"/>
              <sz val="10"/>
            </rPr>
            <t xml:space="preserve">✓ HRIS: 16.2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12" s="12" t="inlineStr">
        <is>
          <t>—</t>
        </is>
      </c>
      <c r="AA212" s="12" t="inlineStr">
        <is>
          <t>Nothing outstanding</t>
        </is>
      </c>
      <c r="AB21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no;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Trusted Professional.</t>
          </r>
        </is>
      </c>
      <c r="AC212" s="82" t="n"/>
      <c r="AD212" s="82" t="n"/>
      <c r="AE212" s="82" t="n"/>
      <c r="AF212" s="12" t="n">
        <v>2.5</v>
      </c>
    </row>
    <row r="213" ht="400" customHeight="1">
      <c r="A213" s="12" t="inlineStr">
        <is>
          <t>IRIS0028</t>
        </is>
      </c>
      <c r="B213" s="10" t="inlineStr">
        <is>
          <t>Shashank Poipkar</t>
        </is>
      </c>
      <c r="C213" s="12" t="inlineStr">
        <is>
          <t>XBRL Consulting</t>
        </is>
      </c>
      <c r="D213" s="12" t="inlineStr">
        <is>
          <t>Senior Analyst</t>
        </is>
      </c>
      <c r="E213" s="78" t="inlineStr">
        <is>
          <t>Senior Taxonomy Analyst</t>
        </is>
      </c>
      <c r="F213" s="12" t="inlineStr">
        <is>
          <t>Consulting &amp; Professional Services</t>
        </is>
      </c>
      <c r="G213" s="12" t="inlineStr">
        <is>
          <t>Taxonomy Design &amp; Regulatory Consulting</t>
        </is>
      </c>
      <c r="H213" s="12" t="inlineStr">
        <is>
          <t>IC</t>
        </is>
      </c>
      <c r="I213" s="42" t="inlineStr">
        <is>
          <t>L4 – Senior</t>
        </is>
      </c>
      <c r="J213" s="16" t="inlineStr">
        <is>
          <t>A3</t>
        </is>
      </c>
      <c r="K213" s="17" t="inlineStr">
        <is>
          <t>Senior Associate</t>
        </is>
      </c>
      <c r="L213" s="87" t="inlineStr">
        <is>
          <t>• Same level</t>
        </is>
      </c>
      <c r="M213" s="12" t="inlineStr">
        <is>
          <t>iFile · XBRL Consulting · Band A · Early career</t>
        </is>
      </c>
      <c r="N213" s="42" t="n">
        <v>2.5</v>
      </c>
      <c r="O213" s="42" t="n">
        <v>2.5</v>
      </c>
      <c r="P213" s="42" t="n">
        <v>2.5</v>
      </c>
      <c r="Q213" s="42" t="n">
        <v>1.5</v>
      </c>
      <c r="R213" s="42" t="n">
        <v>10</v>
      </c>
      <c r="S213" s="80" t="n">
        <v>2.5</v>
      </c>
      <c r="T213" s="81">
        <f>IF(OR($M213="",COUNT(N213,O213,P213,Q213,R213,S213)&lt;6),"",IFERROR(N213*INDEX(WM_C,MATCH($M213,WM_KEY,0))+O213*INDEX(WM_AU,MATCH($M213,WM_KEY,0))+P213*INDEX(WM_AC,MATCH($M213,WM_KEY,0))+Q213*INDEX(WM_L,MATCH($M213,WM_KEY,0))+R213*INDEX(WM_E,MATCH($M213,WM_KEY,0))+S213*INDEX(WM_BI,MATCH($M213,WM_KEY,0)),""))</f>
        <v>3.25</v>
      </c>
      <c r="U213" s="42" t="str">
        <f>IF(T213="","",INDEX({"A1","A2","A3","B1","B2","B3","C1","C2","D1","D2","E1","E2"},MAX(1,MIN(12,ROUND(T213,0)))))</f>
        <v>A3</v>
      </c>
      <c r="V213" s="12" t="inlineStr">
        <is>
          <r>
            <rPr>
              <rFont val="Calibri"/>
              <sz val="10"/>
            </rPr>
            <t xml:space="preserve">New level A3 · Senior Associate. Current level on record: L4 – Senior. Change: • Same level.
Score 3.25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3" s="12" t="inlineStr">
        <is>
          <r>
            <rPr>
              <rFont val="Calibri"/>
              <b val="1"/>
              <sz val="10"/>
            </rPr>
            <t>Complexity &amp; Expertise:</t>
          </r>
          <r>
            <rPr>
              <rFont val="Calibri"/>
              <sz val="10"/>
            </rPr>
            <t xml:space="preserve"> 2.5 of 12 · between A2 and A3 — Start: 3.0 · senior practitioner title; Evidence reads like A2: Formula creation, formula testing and webform testing · QCB in Noah → moved down 0.5;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Decides formula testing only → moved down 0.5
</t>
          </r>
          <r>
            <rPr>
              <rFont val="Calibri"/>
              <b val="1"/>
              <sz val="10"/>
            </rPr>
            <t>Accountability &amp; Impact:</t>
          </r>
          <r>
            <rPr>
              <rFont val="Calibri"/>
              <sz val="10"/>
            </rPr>
            <t xml:space="preserve"> 2.5 of 12 · between A2 and A3 — Start: 3.0 · senior practitioner title; Evidence reads like A2: Own webform testing; errors mean rework and retesting → moved down 0.5; KRA: “1. Deliver assigned taxonomy development &amp; testing with &gt;=95% accuracy and zero critical post-release defects. 2. Achieve &gt;=95% on-time…”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10 of 12 — Experience: 21.1 yrs total · 21.1 at IRIS; none recorded before IRIS = 10.0 on the experience scale; Qualification: B.Com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3" s="12" t="inlineStr">
        <is>
          <r>
            <rPr>
              <rFont val="Calibri"/>
              <sz val="10"/>
            </rPr>
            <t xml:space="preserve">✓ HRIS: 21.1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13" s="12" t="inlineStr">
        <is>
          <t>—</t>
        </is>
      </c>
      <c r="AA213" s="12" t="inlineStr">
        <is>
          <t>Nothing outstanding</t>
        </is>
      </c>
      <c r="AB21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Core Contributor.</t>
          </r>
        </is>
      </c>
      <c r="AC213" s="82" t="n"/>
      <c r="AD213" s="82" t="n"/>
      <c r="AE213" s="82" t="n"/>
      <c r="AF213" s="12" t="n">
        <v>2.5</v>
      </c>
    </row>
    <row r="214" ht="400" customHeight="1">
      <c r="A214" s="12" t="inlineStr">
        <is>
          <t>IRIS0124</t>
        </is>
      </c>
      <c r="B214" s="10" t="inlineStr">
        <is>
          <t>Surekha Ghadigaonkar</t>
        </is>
      </c>
      <c r="C214" s="12" t="inlineStr">
        <is>
          <t>XBRL Consulting</t>
        </is>
      </c>
      <c r="D214" s="12" t="inlineStr">
        <is>
          <t>Senior Analyst</t>
        </is>
      </c>
      <c r="E214" s="78" t="inlineStr">
        <is>
          <t>Senior Taxonomy Analyst</t>
        </is>
      </c>
      <c r="F214" s="12" t="inlineStr">
        <is>
          <t>Consulting &amp; Professional Services</t>
        </is>
      </c>
      <c r="G214" s="12" t="inlineStr">
        <is>
          <t>Taxonomy Design &amp; Regulatory Consulting</t>
        </is>
      </c>
      <c r="H214" s="12" t="inlineStr">
        <is>
          <t>IC</t>
        </is>
      </c>
      <c r="I214" s="42" t="inlineStr">
        <is>
          <t>L4 – Senior</t>
        </is>
      </c>
      <c r="J214" s="16" t="inlineStr">
        <is>
          <t>A3</t>
        </is>
      </c>
      <c r="K214" s="17" t="inlineStr">
        <is>
          <t>Senior Associate</t>
        </is>
      </c>
      <c r="L214" s="87" t="inlineStr">
        <is>
          <t>• Same level</t>
        </is>
      </c>
      <c r="M214" s="12" t="inlineStr">
        <is>
          <t>iFile · XBRL Consulting · Band A · Early career</t>
        </is>
      </c>
      <c r="N214" s="42" t="n">
        <v>3</v>
      </c>
      <c r="O214" s="42" t="n">
        <v>2.5</v>
      </c>
      <c r="P214" s="42" t="n">
        <v>2.5</v>
      </c>
      <c r="Q214" s="42" t="n">
        <v>1.5</v>
      </c>
      <c r="R214" s="42" t="n">
        <v>9.5</v>
      </c>
      <c r="S214" s="80" t="n">
        <v>2.5</v>
      </c>
      <c r="T214" s="81">
        <f>IF(OR($M214="",COUNT(N214,O214,P214,Q214,R214,S214)&lt;6),"",IFERROR(N214*INDEX(WM_C,MATCH($M214,WM_KEY,0))+O214*INDEX(WM_AU,MATCH($M214,WM_KEY,0))+P214*INDEX(WM_AC,MATCH($M214,WM_KEY,0))+Q214*INDEX(WM_L,MATCH($M214,WM_KEY,0))+R214*INDEX(WM_E,MATCH($M214,WM_KEY,0))+S214*INDEX(WM_BI,MATCH($M214,WM_KEY,0)),""))</f>
        <v>3.495</v>
      </c>
      <c r="U214" s="42" t="str">
        <f>IF(T214="","",INDEX({"A1","A2","A3","B1","B2","B3","C1","C2","D1","D2","E1","E2"},MAX(1,MIN(12,ROUND(T214,0)))))</f>
        <v>A3</v>
      </c>
      <c r="V214" s="12" t="inlineStr">
        <is>
          <r>
            <rPr>
              <rFont val="Calibri"/>
              <sz val="10"/>
            </rPr>
            <t xml:space="preserve">New level A3 · Senior Associate. Current level on record: L4 – Senior. Change: • Same level.
Score 3.50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4" s="12" t="inlineStr">
        <is>
          <r>
            <rPr>
              <rFont val="Calibri"/>
              <b val="1"/>
              <sz val="10"/>
            </rPr>
            <t>Complexity &amp; Expertise:</t>
          </r>
          <r>
            <rPr>
              <rFont val="Calibri"/>
              <sz val="10"/>
            </rPr>
            <t xml:space="preserve"> 3 of 12 — Start: 3.0 · senior practitioner title; Evidence reads like A3: Taxonomy development, requirement analysis and tool testing using Noah, iFile, Webform, Arelle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Decides taxonomy changes; no further detail given → moved down 0.5
</t>
          </r>
          <r>
            <rPr>
              <rFont val="Calibri"/>
              <b val="1"/>
              <sz val="10"/>
            </rPr>
            <t>Accountability &amp; Impact:</t>
          </r>
          <r>
            <rPr>
              <rFont val="Calibri"/>
              <sz val="10"/>
            </rPr>
            <t xml:space="preserve"> 2.5 of 12 · between A2 and A3 — Start: 3.0 · senior practitioner title; Evidence reads like A2: Released taxonomy of own development; rework and reputation risk; little detail → moved down 0.5; KRA: “1. Deliver assigned taxonomy development &amp; testing with &gt;=95% accuracy and zero critical post-release defects. 2. Achieve &gt;=95% on-time…”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9.5 of 12 · between D1 and D2 — Experience: 20.0 yrs total · 1.0 before IRIS + 19.0 at IRIS = 9.7 on the experience scale; Qualification: B.Com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4" s="12" t="inlineStr">
        <is>
          <r>
            <rPr>
              <rFont val="Calibri"/>
              <sz val="10"/>
            </rPr>
            <t xml:space="preserve">✓ HRIS: 20.0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14" s="84" t="inlineStr">
        <is>
          <r>
            <rPr>
              <rFont val="Calibri"/>
              <color rgb="009C5700"/>
              <sz val="10"/>
            </rPr>
            <t xml:space="preserve">• </t>
          </r>
          <r>
            <rPr>
              <rFont val="Calibri"/>
              <b val="1"/>
              <color rgb="009C5700"/>
              <sz val="10"/>
            </rPr>
            <t>Close call:</t>
          </r>
          <r>
            <rPr>
              <rFont val="Calibri"/>
              <color rgb="009C5700"/>
              <sz val="10"/>
            </rPr>
            <t xml:space="preserve"> score 3.50 is within 0.05 of a rounding point</t>
          </r>
        </is>
      </c>
      <c r="AA214" s="12" t="inlineStr">
        <is>
          <t>Nothing outstanding</t>
        </is>
      </c>
      <c r="AB21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High · 9-Box Grid placement: Core Contributor.</t>
          </r>
        </is>
      </c>
      <c r="AC214" s="82" t="n"/>
      <c r="AD214" s="82" t="n"/>
      <c r="AE214" s="82" t="n"/>
      <c r="AF214" s="12" t="n">
        <v>2.5</v>
      </c>
    </row>
    <row r="215" ht="400" customHeight="1">
      <c r="A215" s="12" t="inlineStr">
        <is>
          <t>IRISC343</t>
        </is>
      </c>
      <c r="B215" s="10" t="inlineStr">
        <is>
          <t>Tuku Deb</t>
        </is>
      </c>
      <c r="C215" s="12" t="inlineStr">
        <is>
          <t>XBRL Consulting</t>
        </is>
      </c>
      <c r="D215" s="12" t="inlineStr">
        <is>
          <t>XBRL Conversion Specialist</t>
        </is>
      </c>
      <c r="E215" s="78" t="inlineStr">
        <is>
          <t>Senior Financial Analyst</t>
        </is>
      </c>
      <c r="F215" s="12" t="inlineStr">
        <is>
          <t>Consulting &amp; Professional Services</t>
        </is>
      </c>
      <c r="G215" s="12" t="inlineStr">
        <is>
          <t>XBRL Tagging, Conversion &amp; Filing</t>
        </is>
      </c>
      <c r="H215" s="12" t="inlineStr">
        <is>
          <t>IC</t>
        </is>
      </c>
      <c r="I215" s="42" t="inlineStr">
        <is>
          <t>L3 – Professional / Associate</t>
        </is>
      </c>
      <c r="J215" s="16" t="inlineStr">
        <is>
          <t>A3</t>
        </is>
      </c>
      <c r="K215" s="17" t="inlineStr">
        <is>
          <t>Senior Associate</t>
        </is>
      </c>
      <c r="L215" s="79" t="inlineStr">
        <is>
          <t>▲ Up</t>
        </is>
      </c>
      <c r="M215" s="12" t="inlineStr">
        <is>
          <t>iFile · XBRL Consulting · Band A · Early career</t>
        </is>
      </c>
      <c r="N215" s="42" t="n">
        <v>2</v>
      </c>
      <c r="O215" s="42" t="n">
        <v>2</v>
      </c>
      <c r="P215" s="42" t="n">
        <v>2</v>
      </c>
      <c r="Q215" s="42" t="n">
        <v>1</v>
      </c>
      <c r="R215" s="42" t="n">
        <v>3.5</v>
      </c>
      <c r="S215" s="80" t="n">
        <v>2</v>
      </c>
      <c r="T215" s="81">
        <f>IF(OR($M215="",COUNT(N215,O215,P215,Q215,R215,S215)&lt;6),"",IFERROR(N215*INDEX(WM_C,MATCH($M215,WM_KEY,0))+O215*INDEX(WM_AU,MATCH($M215,WM_KEY,0))+P215*INDEX(WM_AC,MATCH($M215,WM_KEY,0))+Q215*INDEX(WM_L,MATCH($M215,WM_KEY,0))+R215*INDEX(WM_E,MATCH($M215,WM_KEY,0))+S215*INDEX(WM_BI,MATCH($M215,WM_KEY,0)),""))</f>
        <v>2.15</v>
      </c>
      <c r="U215" s="42" t="str">
        <f>IF(T215="","",INDEX({"A1","A2","A3","B1","B2","B3","C1","C2","D1","D2","E1","E2"},MAX(1,MIN(12,ROUND(T215,0)))))</f>
        <v>A2</v>
      </c>
      <c r="V215"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2.8 years' experience is 2 years or more.
</t>
          </r>
          <r>
            <rPr>
              <rFont val="Calibri"/>
              <b val="1"/>
              <sz val="10"/>
            </rPr>
            <t>Final level:</t>
          </r>
          <r>
            <rPr>
              <rFont val="Calibri"/>
              <sz val="10"/>
            </rPr>
            <t xml:space="preserve"> A3.</t>
          </r>
        </is>
      </c>
      <c r="W215" s="12" t="inlineStr">
        <is>
          <r>
            <rPr>
              <rFont val="Calibri"/>
              <b val="1"/>
              <sz val="10"/>
            </rPr>
            <t>Complexity &amp; Expertise:</t>
          </r>
          <r>
            <rPr>
              <rFont val="Calibri"/>
              <sz val="10"/>
            </rPr>
            <t xml:space="preserve"> 2 of 12 — Start: 2.0 · practitioner title; Evidence reads like A2: XBRL tagging and data validation of client financial reports in IRIS Instant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Identifies issues and raises them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3.5 of 12 · between A3 and B1 — Experience: 2.8 yrs total · 2.2 before IRIS + 0.6 at IRIS = 2.9 on the experience scale; Qualification: PGDM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1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5" s="12" t="inlineStr">
        <is>
          <r>
            <rPr>
              <rFont val="Calibri"/>
              <sz val="10"/>
            </rPr>
            <t xml:space="preserve">✓ HRIS: 2.8 yrs, PGDM,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15" s="12" t="inlineStr">
        <is>
          <t>—</t>
        </is>
      </c>
      <c r="AA215" s="12" t="inlineStr">
        <is>
          <t>Nothing outstanding</t>
        </is>
      </c>
      <c r="AB21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215" s="82" t="n"/>
      <c r="AD215" s="82" t="n"/>
      <c r="AE215" s="82" t="n"/>
      <c r="AF215" s="12" t="n">
        <v>2</v>
      </c>
    </row>
    <row r="216" ht="400" customHeight="1">
      <c r="A216" s="12" t="inlineStr">
        <is>
          <t>IRIS2247</t>
        </is>
      </c>
      <c r="B216" s="10" t="inlineStr">
        <is>
          <t>Unnati Kamble</t>
        </is>
      </c>
      <c r="C216" s="12" t="inlineStr">
        <is>
          <t>XBRL Consulting</t>
        </is>
      </c>
      <c r="D216" s="12" t="inlineStr">
        <is>
          <t>Consultant</t>
        </is>
      </c>
      <c r="E216" s="78" t="inlineStr">
        <is>
          <t>Senior Taxonomy Analyst</t>
        </is>
      </c>
      <c r="F216" s="12" t="inlineStr">
        <is>
          <t>Consulting &amp; Professional Services</t>
        </is>
      </c>
      <c r="G216" s="12" t="inlineStr">
        <is>
          <t>Taxonomy Design &amp; Regulatory Consulting</t>
        </is>
      </c>
      <c r="H216" s="12" t="inlineStr">
        <is>
          <t>IC</t>
        </is>
      </c>
      <c r="I216" s="42" t="inlineStr">
        <is>
          <t>L3 – Professional / Associate</t>
        </is>
      </c>
      <c r="J216" s="16" t="inlineStr">
        <is>
          <t>A3</t>
        </is>
      </c>
      <c r="K216" s="17" t="inlineStr">
        <is>
          <t>Senior Associate</t>
        </is>
      </c>
      <c r="L216" s="79" t="inlineStr">
        <is>
          <t>▲ Up</t>
        </is>
      </c>
      <c r="M216" s="12" t="inlineStr">
        <is>
          <t>iFile · XBRL Consulting · Band A · Early career</t>
        </is>
      </c>
      <c r="N216" s="42" t="n">
        <v>3</v>
      </c>
      <c r="O216" s="42" t="n">
        <v>2.5</v>
      </c>
      <c r="P216" s="42" t="n">
        <v>2.5</v>
      </c>
      <c r="Q216" s="42" t="n">
        <v>1.5</v>
      </c>
      <c r="R216" s="42" t="n">
        <v>6</v>
      </c>
      <c r="S216" s="80" t="n">
        <v>2.5</v>
      </c>
      <c r="T216" s="81">
        <f>IF(OR($M216="",COUNT(N216,O216,P216,Q216,R216,S216)&lt;6),"",IFERROR(N216*INDEX(WM_C,MATCH($M216,WM_KEY,0))+O216*INDEX(WM_AU,MATCH($M216,WM_KEY,0))+P216*INDEX(WM_AC,MATCH($M216,WM_KEY,0))+Q216*INDEX(WM_L,MATCH($M216,WM_KEY,0))+R216*INDEX(WM_E,MATCH($M216,WM_KEY,0))+S216*INDEX(WM_BI,MATCH($M216,WM_KEY,0)),""))</f>
        <v>3.145</v>
      </c>
      <c r="U216" s="42" t="str">
        <f>IF(T216="","",INDEX({"A1","A2","A3","B1","B2","B3","C1","C2","D1","D2","E1","E2"},MAX(1,MIN(12,ROUND(T216,0)))))</f>
        <v>A3</v>
      </c>
      <c r="V216" s="12" t="inlineStr">
        <is>
          <r>
            <rPr>
              <rFont val="Calibri"/>
              <sz val="10"/>
            </rPr>
            <t xml:space="preserve">New level A3 · Senior Associate. Current level on record: L3 – Professional / Associate. Change: ▲ Up.
Score 3.15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6" s="12" t="inlineStr">
        <is>
          <r>
            <rPr>
              <rFont val="Calibri"/>
              <b val="1"/>
              <sz val="10"/>
            </rPr>
            <t>Complexity &amp; Expertise:</t>
          </r>
          <r>
            <rPr>
              <rFont val="Calibri"/>
              <sz val="10"/>
            </rPr>
            <t xml:space="preserve"> 3 of 12 — Start: 3.0 · senior practitioner title; Evidence reads like A3: Analyses regulator data points, develops SRS and CMS, creates validations, tests front end across regulations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Decides tagging and creating validations within assigned projects → moved down 0.5
</t>
          </r>
          <r>
            <rPr>
              <rFont val="Calibri"/>
              <b val="1"/>
              <sz val="10"/>
            </rPr>
            <t>Accountability &amp; Impact:</t>
          </r>
          <r>
            <rPr>
              <rFont val="Calibri"/>
              <sz val="10"/>
            </rPr>
            <t xml:space="preserve"> 2.5 of 12 · between A2 and A3 — Start: 3.0 · senior practitioner title; Evidence reads like A2: Accountable for own tagging and validations; errors cause escalations and rework → moved down 0.5; KRA: “1. Deliver assigned taxonomy development &amp; testing with &gt;=95% accuracy and zero critical post-release defects. 2. Achieve &gt;=95% on-time…”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6 of 12 — Experience: 7.5 yrs total · 5.1 before IRIS + 2.4 at IRIS = 5.0 on the experience scale; Qualification: CA · professional, relevant to the work → +1.0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6"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6" s="12" t="inlineStr">
        <is>
          <r>
            <rPr>
              <rFont val="Calibri"/>
              <sz val="10"/>
            </rPr>
            <t xml:space="preserve">✓ HRIS: 7.5 yrs, CA, 0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216" s="12" t="inlineStr">
        <is>
          <t>—</t>
        </is>
      </c>
      <c r="AA216" s="12" t="inlineStr">
        <is>
          <t>Nothing outstanding</t>
        </is>
      </c>
      <c r="AB21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3 · Potential: Low · 9-Box Grid placement: Misplaced Talent / Enigma.</t>
          </r>
        </is>
      </c>
      <c r="AC216" s="82" t="n"/>
      <c r="AD216" s="82" t="n"/>
      <c r="AE216" s="82" t="n"/>
      <c r="AF216" s="12" t="n">
        <v>2.5</v>
      </c>
    </row>
    <row r="217" ht="400" customHeight="1">
      <c r="A217" s="12" t="inlineStr">
        <is>
          <t>IRIS2144</t>
        </is>
      </c>
      <c r="B217" s="10" t="inlineStr">
        <is>
          <t>Vaishnavi Deshpande</t>
        </is>
      </c>
      <c r="C217" s="12" t="inlineStr">
        <is>
          <t>XBRL Consulting</t>
        </is>
      </c>
      <c r="D217" s="12" t="inlineStr">
        <is>
          <t>Consultant</t>
        </is>
      </c>
      <c r="E217" s="78" t="inlineStr">
        <is>
          <t>Taxonomy Specialist</t>
        </is>
      </c>
      <c r="F217" s="12" t="inlineStr">
        <is>
          <t>Consulting &amp; Professional Services</t>
        </is>
      </c>
      <c r="G217" s="12" t="inlineStr">
        <is>
          <t>Taxonomy Design &amp; Regulatory Consulting</t>
        </is>
      </c>
      <c r="H217" s="12" t="inlineStr">
        <is>
          <t>IC</t>
        </is>
      </c>
      <c r="I217" s="42" t="inlineStr">
        <is>
          <t>L3 – Professional / Associate</t>
        </is>
      </c>
      <c r="J217" s="16" t="inlineStr">
        <is>
          <t>A3</t>
        </is>
      </c>
      <c r="K217" s="17" t="inlineStr">
        <is>
          <t>Senior Associate</t>
        </is>
      </c>
      <c r="L217" s="79" t="inlineStr">
        <is>
          <t>▲ Up</t>
        </is>
      </c>
      <c r="M217" s="12" t="inlineStr">
        <is>
          <t>iFile · XBRL Consulting · Band A · Early career</t>
        </is>
      </c>
      <c r="N217" s="42" t="n">
        <v>3</v>
      </c>
      <c r="O217" s="42" t="n">
        <v>2.5</v>
      </c>
      <c r="P217" s="42" t="n">
        <v>3</v>
      </c>
      <c r="Q217" s="42" t="n">
        <v>2</v>
      </c>
      <c r="R217" s="42" t="n">
        <v>6.5</v>
      </c>
      <c r="S217" s="80" t="n">
        <v>3</v>
      </c>
      <c r="T217" s="81">
        <f>IF(OR($M217="",COUNT(N217,O217,P217,Q217,R217,S217)&lt;6),"",IFERROR(N217*INDEX(WM_C,MATCH($M217,WM_KEY,0))+O217*INDEX(WM_AU,MATCH($M217,WM_KEY,0))+P217*INDEX(WM_AC,MATCH($M217,WM_KEY,0))+Q217*INDEX(WM_L,MATCH($M217,WM_KEY,0))+R217*INDEX(WM_E,MATCH($M217,WM_KEY,0))+S217*INDEX(WM_BI,MATCH($M217,WM_KEY,0)),""))</f>
        <v>3.27</v>
      </c>
      <c r="U217" s="42" t="str">
        <f>IF(T217="","",INDEX({"A1","A2","A3","B1","B2","B3","C1","C2","D1","D2","E1","E2"},MAX(1,MIN(12,ROUND(T217,0)))))</f>
        <v>A3</v>
      </c>
      <c r="V217" s="12" t="inlineStr">
        <is>
          <r>
            <rPr>
              <rFont val="Calibri"/>
              <sz val="10"/>
            </rPr>
            <t xml:space="preserve">New level A3 · Senior Associate. Current level on record: L3 – Professional / Associate. Change: ▲ Up.
Score 3.27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7" s="12" t="inlineStr">
        <is>
          <r>
            <rPr>
              <rFont val="Calibri"/>
              <b val="1"/>
              <sz val="10"/>
            </rPr>
            <t>Complexity &amp; Expertise:</t>
          </r>
          <r>
            <rPr>
              <rFont val="Calibri"/>
              <sz val="10"/>
            </rPr>
            <t xml:space="preserve"> 3 of 12 — Start: 3.0 · senior practitioner title; Evidence reads like A3: Requirement gathering, SRS creation, taxonomy development, client training and support across differing regulator projects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2.5 of 12 · between A2 and A3 — Start: 3.0 · senior practitioner title; Evidence reads like A2: Independent decision named is SRS creation only → moved down 0.5
</t>
          </r>
          <r>
            <rPr>
              <rFont val="Calibri"/>
              <b val="1"/>
              <sz val="10"/>
            </rPr>
            <t>Accountability &amp; Impact:</t>
          </r>
          <r>
            <rPr>
              <rFont val="Calibri"/>
              <sz val="10"/>
            </rPr>
            <t xml:space="preserve"> 3 of 12 — Start: 3.0 · senior practitioner title; Evidence reads like A3: Requirements and SRS feed taxonomy development, testing and delivery; errors cause escalation → matches the start; KRA: “1. Deliver assigned taxonomy development &amp; testing with &gt;=95% accuracy and zero critical post-release defects. 2. Achieve &gt;=95% on-time…”
</t>
          </r>
          <r>
            <rPr>
              <rFont val="Calibri"/>
              <b val="1"/>
              <sz val="10"/>
            </rPr>
            <t>Leadership &amp; Strategy:</t>
          </r>
          <r>
            <rPr>
              <rFont val="Calibri"/>
              <sz val="10"/>
            </rPr>
            <t xml:space="preserve"> 2 of 12 — not counted: the weight is 0% at this level — Start: 2.0 · individual contributor, so influence only; Evidence reads like A2: Domain SME and cross-team support; no regular guiding of juniors → matches the start; Team: 0 direct reports · IC
</t>
          </r>
          <r>
            <rPr>
              <rFont val="Calibri"/>
              <b val="1"/>
              <sz val="10"/>
            </rPr>
            <t>Experience &amp; Qualification:</t>
          </r>
          <r>
            <rPr>
              <rFont val="Calibri"/>
              <sz val="10"/>
            </rPr>
            <t xml:space="preserve"> 6.5 of 12 · between B3 and C1 — Experience: 9.2 yrs total · 5.9 before IRIS + 3.3 at IRIS = 5.7 on the experience scale; Qualification: Cost Accountant · professional, relevant to the work → +1.0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17" s="12"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7" s="12" t="inlineStr">
        <is>
          <r>
            <rPr>
              <rFont val="Calibri"/>
              <sz val="10"/>
            </rPr>
            <t xml:space="preserve">✓ HRIS: 9.2 yrs, Cost Accountant,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17" s="84"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217" s="12" t="inlineStr">
        <is>
          <t>Nothing outstanding</t>
        </is>
      </c>
      <c r="AB21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4 · Potential: High · 9-Box Grid placement: High Impact / Growth Talent.</t>
          </r>
        </is>
      </c>
      <c r="AC217" s="82" t="n"/>
      <c r="AD217" s="82" t="n"/>
      <c r="AE217" s="82" t="n"/>
      <c r="AF217" s="12" t="n">
        <v>3</v>
      </c>
    </row>
    <row r="218" ht="400" customHeight="1">
      <c r="A218" s="12" t="inlineStr">
        <is>
          <t>IRIS1139</t>
        </is>
      </c>
      <c r="B218" s="10" t="inlineStr">
        <is>
          <t>Yogesh Patil</t>
        </is>
      </c>
      <c r="C218" s="12" t="inlineStr">
        <is>
          <t>XBRL Consulting</t>
        </is>
      </c>
      <c r="D218" s="12" t="inlineStr">
        <is>
          <t>Senior Analyst</t>
        </is>
      </c>
      <c r="E218" s="78" t="inlineStr">
        <is>
          <t>Senior Taxonomy Analyst</t>
        </is>
      </c>
      <c r="F218" s="12" t="inlineStr">
        <is>
          <t>Consulting &amp; Professional Services</t>
        </is>
      </c>
      <c r="G218" s="12" t="inlineStr">
        <is>
          <t>Taxonomy Design &amp; Regulatory Consulting</t>
        </is>
      </c>
      <c r="H218" s="12" t="inlineStr">
        <is>
          <t>IC</t>
        </is>
      </c>
      <c r="I218" s="42" t="inlineStr">
        <is>
          <t>L4 – Senior</t>
        </is>
      </c>
      <c r="J218" s="16" t="inlineStr">
        <is>
          <t>A3</t>
        </is>
      </c>
      <c r="K218" s="17" t="inlineStr">
        <is>
          <t>Senior Associate</t>
        </is>
      </c>
      <c r="L218" s="87" t="inlineStr">
        <is>
          <t>• Same level</t>
        </is>
      </c>
      <c r="M218" s="12" t="inlineStr">
        <is>
          <t>iFile · XBRL Consulting · Band A · Early career</t>
        </is>
      </c>
      <c r="N218" s="42" t="n">
        <v>3</v>
      </c>
      <c r="O218" s="42" t="n">
        <v>3</v>
      </c>
      <c r="P218" s="42" t="n">
        <v>2.5</v>
      </c>
      <c r="Q218" s="42" t="n">
        <v>2.5</v>
      </c>
      <c r="R218" s="42" t="n">
        <v>8</v>
      </c>
      <c r="S218" s="80" t="n">
        <v>2.5</v>
      </c>
      <c r="T218" s="81">
        <f>IF(OR($M218="",COUNT(N218,O218,P218,Q218,R218,S218)&lt;6),"",IFERROR(N218*INDEX(WM_C,MATCH($M218,WM_KEY,0))+O218*INDEX(WM_AU,MATCH($M218,WM_KEY,0))+P218*INDEX(WM_AC,MATCH($M218,WM_KEY,0))+Q218*INDEX(WM_L,MATCH($M218,WM_KEY,0))+R218*INDEX(WM_E,MATCH($M218,WM_KEY,0))+S218*INDEX(WM_BI,MATCH($M218,WM_KEY,0)),""))</f>
        <v>3.425</v>
      </c>
      <c r="U218" s="42" t="str">
        <f>IF(T218="","",INDEX({"A1","A2","A3","B1","B2","B3","C1","C2","D1","D2","E1","E2"},MAX(1,MIN(12,ROUND(T218,0)))))</f>
        <v>A3</v>
      </c>
      <c r="V218" s="12" t="inlineStr">
        <is>
          <r>
            <rPr>
              <rFont val="Calibri"/>
              <sz val="10"/>
            </rPr>
            <t xml:space="preserve">New level A3 · Senior Associate. Current level on record: L4 – Senior. Change: • Same level.
Score 3.42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8" s="12" t="inlineStr">
        <is>
          <r>
            <rPr>
              <rFont val="Calibri"/>
              <b val="1"/>
              <sz val="10"/>
            </rPr>
            <t>Complexity &amp; Expertise:</t>
          </r>
          <r>
            <rPr>
              <rFont val="Calibri"/>
              <sz val="10"/>
            </rPr>
            <t xml:space="preserve"> 3 of 12 — Start: 3.0 · senior practitioner title; Evidence reads like A3: Full taxonomy cycle: SRS, modelling, business rules, webform customisation and testing, cross-team coordination → matches the start; KRA: “1. Deliver assigned taxonomy development &amp; testing with &gt;=95% accuracy and zero critical post-release defects. 2. Achieve &gt;=95% on-time…”
</t>
          </r>
          <r>
            <rPr>
              <rFont val="Calibri"/>
              <b val="1"/>
              <sz val="10"/>
            </rPr>
            <t>Autonomy &amp; Decision:</t>
          </r>
          <r>
            <rPr>
              <rFont val="Calibri"/>
              <sz val="10"/>
            </rPr>
            <t xml:space="preserve"> 3 of 12 — Start: 3.0 · senior practitioner title; Evidence reads like A3: Decides taxonomy modelling independently, following standard development practices → matches the start
</t>
          </r>
          <r>
            <rPr>
              <rFont val="Calibri"/>
              <b val="1"/>
              <sz val="10"/>
            </rPr>
            <t>Accountability &amp; Impact:</t>
          </r>
          <r>
            <rPr>
              <rFont val="Calibri"/>
              <sz val="10"/>
            </rPr>
            <t xml:space="preserve"> 2.5 of 12 · between A2 and A3 — Start: 3.0 · senior practitioner title; Evidence reads like A2: Accountable for own development tasks: SRS, CMS, formulas, customisation, domain testing → moved down 0.5; KRA: “1. Deliver assigned taxonomy development &amp; testing with &gt;=95% accuracy and zero critical post-release defects. 2. Achieve &gt;=95% on-time…”
</t>
          </r>
          <r>
            <rPr>
              <rFont val="Calibri"/>
              <b val="1"/>
              <sz val="10"/>
            </rPr>
            <t>Leadership &amp; Strategy:</t>
          </r>
          <r>
            <rPr>
              <rFont val="Calibri"/>
              <sz val="10"/>
            </rPr>
            <t xml:space="preserve"> 2.5 of 12 · between A2 and A3 — not counted: the weight is 0% at this level — Start: 2.0 · individual contributor, so influence only; Evidence reads like A3: Training team members is a listed responsibility; coordinates QA, webform, BA teams → moved up 0.5; Team: 0 direct reports · IC
</t>
          </r>
          <r>
            <rPr>
              <rFont val="Calibri"/>
              <b val="1"/>
              <sz val="10"/>
            </rPr>
            <t>Experience &amp; Qualification:</t>
          </r>
          <r>
            <rPr>
              <rFont val="Calibri"/>
              <sz val="10"/>
            </rPr>
            <t xml:space="preserve"> 8 of 12 — Experience: 14.3 yrs total · 14.3 at IRIS; none recorded before IRIS = 7.9 on the experience scale; Qualification: B.Com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218" s="12" t="inlineStr">
        <is>
          <r>
            <rPr>
              <rFont val="Calibri"/>
              <sz val="10"/>
            </rPr>
            <t xml:space="preserve">✓ HRIS: 14.3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18" s="12" t="inlineStr">
        <is>
          <t>—</t>
        </is>
      </c>
      <c r="AA218" s="12" t="inlineStr">
        <is>
          <t>Nothing outstanding</t>
        </is>
      </c>
      <c r="AB2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rework · client · escalation · retesting · time.
</t>
          </r>
          <r>
            <rPr>
              <rFont val="Calibri"/>
              <b val="1"/>
              <sz val="10"/>
            </rPr>
            <t>Measured on · manager-set KRA themes:</t>
          </r>
          <r>
            <rPr>
              <rFont val="Calibri"/>
              <sz val="10"/>
            </rPr>
            <t xml:space="preserve"> resolve · defect · deliver · complete · modules · testing.
Manager talent mapping — Latest rating: 4 · Potential: High · 9-Box Grid placement: High Impact / Growth Talent.</t>
          </r>
        </is>
      </c>
      <c r="AC218" s="82" t="n"/>
      <c r="AD218" s="82" t="n"/>
      <c r="AE218" s="82" t="n"/>
      <c r="AF218" s="12" t="n">
        <v>2.5</v>
      </c>
    </row>
    <row r="219" ht="400" customHeight="1">
      <c r="A219" s="12" t="inlineStr">
        <is>
          <t>IRISC322</t>
        </is>
      </c>
      <c r="B219" s="10" t="inlineStr">
        <is>
          <t>Bhanu Vardhan Nelly</t>
        </is>
      </c>
      <c r="C219" s="12" t="inlineStr">
        <is>
          <t>XBRL Consulting</t>
        </is>
      </c>
      <c r="D219" s="12" t="inlineStr">
        <is>
          <t>XBRL Conversion Specialist</t>
        </is>
      </c>
      <c r="E219" s="78" t="inlineStr">
        <is>
          <t>Financial Analyst</t>
        </is>
      </c>
      <c r="F219" s="12" t="inlineStr">
        <is>
          <t>Consulting &amp; Professional Services</t>
        </is>
      </c>
      <c r="G219" s="12" t="inlineStr">
        <is>
          <t>XBRL Tagging, Conversion &amp; Filing</t>
        </is>
      </c>
      <c r="H219" s="12" t="inlineStr">
        <is>
          <t>IC</t>
        </is>
      </c>
      <c r="I219" s="42" t="inlineStr">
        <is>
          <t>L3 – Professional / Associate</t>
        </is>
      </c>
      <c r="J219" s="16" t="inlineStr">
        <is>
          <t>A2</t>
        </is>
      </c>
      <c r="K219" s="17" t="inlineStr">
        <is>
          <t>Associate</t>
        </is>
      </c>
      <c r="L219" s="87" t="inlineStr">
        <is>
          <t>• Same level</t>
        </is>
      </c>
      <c r="M219" s="12" t="inlineStr">
        <is>
          <t>iFile · XBRL Consulting · Band A · Early career</t>
        </is>
      </c>
      <c r="N219" s="42" t="n">
        <v>2</v>
      </c>
      <c r="O219" s="42" t="n">
        <v>2</v>
      </c>
      <c r="P219" s="42" t="n">
        <v>2</v>
      </c>
      <c r="Q219" s="42" t="n">
        <v>1</v>
      </c>
      <c r="R219" s="42" t="n">
        <v>2</v>
      </c>
      <c r="S219" s="80" t="n">
        <v>2</v>
      </c>
      <c r="T219" s="81">
        <f>IF(OR($M219="",COUNT(N219,O219,P219,Q219,R219,S219)&lt;6),"",IFERROR(N219*INDEX(WM_C,MATCH($M219,WM_KEY,0))+O219*INDEX(WM_AU,MATCH($M219,WM_KEY,0))+P219*INDEX(WM_AC,MATCH($M219,WM_KEY,0))+Q219*INDEX(WM_L,MATCH($M219,WM_KEY,0))+R219*INDEX(WM_E,MATCH($M219,WM_KEY,0))+S219*INDEX(WM_BI,MATCH($M219,WM_KEY,0)),""))</f>
        <v>2</v>
      </c>
      <c r="U219" s="42" t="str">
        <f>IF(T219="","",INDEX({"A1","A2","A3","B1","B2","B3","C1","C2","D1","D2","E1","E2"},MAX(1,MIN(12,ROUND(T219,0)))))</f>
        <v>A2</v>
      </c>
      <c r="V219" s="12" t="inlineStr">
        <is>
          <r>
            <rPr>
              <rFont val="Calibri"/>
              <sz val="10"/>
            </rPr>
            <t xml:space="preserve">New level A2 · Associate. Current level on record: L3 – Professional / Associate. Change: • Same level.
Score 2.00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9" s="12" t="inlineStr">
        <is>
          <r>
            <rPr>
              <rFont val="Calibri"/>
              <b val="1"/>
              <sz val="10"/>
            </rPr>
            <t>Complexity &amp; Expertise:</t>
          </r>
          <r>
            <rPr>
              <rFont val="Calibri"/>
              <sz val="10"/>
            </rPr>
            <t xml:space="preserve"> 2 of 12 — Start: 2.0 · practitioner title; Evidence reads like A2: Analyses financial statements of Malaysian clients and tags them into XBRL for MBRS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Decides data validation only → matches the start
</t>
          </r>
          <r>
            <rPr>
              <rFont val="Calibri"/>
              <b val="1"/>
              <sz val="10"/>
            </rPr>
            <t>Accountability &amp; Impact:</t>
          </r>
          <r>
            <rPr>
              <rFont val="Calibri"/>
              <sz val="10"/>
            </rPr>
            <t xml:space="preserve"> 2 of 12 — Start: 2.0 · practitioner title; Evidence reads like A2: Own XBRL reports and their compliance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1.4 yrs total · 0.6 before IRIS + 0.8 at IRIS = 2.2 on the experience scale; Qualification: Bachelor in Accounting &amp; Finance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19" s="12"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Y219" s="12" t="inlineStr">
        <is>
          <r>
            <rPr>
              <rFont val="Calibri"/>
              <sz val="10"/>
            </rPr>
            <t xml:space="preserve">✓ HRIS: 1.4 yrs, Bachelor in Accounting &amp; Finance,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19" s="12" t="inlineStr">
        <is>
          <t>—</t>
        </is>
      </c>
      <c r="AA219" s="12" t="inlineStr">
        <is>
          <t>Nothing outstanding</t>
        </is>
      </c>
      <c r="AB21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3 · Potential: Medium · 9-Box Grid placement: Core Contributor.</t>
          </r>
        </is>
      </c>
      <c r="AC219" s="82" t="n"/>
      <c r="AD219" s="82" t="n"/>
      <c r="AE219" s="82" t="n"/>
      <c r="AF219" s="12" t="n">
        <v>2</v>
      </c>
    </row>
    <row r="220" ht="400" customHeight="1">
      <c r="A220" s="12" t="inlineStr">
        <is>
          <t>IRISC328</t>
        </is>
      </c>
      <c r="B220" s="10" t="inlineStr">
        <is>
          <t>Omkar Parab</t>
        </is>
      </c>
      <c r="C220" s="12" t="inlineStr">
        <is>
          <t>XBRL Consulting</t>
        </is>
      </c>
      <c r="D220" s="12" t="inlineStr">
        <is>
          <t>Consultant</t>
        </is>
      </c>
      <c r="E220" s="78" t="inlineStr">
        <is>
          <t>Taxonomy Analyst</t>
        </is>
      </c>
      <c r="F220" s="12" t="inlineStr">
        <is>
          <t>Consulting &amp; Professional Services</t>
        </is>
      </c>
      <c r="G220" s="12" t="inlineStr">
        <is>
          <t>Taxonomy Design &amp; Regulatory Consulting</t>
        </is>
      </c>
      <c r="H220" s="12" t="inlineStr">
        <is>
          <t>IC</t>
        </is>
      </c>
      <c r="I220" s="42" t="inlineStr">
        <is>
          <t>L3 – Professional / Associate</t>
        </is>
      </c>
      <c r="J220" s="16" t="inlineStr">
        <is>
          <t>A2</t>
        </is>
      </c>
      <c r="K220" s="17" t="inlineStr">
        <is>
          <t>Associate</t>
        </is>
      </c>
      <c r="L220" s="87" t="inlineStr">
        <is>
          <t>• Same level</t>
        </is>
      </c>
      <c r="M220" s="12" t="inlineStr">
        <is>
          <t>iFile · XBRL Consulting · Band A · Early career</t>
        </is>
      </c>
      <c r="N220" s="42" t="n">
        <v>2</v>
      </c>
      <c r="O220" s="42" t="n">
        <v>2</v>
      </c>
      <c r="P220" s="42" t="n">
        <v>2</v>
      </c>
      <c r="Q220" s="42" t="n">
        <v>1</v>
      </c>
      <c r="R220" s="42" t="n">
        <v>2</v>
      </c>
      <c r="S220" s="80" t="n">
        <v>2</v>
      </c>
      <c r="T220" s="81">
        <f>IF(OR($M220="",COUNT(N220,O220,P220,Q220,R220,S220)&lt;6),"",IFERROR(N220*INDEX(WM_C,MATCH($M220,WM_KEY,0))+O220*INDEX(WM_AU,MATCH($M220,WM_KEY,0))+P220*INDEX(WM_AC,MATCH($M220,WM_KEY,0))+Q220*INDEX(WM_L,MATCH($M220,WM_KEY,0))+R220*INDEX(WM_E,MATCH($M220,WM_KEY,0))+S220*INDEX(WM_BI,MATCH($M220,WM_KEY,0)),""))</f>
        <v>2</v>
      </c>
      <c r="U220" s="42" t="str">
        <f>IF(T220="","",INDEX({"A1","A2","A3","B1","B2","B3","C1","C2","D1","D2","E1","E2"},MAX(1,MIN(12,ROUND(T220,0)))))</f>
        <v>A2</v>
      </c>
      <c r="V220" s="12" t="inlineStr">
        <is>
          <r>
            <rPr>
              <rFont val="Calibri"/>
              <sz val="10"/>
            </rPr>
            <t xml:space="preserve">New level A2 · Associate. Current level on record: L3 – Professional / Associate. Change: • Same level.
Score 2.00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0" s="12" t="inlineStr">
        <is>
          <r>
            <rPr>
              <rFont val="Calibri"/>
              <b val="1"/>
              <sz val="10"/>
            </rPr>
            <t>Complexity &amp; Expertise:</t>
          </r>
          <r>
            <rPr>
              <rFont val="Calibri"/>
              <sz val="10"/>
            </rPr>
            <t xml:space="preserve"> 2 of 12 — Start: 2.0 · practitioner title; Evidence reads like A2: Client edit corrections and data validation on XBRL financial reports in Instant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Decides error identification only; routine corrections → matches the start
</t>
          </r>
          <r>
            <rPr>
              <rFont val="Calibri"/>
              <b val="1"/>
              <sz val="10"/>
            </rPr>
            <t>Accountability &amp; Impact:</t>
          </r>
          <r>
            <rPr>
              <rFont val="Calibri"/>
              <sz val="10"/>
            </rPr>
            <t xml:space="preserve"> 2 of 12 — Start: 2.0 · practitioner title; Evidence reads like A2: Accuracy, classification and validation of the financial reports they handle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0.8 yrs total · 0.8 at IRIS; none recorded before IRIS = 1.8 on the experience scale;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20" s="12"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Y220" s="12" t="inlineStr">
        <is>
          <r>
            <rPr>
              <rFont val="Calibri"/>
              <sz val="10"/>
            </rPr>
            <t xml:space="preserve">✓ HRIS: 0.8 yrs, B.Com,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20" s="12" t="inlineStr">
        <is>
          <t>—</t>
        </is>
      </c>
      <c r="AA220" s="12" t="inlineStr">
        <is>
          <t>Nothing outstanding</t>
        </is>
      </c>
      <c r="AB220"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complete iris · resolve · cycle full · accuracy targets · maintained · logs document.
Manager talent mapping — Latest rating: 3 · Potential: Low · 9-Box Grid placement: Core Contributor.</t>
          </r>
        </is>
      </c>
      <c r="AC220" s="82" t="n"/>
      <c r="AD220" s="82" t="n"/>
      <c r="AE220" s="82" t="n"/>
      <c r="AF220" s="12" t="n">
        <v>2</v>
      </c>
    </row>
    <row r="221" ht="400" customHeight="1">
      <c r="A221" s="12" t="inlineStr">
        <is>
          <t>IRISC342</t>
        </is>
      </c>
      <c r="B221" s="10" t="inlineStr">
        <is>
          <t>Prabhash Rajput</t>
        </is>
      </c>
      <c r="C221" s="12" t="inlineStr">
        <is>
          <t>XBRL Consulting</t>
        </is>
      </c>
      <c r="D221" s="12" t="inlineStr">
        <is>
          <t>Consultant</t>
        </is>
      </c>
      <c r="E221" s="78" t="inlineStr">
        <is>
          <t>Taxonomy Analyst</t>
        </is>
      </c>
      <c r="F221" s="12" t="inlineStr">
        <is>
          <t>Consulting &amp; Professional Services</t>
        </is>
      </c>
      <c r="G221" s="12" t="inlineStr">
        <is>
          <t>Taxonomy Design &amp; Regulatory Consulting</t>
        </is>
      </c>
      <c r="H221" s="12" t="inlineStr">
        <is>
          <t>IC</t>
        </is>
      </c>
      <c r="I221" s="42" t="inlineStr">
        <is>
          <t>L3 – Professional / Associate</t>
        </is>
      </c>
      <c r="J221" s="16" t="inlineStr">
        <is>
          <t>A2</t>
        </is>
      </c>
      <c r="K221" s="17" t="inlineStr">
        <is>
          <t>Associate</t>
        </is>
      </c>
      <c r="L221" s="87" t="inlineStr">
        <is>
          <t>• Same level</t>
        </is>
      </c>
      <c r="M221" s="12" t="inlineStr">
        <is>
          <t>iFile · XBRL Consulting · Band A · Early career</t>
        </is>
      </c>
      <c r="N221" s="42" t="n">
        <v>2.5</v>
      </c>
      <c r="O221" s="42" t="n">
        <v>2</v>
      </c>
      <c r="P221" s="42" t="n">
        <v>2</v>
      </c>
      <c r="Q221" s="42" t="n">
        <v>1</v>
      </c>
      <c r="R221" s="42" t="n">
        <v>2</v>
      </c>
      <c r="S221" s="80" t="n">
        <v>2</v>
      </c>
      <c r="T221" s="81">
        <f>IF(OR($M221="",COUNT(N221,O221,P221,Q221,R221,S221)&lt;6),"",IFERROR(N221*INDEX(WM_C,MATCH($M221,WM_KEY,0))+O221*INDEX(WM_AU,MATCH($M221,WM_KEY,0))+P221*INDEX(WM_AC,MATCH($M221,WM_KEY,0))+Q221*INDEX(WM_L,MATCH($M221,WM_KEY,0))+R221*INDEX(WM_E,MATCH($M221,WM_KEY,0))+S221*INDEX(WM_BI,MATCH($M221,WM_KEY,0)),""))</f>
        <v>2.295</v>
      </c>
      <c r="U221" s="42" t="str">
        <f>IF(T221="","",INDEX({"A1","A2","A3","B1","B2","B3","C1","C2","D1","D2","E1","E2"},MAX(1,MIN(12,ROUND(T221,0)))))</f>
        <v>A2</v>
      </c>
      <c r="V221" s="12" t="inlineStr">
        <is>
          <r>
            <rPr>
              <rFont val="Calibri"/>
              <sz val="10"/>
            </rPr>
            <t xml:space="preserve">New level A2 · Associate. Current level on record: L3 – Professional / Associate. Change: • Same level.
Score 2.29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1" s="12" t="inlineStr">
        <is>
          <r>
            <rPr>
              <rFont val="Calibri"/>
              <b val="1"/>
              <sz val="10"/>
            </rPr>
            <t>Complexity &amp; Expertise:</t>
          </r>
          <r>
            <rPr>
              <rFont val="Calibri"/>
              <sz val="10"/>
            </rPr>
            <t xml:space="preserve"> 2.5 of 12 · between A2 and A3 — Start: 2.0 · practitioner title; Evidence reads like A3: Tags annual reports to taxonomy, validates on Bushchat, QCs, explains tagging choices to clients → moved up 0.5;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Decides prior-year report comparison; works to taxonomy mapping and QC steps → matches the start
</t>
          </r>
          <r>
            <rPr>
              <rFont val="Calibri"/>
              <b val="1"/>
              <sz val="10"/>
            </rPr>
            <t>Accountability &amp; Impact:</t>
          </r>
          <r>
            <rPr>
              <rFont val="Calibri"/>
              <sz val="10"/>
            </rPr>
            <t xml:space="preserve"> 2 of 12 — Start: 2.0 · practitioner title; Evidence reads like A2: Accuracy and quality of own XBRL reports; errors mean rework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1.1 yrs total · 0.5 before IRIS + 0.6 at IRIS = 2.0 on the experience scale;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21" s="12"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Y221" s="12" t="inlineStr">
        <is>
          <r>
            <rPr>
              <rFont val="Calibri"/>
              <sz val="10"/>
            </rPr>
            <t xml:space="preserve">✓ HRIS: 1.1 yrs, B.Com,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21" s="12" t="inlineStr">
        <is>
          <t>—</t>
        </is>
      </c>
      <c r="AA221" s="12" t="inlineStr">
        <is>
          <t>Nothing outstanding</t>
        </is>
      </c>
      <c r="AB221"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rework · client · escalation · time · retesting.
</t>
          </r>
          <r>
            <rPr>
              <rFont val="Calibri"/>
              <b val="1"/>
              <sz val="10"/>
            </rPr>
            <t>Measured on · manager-set KRA themes:</t>
          </r>
          <r>
            <rPr>
              <rFont val="Calibri"/>
              <sz val="10"/>
            </rPr>
            <t xml:space="preserve"> complete iris · resolve · cycle full · accuracy targets · maintained · logs document.
Manager talent mapping — Latest rating: 3 · Potential: Low · 9-Box Grid placement: Core Contributor.</t>
          </r>
        </is>
      </c>
      <c r="AC221" s="82" t="n"/>
      <c r="AD221" s="82" t="n"/>
      <c r="AE221" s="82" t="n"/>
      <c r="AF221" s="12" t="n">
        <v>2</v>
      </c>
    </row>
    <row r="222" ht="400" customHeight="1">
      <c r="A222" s="12" t="inlineStr">
        <is>
          <t>IRISC317</t>
        </is>
      </c>
      <c r="B222" s="10" t="inlineStr">
        <is>
          <t>Prajakta Athalye</t>
        </is>
      </c>
      <c r="C222" s="12" t="inlineStr">
        <is>
          <t>XBRL Consulting</t>
        </is>
      </c>
      <c r="D222" s="12" t="inlineStr">
        <is>
          <t>XBRL Conversion Specialist</t>
        </is>
      </c>
      <c r="E222" s="78" t="inlineStr">
        <is>
          <t>Financial Analyst</t>
        </is>
      </c>
      <c r="F222" s="12" t="inlineStr">
        <is>
          <t>Consulting &amp; Professional Services</t>
        </is>
      </c>
      <c r="G222" s="12" t="inlineStr">
        <is>
          <t>XBRL Tagging, Conversion &amp; Filing</t>
        </is>
      </c>
      <c r="H222" s="12" t="inlineStr">
        <is>
          <t>IC</t>
        </is>
      </c>
      <c r="I222" s="42" t="inlineStr">
        <is>
          <t>L3 – Professional / Associate</t>
        </is>
      </c>
      <c r="J222" s="16" t="inlineStr">
        <is>
          <t>A2</t>
        </is>
      </c>
      <c r="K222" s="17" t="inlineStr">
        <is>
          <t>Associate</t>
        </is>
      </c>
      <c r="L222" s="87" t="inlineStr">
        <is>
          <t>• Same level</t>
        </is>
      </c>
      <c r="M222" s="12" t="inlineStr">
        <is>
          <t>iFile · XBRL Consulting · Band A · Early career</t>
        </is>
      </c>
      <c r="N222" s="42" t="n">
        <v>2</v>
      </c>
      <c r="O222" s="42" t="n">
        <v>2</v>
      </c>
      <c r="P222" s="42" t="n">
        <v>2</v>
      </c>
      <c r="Q222" s="42" t="n">
        <v>1</v>
      </c>
      <c r="R222" s="42" t="n">
        <v>2</v>
      </c>
      <c r="S222" s="80" t="n">
        <v>2</v>
      </c>
      <c r="T222" s="81">
        <f>IF(OR($M222="",COUNT(N222,O222,P222,Q222,R222,S222)&lt;6),"",IFERROR(N222*INDEX(WM_C,MATCH($M222,WM_KEY,0))+O222*INDEX(WM_AU,MATCH($M222,WM_KEY,0))+P222*INDEX(WM_AC,MATCH($M222,WM_KEY,0))+Q222*INDEX(WM_L,MATCH($M222,WM_KEY,0))+R222*INDEX(WM_E,MATCH($M222,WM_KEY,0))+S222*INDEX(WM_BI,MATCH($M222,WM_KEY,0)),""))</f>
        <v>2</v>
      </c>
      <c r="U222" s="42" t="str">
        <f>IF(T222="","",INDEX({"A1","A2","A3","B1","B2","B3","C1","C2","D1","D2","E1","E2"},MAX(1,MIN(12,ROUND(T222,0)))))</f>
        <v>A2</v>
      </c>
      <c r="V222" s="12" t="inlineStr">
        <is>
          <r>
            <rPr>
              <rFont val="Calibri"/>
              <sz val="10"/>
            </rPr>
            <t xml:space="preserve">New level A2 · Associate. Current level on record: L3 – Professional / Associate. Change: • Same level.
Score 2.00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2" s="12" t="inlineStr">
        <is>
          <r>
            <rPr>
              <rFont val="Calibri"/>
              <b val="1"/>
              <sz val="10"/>
            </rPr>
            <t>Complexity &amp; Expertise:</t>
          </r>
          <r>
            <rPr>
              <rFont val="Calibri"/>
              <sz val="10"/>
            </rPr>
            <t xml:space="preserve"> 2 of 12 — Start: 2.0 · practitioner title; Evidence reads like A2: Converts financial statements to XBRL: mapping, tagging, validation and formatting checks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Performs mapping, tagging, validations and resolves routine errors independently → matches the start
</t>
          </r>
          <r>
            <rPr>
              <rFont val="Calibri"/>
              <b val="1"/>
              <sz val="10"/>
            </rPr>
            <t>Accountability &amp; Impact:</t>
          </r>
          <r>
            <rPr>
              <rFont val="Calibri"/>
              <sz val="10"/>
            </rPr>
            <t xml:space="preserve"> 2 of 12 — Start: 2.0 · practitioner title; Evidence reads like A2: Accuracy of own mapping, tagging, validation and final quality checks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0.9 yrs total · 0.9 at IRIS; none recorded before IRIS = 1.9 on the experience scale; Qualification: BBA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22" s="12"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Y222" s="12" t="inlineStr">
        <is>
          <r>
            <rPr>
              <rFont val="Calibri"/>
              <sz val="10"/>
            </rPr>
            <t xml:space="preserve">✓ HRIS: 0.9 yrs, BBA,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22" s="12" t="inlineStr">
        <is>
          <t>—</t>
        </is>
      </c>
      <c r="AA222" s="12" t="inlineStr">
        <is>
          <t>Nothing outstanding</t>
        </is>
      </c>
      <c r="AB22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3 · Potential: Low · 9-Box Grid placement: Core Contributor.</t>
          </r>
        </is>
      </c>
      <c r="AC222" s="82" t="n"/>
      <c r="AD222" s="82" t="n"/>
      <c r="AE222" s="82" t="n"/>
      <c r="AF222" s="12" t="n">
        <v>2</v>
      </c>
    </row>
    <row r="223" ht="400" customHeight="1">
      <c r="A223" s="12" t="inlineStr">
        <is>
          <t>IRIS2549</t>
        </is>
      </c>
      <c r="B223" s="10" t="inlineStr">
        <is>
          <t>Rinku Pukharam Choudhary</t>
        </is>
      </c>
      <c r="C223" s="12" t="inlineStr">
        <is>
          <t>XBRL Consulting</t>
        </is>
      </c>
      <c r="D223" s="12" t="inlineStr">
        <is>
          <t>XBRL Conversion Specialist</t>
        </is>
      </c>
      <c r="E223" s="78" t="inlineStr">
        <is>
          <t>Financial Analyst</t>
        </is>
      </c>
      <c r="F223" s="12" t="inlineStr">
        <is>
          <t>Consulting &amp; Professional Services</t>
        </is>
      </c>
      <c r="G223" s="12" t="inlineStr">
        <is>
          <t>XBRL Tagging, Conversion &amp; Filing</t>
        </is>
      </c>
      <c r="H223" s="12" t="inlineStr">
        <is>
          <t>IC</t>
        </is>
      </c>
      <c r="I223" s="42" t="inlineStr">
        <is>
          <t>L3 – Professional / Associate</t>
        </is>
      </c>
      <c r="J223" s="16" t="inlineStr">
        <is>
          <t>A2</t>
        </is>
      </c>
      <c r="K223" s="17" t="inlineStr">
        <is>
          <t>Associate</t>
        </is>
      </c>
      <c r="L223" s="87" t="inlineStr">
        <is>
          <t>• Same level</t>
        </is>
      </c>
      <c r="M223" s="12" t="inlineStr">
        <is>
          <t>iFile · XBRL Consulting · Band A · Early career</t>
        </is>
      </c>
      <c r="N223" s="42" t="n">
        <v>2</v>
      </c>
      <c r="O223" s="42" t="n">
        <v>2</v>
      </c>
      <c r="P223" s="42" t="n">
        <v>2</v>
      </c>
      <c r="Q223" s="42" t="n">
        <v>1</v>
      </c>
      <c r="R223" s="42" t="n">
        <v>1</v>
      </c>
      <c r="S223" s="80" t="n">
        <v>2</v>
      </c>
      <c r="T223" s="81">
        <f>IF(OR($M223="",COUNT(N223,O223,P223,Q223,R223,S223)&lt;6),"",IFERROR(N223*INDEX(WM_C,MATCH($M223,WM_KEY,0))+O223*INDEX(WM_AU,MATCH($M223,WM_KEY,0))+P223*INDEX(WM_AC,MATCH($M223,WM_KEY,0))+Q223*INDEX(WM_L,MATCH($M223,WM_KEY,0))+R223*INDEX(WM_E,MATCH($M223,WM_KEY,0))+S223*INDEX(WM_BI,MATCH($M223,WM_KEY,0)),""))</f>
        <v>1.9</v>
      </c>
      <c r="U223" s="42" t="str">
        <f>IF(T223="","",INDEX({"A1","A2","A3","B1","B2","B3","C1","C2","D1","D2","E1","E2"},MAX(1,MIN(12,ROUND(T223,0)))))</f>
        <v>A2</v>
      </c>
      <c r="V223" s="12" t="inlineStr">
        <is>
          <r>
            <rPr>
              <rFont val="Calibri"/>
              <sz val="10"/>
            </rPr>
            <t xml:space="preserve">New level A2 · Associate. Current level on record: L3 – Professional / Associate. Change: • Same level.
Score 1.90 on the ladder scale → indicated level A2.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3" s="12" t="inlineStr">
        <is>
          <r>
            <rPr>
              <rFont val="Calibri"/>
              <b val="1"/>
              <sz val="10"/>
            </rPr>
            <t>Complexity &amp; Expertise:</t>
          </r>
          <r>
            <rPr>
              <rFont val="Calibri"/>
              <sz val="10"/>
            </rPr>
            <t xml:space="preserve"> 2 of 12 — Start: 2.0 · practitioner title; Evidence reads like A2: Tags Malaysian company filings into XBRL, ACRA testing, text-block and review-copy quality checks → matches the start; KRA: “1. Complete IRIS Instant new-release testing each cycle at full coverage; defect leakage &lt;2%. 2. Deliver outsourced XBRL file conversions…”
</t>
          </r>
          <r>
            <rPr>
              <rFont val="Calibri"/>
              <b val="1"/>
              <sz val="10"/>
            </rPr>
            <t>Autonomy &amp; Decision:</t>
          </r>
          <r>
            <rPr>
              <rFont val="Calibri"/>
              <sz val="10"/>
            </rPr>
            <t xml:space="preserve"> 2 of 12 — Start: 2.0 · practitioner title; Evidence reads like A2: Only independent decision named is downloading company files → matches the start
</t>
          </r>
          <r>
            <rPr>
              <rFont val="Calibri"/>
              <b val="1"/>
              <sz val="10"/>
            </rPr>
            <t>Accountability &amp; Impact:</t>
          </r>
          <r>
            <rPr>
              <rFont val="Calibri"/>
              <sz val="10"/>
            </rPr>
            <t xml:space="preserve"> 2 of 12 — Start: 2.0 · practitioner title; Evidence reads like A2: Accuracy and formatting of reports shared with the client → matches the start; KRA: “1. Complete IRIS Instant new-release testing each cycle at full coverage; defect leakage &lt;2%. 2. Deliver outsourced XBRL file conversions…”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1 of 12 — Experience: 0.2 yrs total · 0.2 at IRIS; none recorded before IRIS = 1.2 on the experience scale; Qualification: Bachelor of Accounting and Finance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23" s="12"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Y223" s="12" t="inlineStr">
        <is>
          <r>
            <rPr>
              <rFont val="Calibri"/>
              <sz val="10"/>
            </rPr>
            <t xml:space="preserve">✓ HRIS: 0.2 yrs, Bachelor of Accounting and Finance,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23" s="12" t="inlineStr">
        <is>
          <t>—</t>
        </is>
      </c>
      <c r="AA223" s="12" t="inlineStr">
        <is>
          <t>Nothing outstanding</t>
        </is>
      </c>
      <c r="AB22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successor named: yes.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3 · Potential: Medium · 9-Box Grid placement: Core Contributor.</t>
          </r>
        </is>
      </c>
      <c r="AC223" s="82" t="n"/>
      <c r="AD223" s="82" t="n"/>
      <c r="AE223" s="82" t="n"/>
      <c r="AF223" s="12" t="n">
        <v>2</v>
      </c>
    </row>
    <row r="224" ht="119" customHeight="1">
      <c r="A224" s="12" t="inlineStr">
        <is>
          <t>IRISC347</t>
        </is>
      </c>
      <c r="B224" s="10" t="inlineStr">
        <is>
          <t>Sunita Joshi</t>
        </is>
      </c>
      <c r="C224" s="12" t="inlineStr">
        <is>
          <t>XBRL Consulting</t>
        </is>
      </c>
      <c r="D224" s="12" t="inlineStr">
        <is>
          <t>Consultant</t>
        </is>
      </c>
      <c r="E224" s="78" t="inlineStr">
        <is>
          <t>Associate Consultant – Taxonomy Design &amp; Regulatory Consulting</t>
        </is>
      </c>
      <c r="F224" s="12" t="inlineStr">
        <is>
          <t>Consulting &amp; Professional Services</t>
        </is>
      </c>
      <c r="G224" s="12" t="inlineStr">
        <is>
          <t>Taxonomy Design &amp; Regulatory Consulting</t>
        </is>
      </c>
      <c r="H224" s="12" t="inlineStr">
        <is>
          <t>Consultant</t>
        </is>
      </c>
      <c r="I224" s="42" t="inlineStr">
        <is>
          <t>L3 – Professional / Associate</t>
        </is>
      </c>
      <c r="J224" s="36" t="inlineStr">
        <is>
          <t>X1</t>
        </is>
      </c>
      <c r="K224" s="37" t="inlineStr">
        <is>
          <t>Associate Consultant</t>
        </is>
      </c>
      <c r="L224" s="87" t="inlineStr">
        <is>
          <t>• Same level</t>
        </is>
      </c>
      <c r="M224" s="12" t="inlineStr">
        <is>
          <t>—</t>
        </is>
      </c>
      <c r="N224" s="42" t="inlineStr">
        <is>
          <t>—</t>
        </is>
      </c>
      <c r="O224" s="42" t="inlineStr">
        <is>
          <t>—</t>
        </is>
      </c>
      <c r="P224" s="42" t="inlineStr">
        <is>
          <t>—</t>
        </is>
      </c>
      <c r="Q224" s="42" t="inlineStr">
        <is>
          <t>—</t>
        </is>
      </c>
      <c r="R224" s="42" t="inlineStr">
        <is>
          <t>—</t>
        </is>
      </c>
      <c r="S224" s="80" t="inlineStr">
        <is>
          <t>—</t>
        </is>
      </c>
      <c r="T224" s="81" t="inlineStr">
        <is>
          <t>—</t>
        </is>
      </c>
      <c r="U224" s="42" t="inlineStr">
        <is>
          <t>Not scored</t>
        </is>
      </c>
      <c r="V224" s="12" t="inlineStr">
        <is>
          <t>New level X1 · Associate Consultant. Current level on record: L3 – Professional / Associate. Change: • Same level.
Consultants sit outside the career ladder, at X1–X3 by the scope of their statement of work.</t>
        </is>
      </c>
      <c r="W224" s="12" t="inlineStr">
        <is>
          <r>
            <rPr>
              <rFont val="Calibri"/>
              <b val="1"/>
              <sz val="10"/>
            </rPr>
            <t>Not scored:</t>
          </r>
          <r>
            <rPr>
              <rFont val="Calibri"/>
              <sz val="10"/>
            </rPr>
            <t xml:space="preserve"> consultants sit outside the career ladder · X1–X3, by the scope of their statement of work.</t>
          </r>
        </is>
      </c>
      <c r="X224" s="12" t="inlineStr">
        <is>
          <r>
            <rPr>
              <rFont val="Calibri"/>
              <b val="1"/>
              <sz val="10"/>
            </rPr>
            <t>Consultant:</t>
          </r>
          <r>
            <rPr>
              <rFont val="Calibri"/>
              <sz val="10"/>
            </rPr>
            <t xml:space="preserve"> priced by rate card under the statement of work.</t>
          </r>
        </is>
      </c>
      <c r="Y224" s="12" t="inlineStr">
        <is>
          <r>
            <rPr>
              <rFont val="Calibri"/>
              <sz val="10"/>
            </rPr>
            <t xml:space="preserve">✗ HRIS: experience missing, qualification missing, 0 direct reports
✓ Survey: 20 of 20 questions answered
✓ KRAs: manager-set, quarterly
✓ Manager mapping: rating, potential, 9-box — filled from talent-mapping files: experience at IRIS
✗ Job description: not on file
</t>
          </r>
          <r>
            <rPr>
              <rFont val="Calibri"/>
              <b val="1"/>
              <sz val="10"/>
            </rPr>
            <t>Confidence:</t>
          </r>
          <r>
            <rPr>
              <rFont val="Calibri"/>
              <sz val="10"/>
            </rPr>
            <t xml:space="preserve"> —</t>
          </r>
        </is>
      </c>
      <c r="Z224" s="12" t="inlineStr">
        <is>
          <t>—</t>
        </is>
      </c>
      <c r="AA224" s="12" t="inlineStr">
        <is>
          <t>Nothing outstanding</t>
        </is>
      </c>
      <c r="AB224" s="12" t="inlineStr">
        <is>
          <r>
            <rPr>
              <rFont val="Calibri"/>
              <b val="1"/>
              <sz val="10"/>
            </rPr>
            <t>What the role answers for:</t>
          </r>
          <r>
            <rPr>
              <rFont val="Calibri"/>
              <sz val="10"/>
            </rPr>
            <t xml:space="preserve"> —.
From the survey and manager mapping — successor named: yes.
</t>
          </r>
          <r>
            <rPr>
              <rFont val="Calibri"/>
              <b val="1"/>
              <sz val="10"/>
            </rPr>
            <t>If the work is missed · role-holders' themes:</t>
          </r>
          <r>
            <rPr>
              <rFont val="Calibri"/>
              <sz val="10"/>
            </rPr>
            <t xml:space="preserve"> rework · client · escalation · time · retesting.
Manager talent mapping — Latest rating: 4 · Potential: High · 9-Box Grid placement: Future Leader.</t>
          </r>
        </is>
      </c>
      <c r="AC224" s="82" t="n"/>
      <c r="AD224" s="82" t="n"/>
      <c r="AE224" s="82" t="n"/>
      <c r="AF224" s="12" t="inlineStr">
        <is>
          <t>—</t>
        </is>
      </c>
    </row>
  </sheetData>
  <mergeCells count="14">
    <mergeCell ref="AC5:AF5"/>
    <mergeCell ref="J4:K4"/>
    <mergeCell ref="L4:M4"/>
    <mergeCell ref="A5:C5"/>
    <mergeCell ref="D5:L5"/>
    <mergeCell ref="V5:X5"/>
    <mergeCell ref="A1:AF1"/>
    <mergeCell ref="A4:D4"/>
    <mergeCell ref="M5:U5"/>
    <mergeCell ref="A3:AF3"/>
    <mergeCell ref="H4:I4"/>
    <mergeCell ref="N4:P4"/>
    <mergeCell ref="Y5:AB5"/>
    <mergeCell ref="A2:AF2"/>
  </mergeCells>
  <dataValidations count="2">
    <dataValidation sqref="AC7:AC224" showDropDown="0" showInputMessage="0" showErrorMessage="0" allowBlank="1" type="list">
      <formula1>"Agree,Change,Discuss"</formula1>
    </dataValidation>
    <dataValidation sqref="S7:S224"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C55A11"/>
    <outlinePr summaryBelow="1" summaryRight="1"/>
    <pageSetUpPr fitToPage="1"/>
  </sheetPr>
  <dimension ref="A1:W89"/>
  <sheetViews>
    <sheetView showGridLines="0" zoomScale="85"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0" customWidth="1" min="3" max="3"/>
    <col width="6" customWidth="1" min="4" max="4"/>
    <col width="14" customWidth="1" min="5" max="5"/>
    <col width="8" customWidth="1" min="6" max="6"/>
    <col width="24" customWidth="1" min="7" max="7"/>
    <col width="24" customWidth="1" min="8" max="8"/>
    <col width="16" customWidth="1" min="9" max="9"/>
    <col width="42" customWidth="1" min="10" max="10"/>
    <col width="42" customWidth="1" min="11" max="11"/>
    <col width="28" customWidth="1" min="12" max="12"/>
    <col width="32" customWidth="1" min="13" max="13"/>
    <col width="30" customWidth="1" min="14" max="14"/>
    <col width="46" customWidth="1" min="15" max="15"/>
    <col width="24" customWidth="1" min="16" max="16"/>
    <col width="34" customWidth="1" min="17" max="17"/>
    <col width="30" customWidth="1" min="18" max="18"/>
    <col width="40" customWidth="1" min="19" max="19"/>
    <col width="32" customWidth="1" min="20" max="20"/>
    <col width="26" customWidth="1" min="21" max="21"/>
    <col width="22" customWidth="1" min="22" max="22"/>
    <col width="13" customWidth="1" min="23" max="23"/>
  </cols>
  <sheetData>
    <row r="1" ht="34" customHeight="1">
      <c r="A1" s="1" t="inlineStr">
        <is>
          <t>Roles — every role held here, as defined once for all of IRIS</t>
        </is>
      </c>
      <c r="W1" s="104" t="inlineStr">
        <is>
          <t>◂ Start Here</t>
        </is>
      </c>
    </row>
    <row r="2" ht="30" customHeight="1">
      <c r="A2" s="3" t="inlineStr">
        <is>
          <t>Sheet 3 · One row per role · job family × sub-family × level × track. Purpose and responsibilities are written in catalogue language · the sub-family definition and the level standard, followed by the common themes in the role-holders' own answers where 3+ answered · the role, else its sub-family — 'Evidence basis' says which. The level requirements are the framework's, the same for every role at that level.</t>
        </is>
      </c>
    </row>
    <row r="3">
      <c r="A3" s="4" t="inlineStr">
        <is>
          <t>IRIS · Job Architecture &amp; Job Design · Final v1.12 · October 2026 · Internal — Confidential</t>
        </is>
      </c>
    </row>
    <row r="4"/>
    <row r="5" ht="30" customHeight="1">
      <c r="A5" s="67" t="inlineStr">
        <is>
          <t>ROLE</t>
        </is>
      </c>
      <c r="J5" s="68" t="inlineStr">
        <is>
          <t>WHAT THE ROLE IS FOR AND DOES</t>
        </is>
      </c>
      <c r="O5" s="69" t="inlineStr">
        <is>
          <t>WHAT THE LEVEL REQUIRES</t>
        </is>
      </c>
      <c r="R5" s="70" t="inlineStr">
        <is>
          <t>DISCIPLINE DETAIL · Career Architecture V2</t>
        </is>
      </c>
      <c r="T5" s="71" t="inlineStr">
        <is>
          <t>MARKET &amp; CAREER</t>
        </is>
      </c>
      <c r="V5" s="72" t="inlineStr">
        <is>
          <t>EVIDENCE</t>
        </is>
      </c>
    </row>
    <row r="6" ht="44" customHeight="1">
      <c r="A6" s="73" t="inlineStr">
        <is>
          <t>Catalogue ID</t>
        </is>
      </c>
      <c r="B6" s="73" t="inlineStr">
        <is>
          <t>Job family</t>
        </is>
      </c>
      <c r="C6" s="73" t="inlineStr">
        <is>
          <t>Sub-family</t>
        </is>
      </c>
      <c r="D6" s="73" t="inlineStr">
        <is>
          <t>Level</t>
        </is>
      </c>
      <c r="E6" s="73" t="inlineStr">
        <is>
          <t>Level title</t>
        </is>
      </c>
      <c r="F6" s="73" t="inlineStr">
        <is>
          <t>Track</t>
        </is>
      </c>
      <c r="G6" s="73" t="inlineStr">
        <is>
          <t>Designations used</t>
        </is>
      </c>
      <c r="H6" s="73" t="inlineStr">
        <is>
          <t>Held here by</t>
        </is>
      </c>
      <c r="I6" s="73" t="inlineStr">
        <is>
          <t>Department · s</t>
        </is>
      </c>
      <c r="J6" s="8" t="inlineStr">
        <is>
          <t>Purpose</t>
        </is>
      </c>
      <c r="K6" s="8" t="inlineStr">
        <is>
          <t>Key responsibilities</t>
        </is>
      </c>
      <c r="L6" s="8" t="inlineStr">
        <is>
          <t>Decision rights</t>
        </is>
      </c>
      <c r="M6" s="8" t="inlineStr">
        <is>
          <t>Manager-set KRAs · common themes</t>
        </is>
      </c>
      <c r="N6" s="8" t="inlineStr">
        <is>
          <t>Skills &amp; tools · counts</t>
        </is>
      </c>
      <c r="O6" s="74" t="inlineStr">
        <is>
          <t>Expectations at this level</t>
        </is>
      </c>
      <c r="P6" s="74" t="inlineStr">
        <is>
          <t>Experience &amp; education</t>
        </is>
      </c>
      <c r="Q6" s="74" t="inlineStr">
        <is>
          <t>Must-have competencies &amp; proficiency</t>
        </is>
      </c>
      <c r="R6" s="75" t="inlineStr">
        <is>
          <t>Family boundary</t>
        </is>
      </c>
      <c r="S6" s="75" t="inlineStr">
        <is>
          <t>Discipline expectation, readiness and work sample</t>
        </is>
      </c>
      <c r="T6" s="76" t="inlineStr">
        <is>
          <t>Market equivalent</t>
        </is>
      </c>
      <c r="U6" s="76" t="inlineStr">
        <is>
          <t>Next step</t>
        </is>
      </c>
      <c r="V6" s="77" t="inlineStr">
        <is>
          <t>Evidence basis</t>
        </is>
      </c>
    </row>
    <row r="7">
      <c r="A7" s="89" t="inlineStr">
        <is>
          <t>Business Analysis</t>
        </is>
      </c>
    </row>
    <row r="8" ht="119" customHeight="1">
      <c r="A8" s="90" t="inlineStr">
        <is>
          <t>RC-007</t>
        </is>
      </c>
      <c r="B8" s="12" t="inlineStr">
        <is>
          <t>Business Analysis</t>
        </is>
      </c>
      <c r="C8" s="12" t="inlineStr">
        <is>
          <t>Business Analysis</t>
        </is>
      </c>
      <c r="D8" s="16" t="inlineStr">
        <is>
          <t>A1</t>
        </is>
      </c>
      <c r="E8" s="17" t="inlineStr">
        <is>
          <t>Intern / Trainee</t>
        </is>
      </c>
      <c r="F8" s="12" t="inlineStr">
        <is>
          <t>IC</t>
        </is>
      </c>
      <c r="G8" s="12" t="inlineStr">
        <is>
          <t>Trainee Business Analyst</t>
        </is>
      </c>
      <c r="H8" s="12" t="inlineStr">
        <is>
          <t>Parmesh Vala</t>
        </is>
      </c>
      <c r="I8" s="12" t="inlineStr">
        <is>
          <t>Technology</t>
        </is>
      </c>
      <c r="J8" s="12" t="inlineStr">
        <is>
          <r>
            <rPr>
              <rFont val="Calibri"/>
              <sz val="10"/>
            </rPr>
            <t xml:space="preserve">Gathers and documents requirements · BRD/FRD/SRS/user stories, configures solutions and supports UAT and releases. At A1: learning the role; all work reviewed.
</t>
          </r>
          <r>
            <rPr>
              <rFont val="Calibri"/>
              <b val="1"/>
              <sz val="10"/>
            </rPr>
            <t>Common themes in sub-family holders, all levels' answers:</t>
          </r>
          <r>
            <rPr>
              <rFont val="Calibri"/>
              <sz val="10"/>
            </rPr>
            <t xml:space="preserve"> business · requirements · bridge · analyst · between · technical</t>
          </r>
        </is>
      </c>
      <c r="K8" s="12" t="inlineStr">
        <is>
          <r>
            <rPr>
              <rFont val="Calibri"/>
              <sz val="10"/>
            </rPr>
            <t xml:space="preserve">Gathers and documents requirements · BRD/FRD/SRS/user stories, configures solutions and supports UAT and releases; Learning; follows worked examples; Learning tasks
</t>
          </r>
          <r>
            <rPr>
              <rFont val="Calibri"/>
              <b val="1"/>
              <sz val="10"/>
            </rPr>
            <t>Common themes in sub-family holders, all levels' answers:</t>
          </r>
          <r>
            <rPr>
              <rFont val="Calibri"/>
              <sz val="10"/>
            </rPr>
            <t xml:space="preserve"> requirement · documentation · stakeholder · client · gathering · analysis</t>
          </r>
        </is>
      </c>
      <c r="L8" s="12" t="inlineStr">
        <is>
          <r>
            <rPr>
              <rFont val="Calibri"/>
              <sz val="10"/>
            </rPr>
            <t xml:space="preserve">Needs approval / close guidance
</t>
          </r>
          <r>
            <rPr>
              <rFont val="Calibri"/>
              <b val="1"/>
              <sz val="10"/>
            </rPr>
            <t>Common themes in sub-family holders, all levels' answers:</t>
          </r>
          <r>
            <rPr>
              <rFont val="Calibri"/>
              <sz val="10"/>
            </rPr>
            <t xml:space="preserve"> requirements · user · documentation · process · stories · assign</t>
          </r>
        </is>
      </c>
      <c r="M8" s="12" t="inlineStr">
        <is>
          <t>—</t>
        </is>
      </c>
      <c r="N8" s="12" t="inlineStr">
        <is>
          <r>
            <rPr>
              <rFont val="Calibri"/>
              <b val="1"/>
              <sz val="10"/>
            </rPr>
            <t>Skills: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t>
          </r>
        </is>
      </c>
      <c r="O8"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8" s="12" t="inlineStr">
        <is>
          <t>0 yrs · fresher / intern
Pursuing or completed graduation / diploma</t>
        </is>
      </c>
      <c r="Q8" s="12" t="inlineStr">
        <is>
          <t>Core 1 · Future-ready 1 · Functional 1 · Leadership —
★ Business Analysis &amp; Requirements Engineering · Regulatory &amp; BFSI Domain</t>
        </is>
      </c>
      <c r="R8" s="12" t="inlineStr">
        <is>
          <t>Define business needs and evaluate solutions. Includes: Elicitation, process analysis, traceability and solution evaluation. Excludes: Product investment authority; technical architecture.</t>
        </is>
      </c>
      <c r="S8" s="12" t="inlineStr">
        <is>
          <r>
            <rPr>
              <rFont val="Calibri"/>
              <b val="1"/>
              <sz val="10"/>
            </rPr>
            <t>Comparable stage:</t>
          </r>
          <r>
            <rPr>
              <rFont val="Calibri"/>
              <sz val="10"/>
            </rPr>
            <t xml:space="preserve"> BA01-0 · Business Analysis Intern
</t>
          </r>
          <r>
            <rPr>
              <rFont val="Calibri"/>
              <b val="1"/>
              <sz val="10"/>
            </rPr>
            <t>Assist with a supervised work sample:</t>
          </r>
          <r>
            <rPr>
              <rFont val="Calibri"/>
              <sz val="10"/>
            </rPr>
            <t xml:space="preserve"> elicit requirements, model processes and trace acceptance criteria.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requirements set traced to business needs, acceptance tests and realized outcomes</t>
          </r>
        </is>
      </c>
      <c r="T8" s="12" t="inlineStr">
        <is>
          <t>Radford / Mercer Entry / P1 · intern · SFIA 1 Follow
—</t>
        </is>
      </c>
      <c r="U8" s="12" t="inlineStr">
        <is>
          <t>A2 · Associate</t>
        </is>
      </c>
      <c r="V8" s="12" t="inlineStr">
        <is>
          <t>Framework + sub-family themes · 3+ answered</t>
        </is>
      </c>
    </row>
    <row r="9" ht="119" customHeight="1">
      <c r="A9" s="90" t="inlineStr">
        <is>
          <t>RC-008</t>
        </is>
      </c>
      <c r="B9" s="12" t="inlineStr">
        <is>
          <t>Business Analysis</t>
        </is>
      </c>
      <c r="C9" s="12" t="inlineStr">
        <is>
          <t>Business Analysis</t>
        </is>
      </c>
      <c r="D9" s="16" t="inlineStr">
        <is>
          <t>A2</t>
        </is>
      </c>
      <c r="E9" s="17" t="inlineStr">
        <is>
          <t>Associate</t>
        </is>
      </c>
      <c r="F9" s="12" t="inlineStr">
        <is>
          <t>IC</t>
        </is>
      </c>
      <c r="G9" s="12" t="inlineStr">
        <is>
          <t>Business Analyst</t>
        </is>
      </c>
      <c r="H9" s="12" t="inlineStr">
        <is>
          <t>Tanishq Gupta</t>
        </is>
      </c>
      <c r="I9" s="12" t="inlineStr">
        <is>
          <t>Technology</t>
        </is>
      </c>
      <c r="J9" s="12" t="inlineStr">
        <is>
          <r>
            <rPr>
              <rFont val="Calibri"/>
              <sz val="10"/>
            </rPr>
            <t xml:space="preserve">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t>
          </r>
        </is>
      </c>
      <c r="K9" s="12" t="inlineStr">
        <is>
          <r>
            <rPr>
              <rFont val="Calibri"/>
              <sz val="10"/>
            </rPr>
            <t xml:space="preserve">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t>
          </r>
        </is>
      </c>
      <c r="L9" s="12" t="inlineStr">
        <is>
          <r>
            <rPr>
              <rFont val="Calibri"/>
              <sz val="10"/>
            </rPr>
            <t xml:space="preserve">Chooses own approach within standards
</t>
          </r>
          <r>
            <rPr>
              <rFont val="Calibri"/>
              <b val="1"/>
              <sz val="10"/>
            </rPr>
            <t>Common themes in sub-family holders, all levels' answers:</t>
          </r>
          <r>
            <rPr>
              <rFont val="Calibri"/>
              <sz val="10"/>
            </rPr>
            <t xml:space="preserve"> requirements · user · documentation · process · stories · assign</t>
          </r>
        </is>
      </c>
      <c r="M9" s="12" t="inlineStr">
        <is>
          <t>—</t>
        </is>
      </c>
      <c r="N9" s="12" t="inlineStr">
        <is>
          <r>
            <rPr>
              <rFont val="Calibri"/>
              <b val="1"/>
              <sz val="10"/>
            </rPr>
            <t>Skills: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t>
          </r>
        </is>
      </c>
      <c r="O9"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9" s="12" t="inlineStr">
        <is>
          <t>0–2 yrs
Graduate · or diploma with experience</t>
        </is>
      </c>
      <c r="Q9" s="12" t="inlineStr">
        <is>
          <t>Core 2 · Future-ready 2 · Functional 2 · Leadership —
★ Business Analysis &amp; Requirements Engineering · Regulatory &amp; BFSI Domain</t>
        </is>
      </c>
      <c r="R9" s="12" t="inlineStr">
        <is>
          <t>Define business needs and evaluate solutions. Includes: Elicitation, process analysis, traceability and solution evaluation. Excludes: Product investment authority; technical architecture.</t>
        </is>
      </c>
      <c r="S9" s="12" t="inlineStr">
        <is>
          <r>
            <rPr>
              <rFont val="Calibri"/>
              <b val="1"/>
              <sz val="10"/>
            </rPr>
            <t>Comparable stage:</t>
          </r>
          <r>
            <rPr>
              <rFont val="Calibri"/>
              <sz val="10"/>
            </rPr>
            <t xml:space="preserve"> BA01-1 · Junior Business Analyst
</t>
          </r>
          <r>
            <rPr>
              <rFont val="Calibri"/>
              <b val="1"/>
              <sz val="10"/>
            </rPr>
            <t>Complete defined parts under review:</t>
          </r>
          <r>
            <rPr>
              <rFont val="Calibri"/>
              <sz val="10"/>
            </rPr>
            <t xml:space="preserve"> elicit requirements, model processes and trace acceptance criteria.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requirements set traced to business needs, acceptance tests and realized outcomes</t>
          </r>
        </is>
      </c>
      <c r="T9" s="12" t="inlineStr">
        <is>
          <r>
            <rPr>
              <rFont val="Calibri"/>
              <sz val="10"/>
            </rPr>
            <t xml:space="preserve">Radford / Mercer P1–P2 · SFIA 2 Assist
</t>
          </r>
          <r>
            <rPr>
              <rFont val="Calibri"/>
              <b val="1"/>
              <sz val="10"/>
            </rPr>
            <t>Big Four consulting:</t>
          </r>
          <r>
            <rPr>
              <rFont val="Calibri"/>
              <sz val="10"/>
            </rPr>
            <t xml:space="preserve"> Analyst · IRIS Vs Market Benchmark — IIBA certification pathway: ECBA · Infosys / Accenture: JL3B · L11 Analyst</t>
          </r>
        </is>
      </c>
      <c r="U9" s="12" t="inlineStr">
        <is>
          <t>A3 · Senior Associate</t>
        </is>
      </c>
      <c r="V9" s="12" t="inlineStr">
        <is>
          <t>Framework + sub-family themes · 3+ answered</t>
        </is>
      </c>
    </row>
    <row r="10" ht="119" customHeight="1">
      <c r="A10" s="90" t="inlineStr">
        <is>
          <t>RC-009</t>
        </is>
      </c>
      <c r="B10" s="12" t="inlineStr">
        <is>
          <t>Business Analysis</t>
        </is>
      </c>
      <c r="C10" s="12" t="inlineStr">
        <is>
          <t>Business Analysis</t>
        </is>
      </c>
      <c r="D10" s="16" t="inlineStr">
        <is>
          <t>A3</t>
        </is>
      </c>
      <c r="E10" s="17" t="inlineStr">
        <is>
          <t>Senior Associate</t>
        </is>
      </c>
      <c r="F10" s="12" t="inlineStr">
        <is>
          <t>IC</t>
        </is>
      </c>
      <c r="G10" s="12" t="inlineStr">
        <is>
          <t>Senior Business Analyst · Business Analysis Specialist</t>
        </is>
      </c>
      <c r="H10" s="12" t="inlineStr">
        <is>
          <t>Angitha A, Ankita Karale, Chetan Galande, Darshit Vora, Neha Singh, Prajakta Chavan, Saurabh Dutta, Srikant Mishra</t>
        </is>
      </c>
      <c r="I10" s="12" t="inlineStr">
        <is>
          <t>Technology</t>
        </is>
      </c>
      <c r="J10" s="12" t="inlineStr">
        <is>
          <r>
            <rPr>
              <rFont val="Calibri"/>
              <sz val="10"/>
            </rPr>
            <t xml:space="preserve">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t>
          </r>
        </is>
      </c>
      <c r="K10" s="12" t="inlineStr">
        <is>
          <r>
            <rPr>
              <rFont val="Calibri"/>
              <sz val="10"/>
            </rPr>
            <t xml:space="preserve">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t>
          </r>
        </is>
      </c>
      <c r="L10" s="12" t="inlineStr">
        <is>
          <r>
            <rPr>
              <rFont val="Calibri"/>
              <sz val="10"/>
            </rPr>
            <t xml:space="preserve">Technical / QC / client calls on own work
</t>
          </r>
          <r>
            <rPr>
              <rFont val="Calibri"/>
              <b val="1"/>
              <sz val="10"/>
            </rPr>
            <t>Common themes in role-holders' answers:</t>
          </r>
          <r>
            <rPr>
              <rFont val="Calibri"/>
              <sz val="10"/>
            </rPr>
            <t xml:space="preserve"> documentation · prioritize · user stories · process · project</t>
          </r>
        </is>
      </c>
      <c r="M10" s="12" t="inlineStr">
        <is>
          <r>
            <rPr>
              <rFont val="Calibri"/>
              <b val="1"/>
              <sz val="10"/>
            </rPr>
            <t>Common themes in manager-set KRAs:</t>
          </r>
          <r>
            <rPr>
              <rFont val="Calibri"/>
              <sz val="10"/>
            </rPr>
            <t xml:space="preserve"> delivery · assigned · uat · project · requests · satisfaction</t>
          </r>
        </is>
      </c>
      <c r="N10" s="12" t="inlineStr">
        <is>
          <r>
            <rPr>
              <rFont val="Calibri"/>
              <b val="1"/>
              <sz val="10"/>
            </rPr>
            <t>Skills: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t>
          </r>
        </is>
      </c>
      <c r="O10"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0" s="12" t="inlineStr">
        <is>
          <t>2–4 yrs
Graduate; relevant certification preferred</t>
        </is>
      </c>
      <c r="Q10" s="12" t="inlineStr">
        <is>
          <t>Core 2 · Future-ready 2 · Functional 3 · Leadership —
★ Business Analysis &amp; Requirements Engineering · Regulatory &amp; BFSI Domain</t>
        </is>
      </c>
      <c r="R10" s="12" t="inlineStr">
        <is>
          <t>Define business needs and evaluate solutions. Includes: Elicitation, process analysis, traceability and solution evaluation. Excludes: Product investment authority; technical architecture.</t>
        </is>
      </c>
      <c r="S10" s="12" t="inlineStr">
        <is>
          <r>
            <rPr>
              <rFont val="Calibri"/>
              <b val="1"/>
              <sz val="10"/>
            </rPr>
            <t>Comparable stage:</t>
          </r>
          <r>
            <rPr>
              <rFont val="Calibri"/>
              <sz val="10"/>
            </rPr>
            <t xml:space="preserve"> BA01-2 · Business Analyst
Elicit requirements, model processes and trace acceptance criteria.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requirements set traced to business needs, acceptance tests and realized outcomes</t>
          </r>
        </is>
      </c>
      <c r="T10" s="12" t="inlineStr">
        <is>
          <t>Radford / Mercer P2 · SFIA 3 Apply
Regnology — regulatory reporting: Junior BA · Reg Reporting · Big Four consulting: Consultant · IRIS Vs Market Benchmark — IIBA certification pathway: ECBA · Infosys / Accenture: JL3A · L10 Senior Analyst</t>
        </is>
      </c>
      <c r="U10" s="12" t="inlineStr">
        <is>
          <t>B1 · Specialist</t>
        </is>
      </c>
      <c r="V10" s="12" t="inlineStr">
        <is>
          <t>Framework + role-holders' themes · 3+ answered</t>
        </is>
      </c>
    </row>
    <row r="11" ht="106" customHeight="1">
      <c r="A11" s="90" t="inlineStr">
        <is>
          <t>RC-010</t>
        </is>
      </c>
      <c r="B11" s="12" t="inlineStr">
        <is>
          <t>Business Analysis</t>
        </is>
      </c>
      <c r="C11" s="12" t="inlineStr">
        <is>
          <t>Business Analysis</t>
        </is>
      </c>
      <c r="D11" s="20" t="inlineStr">
        <is>
          <t>B1</t>
        </is>
      </c>
      <c r="E11" s="21" t="inlineStr">
        <is>
          <t>Specialist</t>
        </is>
      </c>
      <c r="F11" s="12" t="inlineStr">
        <is>
          <t>IC</t>
        </is>
      </c>
      <c r="G11" s="12" t="inlineStr">
        <is>
          <t>Business Analysis Specialist · Business Analysis Specialist – POD Lead · Senior Business Analysis Specialist</t>
        </is>
      </c>
      <c r="H11" s="12" t="inlineStr">
        <is>
          <t>Abhishek Hegde, Tumpa Deb</t>
        </is>
      </c>
      <c r="I11" s="12" t="inlineStr">
        <is>
          <t>Technology</t>
        </is>
      </c>
      <c r="J11" s="12"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K11" s="12"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L11" s="12"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M11" s="12" t="inlineStr">
        <is>
          <r>
            <rPr>
              <rFont val="Calibri"/>
              <b val="1"/>
              <sz val="10"/>
            </rPr>
            <t>Common themes in manager-set KRAs:</t>
          </r>
          <r>
            <rPr>
              <rFont val="Calibri"/>
              <sz val="10"/>
            </rPr>
            <t xml:space="preserve"> releases · satisfaction · delivery · assigned · uat · requirement</t>
          </r>
        </is>
      </c>
      <c r="N11" s="12" t="inlineStr">
        <is>
          <r>
            <rPr>
              <rFont val="Calibri"/>
              <b val="1"/>
              <sz val="10"/>
            </rPr>
            <t>Skills:</t>
          </r>
          <r>
            <rPr>
              <rFont val="Calibri"/>
              <sz val="10"/>
            </rPr>
            <t xml:space="preserve"> Business Analysis</t>
          </r>
        </is>
      </c>
      <c r="O11"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1" s="12" t="inlineStr">
        <is>
          <t>4–7 yrs
Graduate + relevant qualification or certification preferred</t>
        </is>
      </c>
      <c r="Q11" s="12" t="inlineStr">
        <is>
          <t>Core 3 · Future-ready 3 · Functional 3 · Leadership 1
★ Business Analysis &amp; Requirements Engineering · Regulatory &amp; BFSI Domain</t>
        </is>
      </c>
      <c r="R11" s="12" t="inlineStr">
        <is>
          <t>Define business needs and evaluate solutions. Includes: Elicitation, process analysis, traceability and solution evaluation. Excludes: Product investment authority; technical architecture.</t>
        </is>
      </c>
      <c r="S11" s="12" t="inlineStr">
        <is>
          <r>
            <rPr>
              <rFont val="Calibri"/>
              <b val="1"/>
              <sz val="10"/>
            </rPr>
            <t>Comparable stage:</t>
          </r>
          <r>
            <rPr>
              <rFont val="Calibri"/>
              <sz val="10"/>
            </rPr>
            <t xml:space="preserve"> BA01-3 · Senior Business Analyst
Resolve conflicting needs and evaluate complex solution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requirements set traced to business needs, acceptance tests and realized outcomes</t>
          </r>
        </is>
      </c>
      <c r="T11" s="12" t="inlineStr">
        <is>
          <t>Radford / Mercer P3 / M2 · SFIA 4 Enable
Regnology — regulatory reporting: BA · Reg Reporting · Big Four consulting: Senior Consultant · IRIS Vs Market Benchmark — IIBA certification pathway: CCBA · Infosys / Accenture: JL4 · L9 Consultant</t>
        </is>
      </c>
      <c r="U11" s="12" t="inlineStr">
        <is>
          <t>B2 · Senior Specialist</t>
        </is>
      </c>
      <c r="V11" s="12" t="inlineStr">
        <is>
          <t>Framework + role-holders' themes · 3+ answered</t>
        </is>
      </c>
    </row>
    <row r="12" ht="106" customHeight="1">
      <c r="A12" s="90" t="inlineStr">
        <is>
          <t>RC-011</t>
        </is>
      </c>
      <c r="B12" s="12" t="inlineStr">
        <is>
          <t>Business Analysis</t>
        </is>
      </c>
      <c r="C12" s="12" t="inlineStr">
        <is>
          <t>Business Analysis</t>
        </is>
      </c>
      <c r="D12" s="20" t="inlineStr">
        <is>
          <t>B1</t>
        </is>
      </c>
      <c r="E12" s="21" t="inlineStr">
        <is>
          <t>Team Lead</t>
        </is>
      </c>
      <c r="F12" s="12" t="inlineStr">
        <is>
          <t>Manager</t>
        </is>
      </c>
      <c r="G12" s="12" t="inlineStr">
        <is>
          <t>Team Lead – Business Analysis</t>
        </is>
      </c>
      <c r="H12" s="12" t="inlineStr">
        <is>
          <t>Shruti Patil</t>
        </is>
      </c>
      <c r="I12" s="12" t="inlineStr">
        <is>
          <t>Technology</t>
        </is>
      </c>
      <c r="J12" s="12"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t>
          </r>
        </is>
      </c>
      <c r="K12" s="12"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t>
          </r>
        </is>
      </c>
      <c r="L12" s="12" t="inlineStr">
        <is>
          <r>
            <rPr>
              <rFont val="Calibri"/>
              <sz val="10"/>
            </rPr>
            <t xml:space="preserve">Technical / QC / client calls for the domain
</t>
          </r>
          <r>
            <rPr>
              <rFont val="Calibri"/>
              <b val="1"/>
              <sz val="10"/>
            </rPr>
            <t>Common themes in sub-family holders, all levels' answers:</t>
          </r>
          <r>
            <rPr>
              <rFont val="Calibri"/>
              <sz val="10"/>
            </rPr>
            <t xml:space="preserve"> requirements · user · documentation · process · stories · assign</t>
          </r>
        </is>
      </c>
      <c r="M12" s="12" t="inlineStr">
        <is>
          <r>
            <rPr>
              <rFont val="Calibri"/>
              <b val="1"/>
              <sz val="10"/>
            </rPr>
            <t>Common themes in manager-set KRAs:</t>
          </r>
          <r>
            <rPr>
              <rFont val="Calibri"/>
              <sz val="10"/>
            </rPr>
            <t xml:space="preserve"> client · first · quality · contribute · update · establish</t>
          </r>
        </is>
      </c>
      <c r="N12" s="12" t="inlineStr">
        <is>
          <r>
            <rPr>
              <rFont val="Calibri"/>
              <b val="1"/>
              <sz val="10"/>
            </rPr>
            <t>Skills: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t>
          </r>
        </is>
      </c>
      <c r="O12"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2" s="12" t="inlineStr">
        <is>
          <t>4–7 yrs
Graduate + relevant qualification or certification preferred</t>
        </is>
      </c>
      <c r="Q12" s="12" t="inlineStr">
        <is>
          <t>Core 3 · Future-ready 3 · Functional 3 · Leadership 2
★ Business Analysis &amp; Requirements Engineering · Regulatory &amp; BFSI Domain</t>
        </is>
      </c>
      <c r="R12" s="12" t="inlineStr">
        <is>
          <t>Define business needs and evaluate solutions. Includes: Elicitation, process analysis, traceability and solution evaluation. Excludes: Product investment authority; technical architecture.</t>
        </is>
      </c>
      <c r="S12" s="12" t="inlineStr">
        <is>
          <r>
            <rPr>
              <rFont val="Calibri"/>
              <b val="1"/>
              <sz val="10"/>
            </rPr>
            <t>Comparable stage:</t>
          </r>
          <r>
            <rPr>
              <rFont val="Calibri"/>
              <sz val="10"/>
            </rPr>
            <t xml:space="preserve"> LD09-1 · Business Analysis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2" s="12" t="inlineStr">
        <is>
          <t>Radford / Mercer P3 / M2 · SFIA 4 Enable
Regnology — regulatory reporting: BA · Reg Reporting · Big Four consulting: Senior Consultant · IRIS Vs Market Benchmark — IIBA certification pathway: CCBA · Infosys / Accenture: JL4 · L9 Consultant</t>
        </is>
      </c>
      <c r="U12" s="12" t="inlineStr">
        <is>
          <t>B2 · Senior Specialist</t>
        </is>
      </c>
      <c r="V12" s="12" t="inlineStr">
        <is>
          <t>Framework + sub-family themes · 3+ answered</t>
        </is>
      </c>
    </row>
    <row r="13">
      <c r="A13" s="89" t="inlineStr">
        <is>
          <t>Consulting &amp; Professional Services</t>
        </is>
      </c>
    </row>
    <row r="14" ht="93" customHeight="1">
      <c r="A14" s="90" t="inlineStr">
        <is>
          <t>RC-014</t>
        </is>
      </c>
      <c r="B14" s="12" t="inlineStr">
        <is>
          <t>Consulting &amp; Professional Services</t>
        </is>
      </c>
      <c r="C14" s="12" t="inlineStr">
        <is>
          <t>Professional Services Leadership</t>
        </is>
      </c>
      <c r="D14" s="28" t="inlineStr">
        <is>
          <t>C2</t>
        </is>
      </c>
      <c r="E14" s="29" t="inlineStr">
        <is>
          <t>Head of Function</t>
        </is>
      </c>
      <c r="F14" s="12" t="inlineStr">
        <is>
          <t>Manager</t>
        </is>
      </c>
      <c r="G14" s="12" t="inlineStr">
        <is>
          <t>Head – Consulting</t>
        </is>
      </c>
      <c r="H14" s="12" t="inlineStr">
        <is>
          <t>Rahul Dhamne</t>
        </is>
      </c>
      <c r="I14" s="12" t="inlineStr">
        <is>
          <t>XBRL Consulting</t>
        </is>
      </c>
      <c r="J14" s="12" t="inlineStr">
        <is>
          <t>Leads an assisted-services / consulting practice. At C2: a function or department, or a company-wide discipline.</t>
        </is>
      </c>
      <c r="K14" s="12" t="inlineStr">
        <is>
          <t>Leads an assisted-services / consulting practice; Function-wide or company-wide problems; creates methods and standards; Function results, budget and risk</t>
        </is>
      </c>
      <c r="L14" s="12" t="inlineStr">
        <is>
          <t>Sets direction for a function</t>
        </is>
      </c>
      <c r="M14" s="12" t="inlineStr">
        <is>
          <t>—</t>
        </is>
      </c>
      <c r="N14" s="12" t="inlineStr">
        <is>
          <r>
            <rPr>
              <rFont val="Calibri"/>
              <b val="1"/>
              <sz val="10"/>
            </rPr>
            <t>Skills:</t>
          </r>
          <r>
            <rPr>
              <rFont val="Calibri"/>
              <sz val="10"/>
            </rPr>
            <t xml:space="preserve"> XBRL Domain</t>
          </r>
        </is>
      </c>
      <c r="O14" s="12" t="inlineStr">
        <is>
          <r>
            <rPr>
              <rFont val="Calibri"/>
              <b val="1"/>
              <sz val="10"/>
            </rPr>
            <t>Owns:</t>
          </r>
          <r>
            <rPr>
              <rFont val="Calibri"/>
              <sz val="10"/>
            </rPr>
            <t xml:space="preserve"> A function or department, or a company-wide discipline
</t>
          </r>
          <r>
            <rPr>
              <rFont val="Calibri"/>
              <b val="1"/>
              <sz val="10"/>
            </rPr>
            <t>Complexity:</t>
          </r>
          <r>
            <rPr>
              <rFont val="Calibri"/>
              <sz val="10"/>
            </rPr>
            <t xml:space="preserve"> Function-wide or company-wide problems; creates methods and standards
</t>
          </r>
          <r>
            <rPr>
              <rFont val="Calibri"/>
              <b val="1"/>
              <sz val="10"/>
            </rPr>
            <t>Decisions:</t>
          </r>
          <r>
            <rPr>
              <rFont val="Calibri"/>
              <sz val="10"/>
            </rPr>
            <t xml:space="preserve"> Sets direction for a function
</t>
          </r>
          <r>
            <rPr>
              <rFont val="Calibri"/>
              <b val="1"/>
              <sz val="10"/>
            </rPr>
            <t>Answers for:</t>
          </r>
          <r>
            <rPr>
              <rFont val="Calibri"/>
              <sz val="10"/>
            </rPr>
            <t xml:space="preserve"> Function results, budget and risk
</t>
          </r>
          <r>
            <rPr>
              <rFont val="Calibri"/>
              <b val="1"/>
              <sz val="10"/>
            </rPr>
            <t>Leadership:</t>
          </r>
          <r>
            <rPr>
              <rFont val="Calibri"/>
              <sz val="10"/>
            </rPr>
            <t xml:space="preserve"> Leads a function; shapes functional strategy</t>
          </r>
        </is>
      </c>
      <c r="P14" s="12" t="inlineStr">
        <is>
          <t>12–17 yrs
Postgraduate / professional qualification preferred</t>
        </is>
      </c>
      <c r="Q14" s="12" t="inlineStr">
        <is>
          <t>Core 4 · Future-ready 4 · Functional 5 · Leadership 4
★ XBRL, iXBRL &amp; Taxonomy · Accounting &amp; Reporting Standards · IFRS/US GAAP</t>
        </is>
      </c>
      <c r="R14" s="12" t="inlineStr">
        <is>
          <t>Deliver expert reporting and client-domain services. Includes: XBRL execution, taxonomy advice, service delivery and technical documentation. Excludes: Internal corporate accounting; product roadmap ownership.</t>
        </is>
      </c>
      <c r="S14" s="12" t="inlineStr">
        <is>
          <r>
            <rPr>
              <rFont val="Calibri"/>
              <b val="1"/>
              <sz val="10"/>
            </rPr>
            <t>Comparable stage:</t>
          </r>
          <r>
            <rPr>
              <rFont val="Calibri"/>
              <sz val="10"/>
            </rPr>
            <t xml:space="preserve"> LD03-2 · Head of Professional Services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14" s="12" t="inlineStr">
        <is>
          <r>
            <rPr>
              <rFont val="Calibri"/>
              <sz val="10"/>
            </rPr>
            <t xml:space="preserve">Radford / Mercer P7 / M6 · SFIA 6 Initiate, influence
</t>
          </r>
          <r>
            <rPr>
              <rFont val="Calibri"/>
              <b val="1"/>
              <sz val="10"/>
            </rPr>
            <t>Big Four:</t>
          </r>
          <r>
            <rPr>
              <rFont val="Calibri"/>
              <sz val="10"/>
            </rPr>
            <t xml:space="preserve"> Director</t>
          </r>
        </is>
      </c>
      <c r="U14" s="12" t="inlineStr">
        <is>
          <t>D1 · Chief Specialist / Distinguished Principal · or C+ · Player-Coach transition step if leading people hands-on</t>
        </is>
      </c>
      <c r="V14" s="12" t="inlineStr">
        <is>
          <t>Framework only · fewer than 3 answered</t>
        </is>
      </c>
    </row>
    <row r="15" ht="119" customHeight="1">
      <c r="A15" s="90" t="inlineStr">
        <is>
          <t>RC-018</t>
        </is>
      </c>
      <c r="B15" s="12" t="inlineStr">
        <is>
          <t>Consulting &amp; Professional Services</t>
        </is>
      </c>
      <c r="C15" s="12" t="inlineStr">
        <is>
          <t>Taxonomy Design &amp; Regulatory Consulting</t>
        </is>
      </c>
      <c r="D15" s="16" t="inlineStr">
        <is>
          <t>A2</t>
        </is>
      </c>
      <c r="E15" s="17" t="inlineStr">
        <is>
          <t>Associate</t>
        </is>
      </c>
      <c r="F15" s="12" t="inlineStr">
        <is>
          <t>IC</t>
        </is>
      </c>
      <c r="G15" s="12" t="inlineStr">
        <is>
          <t>Taxonomy Analyst</t>
        </is>
      </c>
      <c r="H15" s="12" t="inlineStr">
        <is>
          <t>Omkar Parab, Prabhash Rajput</t>
        </is>
      </c>
      <c r="I15" s="12" t="inlineStr">
        <is>
          <t>XBRL Consulting</t>
        </is>
      </c>
      <c r="J15" s="12" t="inlineStr">
        <is>
          <r>
            <rPr>
              <rFont val="Calibri"/>
              <sz val="10"/>
            </rPr>
            <t xml:space="preserve">Designs XBRL/SDMX taxonomies, return templates, validation rules and SRS for regulators; supports implementation and CRs. At A2: standard work delivered independently.
</t>
          </r>
          <r>
            <rPr>
              <rFont val="Calibri"/>
              <b val="1"/>
              <sz val="10"/>
            </rPr>
            <t>Common themes in sub-family holders, all levels' answers:</t>
          </r>
          <r>
            <rPr>
              <rFont val="Calibri"/>
              <sz val="10"/>
            </rPr>
            <t xml:space="preserve"> xbrl · requirements · taxonomy · business · data · convert</t>
          </r>
        </is>
      </c>
      <c r="K15" s="12" t="inlineStr">
        <is>
          <r>
            <rPr>
              <rFont val="Calibri"/>
              <sz val="10"/>
            </rPr>
            <t xml:space="preserve">Designs XBRL/SDMX taxonomies, return templates, validation rules and SRS for regulators; supports implementation and CRs; Standard work of the discipline; Own deliverables · accuracy, TAT
</t>
          </r>
          <r>
            <rPr>
              <rFont val="Calibri"/>
              <b val="1"/>
              <sz val="10"/>
            </rPr>
            <t>Common themes in sub-family holders, all levels' answers:</t>
          </r>
          <r>
            <rPr>
              <rFont val="Calibri"/>
              <sz val="10"/>
            </rPr>
            <t xml:space="preserve"> client · taxonomy · requirement · development · testing · training</t>
          </r>
        </is>
      </c>
      <c r="L15" s="12" t="inlineStr">
        <is>
          <r>
            <rPr>
              <rFont val="Calibri"/>
              <sz val="10"/>
            </rPr>
            <t xml:space="preserve">Chooses own approach within standards
</t>
          </r>
          <r>
            <rPr>
              <rFont val="Calibri"/>
              <b val="1"/>
              <sz val="10"/>
            </rPr>
            <t>Common themes in sub-family holders, all levels' answers:</t>
          </r>
          <r>
            <rPr>
              <rFont val="Calibri"/>
              <sz val="10"/>
            </rPr>
            <t xml:space="preserve"> taxonomy · modelling · testing · formula · data · plan</t>
          </r>
        </is>
      </c>
      <c r="M15" s="12" t="inlineStr">
        <is>
          <r>
            <rPr>
              <rFont val="Calibri"/>
              <b val="1"/>
              <sz val="10"/>
            </rPr>
            <t>Common themes in manager-set KRAs:</t>
          </r>
          <r>
            <rPr>
              <rFont val="Calibri"/>
              <sz val="10"/>
            </rPr>
            <t xml:space="preserve"> complete iris · resolve · cycle full · accuracy targets · maintained · logs document</t>
          </r>
        </is>
      </c>
      <c r="N15" s="12" t="inlineStr">
        <is>
          <r>
            <rPr>
              <rFont val="Calibri"/>
              <b val="1"/>
              <sz val="10"/>
            </rPr>
            <t>Skills: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t>
          </r>
        </is>
      </c>
      <c r="O1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5" s="12" t="inlineStr">
        <is>
          <t>0–2 yrs
Graduate · or diploma with experience</t>
        </is>
      </c>
      <c r="Q15" s="12" t="inlineStr">
        <is>
          <t>Core 2 · Future-ready 2 · Functional 2 · Leadership —
★ XBRL, iXBRL &amp; Taxonomy · Accounting &amp; Reporting Standards · IFRS/US GAAP</t>
        </is>
      </c>
      <c r="R15" s="12" t="inlineStr">
        <is>
          <t>Deliver expert reporting and client-domain services. Includes: XBRL execution, taxonomy advice, service delivery and technical documentation. Excludes: Internal corporate accounting; product roadmap ownership.</t>
        </is>
      </c>
      <c r="S15" s="12" t="inlineStr">
        <is>
          <r>
            <rPr>
              <rFont val="Calibri"/>
              <b val="1"/>
              <sz val="10"/>
            </rPr>
            <t>Comparable stage:</t>
          </r>
          <r>
            <rPr>
              <rFont val="Calibri"/>
              <sz val="10"/>
            </rPr>
            <t xml:space="preserve"> CON02-1 · Regulatory Reporting Analyst · feeder
</t>
          </r>
          <r>
            <rPr>
              <rFont val="Calibri"/>
              <b val="1"/>
              <sz val="10"/>
            </rPr>
            <t>Complete defined parts under review:</t>
          </r>
          <r>
            <rPr>
              <rFont val="Calibri"/>
              <sz val="10"/>
            </rPr>
            <t xml:space="preserve"> translate reporting requirements into documented taxonomy changes.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requirement-to-taxonomy mapping, validation cases and governed release plan</t>
          </r>
        </is>
      </c>
      <c r="T15" s="12" t="inlineStr">
        <is>
          <r>
            <rPr>
              <rFont val="Calibri"/>
              <sz val="10"/>
            </rPr>
            <t xml:space="preserve">Radford / Mercer P1–P2 · SFIA 2 Assist
</t>
          </r>
          <r>
            <rPr>
              <rFont val="Calibri"/>
              <b val="1"/>
              <sz val="10"/>
            </rPr>
            <t>Toppan Merrill:</t>
          </r>
          <r>
            <rPr>
              <rFont val="Calibri"/>
              <sz val="10"/>
            </rPr>
            <t xml:space="preserve"> XBRL Financial Analyst, Associate · DataTracks: Associate · Big Four: Analyst</t>
          </r>
        </is>
      </c>
      <c r="U15" s="12" t="inlineStr">
        <is>
          <t>A3 · Senior Associate</t>
        </is>
      </c>
      <c r="V15" s="12" t="inlineStr">
        <is>
          <t>Framework + sub-family themes · 3+ answered</t>
        </is>
      </c>
    </row>
    <row r="16" ht="106" customHeight="1">
      <c r="A16" s="90" t="inlineStr">
        <is>
          <t>RC-019</t>
        </is>
      </c>
      <c r="B16" s="12" t="inlineStr">
        <is>
          <t>Consulting &amp; Professional Services</t>
        </is>
      </c>
      <c r="C16" s="12" t="inlineStr">
        <is>
          <t>Taxonomy Design &amp; Regulatory Consulting</t>
        </is>
      </c>
      <c r="D16" s="16" t="inlineStr">
        <is>
          <t>A3</t>
        </is>
      </c>
      <c r="E16" s="17" t="inlineStr">
        <is>
          <t>Senior Associate</t>
        </is>
      </c>
      <c r="F16" s="12" t="inlineStr">
        <is>
          <t>IC</t>
        </is>
      </c>
      <c r="G16" s="12" t="inlineStr">
        <is>
          <t>Senior Taxonomy Analyst · Taxonomy Specialist</t>
        </is>
      </c>
      <c r="H16" s="12" t="inlineStr">
        <is>
          <t>Bhagyashree Kamble, Bhakti Gosavi, Bhushan Patkar, Isheekka Gupta, Kalyani Sunil Nagap, Neha Periwal, Pawan Khot, Pranali Khanavkar, Prasad Chavan, Shashank Poipkar, Surekha Ghadigaonkar, Unnati Kamble, Vaishnavi Deshpande, Yogesh Patil</t>
        </is>
      </c>
      <c r="I16" s="12" t="inlineStr">
        <is>
          <t>XBRL Consulting</t>
        </is>
      </c>
      <c r="J16" s="12" t="inlineStr">
        <is>
          <r>
            <rPr>
              <rFont val="Calibri"/>
              <sz val="10"/>
            </rPr>
            <t xml:space="preserve">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t>
          </r>
        </is>
      </c>
      <c r="K16" s="12" t="inlineStr">
        <is>
          <r>
            <rPr>
              <rFont val="Calibri"/>
              <sz val="10"/>
            </rPr>
            <t xml:space="preserve">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t>
          </r>
        </is>
      </c>
      <c r="L16" s="12" t="inlineStr">
        <is>
          <r>
            <rPr>
              <rFont val="Calibri"/>
              <sz val="10"/>
            </rPr>
            <t xml:space="preserve">Technical / QC / client calls on own work
</t>
          </r>
          <r>
            <rPr>
              <rFont val="Calibri"/>
              <b val="1"/>
              <sz val="10"/>
            </rPr>
            <t>Common themes in role-holders' answers:</t>
          </r>
          <r>
            <rPr>
              <rFont val="Calibri"/>
              <sz val="10"/>
            </rPr>
            <t xml:space="preserve"> testing · formula · validations · tagging · creation · taxonomy</t>
          </r>
        </is>
      </c>
      <c r="M16" s="12" t="inlineStr">
        <is>
          <r>
            <rPr>
              <rFont val="Calibri"/>
              <b val="1"/>
              <sz val="10"/>
            </rPr>
            <t>Common themes in manager-set KRAs:</t>
          </r>
          <r>
            <rPr>
              <rFont val="Calibri"/>
              <sz val="10"/>
            </rPr>
            <t xml:space="preserve"> resolve · defect · deliver · complete · modules · testing</t>
          </r>
        </is>
      </c>
      <c r="N16" s="12" t="inlineStr">
        <is>
          <r>
            <rPr>
              <rFont val="Calibri"/>
              <b val="1"/>
              <sz val="10"/>
            </rPr>
            <t>Skills:</t>
          </r>
          <r>
            <rPr>
              <rFont val="Calibri"/>
              <sz val="10"/>
            </rPr>
            <t xml:space="preserve"> XBRL domain
</t>
          </r>
          <r>
            <rPr>
              <rFont val="Calibri"/>
              <b val="1"/>
              <sz val="10"/>
            </rPr>
            <t>Tools:</t>
          </r>
          <r>
            <rPr>
              <rFont val="Calibri"/>
              <sz val="10"/>
            </rPr>
            <t xml:space="preserve"> Noah · Bushchat · Ifile · Webform · Arelle</t>
          </r>
        </is>
      </c>
      <c r="O1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6" s="12" t="inlineStr">
        <is>
          <t>2–4 yrs
Graduate; relevant certification preferred</t>
        </is>
      </c>
      <c r="Q16" s="12" t="inlineStr">
        <is>
          <t>Core 2 · Future-ready 2 · Functional 3 · Leadership —
★ XBRL, iXBRL &amp; Taxonomy · Accounting &amp; Reporting Standards · IFRS/US GAAP</t>
        </is>
      </c>
      <c r="R16" s="12" t="inlineStr">
        <is>
          <t>Deliver expert reporting and client-domain services. Includes: XBRL execution, taxonomy advice, service delivery and technical documentation. Excludes: Internal corporate accounting; product roadmap ownership.</t>
        </is>
      </c>
      <c r="S16" s="12" t="inlineStr">
        <is>
          <r>
            <rPr>
              <rFont val="Calibri"/>
              <b val="1"/>
              <sz val="10"/>
            </rPr>
            <t>Comparable stage:</t>
          </r>
          <r>
            <rPr>
              <rFont val="Calibri"/>
              <sz val="10"/>
            </rPr>
            <t xml:space="preserve"> CON02-2 · Taxonomy Consultant
Translate reporting requirements into documented taxonomy changes.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requirement-to-taxonomy mapping, validation cases and governed release plan</t>
          </r>
        </is>
      </c>
      <c r="T16" s="12" t="inlineStr">
        <is>
          <r>
            <rPr>
              <rFont val="Calibri"/>
              <sz val="10"/>
            </rPr>
            <t xml:space="preserve">Radford / Mercer P2 · SFIA 3 Apply
</t>
          </r>
          <r>
            <rPr>
              <rFont val="Calibri"/>
              <b val="1"/>
              <sz val="10"/>
            </rPr>
            <t>DataTracks:</t>
          </r>
          <r>
            <rPr>
              <rFont val="Calibri"/>
              <sz val="10"/>
            </rPr>
            <t xml:space="preserve"> Senior Associate · 2–5 yrs · Big Four: Consultant · IRIS Vs Market Benchmark — XBRL US credential pathway: XBRL US GAAP Certificate</t>
          </r>
        </is>
      </c>
      <c r="U16" s="12" t="inlineStr">
        <is>
          <t>B1 · Specialist</t>
        </is>
      </c>
      <c r="V16" s="12" t="inlineStr">
        <is>
          <t>Framework + role-holders' themes · 3+ answered</t>
        </is>
      </c>
    </row>
    <row r="17" ht="106" customHeight="1">
      <c r="A17" s="90" t="inlineStr">
        <is>
          <t>RC-020</t>
        </is>
      </c>
      <c r="B17" s="12" t="inlineStr">
        <is>
          <t>Consulting &amp; Professional Services</t>
        </is>
      </c>
      <c r="C17" s="12" t="inlineStr">
        <is>
          <t>Taxonomy Design &amp; Regulatory Consulting</t>
        </is>
      </c>
      <c r="D17" s="20" t="inlineStr">
        <is>
          <t>B1</t>
        </is>
      </c>
      <c r="E17" s="21" t="inlineStr">
        <is>
          <t>Specialist</t>
        </is>
      </c>
      <c r="F17" s="12" t="inlineStr">
        <is>
          <t>IC</t>
        </is>
      </c>
      <c r="G17" s="12" t="inlineStr">
        <is>
          <t>Taxonomy Specialist · Senior Taxonomy Specialist</t>
        </is>
      </c>
      <c r="H17" s="12" t="inlineStr">
        <is>
          <t>Anirudh Singh Bartwal, Prashant Ramakant Wagh, Shrinidhi Shetty</t>
        </is>
      </c>
      <c r="I17" s="12" t="inlineStr">
        <is>
          <t>XBRL Consulting</t>
        </is>
      </c>
      <c r="J17" s="12" t="inlineStr">
        <is>
          <r>
            <rPr>
              <rFont val="Calibri"/>
              <sz val="10"/>
            </rPr>
            <t xml:space="preserve">Designs XBRL/SDMX taxonomies, return templates, validation rules and SRS for regulators; supports implementation and CRs. At B1: a domain / module, or a small team.
</t>
          </r>
          <r>
            <rPr>
              <rFont val="Calibri"/>
              <b val="1"/>
              <sz val="10"/>
            </rPr>
            <t>Common themes in role-holders' answers:</t>
          </r>
          <r>
            <rPr>
              <rFont val="Calibri"/>
              <sz val="10"/>
            </rPr>
            <t xml:space="preserve"> xbrl · financial · taxonomies · requirements · regulators</t>
          </r>
        </is>
      </c>
      <c r="K17" s="12" t="inlineStr">
        <is>
          <r>
            <rPr>
              <rFont val="Calibri"/>
              <sz val="10"/>
            </rPr>
            <t xml:space="preserve">Designs XBRL/SDMX taxonomies, return templates, validation rules and SRS for regulators; supports implementation and CRs; Domain specialist work; A domain or a small team
</t>
          </r>
          <r>
            <rPr>
              <rFont val="Calibri"/>
              <b val="1"/>
              <sz val="10"/>
            </rPr>
            <t>Common themes in role-holders' answers:</t>
          </r>
          <r>
            <rPr>
              <rFont val="Calibri"/>
              <sz val="10"/>
            </rPr>
            <t xml:space="preserve"> taxonomy development · training · client · requirement · support</t>
          </r>
        </is>
      </c>
      <c r="L17" s="12" t="inlineStr">
        <is>
          <t>Technical / QC / client calls for the domain</t>
        </is>
      </c>
      <c r="M17" s="12" t="inlineStr">
        <is>
          <r>
            <rPr>
              <rFont val="Calibri"/>
              <b val="1"/>
              <sz val="10"/>
            </rPr>
            <t>Common themes in manager-set KRAs:</t>
          </r>
          <r>
            <rPr>
              <rFont val="Calibri"/>
              <sz val="10"/>
            </rPr>
            <t xml:space="preserve"> resolve · business · excel webform · deliver assigned · defect · critical</t>
          </r>
        </is>
      </c>
      <c r="N17" s="12" t="inlineStr">
        <is>
          <r>
            <rPr>
              <rFont val="Calibri"/>
              <b val="1"/>
              <sz val="10"/>
            </rPr>
            <t>Skills:</t>
          </r>
          <r>
            <rPr>
              <rFont val="Calibri"/>
              <sz val="10"/>
            </rPr>
            <t xml:space="preserve"> XBRL Domain
</t>
          </r>
          <r>
            <rPr>
              <rFont val="Calibri"/>
              <b val="1"/>
              <sz val="10"/>
            </rPr>
            <t>Tools:</t>
          </r>
          <r>
            <rPr>
              <rFont val="Calibri"/>
              <sz val="10"/>
            </rPr>
            <t xml:space="preserve"> Noah</t>
          </r>
        </is>
      </c>
      <c r="O1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7" s="12" t="inlineStr">
        <is>
          <t>4–7 yrs
Graduate + relevant qualification or certification preferred</t>
        </is>
      </c>
      <c r="Q17" s="12" t="inlineStr">
        <is>
          <t>Core 3 · Future-ready 3 · Functional 3 · Leadership 1
★ XBRL, iXBRL &amp; Taxonomy · Accounting &amp; Reporting Standards · IFRS/US GAAP</t>
        </is>
      </c>
      <c r="R17" s="12" t="inlineStr">
        <is>
          <t>Deliver expert reporting and client-domain services. Includes: XBRL execution, taxonomy advice, service delivery and technical documentation. Excludes: Internal corporate accounting; product roadmap ownership.</t>
        </is>
      </c>
      <c r="S17" s="12" t="inlineStr">
        <is>
          <r>
            <rPr>
              <rFont val="Calibri"/>
              <b val="1"/>
              <sz val="10"/>
            </rPr>
            <t>Comparable stage:</t>
          </r>
          <r>
            <rPr>
              <rFont val="Calibri"/>
              <sz val="10"/>
            </rPr>
            <t xml:space="preserve"> CON02-3 · Senior Taxonomy Consultant
Resolve conflicting definitions and validate extensions across use cases.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requirement-to-taxonomy mapping, validation cases and governed release plan</t>
          </r>
        </is>
      </c>
      <c r="T17" s="12" t="inlineStr">
        <is>
          <r>
            <rPr>
              <rFont val="Calibri"/>
              <sz val="10"/>
            </rPr>
            <t xml:space="preserve">Radford / Mercer P3 / M2 · SFIA 4 Enable
</t>
          </r>
          <r>
            <rPr>
              <rFont val="Calibri"/>
              <b val="1"/>
              <sz val="10"/>
            </rPr>
            <t>Big Four:</t>
          </r>
          <r>
            <rPr>
              <rFont val="Calibri"/>
              <sz val="10"/>
            </rPr>
            <t xml:space="preserve"> Senior Consultant · IRIS Vs Market Benchmark — XBRL US credential pathway: Certificate + specialist taxonomy</t>
          </r>
        </is>
      </c>
      <c r="U17" s="12" t="inlineStr">
        <is>
          <t>B2 · Senior Specialist</t>
        </is>
      </c>
      <c r="V17" s="12" t="inlineStr">
        <is>
          <t>Framework + role-holders' themes · 3+ answered</t>
        </is>
      </c>
    </row>
    <row r="18" ht="106" customHeight="1">
      <c r="A18" s="90" t="inlineStr">
        <is>
          <t>RC-021</t>
        </is>
      </c>
      <c r="B18" s="12" t="inlineStr">
        <is>
          <t>Consulting &amp; Professional Services</t>
        </is>
      </c>
      <c r="C18" s="12" t="inlineStr">
        <is>
          <t>Taxonomy Design &amp; Regulatory Consulting</t>
        </is>
      </c>
      <c r="D18" s="20" t="inlineStr">
        <is>
          <t>B2</t>
        </is>
      </c>
      <c r="E18" s="21" t="inlineStr">
        <is>
          <t>Senior Specialist</t>
        </is>
      </c>
      <c r="F18" s="12" t="inlineStr">
        <is>
          <t>IC</t>
        </is>
      </c>
      <c r="G18" s="12" t="inlineStr">
        <is>
          <t>Senior Taxonomy Specialist</t>
        </is>
      </c>
      <c r="H18" s="12" t="inlineStr">
        <is>
          <t>Akshay Jain, Kulanand Rupani, Vishram Modak</t>
        </is>
      </c>
      <c r="I18" s="12" t="inlineStr">
        <is>
          <t>XBRL Consulting</t>
        </is>
      </c>
      <c r="J18" s="12" t="inlineStr">
        <is>
          <t>Designs XBRL/SDMX taxonomies, return templates, validation rules and SRS for regulators; supports implementation and CRs. At B2: deep domain expertise, or one team.</t>
        </is>
      </c>
      <c r="K18" s="12" t="inlineStr">
        <is>
          <r>
            <rPr>
              <rFont val="Calibri"/>
              <sz val="10"/>
            </rPr>
            <t xml:space="preserve">Designs XBRL/SDMX taxonomies, return templates, validation rules and SRS for regulators; supports implementation and CRs; Hardest problems in the domain; One team or a client portfolio
</t>
          </r>
          <r>
            <rPr>
              <rFont val="Calibri"/>
              <b val="1"/>
              <sz val="10"/>
            </rPr>
            <t>Common themes in role-holders' answers:</t>
          </r>
          <r>
            <rPr>
              <rFont val="Calibri"/>
              <sz val="10"/>
            </rPr>
            <t xml:space="preserve"> taxonomy</t>
          </r>
        </is>
      </c>
      <c r="L18" s="12" t="inlineStr">
        <is>
          <r>
            <rPr>
              <rFont val="Calibri"/>
              <sz val="10"/>
            </rPr>
            <t xml:space="preserve">Allocates people and sets team priorities
</t>
          </r>
          <r>
            <rPr>
              <rFont val="Calibri"/>
              <b val="1"/>
              <sz val="10"/>
            </rPr>
            <t>Common themes in role-holders' answers:</t>
          </r>
          <r>
            <rPr>
              <rFont val="Calibri"/>
              <sz val="10"/>
            </rPr>
            <t xml:space="preserve"> taxonomy</t>
          </r>
        </is>
      </c>
      <c r="M18" s="12" t="inlineStr">
        <is>
          <r>
            <rPr>
              <rFont val="Calibri"/>
              <b val="1"/>
              <sz val="10"/>
            </rPr>
            <t>Common themes in manager-set KRAs:</t>
          </r>
          <r>
            <rPr>
              <rFont val="Calibri"/>
              <sz val="10"/>
            </rPr>
            <t xml:space="preserve"> ifile business · analyst contribute · resolve · domain delivery · serve analyst · milestones on-time</t>
          </r>
        </is>
      </c>
      <c r="N18" s="12" t="inlineStr">
        <is>
          <r>
            <rPr>
              <rFont val="Calibri"/>
              <b val="1"/>
              <sz val="10"/>
            </rPr>
            <t>Skills:</t>
          </r>
          <r>
            <rPr>
              <rFont val="Calibri"/>
              <sz val="10"/>
            </rPr>
            <t xml:space="preserve"> XBRL Domain
</t>
          </r>
          <r>
            <rPr>
              <rFont val="Calibri"/>
              <b val="1"/>
              <sz val="10"/>
            </rPr>
            <t>Tools:</t>
          </r>
          <r>
            <rPr>
              <rFont val="Calibri"/>
              <sz val="10"/>
            </rPr>
            <t xml:space="preserve"> Formula Editor</t>
          </r>
        </is>
      </c>
      <c r="O18"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8" s="12" t="inlineStr">
        <is>
          <t>6–9 yrs
Graduate or postgraduate; professional qualification preferred</t>
        </is>
      </c>
      <c r="Q18" s="12" t="inlineStr">
        <is>
          <t>Core 3 · Future-ready 3 · Functional 4 · Leadership 2
★ XBRL, iXBRL &amp; Taxonomy · Accounting &amp; Reporting Standards · IFRS/US GAAP</t>
        </is>
      </c>
      <c r="R18" s="12" t="inlineStr">
        <is>
          <t>Deliver expert reporting and client-domain services. Includes: XBRL execution, taxonomy advice, service delivery and technical documentation. Excludes: Internal corporate accounting; product roadmap ownership.</t>
        </is>
      </c>
      <c r="S18" s="12" t="inlineStr">
        <is>
          <r>
            <rPr>
              <rFont val="Calibri"/>
              <b val="1"/>
              <sz val="10"/>
            </rPr>
            <t>Comparable stage:</t>
          </r>
          <r>
            <rPr>
              <rFont val="Calibri"/>
              <sz val="10"/>
            </rPr>
            <t xml:space="preserve"> CON02-3 · Senior Taxonomy Consultant
Resolve conflicting definitions and validate extensions across use cases.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requirement-to-taxonomy mapping, validation cases and governed release plan</t>
          </r>
        </is>
      </c>
      <c r="T18" s="12" t="inlineStr">
        <is>
          <r>
            <rPr>
              <rFont val="Calibri"/>
              <sz val="10"/>
            </rPr>
            <t xml:space="preserve">Radford / Mercer P4 / M3 · SFIA 4–5
</t>
          </r>
          <r>
            <rPr>
              <rFont val="Calibri"/>
              <b val="1"/>
              <sz val="10"/>
            </rPr>
            <t>Big Four:</t>
          </r>
          <r>
            <rPr>
              <rFont val="Calibri"/>
              <sz val="10"/>
            </rPr>
            <t xml:space="preserve"> Manager · IRIS Vs Market Benchmark — XBRL US credential pathway: Certificate + review authority</t>
          </r>
        </is>
      </c>
      <c r="U18" s="12" t="inlineStr">
        <is>
          <t>B3 · Lead Specialist</t>
        </is>
      </c>
      <c r="V18" s="12" t="inlineStr">
        <is>
          <t>Framework + role-holders' themes · 3+ answered</t>
        </is>
      </c>
    </row>
    <row r="19" ht="119" customHeight="1">
      <c r="A19" s="90" t="inlineStr">
        <is>
          <t>RC-022</t>
        </is>
      </c>
      <c r="B19" s="12" t="inlineStr">
        <is>
          <t>Consulting &amp; Professional Services</t>
        </is>
      </c>
      <c r="C19" s="12" t="inlineStr">
        <is>
          <t>Taxonomy Design &amp; Regulatory Consulting</t>
        </is>
      </c>
      <c r="D19" s="20" t="inlineStr">
        <is>
          <t>B2</t>
        </is>
      </c>
      <c r="E19" s="21" t="inlineStr">
        <is>
          <t>Manager</t>
        </is>
      </c>
      <c r="F19" s="12" t="inlineStr">
        <is>
          <t>Manager</t>
        </is>
      </c>
      <c r="G19" s="12" t="inlineStr">
        <is>
          <t>Senior Manager – Taxonomy Consulting · Manager – Taxonomy Consulting</t>
        </is>
      </c>
      <c r="H19" s="12" t="inlineStr">
        <is>
          <t>Shraddha Bagul, Sujeet Rathod</t>
        </is>
      </c>
      <c r="I19" s="12" t="inlineStr">
        <is>
          <t>XBRL Consulting</t>
        </is>
      </c>
      <c r="J19" s="12" t="inlineStr">
        <is>
          <r>
            <rPr>
              <rFont val="Calibri"/>
              <sz val="10"/>
            </rPr>
            <t xml:space="preserve">Designs XBRL/SDMX taxonomies, return templates, validation rules and SRS for regulators; supports implementation and CRs. At B2: deep domain expertise, or one team.
</t>
          </r>
          <r>
            <rPr>
              <rFont val="Calibri"/>
              <b val="1"/>
              <sz val="10"/>
            </rPr>
            <t>Common themes in sub-family holders, all levels' answers:</t>
          </r>
          <r>
            <rPr>
              <rFont val="Calibri"/>
              <sz val="10"/>
            </rPr>
            <t xml:space="preserve"> xbrl · requirements · taxonomy · business · data · convert</t>
          </r>
        </is>
      </c>
      <c r="K19" s="12" t="inlineStr">
        <is>
          <r>
            <rPr>
              <rFont val="Calibri"/>
              <sz val="10"/>
            </rPr>
            <t xml:space="preserve">Designs XBRL/SDMX taxonomies, return templates, validation rules and SRS for regulators; supports implementation and CRs; Hardest problems in the domain; One team or a client portfolio
</t>
          </r>
          <r>
            <rPr>
              <rFont val="Calibri"/>
              <b val="1"/>
              <sz val="10"/>
            </rPr>
            <t>Common themes in sub-family holders, all levels' answers:</t>
          </r>
          <r>
            <rPr>
              <rFont val="Calibri"/>
              <sz val="10"/>
            </rPr>
            <t xml:space="preserve"> client · taxonomy · requirement · development · testing · training</t>
          </r>
        </is>
      </c>
      <c r="L19" s="12" t="inlineStr">
        <is>
          <r>
            <rPr>
              <rFont val="Calibri"/>
              <sz val="10"/>
            </rPr>
            <t xml:space="preserve">Allocates people and sets team priorities
</t>
          </r>
          <r>
            <rPr>
              <rFont val="Calibri"/>
              <b val="1"/>
              <sz val="10"/>
            </rPr>
            <t>Common themes in sub-family holders, all levels' answers:</t>
          </r>
          <r>
            <rPr>
              <rFont val="Calibri"/>
              <sz val="10"/>
            </rPr>
            <t xml:space="preserve"> taxonomy · modelling · testing · formula · data · plan</t>
          </r>
        </is>
      </c>
      <c r="M19" s="12" t="inlineStr">
        <is>
          <r>
            <rPr>
              <rFont val="Calibri"/>
              <b val="1"/>
              <sz val="10"/>
            </rPr>
            <t>Common themes in manager-set KRAs:</t>
          </r>
          <r>
            <rPr>
              <rFont val="Calibri"/>
              <sz val="10"/>
            </rPr>
            <t xml:space="preserve"> ifile business · analyst contribute · resolve · domain delivery · serve analyst · milestones on-time</t>
          </r>
        </is>
      </c>
      <c r="N19" s="12" t="inlineStr">
        <is>
          <r>
            <rPr>
              <rFont val="Calibri"/>
              <b val="1"/>
              <sz val="10"/>
            </rPr>
            <t>Skills: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t>
          </r>
        </is>
      </c>
      <c r="O19"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9" s="12" t="inlineStr">
        <is>
          <t>6–9 yrs
Graduate or postgraduate; professional qualification preferred</t>
        </is>
      </c>
      <c r="Q19" s="12" t="inlineStr">
        <is>
          <t>Core 3 · Future-ready 3 · Functional 4 · Leadership 3
★ XBRL, iXBRL &amp; Taxonomy · Accounting &amp; Reporting Standards · IFRS/US GAAP</t>
        </is>
      </c>
      <c r="R19" s="12" t="inlineStr">
        <is>
          <t>Deliver expert reporting and client-domain services. Includes: XBRL execution, taxonomy advice, service delivery and technical documentation. Excludes: Internal corporate accounting; product roadmap ownership.</t>
        </is>
      </c>
      <c r="S19" s="12" t="inlineStr">
        <is>
          <r>
            <rPr>
              <rFont val="Calibri"/>
              <b val="1"/>
              <sz val="10"/>
            </rPr>
            <t>Comparable stage:</t>
          </r>
          <r>
            <rPr>
              <rFont val="Calibri"/>
              <sz val="10"/>
            </rPr>
            <t xml:space="preserve"> LD03-1 · Service Delivery / Consulting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9" s="12" t="inlineStr">
        <is>
          <r>
            <rPr>
              <rFont val="Calibri"/>
              <sz val="10"/>
            </rPr>
            <t xml:space="preserve">Radford / Mercer P4 / M3 · SFIA 4–5
</t>
          </r>
          <r>
            <rPr>
              <rFont val="Calibri"/>
              <b val="1"/>
              <sz val="10"/>
            </rPr>
            <t>Big Four:</t>
          </r>
          <r>
            <rPr>
              <rFont val="Calibri"/>
              <sz val="10"/>
            </rPr>
            <t xml:space="preserve"> Manager · IRIS Vs Market Benchmark — XBRL US credential pathway: Certificate + review authority</t>
          </r>
        </is>
      </c>
      <c r="U19" s="12" t="inlineStr">
        <is>
          <t>B3 · Lead Specialist</t>
        </is>
      </c>
      <c r="V19" s="12" t="inlineStr">
        <is>
          <t>Framework + sub-family themes · 3+ answered</t>
        </is>
      </c>
    </row>
    <row r="20" ht="119" customHeight="1">
      <c r="A20" s="90" t="inlineStr">
        <is>
          <t>RC-023</t>
        </is>
      </c>
      <c r="B20" s="12" t="inlineStr">
        <is>
          <t>Consulting &amp; Professional Services</t>
        </is>
      </c>
      <c r="C20" s="12" t="inlineStr">
        <is>
          <t>Taxonomy Design &amp; Regulatory Consulting</t>
        </is>
      </c>
      <c r="D20" s="36" t="inlineStr">
        <is>
          <t>X1</t>
        </is>
      </c>
      <c r="E20" s="37" t="inlineStr">
        <is>
          <t>Associate Consultant</t>
        </is>
      </c>
      <c r="F20" s="12" t="inlineStr">
        <is>
          <t>IC</t>
        </is>
      </c>
      <c r="G20" s="12" t="inlineStr">
        <is>
          <t>Associate Consultant – Taxonomy Design &amp; Regulatory Consulting</t>
        </is>
      </c>
      <c r="H20" s="12" t="inlineStr">
        <is>
          <t>Sunita Joshi</t>
        </is>
      </c>
      <c r="I20" s="12" t="inlineStr">
        <is>
          <t>XBRL Consulting</t>
        </is>
      </c>
      <c r="J20" s="12" t="inlineStr">
        <is>
          <r>
            <rPr>
              <rFont val="Calibri"/>
              <sz val="10"/>
            </rPr>
            <t xml:space="preserve">Designs XBRL/SDMX taxonomies, return templates, validation rules and SRS for regulators; supports implementation and CRs. At X1: defined deliverables under a statement of work · ≈ A2–A3.
</t>
          </r>
          <r>
            <rPr>
              <rFont val="Calibri"/>
              <b val="1"/>
              <sz val="10"/>
            </rPr>
            <t>Common themes in sub-family holders, all levels' answers:</t>
          </r>
          <r>
            <rPr>
              <rFont val="Calibri"/>
              <sz val="10"/>
            </rPr>
            <t xml:space="preserve"> xbrl · requirements · taxonomy · business · data · convert</t>
          </r>
        </is>
      </c>
      <c r="K20" s="12" t="inlineStr">
        <is>
          <r>
            <rPr>
              <rFont val="Calibri"/>
              <sz val="10"/>
            </rPr>
            <t xml:space="preserve">Designs XBRL/SDMX taxonomies, return templates, validation rules and SRS for regulators; supports implementation and CRs
</t>
          </r>
          <r>
            <rPr>
              <rFont val="Calibri"/>
              <b val="1"/>
              <sz val="10"/>
            </rPr>
            <t>Common themes in sub-family holders, all levels' answers:</t>
          </r>
          <r>
            <rPr>
              <rFont val="Calibri"/>
              <sz val="10"/>
            </rPr>
            <t xml:space="preserve"> client · taxonomy · requirement · development · testing · training</t>
          </r>
        </is>
      </c>
      <c r="L20" s="12" t="inlineStr">
        <is>
          <r>
            <rPr>
              <rFont val="Calibri"/>
              <sz val="10"/>
            </rPr>
            <t xml:space="preserve">Within the statement of work
</t>
          </r>
          <r>
            <rPr>
              <rFont val="Calibri"/>
              <b val="1"/>
              <sz val="10"/>
            </rPr>
            <t>Common themes in sub-family holders, all levels' answers:</t>
          </r>
          <r>
            <rPr>
              <rFont val="Calibri"/>
              <sz val="10"/>
            </rPr>
            <t xml:space="preserve"> taxonomy · modelling · testing · formula · data · plan</t>
          </r>
        </is>
      </c>
      <c r="M20" s="12" t="inlineStr">
        <is>
          <t>—</t>
        </is>
      </c>
      <c r="N20" s="12" t="inlineStr">
        <is>
          <r>
            <rPr>
              <rFont val="Calibri"/>
              <b val="1"/>
              <sz val="10"/>
            </rPr>
            <t>Skills:</t>
          </r>
          <r>
            <rPr>
              <rFont val="Calibri"/>
              <sz val="10"/>
            </rPr>
            <t xml:space="preserve"> XBRL domain · XBRL specifications · analytical skills · Domain knowledge · XBRL · XBRl knowledge · Academic strength
</t>
          </r>
          <r>
            <rPr>
              <rFont val="Calibri"/>
              <b val="1"/>
              <sz val="10"/>
            </rPr>
            <t>Tools:</t>
          </r>
          <r>
            <rPr>
              <rFont val="Calibri"/>
              <sz val="10"/>
            </rPr>
            <t xml:space="preserve"> Noah · Webform · Bushchat · excel · Formula Editor · IFile · Claude · Instant</t>
          </r>
        </is>
      </c>
      <c r="O20" s="12" t="inlineStr">
        <is>
          <r>
            <rPr>
              <rFont val="Calibri"/>
              <b val="1"/>
              <sz val="10"/>
            </rPr>
            <t>Owns:</t>
          </r>
          <r>
            <rPr>
              <rFont val="Calibri"/>
              <sz val="10"/>
            </rPr>
            <t xml:space="preserve"> Defined deliverables under a statement of work · ≈ A2–A3</t>
          </r>
        </is>
      </c>
      <c r="P20" s="12" t="inlineStr">
        <is>
          <t>0–5 yrs
As for equivalent role</t>
        </is>
      </c>
      <c r="Q20" s="12" t="inlineStr">
        <is>
          <t>Per statement of work
★ XBRL, iXBRL &amp; Taxonomy · Accounting &amp; Reporting Standards · IFRS/US GAAP</t>
        </is>
      </c>
      <c r="R20" s="12" t="inlineStr">
        <is>
          <t>Deliver expert reporting and client-domain services. Includes: XBRL execution, taxonomy advice, service delivery and technical documentation. Excludes: Internal corporate accounting; product roadmap ownership.</t>
        </is>
      </c>
      <c r="S20" s="12" t="inlineStr">
        <is>
          <t>—</t>
        </is>
      </c>
      <c r="T20" s="12" t="inlineStr">
        <is>
          <t>Radford / Mercer Contractor · SFIA —
—</t>
        </is>
      </c>
      <c r="U20" s="12" t="inlineStr">
        <is>
          <t>—</t>
        </is>
      </c>
      <c r="V20" s="12" t="inlineStr">
        <is>
          <t>Framework + sub-family themes · 3+ answered</t>
        </is>
      </c>
    </row>
    <row r="21" ht="119" customHeight="1">
      <c r="A21" s="90" t="inlineStr">
        <is>
          <t>RC-024</t>
        </is>
      </c>
      <c r="B21" s="12" t="inlineStr">
        <is>
          <t>Consulting &amp; Professional Services</t>
        </is>
      </c>
      <c r="C21" s="12" t="inlineStr">
        <is>
          <t>XBRL Tagging, Conversion &amp; Filing</t>
        </is>
      </c>
      <c r="D21" s="16" t="inlineStr">
        <is>
          <t>A2</t>
        </is>
      </c>
      <c r="E21" s="17" t="inlineStr">
        <is>
          <t>Associate</t>
        </is>
      </c>
      <c r="F21" s="12" t="inlineStr">
        <is>
          <t>IC</t>
        </is>
      </c>
      <c r="G21" s="12" t="inlineStr">
        <is>
          <t>Financial Analyst</t>
        </is>
      </c>
      <c r="H21" s="12" t="inlineStr">
        <is>
          <t>Bhanu Vardhan Nelly, Prajakta Athalye, Rinku Pukharam Choudhary</t>
        </is>
      </c>
      <c r="I21" s="12" t="inlineStr">
        <is>
          <t>XBRL Consulting</t>
        </is>
      </c>
      <c r="J21" s="12" t="inlineStr">
        <is>
          <r>
            <rPr>
              <rFont val="Calibri"/>
              <sz val="10"/>
            </rPr>
            <t xml:space="preserve">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t>
          </r>
        </is>
      </c>
      <c r="K21" s="12" t="inlineStr">
        <is>
          <r>
            <rPr>
              <rFont val="Calibri"/>
              <sz val="10"/>
            </rPr>
            <t xml:space="preserve">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t>
          </r>
        </is>
      </c>
      <c r="L21" s="12" t="inlineStr">
        <is>
          <r>
            <rPr>
              <rFont val="Calibri"/>
              <sz val="10"/>
            </rPr>
            <t xml:space="preserve">Chooses own approach within standards
</t>
          </r>
          <r>
            <rPr>
              <rFont val="Calibri"/>
              <b val="1"/>
              <sz val="10"/>
            </rPr>
            <t>Common themes in role-holders' answers:</t>
          </r>
          <r>
            <rPr>
              <rFont val="Calibri"/>
              <sz val="10"/>
            </rPr>
            <t xml:space="preserve"> errors · tagging</t>
          </r>
        </is>
      </c>
      <c r="M21" s="12" t="inlineStr">
        <is>
          <r>
            <rPr>
              <rFont val="Calibri"/>
              <b val="1"/>
              <sz val="10"/>
            </rPr>
            <t>Common themes in manager-set KRAs:</t>
          </r>
          <r>
            <rPr>
              <rFont val="Calibri"/>
              <sz val="10"/>
            </rPr>
            <t xml:space="preserve"> complete iris · resolve · cycle full · accuracy targets · maintained · logs document</t>
          </r>
        </is>
      </c>
      <c r="N21" s="12" t="inlineStr">
        <is>
          <r>
            <rPr>
              <rFont val="Calibri"/>
              <b val="1"/>
              <sz val="10"/>
            </rPr>
            <t>Skills:</t>
          </r>
          <r>
            <rPr>
              <rFont val="Calibri"/>
              <sz val="10"/>
            </rPr>
            <t xml:space="preserve"> XBRL Domain
</t>
          </r>
          <r>
            <rPr>
              <rFont val="Calibri"/>
              <b val="1"/>
              <sz val="10"/>
            </rPr>
            <t>Tools:</t>
          </r>
          <r>
            <rPr>
              <rFont val="Calibri"/>
              <sz val="10"/>
            </rPr>
            <t xml:space="preserve"> Ms excel</t>
          </r>
        </is>
      </c>
      <c r="O21"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21" s="12" t="inlineStr">
        <is>
          <t>0–2 yrs
Graduate · or diploma with experience</t>
        </is>
      </c>
      <c r="Q21" s="12" t="inlineStr">
        <is>
          <t>Core 2 · Future-ready 2 · Functional 2 · Leadership —
★ XBRL, iXBRL &amp; Taxonomy · Accounting &amp; Reporting Standards · IFRS/US GAAP</t>
        </is>
      </c>
      <c r="R21" s="12" t="inlineStr">
        <is>
          <t>Deliver expert reporting and client-domain services. Includes: XBRL execution, taxonomy advice, service delivery and technical documentation. Excludes: Internal corporate accounting; product roadmap ownership.</t>
        </is>
      </c>
      <c r="S21" s="12" t="inlineStr">
        <is>
          <r>
            <rPr>
              <rFont val="Calibri"/>
              <b val="1"/>
              <sz val="10"/>
            </rPr>
            <t>Comparable stage:</t>
          </r>
          <r>
            <rPr>
              <rFont val="Calibri"/>
              <sz val="10"/>
            </rPr>
            <t xml:space="preserve"> CON01-1 · XBRL Reporting Associate
</t>
          </r>
          <r>
            <rPr>
              <rFont val="Calibri"/>
              <b val="1"/>
              <sz val="10"/>
            </rPr>
            <t>Complete defined parts under review:</t>
          </r>
          <r>
            <rPr>
              <rFont val="Calibri"/>
              <sz val="10"/>
            </rPr>
            <t xml:space="preserve"> prepare tagging with source reconciliation and validation results.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reconciled filing with defensible tag selection, exception log and reviewer sign-off</t>
          </r>
        </is>
      </c>
      <c r="T21" s="12" t="inlineStr">
        <is>
          <r>
            <rPr>
              <rFont val="Calibri"/>
              <sz val="10"/>
            </rPr>
            <t xml:space="preserve">Radford / Mercer P1–P2 · SFIA 2 Assist
</t>
          </r>
          <r>
            <rPr>
              <rFont val="Calibri"/>
              <b val="1"/>
              <sz val="10"/>
            </rPr>
            <t>Toppan Merrill:</t>
          </r>
          <r>
            <rPr>
              <rFont val="Calibri"/>
              <sz val="10"/>
            </rPr>
            <t xml:space="preserve"> XBRL Financial Analyst, Associate · DataTracks: Associate · Big Four: Analyst</t>
          </r>
        </is>
      </c>
      <c r="U21" s="12" t="inlineStr">
        <is>
          <t>A3 · Senior Associate</t>
        </is>
      </c>
      <c r="V21" s="12" t="inlineStr">
        <is>
          <t>Framework + role-holders' themes · 3+ answered</t>
        </is>
      </c>
    </row>
    <row r="22" ht="119" customHeight="1">
      <c r="A22" s="90" t="inlineStr">
        <is>
          <t>RC-025</t>
        </is>
      </c>
      <c r="B22" s="12" t="inlineStr">
        <is>
          <t>Consulting &amp; Professional Services</t>
        </is>
      </c>
      <c r="C22" s="12" t="inlineStr">
        <is>
          <t>XBRL Tagging, Conversion &amp; Filing</t>
        </is>
      </c>
      <c r="D22" s="16" t="inlineStr">
        <is>
          <t>A3</t>
        </is>
      </c>
      <c r="E22" s="17" t="inlineStr">
        <is>
          <t>Senior Associate</t>
        </is>
      </c>
      <c r="F22" s="12" t="inlineStr">
        <is>
          <t>IC</t>
        </is>
      </c>
      <c r="G22" s="12" t="inlineStr">
        <is>
          <t>Senior Financial Analyst · XBRL Specialist</t>
        </is>
      </c>
      <c r="H22" s="12" t="inlineStr">
        <is>
          <t>Mayuri Ashok Mhetar, Musaf Shaikh, Tuku Deb</t>
        </is>
      </c>
      <c r="I22" s="12" t="inlineStr">
        <is>
          <t>XBRL Consulting</t>
        </is>
      </c>
      <c r="J22" s="12" t="inlineStr">
        <is>
          <r>
            <rPr>
              <rFont val="Calibri"/>
              <sz val="10"/>
            </rPr>
            <t xml:space="preserve">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t>
          </r>
        </is>
      </c>
      <c r="K22" s="12" t="inlineStr">
        <is>
          <r>
            <rPr>
              <rFont val="Calibri"/>
              <sz val="10"/>
            </rPr>
            <t xml:space="preserve">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t>
          </r>
        </is>
      </c>
      <c r="L22" s="12" t="inlineStr">
        <is>
          <r>
            <rPr>
              <rFont val="Calibri"/>
              <sz val="10"/>
            </rPr>
            <t xml:space="preserve">Technical / QC / client calls on own work
</t>
          </r>
          <r>
            <rPr>
              <rFont val="Calibri"/>
              <b val="1"/>
              <sz val="10"/>
            </rPr>
            <t>Common themes in role-holders' answers:</t>
          </r>
          <r>
            <rPr>
              <rFont val="Calibri"/>
              <sz val="10"/>
            </rPr>
            <t xml:space="preserve"> tagging · validation · independently · issues · appropriate · assigned</t>
          </r>
        </is>
      </c>
      <c r="M22" s="12" t="inlineStr">
        <is>
          <r>
            <rPr>
              <rFont val="Calibri"/>
              <b val="1"/>
              <sz val="10"/>
            </rPr>
            <t>Common themes in manager-set KRAs:</t>
          </r>
          <r>
            <rPr>
              <rFont val="Calibri"/>
              <sz val="10"/>
            </rPr>
            <t xml:space="preserve"> resolve · full · coverage · cycles · defect · xbrl</t>
          </r>
        </is>
      </c>
      <c r="N22" s="12" t="inlineStr">
        <is>
          <r>
            <rPr>
              <rFont val="Calibri"/>
              <b val="1"/>
              <sz val="10"/>
            </rPr>
            <t>Skills: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t>
          </r>
        </is>
      </c>
      <c r="O2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2" s="12" t="inlineStr">
        <is>
          <t>2–4 yrs
Graduate; relevant certification preferred</t>
        </is>
      </c>
      <c r="Q22" s="12" t="inlineStr">
        <is>
          <t>Core 2 · Future-ready 2 · Functional 3 · Leadership —
★ XBRL, iXBRL &amp; Taxonomy · Accounting &amp; Reporting Standards · IFRS/US GAAP</t>
        </is>
      </c>
      <c r="R22" s="12" t="inlineStr">
        <is>
          <t>Deliver expert reporting and client-domain services. Includes: XBRL execution, taxonomy advice, service delivery and technical documentation. Excludes: Internal corporate accounting; product roadmap ownership.</t>
        </is>
      </c>
      <c r="S22" s="12" t="inlineStr">
        <is>
          <r>
            <rPr>
              <rFont val="Calibri"/>
              <b val="1"/>
              <sz val="10"/>
            </rPr>
            <t>Comparable stage:</t>
          </r>
          <r>
            <rPr>
              <rFont val="Calibri"/>
              <sz val="10"/>
            </rPr>
            <t xml:space="preserve"> CON01-2 · XBRL Reporting Analyst
Prepare tagging with source reconciliation and validation results.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reconciled filing with defensible tag selection, exception log and reviewer sign-off</t>
          </r>
        </is>
      </c>
      <c r="T22" s="12" t="inlineStr">
        <is>
          <r>
            <rPr>
              <rFont val="Calibri"/>
              <sz val="10"/>
            </rPr>
            <t xml:space="preserve">Radford / Mercer P2 · SFIA 3 Apply
</t>
          </r>
          <r>
            <rPr>
              <rFont val="Calibri"/>
              <b val="1"/>
              <sz val="10"/>
            </rPr>
            <t>DataTracks:</t>
          </r>
          <r>
            <rPr>
              <rFont val="Calibri"/>
              <sz val="10"/>
            </rPr>
            <t xml:space="preserve"> Senior Associate · 2–5 yrs · Big Four: Consultant · IRIS Vs Market Benchmark — XBRL US credential pathway: XBRL US GAAP Certificate</t>
          </r>
        </is>
      </c>
      <c r="U22" s="12" t="inlineStr">
        <is>
          <t>B1 · Specialist</t>
        </is>
      </c>
      <c r="V22" s="12" t="inlineStr">
        <is>
          <t>Framework + role-holders' themes · 3+ answered</t>
        </is>
      </c>
    </row>
    <row r="23">
      <c r="A23" s="89" t="inlineStr">
        <is>
          <t>Customer Success &amp; Support</t>
        </is>
      </c>
    </row>
    <row r="24" ht="106" customHeight="1">
      <c r="A24" s="90" t="inlineStr">
        <is>
          <t>RC-029</t>
        </is>
      </c>
      <c r="B24" s="12" t="inlineStr">
        <is>
          <t>Customer Success &amp; Support</t>
        </is>
      </c>
      <c r="C24" s="12" t="inlineStr">
        <is>
          <t>Application &amp; Product Support</t>
        </is>
      </c>
      <c r="D24" s="16" t="inlineStr">
        <is>
          <t>A1</t>
        </is>
      </c>
      <c r="E24" s="17" t="inlineStr">
        <is>
          <t>Intern / Trainee</t>
        </is>
      </c>
      <c r="F24" s="12" t="inlineStr">
        <is>
          <t>IC</t>
        </is>
      </c>
      <c r="G24" s="12" t="inlineStr">
        <is>
          <t>Intern – Application &amp; Product Support</t>
        </is>
      </c>
      <c r="H24" s="12" t="inlineStr">
        <is>
          <t>Anushka Chaturvedi</t>
        </is>
      </c>
      <c r="I24" s="12" t="inlineStr">
        <is>
          <t>Sales</t>
        </is>
      </c>
      <c r="J24" s="12" t="inlineStr">
        <is>
          <r>
            <rPr>
              <rFont val="Calibri"/>
              <sz val="10"/>
            </rPr>
            <t xml:space="preserve">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t>
          </r>
        </is>
      </c>
      <c r="K24" s="12" t="inlineStr">
        <is>
          <r>
            <rPr>
              <rFont val="Calibri"/>
              <sz val="10"/>
            </rPr>
            <t xml:space="preserve">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t>
          </r>
        </is>
      </c>
      <c r="L24" s="12" t="inlineStr">
        <is>
          <r>
            <rPr>
              <rFont val="Calibri"/>
              <sz val="10"/>
            </rPr>
            <t xml:space="preserve">Needs approval / close guidance
</t>
          </r>
          <r>
            <rPr>
              <rFont val="Calibri"/>
              <b val="1"/>
              <sz val="10"/>
            </rPr>
            <t>Common themes in sub-family holders, all levels' answers:</t>
          </r>
          <r>
            <rPr>
              <rFont val="Calibri"/>
              <sz val="10"/>
            </rPr>
            <t xml:space="preserve"> issues · resolving · tickets · handle · erro · validation</t>
          </r>
        </is>
      </c>
      <c r="M24" s="12" t="inlineStr">
        <is>
          <t>—</t>
        </is>
      </c>
      <c r="N24" s="12" t="inlineStr">
        <is>
          <r>
            <rPr>
              <rFont val="Calibri"/>
              <b val="1"/>
              <sz val="10"/>
            </rPr>
            <t>Skills: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t>
          </r>
        </is>
      </c>
      <c r="O24"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24" s="12" t="inlineStr">
        <is>
          <t>0 yrs · fresher / intern
Pursuing or completed graduation / diploma</t>
        </is>
      </c>
      <c r="Q24" s="12" t="inlineStr">
        <is>
          <t>Core 1 · Future-ready 1 · Functional 1 · Leadership —
★ Product, Platform &amp; Domain Knowledge · Stakeholder &amp; Client Management</t>
        </is>
      </c>
      <c r="R24" s="12" t="inlineStr">
        <is>
          <t>Enable sustained customer value and issue resolution. Includes: Adoption, product support and customer education. Excludes: Employee IT support; initial client implementation.</t>
        </is>
      </c>
      <c r="S24" s="12" t="inlineStr">
        <is>
          <r>
            <rPr>
              <rFont val="Calibri"/>
              <b val="1"/>
              <sz val="10"/>
            </rPr>
            <t>Comparable stage:</t>
          </r>
          <r>
            <rPr>
              <rFont val="Calibri"/>
              <sz val="10"/>
            </rPr>
            <t xml:space="preserve"> CS01-0 · Product Support Intern
</t>
          </r>
          <r>
            <rPr>
              <rFont val="Calibri"/>
              <b val="1"/>
              <sz val="10"/>
            </rPr>
            <t>Assist with a supervised work sample:</t>
          </r>
          <r>
            <rPr>
              <rFont val="Calibri"/>
              <sz val="10"/>
            </rPr>
            <t xml:space="preserve"> diagnose cases and publish verified knowledge articles.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resolved complex case with diagnosis, customer explanation and reusable knowledge</t>
          </r>
        </is>
      </c>
      <c r="T24" s="12" t="inlineStr">
        <is>
          <r>
            <rPr>
              <rFont val="Calibri"/>
              <sz val="10"/>
            </rPr>
            <t xml:space="preserve">Radford / Mercer Entry / P1 · intern · SFIA 1 Follow
</t>
          </r>
          <r>
            <rPr>
              <rFont val="Calibri"/>
              <b val="1"/>
              <sz val="10"/>
            </rPr>
            <t>Workiva:</t>
          </r>
          <r>
            <rPr>
              <rFont val="Calibri"/>
              <sz val="10"/>
            </rPr>
            <t xml:space="preserve"> Customer Success intern</t>
          </r>
        </is>
      </c>
      <c r="U24" s="12" t="inlineStr">
        <is>
          <t>A2 · Associate</t>
        </is>
      </c>
      <c r="V24" s="12" t="inlineStr">
        <is>
          <t>Framework + sub-family themes · 3+ answered</t>
        </is>
      </c>
    </row>
    <row r="25" ht="106" customHeight="1">
      <c r="A25" s="90" t="inlineStr">
        <is>
          <t>RC-030</t>
        </is>
      </c>
      <c r="B25" s="12" t="inlineStr">
        <is>
          <t>Customer Success &amp; Support</t>
        </is>
      </c>
      <c r="C25" s="12" t="inlineStr">
        <is>
          <t>Application &amp; Product Support</t>
        </is>
      </c>
      <c r="D25" s="16" t="inlineStr">
        <is>
          <t>A2</t>
        </is>
      </c>
      <c r="E25" s="17" t="inlineStr">
        <is>
          <t>Associate</t>
        </is>
      </c>
      <c r="F25" s="12" t="inlineStr">
        <is>
          <t>IC</t>
        </is>
      </c>
      <c r="G25" s="12" t="inlineStr">
        <is>
          <t>Support Executive</t>
        </is>
      </c>
      <c r="H25" s="12" t="inlineStr">
        <is>
          <t>Uzma Shaikh</t>
        </is>
      </c>
      <c r="I25" s="12" t="inlineStr">
        <is>
          <t>Support</t>
        </is>
      </c>
      <c r="J25" s="12" t="inlineStr">
        <is>
          <r>
            <rPr>
              <rFont val="Calibri"/>
              <sz val="10"/>
            </rPr>
            <t xml:space="preserve">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t>
          </r>
        </is>
      </c>
      <c r="K25" s="12" t="inlineStr">
        <is>
          <r>
            <rPr>
              <rFont val="Calibri"/>
              <sz val="10"/>
            </rPr>
            <t xml:space="preserve">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t>
          </r>
        </is>
      </c>
      <c r="L25" s="12" t="inlineStr">
        <is>
          <r>
            <rPr>
              <rFont val="Calibri"/>
              <sz val="10"/>
            </rPr>
            <t xml:space="preserve">Chooses own approach within standards
</t>
          </r>
          <r>
            <rPr>
              <rFont val="Calibri"/>
              <b val="1"/>
              <sz val="10"/>
            </rPr>
            <t>Common themes in sub-family holders, all levels' answers:</t>
          </r>
          <r>
            <rPr>
              <rFont val="Calibri"/>
              <sz val="10"/>
            </rPr>
            <t xml:space="preserve"> issues · resolving · tickets · handle · erro · validation</t>
          </r>
        </is>
      </c>
      <c r="M25" s="12" t="inlineStr">
        <is>
          <t>—</t>
        </is>
      </c>
      <c r="N25" s="12" t="inlineStr">
        <is>
          <r>
            <rPr>
              <rFont val="Calibri"/>
              <b val="1"/>
              <sz val="10"/>
            </rPr>
            <t>Skills: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t>
          </r>
        </is>
      </c>
      <c r="O2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25" s="12" t="inlineStr">
        <is>
          <t>0–2 yrs
Graduate · or diploma with experience</t>
        </is>
      </c>
      <c r="Q25" s="12" t="inlineStr">
        <is>
          <t>Core 2 · Future-ready 2 · Functional 2 · Leadership —
★ Product, Platform &amp; Domain Knowledge · Stakeholder &amp; Client Management</t>
        </is>
      </c>
      <c r="R25" s="12" t="inlineStr">
        <is>
          <t>Enable sustained customer value and issue resolution. Includes: Adoption, product support and customer education. Excludes: Employee IT support; initial client implementation.</t>
        </is>
      </c>
      <c r="S25" s="12" t="inlineStr">
        <is>
          <r>
            <rPr>
              <rFont val="Calibri"/>
              <b val="1"/>
              <sz val="10"/>
            </rPr>
            <t>Comparable stage:</t>
          </r>
          <r>
            <rPr>
              <rFont val="Calibri"/>
              <sz val="10"/>
            </rPr>
            <t xml:space="preserve"> CS01-1 · Associate Product Support Engineer
</t>
          </r>
          <r>
            <rPr>
              <rFont val="Calibri"/>
              <b val="1"/>
              <sz val="10"/>
            </rPr>
            <t>Complete defined parts under review:</t>
          </r>
          <r>
            <rPr>
              <rFont val="Calibri"/>
              <sz val="10"/>
            </rPr>
            <t xml:space="preserve"> diagnose cases and publish verified knowledge articles.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resolved complex case with diagnosis, customer explanation and reusable knowledge</t>
          </r>
        </is>
      </c>
      <c r="T25" s="12" t="inlineStr">
        <is>
          <t>Radford / Mercer P1–P2 · SFIA 2 Assist
IRIS Vs Competitor Benchmark — SaaS customer-success ladder: Support Associate · IRIS Vs Competitor Benchmark — support tiers: L1 Service Desk</t>
        </is>
      </c>
      <c r="U25" s="12" t="inlineStr">
        <is>
          <t>A3 · Senior Associate</t>
        </is>
      </c>
      <c r="V25" s="12" t="inlineStr">
        <is>
          <t>Framework + sub-family themes · 3+ answered</t>
        </is>
      </c>
    </row>
    <row r="26" ht="106" customHeight="1">
      <c r="A26" s="90" t="inlineStr">
        <is>
          <t>RC-031</t>
        </is>
      </c>
      <c r="B26" s="12" t="inlineStr">
        <is>
          <t>Customer Success &amp; Support</t>
        </is>
      </c>
      <c r="C26" s="12" t="inlineStr">
        <is>
          <t>Application &amp; Product Support</t>
        </is>
      </c>
      <c r="D26" s="16" t="inlineStr">
        <is>
          <t>A3</t>
        </is>
      </c>
      <c r="E26" s="17" t="inlineStr">
        <is>
          <t>Senior Associate</t>
        </is>
      </c>
      <c r="F26" s="12" t="inlineStr">
        <is>
          <t>IC</t>
        </is>
      </c>
      <c r="G26" s="12" t="inlineStr">
        <is>
          <t>Senior Support Executive · Support Specialist</t>
        </is>
      </c>
      <c r="H26" s="12" t="inlineStr">
        <is>
          <t>Bhagyashree Bauskar, Dipeeka Yewale, Jyoti Patil, Manohar Golbane, Prajakta Mandhare, Sayed Ibrahim, Shreya Shinde, Varsha Kambale</t>
        </is>
      </c>
      <c r="I26" s="12" t="inlineStr">
        <is>
          <t>Support</t>
        </is>
      </c>
      <c r="J26" s="12"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K26" s="12"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L26" s="12"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M26" s="12" t="inlineStr">
        <is>
          <r>
            <rPr>
              <rFont val="Calibri"/>
              <b val="1"/>
              <sz val="10"/>
            </rPr>
            <t>Common themes in manager-set KRAs:</t>
          </r>
          <r>
            <rPr>
              <rFont val="Calibri"/>
              <sz val="10"/>
            </rPr>
            <t xml:space="preserve"> resolve · accounts · maintain accurate · accurate up-to-date · escalations owned · tickets/queries sla</t>
          </r>
        </is>
      </c>
      <c r="N26" s="12" t="inlineStr">
        <is>
          <r>
            <rPr>
              <rFont val="Calibri"/>
              <b val="1"/>
              <sz val="10"/>
            </rPr>
            <t>Skills: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t>
          </r>
        </is>
      </c>
      <c r="O2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6" s="12" t="inlineStr">
        <is>
          <t>2–4 yrs
Graduate; relevant certification preferred</t>
        </is>
      </c>
      <c r="Q26" s="12" t="inlineStr">
        <is>
          <t>Core 2 · Future-ready 2 · Functional 3 · Leadership —
★ Product, Platform &amp; Domain Knowledge · Stakeholder &amp; Client Management</t>
        </is>
      </c>
      <c r="R26" s="12" t="inlineStr">
        <is>
          <t>Enable sustained customer value and issue resolution. Includes: Adoption, product support and customer education. Excludes: Employee IT support; initial client implementation.</t>
        </is>
      </c>
      <c r="S26" s="12" t="inlineStr">
        <is>
          <r>
            <rPr>
              <rFont val="Calibri"/>
              <b val="1"/>
              <sz val="10"/>
            </rPr>
            <t>Comparable stage:</t>
          </r>
          <r>
            <rPr>
              <rFont val="Calibri"/>
              <sz val="10"/>
            </rPr>
            <t xml:space="preserve"> CS01-2 · Product Support Engineer
Diagnose cases and publish verified knowledge articles.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resolved complex case with diagnosis, customer explanation and reusable knowledge</t>
          </r>
        </is>
      </c>
      <c r="T26" s="12" t="inlineStr">
        <is>
          <t>Radford / Mercer P2 · SFIA 3 Apply
IRIS Vs Competitor Benchmark — SaaS customer-success ladder: Associate CSM · Regnology: Product Support Specialist · Reg Reporting · IRIS Vs Competitor Benchmark — support tiers: L2 Application Support</t>
        </is>
      </c>
      <c r="U26" s="12" t="inlineStr">
        <is>
          <t>B1 · Specialist</t>
        </is>
      </c>
      <c r="V26" s="12" t="inlineStr">
        <is>
          <t>Framework + role-holders' themes · 3+ answered</t>
        </is>
      </c>
    </row>
    <row r="27" ht="106" customHeight="1">
      <c r="A27" s="90" t="inlineStr">
        <is>
          <t>RC-032</t>
        </is>
      </c>
      <c r="B27" s="12" t="inlineStr">
        <is>
          <t>Customer Success &amp; Support</t>
        </is>
      </c>
      <c r="C27" s="12" t="inlineStr">
        <is>
          <t>Application &amp; Product Support</t>
        </is>
      </c>
      <c r="D27" s="20" t="inlineStr">
        <is>
          <t>B1</t>
        </is>
      </c>
      <c r="E27" s="21" t="inlineStr">
        <is>
          <t>Specialist</t>
        </is>
      </c>
      <c r="F27" s="12" t="inlineStr">
        <is>
          <t>IC</t>
        </is>
      </c>
      <c r="G27" s="12" t="inlineStr">
        <is>
          <t>Support Specialist · Functional Specialist</t>
        </is>
      </c>
      <c r="H27" s="12" t="inlineStr">
        <is>
          <t>Shraddha Gawali, Vijay Sakpal</t>
        </is>
      </c>
      <c r="I27" s="12" t="inlineStr">
        <is>
          <t>Support</t>
        </is>
      </c>
      <c r="J27" s="12" t="inlineStr">
        <is>
          <t>Resolves client product and filing issues, troubleshoots, handles UAT/change requests and escalates to engineering. At B1: a domain / module, or a small team.</t>
        </is>
      </c>
      <c r="K27" s="12" t="inlineStr">
        <is>
          <r>
            <rPr>
              <rFont val="Calibri"/>
              <sz val="10"/>
            </rPr>
            <t xml:space="preserve">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t>
          </r>
        </is>
      </c>
      <c r="L27" s="12" t="inlineStr">
        <is>
          <t>Technical / QC / client calls for the domain</t>
        </is>
      </c>
      <c r="M27" s="12" t="inlineStr">
        <is>
          <r>
            <rPr>
              <rFont val="Calibri"/>
              <b val="1"/>
              <sz val="10"/>
            </rPr>
            <t>Common themes in manager-set KRAs:</t>
          </r>
          <r>
            <rPr>
              <rFont val="Calibri"/>
              <sz val="10"/>
            </rPr>
            <t xml:space="preserve"> accounts · csat · documentation · reduce · drive · keep</t>
          </r>
        </is>
      </c>
      <c r="N27" s="12" t="inlineStr">
        <is>
          <r>
            <rPr>
              <rFont val="Calibri"/>
              <b val="1"/>
              <sz val="10"/>
            </rPr>
            <t>Skills:</t>
          </r>
          <r>
            <rPr>
              <rFont val="Calibri"/>
              <sz val="10"/>
            </rPr>
            <t xml:space="preserve"> Tech Support</t>
          </r>
        </is>
      </c>
      <c r="O2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7" s="12" t="inlineStr">
        <is>
          <t>4–7 yrs
Graduate + relevant qualification or certification preferred</t>
        </is>
      </c>
      <c r="Q27" s="12" t="inlineStr">
        <is>
          <t>Core 3 · Future-ready 3 · Functional 3 · Leadership 1
★ Product, Platform &amp; Domain Knowledge · Stakeholder &amp; Client Management</t>
        </is>
      </c>
      <c r="R27" s="12" t="inlineStr">
        <is>
          <t>Enable sustained customer value and issue resolution. Includes: Adoption, product support and customer education. Excludes: Employee IT support; initial client implementation.</t>
        </is>
      </c>
      <c r="S27" s="12" t="inlineStr">
        <is>
          <r>
            <rPr>
              <rFont val="Calibri"/>
              <b val="1"/>
              <sz val="10"/>
            </rPr>
            <t>Comparable stage:</t>
          </r>
          <r>
            <rPr>
              <rFont val="Calibri"/>
              <sz val="10"/>
            </rPr>
            <t xml:space="preserve"> CS01-3 · Senior Product Support Engineer
Own complex escalations and recurring-defect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resolved complex case with diagnosis, customer explanation and reusable knowledge</t>
          </r>
        </is>
      </c>
      <c r="T27" s="12" t="inlineStr">
        <is>
          <r>
            <rPr>
              <rFont val="Calibri"/>
              <sz val="10"/>
            </rPr>
            <t xml:space="preserve">Radford / Mercer P3 / M2 · SFIA 4 Enable
</t>
          </r>
          <r>
            <rPr>
              <rFont val="Calibri"/>
              <b val="1"/>
              <sz val="10"/>
            </rPr>
            <t>Workiva:</t>
          </r>
          <r>
            <rPr>
              <rFont val="Calibri"/>
              <sz val="10"/>
            </rPr>
            <t xml:space="preserve"> Customer Success Manager · IRIS Vs Competitor Benchmark — SaaS customer-success ladder: CSM · IRIS Vs Competitor Benchmark — support tiers: L3 / Problem Analyst</t>
          </r>
        </is>
      </c>
      <c r="U27" s="12" t="inlineStr">
        <is>
          <t>B2 · Senior Specialist</t>
        </is>
      </c>
      <c r="V27" s="12" t="inlineStr">
        <is>
          <t>Framework + role-holders' themes · 3+ answered</t>
        </is>
      </c>
    </row>
    <row r="28">
      <c r="A28" s="89" t="inlineStr">
        <is>
          <t>Engineering &amp; Architecture</t>
        </is>
      </c>
    </row>
    <row r="29" ht="119" customHeight="1">
      <c r="A29" s="90" t="inlineStr">
        <is>
          <t>RC-055</t>
        </is>
      </c>
      <c r="B29" s="12" t="inlineStr">
        <is>
          <t>Engineering &amp; Architecture</t>
        </is>
      </c>
      <c r="C29" s="12" t="inlineStr">
        <is>
          <t>Solution &amp; Technical Architecture</t>
        </is>
      </c>
      <c r="D29" s="20" t="inlineStr">
        <is>
          <t>B3</t>
        </is>
      </c>
      <c r="E29" s="21" t="inlineStr">
        <is>
          <t>Lead Specialist</t>
        </is>
      </c>
      <c r="F29" s="12" t="inlineStr">
        <is>
          <t>IC</t>
        </is>
      </c>
      <c r="G29" s="12" t="inlineStr">
        <is>
          <t>Technical Architect · Associate Technical Architect – POD Lead · Associate Technical Architect</t>
        </is>
      </c>
      <c r="H29" s="12" t="inlineStr">
        <is>
          <t>Giridhar Singh, Shiveshdhar Dubey, Virendra Kumar Ray</t>
        </is>
      </c>
      <c r="I29" s="12" t="inlineStr">
        <is>
          <t>Technology</t>
        </is>
      </c>
      <c r="J29" s="12" t="inlineStr">
        <is>
          <r>
            <rPr>
              <rFont val="Calibri"/>
              <sz val="10"/>
            </rPr>
            <t xml:space="preserve">Designs system / solution architecture, integrations and technical standards; guides build teams. At B3: a practice, or several teams through team leads.
</t>
          </r>
          <r>
            <rPr>
              <rFont val="Calibri"/>
              <b val="1"/>
              <sz val="10"/>
            </rPr>
            <t>Common themes in role-holders' answers:</t>
          </r>
          <r>
            <rPr>
              <rFont val="Calibri"/>
              <sz val="10"/>
            </rPr>
            <t xml:space="preserve"> technical · project</t>
          </r>
        </is>
      </c>
      <c r="K29" s="12" t="inlineStr">
        <is>
          <r>
            <rPr>
              <rFont val="Calibri"/>
              <sz val="10"/>
            </rPr>
            <t xml:space="preserve">Designs system / solution architecture, integrations and technical standards; guides build teams; Sets standards for a practice; cross-team problems; Several teams or a practice
</t>
          </r>
          <r>
            <rPr>
              <rFont val="Calibri"/>
              <b val="1"/>
              <sz val="10"/>
            </rPr>
            <t>Common themes in role-holders' answers:</t>
          </r>
          <r>
            <rPr>
              <rFont val="Calibri"/>
              <sz val="10"/>
            </rPr>
            <t xml:space="preserve"> technical</t>
          </r>
        </is>
      </c>
      <c r="L29" s="12" t="inlineStr">
        <is>
          <r>
            <rPr>
              <rFont val="Calibri"/>
              <sz val="10"/>
            </rPr>
            <t xml:space="preserve">Commercial / strategic calls for the unit
</t>
          </r>
          <r>
            <rPr>
              <rFont val="Calibri"/>
              <b val="1"/>
              <sz val="10"/>
            </rPr>
            <t>Common themes in role-holders' answers:</t>
          </r>
          <r>
            <rPr>
              <rFont val="Calibri"/>
              <sz val="10"/>
            </rPr>
            <t xml:space="preserve"> technical · approach</t>
          </r>
        </is>
      </c>
      <c r="M29" s="12" t="inlineStr">
        <is>
          <r>
            <rPr>
              <rFont val="Calibri"/>
              <b val="1"/>
              <sz val="10"/>
            </rPr>
            <t>Common themes in manager-set KRAs:</t>
          </r>
          <r>
            <rPr>
              <rFont val="Calibri"/>
              <sz val="10"/>
            </rPr>
            <t xml:space="preserve"> code · leakage qa/uat · defect · technical · quality · agreed</t>
          </r>
        </is>
      </c>
      <c r="N29" s="12" t="inlineStr">
        <is>
          <r>
            <rPr>
              <rFont val="Calibri"/>
              <b val="1"/>
              <sz val="10"/>
            </rPr>
            <t>Skills:</t>
          </r>
          <r>
            <rPr>
              <rFont val="Calibri"/>
              <sz val="10"/>
            </rPr>
            <t xml:space="preserve"> Java · NET MVC</t>
          </r>
        </is>
      </c>
      <c r="O29"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29" s="12" t="inlineStr">
        <is>
          <t>8–12 yrs
Postgraduate or professional qualification preferred</t>
        </is>
      </c>
      <c r="Q29" s="12" t="inlineStr">
        <is>
          <t>Core 4 · Future-ready 3 · Functional 4 · Leadership 3
★ System Design &amp; Architecture · Programming &amp; Tech-Stack Depth</t>
        </is>
      </c>
      <c r="R29" s="12" t="inlineStr">
        <is>
          <t>Define system architecture across components. Includes: Solution design, non-functional trade-offs and architecture standards. Excludes: Presales persuasion alone; routine software delivery.</t>
        </is>
      </c>
      <c r="S29" s="12" t="inlineStr">
        <is>
          <r>
            <rPr>
              <rFont val="Calibri"/>
              <b val="1"/>
              <sz val="10"/>
            </rPr>
            <t>Comparable stage:</t>
          </r>
          <r>
            <rPr>
              <rFont val="Calibri"/>
              <sz val="10"/>
            </rPr>
            <t xml:space="preserve"> ARC01-4 · Principal Solution Architect
Set cross-product architecture principles and govern justified exceptions.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design decision record with alternatives, cost and security trade-offs plus implementation validation</t>
          </r>
        </is>
      </c>
      <c r="T29" s="12" t="inlineStr">
        <is>
          <r>
            <rPr>
              <rFont val="Calibri"/>
              <sz val="10"/>
            </rPr>
            <t xml:space="preserve">Radford / Mercer P5 / M4 · SFIA 5 Ensure, advise
</t>
          </r>
          <r>
            <rPr>
              <rFont val="Calibri"/>
              <b val="1"/>
              <sz val="10"/>
            </rPr>
            <t>Workiva:</t>
          </r>
          <r>
            <rPr>
              <rFont val="Calibri"/>
              <sz val="10"/>
            </rPr>
            <t xml:space="preserve"> Staff SE · Broadridge India: Senior Lead SE · Nasdaq / AxiomSL: Lead SE · Salesforce: LMTS</t>
          </r>
        </is>
      </c>
      <c r="U29" s="12" t="inlineStr">
        <is>
          <t>C1 · Principal · or B+ · Player-Coach transition step if leading people hands-on</t>
        </is>
      </c>
      <c r="V29" s="12" t="inlineStr">
        <is>
          <t>Framework + role-holders' themes · 3+ answered</t>
        </is>
      </c>
    </row>
    <row r="30" ht="132" customHeight="1">
      <c r="A30" s="90" t="inlineStr">
        <is>
          <t>RC-056</t>
        </is>
      </c>
      <c r="B30" s="12" t="inlineStr">
        <is>
          <t>Engineering &amp; Architecture</t>
        </is>
      </c>
      <c r="C30" s="12" t="inlineStr">
        <is>
          <t>Solution &amp; Technical Architecture</t>
        </is>
      </c>
      <c r="D30" s="24" t="inlineStr">
        <is>
          <t>B+</t>
        </is>
      </c>
      <c r="E30" s="25" t="inlineStr">
        <is>
          <t>Practice Lead · Player-Coach</t>
        </is>
      </c>
      <c r="F30" s="12" t="inlineStr">
        <is>
          <t>IC</t>
        </is>
      </c>
      <c r="G30" s="12" t="inlineStr">
        <is>
          <t>Practice Lead – Solution &amp; Technical Architecture · Player-Coach</t>
        </is>
      </c>
      <c r="H30" s="12" t="inlineStr">
        <is>
          <t>Brij Kishor Singh, Hemant Trivedi, Pushpendra Singh, Suman Kumar</t>
        </is>
      </c>
      <c r="I30" s="12" t="inlineStr">
        <is>
          <t>Technology</t>
        </is>
      </c>
      <c r="J30" s="12" t="inlineStr">
        <is>
          <r>
            <rPr>
              <rFont val="Calibri"/>
              <sz val="10"/>
            </rPr>
            <t xml:space="preserve">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t>
          </r>
        </is>
      </c>
      <c r="K30" s="12" t="inlineStr">
        <is>
          <r>
            <rPr>
              <rFont val="Calibri"/>
              <sz val="10"/>
            </rPr>
            <t xml:space="preserve">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t>
          </r>
        </is>
      </c>
      <c r="L30" s="12" t="inlineStr">
        <is>
          <r>
            <rPr>
              <rFont val="Calibri"/>
              <sz val="10"/>
            </rPr>
            <t xml:space="preserve">Decides approach and priorities for the practice; escalates only cross-function trade-offs
</t>
          </r>
          <r>
            <rPr>
              <rFont val="Calibri"/>
              <b val="1"/>
              <sz val="10"/>
            </rPr>
            <t>Common themes in role-holders' answers:</t>
          </r>
          <r>
            <rPr>
              <rFont val="Calibri"/>
              <sz val="10"/>
            </rPr>
            <t xml:space="preserve"> approach</t>
          </r>
        </is>
      </c>
      <c r="M30" s="12" t="inlineStr">
        <is>
          <r>
            <rPr>
              <rFont val="Calibri"/>
              <b val="1"/>
              <sz val="10"/>
            </rPr>
            <t>Common themes in manager-set KRAs:</t>
          </r>
          <r>
            <rPr>
              <rFont val="Calibri"/>
              <sz val="10"/>
            </rPr>
            <t xml:space="preserve"> support · technical · project · completion · develop · year</t>
          </r>
        </is>
      </c>
      <c r="N30" s="12" t="inlineStr">
        <is>
          <r>
            <rPr>
              <rFont val="Calibri"/>
              <b val="1"/>
              <sz val="10"/>
            </rPr>
            <t>Skills:</t>
          </r>
          <r>
            <rPr>
              <rFont val="Calibri"/>
              <sz val="10"/>
            </rPr>
            <t xml:space="preserve"> Java · Spring Boot · NET MVC</t>
          </r>
        </is>
      </c>
      <c r="O30" s="12" t="inlineStr">
        <is>
          <r>
            <rPr>
              <rFont val="Calibri"/>
              <b val="1"/>
              <sz val="10"/>
            </rPr>
            <t>Owns:</t>
          </r>
          <r>
            <rPr>
              <rFont val="Calibri"/>
              <sz val="10"/>
            </rPr>
            <t xml:space="preserve"> A practice or product area: does the hardest hands-on work itself and leads 3–6 people · player-coach
</t>
          </r>
          <r>
            <rPr>
              <rFont val="Calibri"/>
              <b val="1"/>
              <sz val="10"/>
            </rPr>
            <t>Complexity:</t>
          </r>
          <r>
            <rPr>
              <rFont val="Calibri"/>
              <sz val="10"/>
            </rPr>
            <t xml:space="preserve"> Principal-level problems in own domain; sets technical or quality standards and still builds
</t>
          </r>
          <r>
            <rPr>
              <rFont val="Calibri"/>
              <b val="1"/>
              <sz val="10"/>
            </rPr>
            <t>Decisions:</t>
          </r>
          <r>
            <rPr>
              <rFont val="Calibri"/>
              <sz val="10"/>
            </rPr>
            <t xml:space="preserve"> Decides approach and priorities for the practice; escalates only cross-function trade-offs
</t>
          </r>
          <r>
            <rPr>
              <rFont val="Calibri"/>
              <b val="1"/>
              <sz val="10"/>
            </rPr>
            <t>Answers for:</t>
          </r>
          <r>
            <rPr>
              <rFont val="Calibri"/>
              <sz val="10"/>
            </rPr>
            <t xml:space="preserve"> Practice outcomes plus own deliverables; quality and delivery of the team
</t>
          </r>
          <r>
            <rPr>
              <rFont val="Calibri"/>
              <b val="1"/>
              <sz val="10"/>
            </rPr>
            <t>Leadership:</t>
          </r>
          <r>
            <rPr>
              <rFont val="Calibri"/>
              <sz val="10"/>
            </rPr>
            <t xml:space="preserve"> Leads 3–6 people · or a pod while remaining a hands-on expert; coaches, allocates, reviews</t>
          </r>
        </is>
      </c>
      <c r="P30" s="12" t="inlineStr">
        <is>
          <t>9–14 yrs
Postgraduate or professional qualification preferred</t>
        </is>
      </c>
      <c r="Q30" s="12" t="inlineStr">
        <is>
          <t>Core 4 · Future-ready 4 · Functional 4 · Leadership 4
★ System Design &amp; Architecture · Programming &amp; Tech-Stack Depth</t>
        </is>
      </c>
      <c r="R30" s="12" t="inlineStr">
        <is>
          <t>Define system architecture across components. Includes: Solution design, non-functional trade-offs and architecture standards. Excludes: Presales persuasion alone; routine software delivery.</t>
        </is>
      </c>
      <c r="S30" s="12" t="inlineStr">
        <is>
          <r>
            <rPr>
              <rFont val="Calibri"/>
              <b val="1"/>
              <sz val="10"/>
            </rPr>
            <t>Comparable stage:</t>
          </r>
          <r>
            <rPr>
              <rFont val="Calibri"/>
              <sz val="10"/>
            </rPr>
            <t xml:space="preserve"> ARC01-4 · Principal Solution Architect
Set cross-product architecture principles and govern justified exceptions.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design decision record with alternatives, cost and security trade-offs plus implementation validation</t>
          </r>
        </is>
      </c>
      <c r="T30" s="12" t="inlineStr">
        <is>
          <r>
            <rPr>
              <rFont val="Calibri"/>
              <sz val="10"/>
            </rPr>
            <t xml:space="preserve">Radford / Mercer P5–P6 / M4–M5 · SFIA 5 Ensure, advise
</t>
          </r>
          <r>
            <rPr>
              <rFont val="Calibri"/>
              <b val="1"/>
              <sz val="10"/>
            </rPr>
            <t>Google:</t>
          </r>
          <r>
            <rPr>
              <rFont val="Calibri"/>
              <sz val="10"/>
            </rPr>
            <t xml:space="preserve"> Tech Lead Manager · TLM · McKinsey player/coach · 3–5 reports · SaaS: player-coach team lead carrying own work</t>
          </r>
        </is>
      </c>
      <c r="U30" s="12" t="inlineStr">
        <is>
          <t>C1 · Principal</t>
        </is>
      </c>
      <c r="V30" s="12" t="inlineStr">
        <is>
          <t>Framework + role-holders' themes · 3+ answered</t>
        </is>
      </c>
    </row>
    <row r="31" ht="119" customHeight="1">
      <c r="A31" s="90" t="inlineStr">
        <is>
          <t>RC-057</t>
        </is>
      </c>
      <c r="B31" s="12" t="inlineStr">
        <is>
          <t>Engineering &amp; Architecture</t>
        </is>
      </c>
      <c r="C31" s="12" t="inlineStr">
        <is>
          <t>Solution &amp; Technical Architecture</t>
        </is>
      </c>
      <c r="D31" s="28" t="inlineStr">
        <is>
          <t>C1</t>
        </is>
      </c>
      <c r="E31" s="29" t="inlineStr">
        <is>
          <t>Principal</t>
        </is>
      </c>
      <c r="F31" s="12" t="inlineStr">
        <is>
          <t>IC</t>
        </is>
      </c>
      <c r="G31" s="12" t="inlineStr">
        <is>
          <t>Technical Architect · Solution Architect</t>
        </is>
      </c>
      <c r="H31" s="12" t="inlineStr">
        <is>
          <t>Sharanagouda Patil</t>
        </is>
      </c>
      <c r="I31" s="12" t="inlineStr">
        <is>
          <t>Technology</t>
        </is>
      </c>
      <c r="J31" s="12" t="inlineStr">
        <is>
          <r>
            <rPr>
              <rFont val="Calibri"/>
              <sz val="10"/>
            </rPr>
            <t xml:space="preserve">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t>
          </r>
        </is>
      </c>
      <c r="K31" s="12" t="inlineStr">
        <is>
          <r>
            <rPr>
              <rFont val="Calibri"/>
              <sz val="10"/>
            </rPr>
            <t xml:space="preserve">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t>
          </r>
        </is>
      </c>
      <c r="L31" s="12" t="inlineStr">
        <is>
          <r>
            <rPr>
              <rFont val="Calibri"/>
              <sz val="10"/>
            </rPr>
            <t xml:space="preserve">Sets direction for a sub-function or domain
</t>
          </r>
          <r>
            <rPr>
              <rFont val="Calibri"/>
              <b val="1"/>
              <sz val="10"/>
            </rPr>
            <t>Common themes in sub-family holders, all levels' answers:</t>
          </r>
          <r>
            <rPr>
              <rFont val="Calibri"/>
              <sz val="10"/>
            </rPr>
            <t xml:space="preserve"> technical · approach · design · standards</t>
          </r>
        </is>
      </c>
      <c r="M31" s="12" t="inlineStr">
        <is>
          <t>—</t>
        </is>
      </c>
      <c r="N31" s="12" t="inlineStr">
        <is>
          <r>
            <rPr>
              <rFont val="Calibri"/>
              <b val="1"/>
              <sz val="10"/>
            </rPr>
            <t>Skills:</t>
          </r>
          <r>
            <rPr>
              <rFont val="Calibri"/>
              <sz val="10"/>
            </rPr>
            <t xml:space="preserve"> Java · NET MVC · Spring Boot
</t>
          </r>
          <r>
            <rPr>
              <rFont val="Calibri"/>
              <b val="1"/>
              <sz val="10"/>
            </rPr>
            <t>Tools:</t>
          </r>
          <r>
            <rPr>
              <rFont val="Calibri"/>
              <sz val="10"/>
            </rPr>
            <t xml:space="preserve"> Visual Studio</t>
          </r>
        </is>
      </c>
      <c r="O31"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31" s="12" t="inlineStr">
        <is>
          <t>10–14 yrs
Postgraduate / professional qualification preferred</t>
        </is>
      </c>
      <c r="Q31" s="12" t="inlineStr">
        <is>
          <t>Core 4 · Future-ready 4 · Functional 4 · Leadership 4
★ System Design &amp; Architecture · Programming &amp; Tech-Stack Depth</t>
        </is>
      </c>
      <c r="R31" s="12" t="inlineStr">
        <is>
          <t>Define system architecture across components. Includes: Solution design, non-functional trade-offs and architecture standards. Excludes: Presales persuasion alone; routine software delivery.</t>
        </is>
      </c>
      <c r="S31" s="12" t="inlineStr">
        <is>
          <r>
            <rPr>
              <rFont val="Calibri"/>
              <b val="1"/>
              <sz val="10"/>
            </rPr>
            <t>Comparable stage:</t>
          </r>
          <r>
            <rPr>
              <rFont val="Calibri"/>
              <sz val="10"/>
            </rPr>
            <t xml:space="preserve"> ARC01-4 · Principal Solution Architect
Set cross-product architecture principles and govern justified exceptions.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design decision record with alternatives, cost and security trade-offs plus implementation validation</t>
          </r>
        </is>
      </c>
      <c r="T31" s="12" t="inlineStr">
        <is>
          <r>
            <rPr>
              <rFont val="Calibri"/>
              <sz val="10"/>
            </rPr>
            <t xml:space="preserve">Radford / Mercer P6 / M5 · SFIA 5–6
</t>
          </r>
          <r>
            <rPr>
              <rFont val="Calibri"/>
              <b val="1"/>
              <sz val="10"/>
            </rPr>
            <t>Nasdaq / AxiomSL:</t>
          </r>
          <r>
            <rPr>
              <rFont val="Calibri"/>
              <sz val="10"/>
            </rPr>
            <t xml:space="preserve"> Principal SE · Salesforce: PMTS · Atlassian: P60 Principal · 10+ yrs · Freshworks: Senior Staff SE</t>
          </r>
        </is>
      </c>
      <c r="U31" s="12" t="inlineStr">
        <is>
          <t>C2 · Senior Principal / Architect</t>
        </is>
      </c>
      <c r="V31" s="12" t="inlineStr">
        <is>
          <t>Framework + sub-family themes · 3+ answered</t>
        </is>
      </c>
    </row>
    <row r="32">
      <c r="A32" s="89" t="inlineStr">
        <is>
          <t>Engineering &amp; Development</t>
        </is>
      </c>
    </row>
    <row r="33" ht="119" customHeight="1">
      <c r="A33" s="90" t="inlineStr">
        <is>
          <t>RC-058</t>
        </is>
      </c>
      <c r="B33" s="12" t="inlineStr">
        <is>
          <t>Engineering &amp; Development</t>
        </is>
      </c>
      <c r="C33" s="12" t="inlineStr">
        <is>
          <t>AI / ML &amp; GenAI Engineering</t>
        </is>
      </c>
      <c r="D33" s="16" t="inlineStr">
        <is>
          <t>A1</t>
        </is>
      </c>
      <c r="E33" s="17" t="inlineStr">
        <is>
          <t>Intern / Trainee</t>
        </is>
      </c>
      <c r="F33" s="12" t="inlineStr">
        <is>
          <t>IC</t>
        </is>
      </c>
      <c r="G33" s="12" t="inlineStr">
        <is>
          <t>Trainee AI/ML Engineer</t>
        </is>
      </c>
      <c r="H33" s="12" t="inlineStr">
        <is>
          <t>Vinay Gajula</t>
        </is>
      </c>
      <c r="I33" s="12" t="inlineStr">
        <is>
          <t>Technology</t>
        </is>
      </c>
      <c r="J33" s="12" t="inlineStr">
        <is>
          <r>
            <rPr>
              <rFont val="Calibri"/>
              <sz val="10"/>
            </rPr>
            <t xml:space="preserve">Builds AI/ML and LLM features — auto-tagging, classification, agentic workflows, anomaly detection. At A1: learning the role; all work reviewed.
</t>
          </r>
          <r>
            <rPr>
              <rFont val="Calibri"/>
              <b val="1"/>
              <sz val="10"/>
            </rPr>
            <t>Common themes in sub-family holders, all levels' answers:</t>
          </r>
          <r>
            <rPr>
              <rFont val="Calibri"/>
              <sz val="10"/>
            </rPr>
            <t xml:space="preserve"> business · ai · solutions · building · solve · enhance</t>
          </r>
        </is>
      </c>
      <c r="K33" s="12" t="inlineStr">
        <is>
          <r>
            <rPr>
              <rFont val="Calibri"/>
              <sz val="10"/>
            </rPr>
            <t xml:space="preserve">Builds AI/ML and LLM features — auto-tagging, classification, agentic workflows, anomaly detection; Learning; follows worked examples; Learning tasks
</t>
          </r>
          <r>
            <rPr>
              <rFont val="Calibri"/>
              <b val="1"/>
              <sz val="10"/>
            </rPr>
            <t>Common themes in sub-family holders, all levels' answers:</t>
          </r>
          <r>
            <rPr>
              <rFont val="Calibri"/>
              <sz val="10"/>
            </rPr>
            <t xml:space="preserve"> ai · technical · development · evaluation · research · system</t>
          </r>
        </is>
      </c>
      <c r="L33" s="12" t="inlineStr">
        <is>
          <r>
            <rPr>
              <rFont val="Calibri"/>
              <sz val="10"/>
            </rPr>
            <t xml:space="preserve">Needs approval / close guidance
</t>
          </r>
          <r>
            <rPr>
              <rFont val="Calibri"/>
              <b val="1"/>
              <sz val="10"/>
            </rPr>
            <t>Common themes in sub-family holders, all levels' answers:</t>
          </r>
          <r>
            <rPr>
              <rFont val="Calibri"/>
              <sz val="10"/>
            </rPr>
            <t xml:space="preserve"> approach · research · ai · technical · quality</t>
          </r>
        </is>
      </c>
      <c r="M33" s="12" t="inlineStr">
        <is>
          <t>—</t>
        </is>
      </c>
      <c r="N33" s="12" t="inlineStr">
        <is>
          <r>
            <rPr>
              <rFont val="Calibri"/>
              <b val="1"/>
              <sz val="10"/>
            </rPr>
            <t>Skills:</t>
          </r>
          <r>
            <rPr>
              <rFont val="Calibri"/>
              <sz val="10"/>
            </rPr>
            <t xml:space="preserve"> AI/ML · Python
</t>
          </r>
          <r>
            <rPr>
              <rFont val="Calibri"/>
              <b val="1"/>
              <sz val="10"/>
            </rPr>
            <t>Tools:</t>
          </r>
          <r>
            <rPr>
              <rFont val="Calibri"/>
              <sz val="10"/>
            </rPr>
            <t xml:space="preserve"> Azure · FastAPI · Vs Code</t>
          </r>
        </is>
      </c>
      <c r="O33"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33" s="12" t="inlineStr">
        <is>
          <t>0 yrs · fresher / intern
Pursuing or completed graduation / diploma</t>
        </is>
      </c>
      <c r="Q33" s="12" t="inlineStr">
        <is>
          <t>Core 1 · Future-ready 1 · Functional 1 · Leadership —
★ Programming &amp; Tech-Stack Depth · System Design &amp; Architecture</t>
        </is>
      </c>
      <c r="R33" s="12" t="inlineStr">
        <is>
          <t>Build and operate software capabilities. Includes: Application code, data/ML engineering and product reliability. Excludes: Product investment decisions; internal IT service desk.</t>
        </is>
      </c>
      <c r="S33" s="12" t="inlineStr">
        <is>
          <r>
            <rPr>
              <rFont val="Calibri"/>
              <b val="1"/>
              <sz val="10"/>
            </rPr>
            <t>Comparable stage:</t>
          </r>
          <r>
            <rPr>
              <rFont val="Calibri"/>
              <sz val="10"/>
            </rPr>
            <t xml:space="preserve"> ENG04-0 · ML Engineering Intern
</t>
          </r>
          <r>
            <rPr>
              <rFont val="Calibri"/>
              <b val="1"/>
              <sz val="10"/>
            </rPr>
            <t>Assist with a supervised work sample:</t>
          </r>
          <r>
            <rPr>
              <rFont val="Calibri"/>
              <sz val="10"/>
            </rPr>
            <t xml:space="preserve"> build reproducible model pipelines and evaluation sets.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baseline comparison, evaluation set, error analysis and monitored deployment with human escalation</t>
          </r>
        </is>
      </c>
      <c r="T33" s="12" t="inlineStr">
        <is>
          <t>Radford / Mercer Entry / P1 · intern · SFIA 1 Follow
—</t>
        </is>
      </c>
      <c r="U33" s="12" t="inlineStr">
        <is>
          <t>A2 · Associate</t>
        </is>
      </c>
      <c r="V33" s="12" t="inlineStr">
        <is>
          <t>Framework + sub-family themes · 3+ answered</t>
        </is>
      </c>
    </row>
    <row r="34" ht="119" customHeight="1">
      <c r="A34" s="90" t="inlineStr">
        <is>
          <t>RC-059</t>
        </is>
      </c>
      <c r="B34" s="12" t="inlineStr">
        <is>
          <t>Engineering &amp; Development</t>
        </is>
      </c>
      <c r="C34" s="12" t="inlineStr">
        <is>
          <t>AI / ML &amp; GenAI Engineering</t>
        </is>
      </c>
      <c r="D34" s="16" t="inlineStr">
        <is>
          <t>A2</t>
        </is>
      </c>
      <c r="E34" s="17" t="inlineStr">
        <is>
          <t>Associate</t>
        </is>
      </c>
      <c r="F34" s="12" t="inlineStr">
        <is>
          <t>IC</t>
        </is>
      </c>
      <c r="G34" s="12" t="inlineStr">
        <is>
          <t>AI/ML Engineer</t>
        </is>
      </c>
      <c r="H34" s="12" t="inlineStr">
        <is>
          <t>Soham Narsinge</t>
        </is>
      </c>
      <c r="I34" s="12" t="inlineStr">
        <is>
          <t>Technology</t>
        </is>
      </c>
      <c r="J34" s="12" t="inlineStr">
        <is>
          <r>
            <rPr>
              <rFont val="Calibri"/>
              <sz val="10"/>
            </rPr>
            <t xml:space="preserve">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t>
          </r>
        </is>
      </c>
      <c r="K34" s="12" t="inlineStr">
        <is>
          <r>
            <rPr>
              <rFont val="Calibri"/>
              <sz val="10"/>
            </rPr>
            <t xml:space="preserve">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t>
          </r>
        </is>
      </c>
      <c r="L34" s="12" t="inlineStr">
        <is>
          <t>Chooses own approach within standards</t>
        </is>
      </c>
      <c r="M34" s="12" t="inlineStr">
        <is>
          <t>—</t>
        </is>
      </c>
      <c r="N34" s="12" t="inlineStr">
        <is>
          <r>
            <rPr>
              <rFont val="Calibri"/>
              <b val="1"/>
              <sz val="10"/>
            </rPr>
            <t>Skills:</t>
          </r>
          <r>
            <rPr>
              <rFont val="Calibri"/>
              <sz val="10"/>
            </rPr>
            <t xml:space="preserve"> AI/ML
</t>
          </r>
          <r>
            <rPr>
              <rFont val="Calibri"/>
              <b val="1"/>
              <sz val="10"/>
            </rPr>
            <t>Tools:</t>
          </r>
          <r>
            <rPr>
              <rFont val="Calibri"/>
              <sz val="10"/>
            </rPr>
            <t xml:space="preserve"> FastAPI</t>
          </r>
        </is>
      </c>
      <c r="O34"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34" s="12" t="inlineStr">
        <is>
          <t>0–2 yrs
Graduate · or diploma with experience</t>
        </is>
      </c>
      <c r="Q34" s="12" t="inlineStr">
        <is>
          <t>Core 2 · Future-ready 2 · Functional 2 · Leadership —
★ Programming &amp; Tech-Stack Depth · System Design &amp; Architecture</t>
        </is>
      </c>
      <c r="R34" s="12" t="inlineStr">
        <is>
          <t>Build and operate software capabilities. Includes: Application code, data/ML engineering and product reliability. Excludes: Product investment decisions; internal IT service desk.</t>
        </is>
      </c>
      <c r="S34" s="12" t="inlineStr">
        <is>
          <r>
            <rPr>
              <rFont val="Calibri"/>
              <b val="1"/>
              <sz val="10"/>
            </rPr>
            <t>Comparable stage:</t>
          </r>
          <r>
            <rPr>
              <rFont val="Calibri"/>
              <sz val="10"/>
            </rPr>
            <t xml:space="preserve"> ENG04-1 · Associate ML Engineer
</t>
          </r>
          <r>
            <rPr>
              <rFont val="Calibri"/>
              <b val="1"/>
              <sz val="10"/>
            </rPr>
            <t>Complete defined parts under review:</t>
          </r>
          <r>
            <rPr>
              <rFont val="Calibri"/>
              <sz val="10"/>
            </rPr>
            <t xml:space="preserve"> build reproducible model pipelines and evaluation sets.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baseline comparison, evaluation set, error analysis and monitored deployment with human escalation</t>
          </r>
        </is>
      </c>
      <c r="T34"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34" s="12" t="inlineStr">
        <is>
          <t>A3 · Senior Associate</t>
        </is>
      </c>
      <c r="V34" s="12" t="inlineStr">
        <is>
          <t>Framework + role-holders' themes · 3+ answered</t>
        </is>
      </c>
    </row>
    <row r="35" ht="119" customHeight="1">
      <c r="A35" s="90" t="inlineStr">
        <is>
          <t>RC-060</t>
        </is>
      </c>
      <c r="B35" s="12" t="inlineStr">
        <is>
          <t>Engineering &amp; Development</t>
        </is>
      </c>
      <c r="C35" s="12" t="inlineStr">
        <is>
          <t>AI / ML &amp; GenAI Engineering</t>
        </is>
      </c>
      <c r="D35" s="16" t="inlineStr">
        <is>
          <t>A3</t>
        </is>
      </c>
      <c r="E35" s="17" t="inlineStr">
        <is>
          <t>Senior Associate</t>
        </is>
      </c>
      <c r="F35" s="12" t="inlineStr">
        <is>
          <t>IC</t>
        </is>
      </c>
      <c r="G35" s="12" t="inlineStr">
        <is>
          <t>Senior AI/ML Engineer</t>
        </is>
      </c>
      <c r="H35" s="12" t="inlineStr">
        <is>
          <t>Saurabh Padalkar, Yash Chikane</t>
        </is>
      </c>
      <c r="I35" s="12" t="inlineStr">
        <is>
          <t>Technology</t>
        </is>
      </c>
      <c r="J35" s="12" t="inlineStr">
        <is>
          <r>
            <rPr>
              <rFont val="Calibri"/>
              <sz val="10"/>
            </rPr>
            <t xml:space="preserve">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t>
          </r>
        </is>
      </c>
      <c r="K35" s="12" t="inlineStr">
        <is>
          <r>
            <rPr>
              <rFont val="Calibri"/>
              <sz val="10"/>
            </rPr>
            <t xml:space="preserve">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t>
          </r>
        </is>
      </c>
      <c r="L35" s="12" t="inlineStr">
        <is>
          <r>
            <rPr>
              <rFont val="Calibri"/>
              <sz val="10"/>
            </rPr>
            <t xml:space="preserve">Technical / QC / client calls on own work
</t>
          </r>
          <r>
            <rPr>
              <rFont val="Calibri"/>
              <b val="1"/>
              <sz val="10"/>
            </rPr>
            <t>Common themes in role-holders' answers:</t>
          </r>
          <r>
            <rPr>
              <rFont val="Calibri"/>
              <sz val="10"/>
            </rPr>
            <t xml:space="preserve"> approach</t>
          </r>
        </is>
      </c>
      <c r="M35" s="12" t="inlineStr">
        <is>
          <t>—</t>
        </is>
      </c>
      <c r="N35" s="12" t="inlineStr">
        <is>
          <r>
            <rPr>
              <rFont val="Calibri"/>
              <b val="1"/>
              <sz val="10"/>
            </rPr>
            <t>Skills:</t>
          </r>
          <r>
            <rPr>
              <rFont val="Calibri"/>
              <sz val="10"/>
            </rPr>
            <t xml:space="preserve"> AI/ML · Python</t>
          </r>
        </is>
      </c>
      <c r="O3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5" s="12" t="inlineStr">
        <is>
          <t>2–4 yrs
Graduate; relevant certification preferred</t>
        </is>
      </c>
      <c r="Q35" s="12" t="inlineStr">
        <is>
          <t>Core 2 · Future-ready 2 · Functional 3 · Leadership —
★ Programming &amp; Tech-Stack Depth · System Design &amp; Architecture</t>
        </is>
      </c>
      <c r="R35" s="12" t="inlineStr">
        <is>
          <t>Build and operate software capabilities. Includes: Application code, data/ML engineering and product reliability. Excludes: Product investment decisions; internal IT service desk.</t>
        </is>
      </c>
      <c r="S35" s="12" t="inlineStr">
        <is>
          <r>
            <rPr>
              <rFont val="Calibri"/>
              <b val="1"/>
              <sz val="10"/>
            </rPr>
            <t>Comparable stage:</t>
          </r>
          <r>
            <rPr>
              <rFont val="Calibri"/>
              <sz val="10"/>
            </rPr>
            <t xml:space="preserve"> ENG04-2 · Machine Learning Engineer
Build reproducible model pipelines and evaluation sets.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baseline comparison, evaluation set, error analysis and monitored deployment with human escalation</t>
          </r>
        </is>
      </c>
      <c r="T35"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35" s="12" t="inlineStr">
        <is>
          <t>B1 · Specialist</t>
        </is>
      </c>
      <c r="V35" s="12" t="inlineStr">
        <is>
          <t>Framework + role-holders' themes · 3+ answered</t>
        </is>
      </c>
    </row>
    <row r="36" ht="119" customHeight="1">
      <c r="A36" s="90" t="inlineStr">
        <is>
          <t>RC-061</t>
        </is>
      </c>
      <c r="B36" s="12" t="inlineStr">
        <is>
          <t>Engineering &amp; Development</t>
        </is>
      </c>
      <c r="C36" s="12" t="inlineStr">
        <is>
          <t>AI / ML &amp; GenAI Engineering</t>
        </is>
      </c>
      <c r="D36" s="20" t="inlineStr">
        <is>
          <t>B1</t>
        </is>
      </c>
      <c r="E36" s="21" t="inlineStr">
        <is>
          <t>Specialist</t>
        </is>
      </c>
      <c r="F36" s="12" t="inlineStr">
        <is>
          <t>IC</t>
        </is>
      </c>
      <c r="G36" s="12" t="inlineStr">
        <is>
          <t>AI/ML Specialist – POD Lead</t>
        </is>
      </c>
      <c r="H36" s="12" t="inlineStr">
        <is>
          <t>Prabhakar Mhadse</t>
        </is>
      </c>
      <c r="I36" s="12" t="inlineStr">
        <is>
          <t>Technology</t>
        </is>
      </c>
      <c r="J36" s="12" t="inlineStr">
        <is>
          <r>
            <rPr>
              <rFont val="Calibri"/>
              <sz val="10"/>
            </rPr>
            <t xml:space="preserve">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t>
          </r>
        </is>
      </c>
      <c r="K36" s="12" t="inlineStr">
        <is>
          <r>
            <rPr>
              <rFont val="Calibri"/>
              <sz val="10"/>
            </rPr>
            <t xml:space="preserve">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t>
          </r>
        </is>
      </c>
      <c r="L36" s="12" t="inlineStr">
        <is>
          <r>
            <rPr>
              <rFont val="Calibri"/>
              <sz val="10"/>
            </rPr>
            <t xml:space="preserve">Technical / QC / client calls for the domain
</t>
          </r>
          <r>
            <rPr>
              <rFont val="Calibri"/>
              <b val="1"/>
              <sz val="10"/>
            </rPr>
            <t>Common themes in sub-family holders, all levels' answers:</t>
          </r>
          <r>
            <rPr>
              <rFont val="Calibri"/>
              <sz val="10"/>
            </rPr>
            <t xml:space="preserve"> approach · research · ai · technical · quality</t>
          </r>
        </is>
      </c>
      <c r="M36" s="12" t="inlineStr">
        <is>
          <t>—</t>
        </is>
      </c>
      <c r="N36" s="12" t="inlineStr">
        <is>
          <r>
            <rPr>
              <rFont val="Calibri"/>
              <b val="1"/>
              <sz val="10"/>
            </rPr>
            <t>Skills:</t>
          </r>
          <r>
            <rPr>
              <rFont val="Calibri"/>
              <sz val="10"/>
            </rPr>
            <t xml:space="preserve"> AI/ML · Python
</t>
          </r>
          <r>
            <rPr>
              <rFont val="Calibri"/>
              <b val="1"/>
              <sz val="10"/>
            </rPr>
            <t>Tools:</t>
          </r>
          <r>
            <rPr>
              <rFont val="Calibri"/>
              <sz val="10"/>
            </rPr>
            <t xml:space="preserve"> Azure · FastAPI · Vs Code</t>
          </r>
        </is>
      </c>
      <c r="O36"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6" s="12" t="inlineStr">
        <is>
          <t>4–7 yrs
Graduate + relevant qualification or certification preferred</t>
        </is>
      </c>
      <c r="Q36" s="12" t="inlineStr">
        <is>
          <t>Core 3 · Future-ready 3 · Functional 3 · Leadership 1
★ Programming &amp; Tech-Stack Depth · System Design &amp; Architecture</t>
        </is>
      </c>
      <c r="R36" s="12" t="inlineStr">
        <is>
          <t>Build and operate software capabilities. Includes: Application code, data/ML engineering and product reliability. Excludes: Product investment decisions; internal IT service desk.</t>
        </is>
      </c>
      <c r="S36" s="12" t="inlineStr">
        <is>
          <r>
            <rPr>
              <rFont val="Calibri"/>
              <b val="1"/>
              <sz val="10"/>
            </rPr>
            <t>Comparable stage:</t>
          </r>
          <r>
            <rPr>
              <rFont val="Calibri"/>
              <sz val="10"/>
            </rPr>
            <t xml:space="preserve"> ENG04-3 · Senior ML Engineer
Own deployment, monitoring, failure analysis and model-quality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baseline comparison, evaluation set, error analysis and monitored deployment with human escalation</t>
          </r>
        </is>
      </c>
      <c r="T36"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36" s="12" t="inlineStr">
        <is>
          <t>B2 · Senior Specialist</t>
        </is>
      </c>
      <c r="V36" s="12" t="inlineStr">
        <is>
          <t>Framework + sub-family themes · 3+ answered</t>
        </is>
      </c>
    </row>
    <row r="37" ht="119" customHeight="1">
      <c r="A37" s="90" t="inlineStr">
        <is>
          <t>RC-065</t>
        </is>
      </c>
      <c r="B37" s="12" t="inlineStr">
        <is>
          <t>Engineering &amp; Development</t>
        </is>
      </c>
      <c r="C37" s="12" t="inlineStr">
        <is>
          <t>Backend Development</t>
        </is>
      </c>
      <c r="D37" s="16" t="inlineStr">
        <is>
          <t>A1</t>
        </is>
      </c>
      <c r="E37" s="17" t="inlineStr">
        <is>
          <t>Intern / Trainee</t>
        </is>
      </c>
      <c r="F37" s="12" t="inlineStr">
        <is>
          <t>IC</t>
        </is>
      </c>
      <c r="G37" s="12" t="inlineStr">
        <is>
          <t>Trainee Software Engineer · Intern – Software Development</t>
        </is>
      </c>
      <c r="H37" s="12" t="inlineStr">
        <is>
          <t>Rushikesh Shrikhande, Samiksha Sawant</t>
        </is>
      </c>
      <c r="I37" s="12" t="inlineStr">
        <is>
          <t>Technology</t>
        </is>
      </c>
      <c r="J37" s="12"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K37" s="12"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L37" s="12" t="inlineStr">
        <is>
          <r>
            <rPr>
              <rFont val="Calibri"/>
              <sz val="10"/>
            </rPr>
            <t xml:space="preserve">Needs approval / close guidance
</t>
          </r>
          <r>
            <rPr>
              <rFont val="Calibri"/>
              <b val="1"/>
              <sz val="10"/>
            </rPr>
            <t>Common themes in role-holders' answers:</t>
          </r>
          <r>
            <rPr>
              <rFont val="Calibri"/>
              <sz val="10"/>
            </rPr>
            <t xml:space="preserve"> decisions · technical</t>
          </r>
        </is>
      </c>
      <c r="M37" s="12" t="inlineStr">
        <is>
          <r>
            <rPr>
              <rFont val="Calibri"/>
              <b val="1"/>
              <sz val="10"/>
            </rPr>
            <t>Common themes in manager-set KRAs:</t>
          </r>
          <r>
            <rPr>
              <rFont val="Calibri"/>
              <sz val="10"/>
            </rPr>
            <t xml:space="preserve"> code · technical · agreed · deliver · application · maintain</t>
          </r>
        </is>
      </c>
      <c r="N37" s="12" t="inlineStr">
        <is>
          <r>
            <rPr>
              <rFont val="Calibri"/>
              <b val="1"/>
              <sz val="10"/>
            </rPr>
            <t>Skills:</t>
          </r>
          <r>
            <rPr>
              <rFont val="Calibri"/>
              <sz val="10"/>
            </rPr>
            <t xml:space="preserve"> Java · NET MVC</t>
          </r>
        </is>
      </c>
      <c r="O37"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37" s="12" t="inlineStr">
        <is>
          <t>0 yrs · fresher / intern
Pursuing or completed graduation / diploma</t>
        </is>
      </c>
      <c r="Q37" s="12" t="inlineStr">
        <is>
          <t>Core 1 · Future-ready 1 · Functional 1 · Leadership —
★ Programming &amp; Tech-Stack Depth · System Design &amp; Architecture</t>
        </is>
      </c>
      <c r="R37" s="12" t="inlineStr">
        <is>
          <t>Build and operate software capabilities. Includes: Application code, data/ML engineering and product reliability. Excludes: Product investment decisions; internal IT service desk.</t>
        </is>
      </c>
      <c r="S37" s="12" t="inlineStr">
        <is>
          <r>
            <rPr>
              <rFont val="Calibri"/>
              <b val="1"/>
              <sz val="10"/>
            </rPr>
            <t>Comparable stage:</t>
          </r>
          <r>
            <rPr>
              <rFont val="Calibri"/>
              <sz val="10"/>
            </rPr>
            <t xml:space="preserve"> ENG01-0 · Software Engineering Intern
</t>
          </r>
          <r>
            <rPr>
              <rFont val="Calibri"/>
              <b val="1"/>
              <sz val="10"/>
            </rPr>
            <t>Assist with a supervised work sample:</t>
          </r>
          <r>
            <rPr>
              <rFont val="Calibri"/>
              <sz val="10"/>
            </rPr>
            <t xml:space="preserve"> deliver tested apis and services with clear error handling.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service design and implementation with tests, failure handling and measured production behaviour</t>
          </r>
        </is>
      </c>
      <c r="T37" s="12" t="inlineStr">
        <is>
          <t>Radford / Mercer Entry / P1 · intern · SFIA 1 Follow
—</t>
        </is>
      </c>
      <c r="U37" s="12" t="inlineStr">
        <is>
          <t>A2 · Associate</t>
        </is>
      </c>
      <c r="V37" s="12" t="inlineStr">
        <is>
          <t>Framework + role-holders' themes · 3+ answered</t>
        </is>
      </c>
    </row>
    <row r="38" ht="119" customHeight="1">
      <c r="A38" s="90" t="inlineStr">
        <is>
          <t>RC-066</t>
        </is>
      </c>
      <c r="B38" s="12" t="inlineStr">
        <is>
          <t>Engineering &amp; Development</t>
        </is>
      </c>
      <c r="C38" s="12" t="inlineStr">
        <is>
          <t>Backend Development</t>
        </is>
      </c>
      <c r="D38" s="16" t="inlineStr">
        <is>
          <t>A2</t>
        </is>
      </c>
      <c r="E38" s="17" t="inlineStr">
        <is>
          <t>Associate</t>
        </is>
      </c>
      <c r="F38" s="12" t="inlineStr">
        <is>
          <t>IC</t>
        </is>
      </c>
      <c r="G38" s="12" t="inlineStr">
        <is>
          <t>Software Engineer</t>
        </is>
      </c>
      <c r="H38" s="12" t="inlineStr">
        <is>
          <t>Aquib Shah, Chirag Suryawanshi, Subham Chakrabertty</t>
        </is>
      </c>
      <c r="I38" s="12" t="inlineStr">
        <is>
          <t>Technology</t>
        </is>
      </c>
      <c r="J38" s="12"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K38" s="12"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L38" s="12"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M38" s="12" t="inlineStr">
        <is>
          <r>
            <rPr>
              <rFont val="Calibri"/>
              <b val="1"/>
              <sz val="10"/>
            </rPr>
            <t>Common themes in manager-set KRAs:</t>
          </r>
          <r>
            <rPr>
              <rFont val="Calibri"/>
              <sz val="10"/>
            </rPr>
            <t xml:space="preserve"> improve · deliver · modules · committed · coverage · automated</t>
          </r>
        </is>
      </c>
      <c r="N38" s="12" t="inlineStr">
        <is>
          <r>
            <rPr>
              <rFont val="Calibri"/>
              <b val="1"/>
              <sz val="10"/>
            </rPr>
            <t>Skills:</t>
          </r>
          <r>
            <rPr>
              <rFont val="Calibri"/>
              <sz val="10"/>
            </rPr>
            <t xml:space="preserve"> NET MVC · Java
</t>
          </r>
          <r>
            <rPr>
              <rFont val="Calibri"/>
              <b val="1"/>
              <sz val="10"/>
            </rPr>
            <t>Tools:</t>
          </r>
          <r>
            <rPr>
              <rFont val="Calibri"/>
              <sz val="10"/>
            </rPr>
            <t xml:space="preserve"> Postman · Oracle database</t>
          </r>
        </is>
      </c>
      <c r="O38"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38" s="12" t="inlineStr">
        <is>
          <t>0–2 yrs
Graduate · or diploma with experience</t>
        </is>
      </c>
      <c r="Q38" s="12" t="inlineStr">
        <is>
          <t>Core 2 · Future-ready 2 · Functional 2 · Leadership —
★ Programming &amp; Tech-Stack Depth · System Design &amp; Architecture</t>
        </is>
      </c>
      <c r="R38" s="12" t="inlineStr">
        <is>
          <t>Build and operate software capabilities. Includes: Application code, data/ML engineering and product reliability. Excludes: Product investment decisions; internal IT service desk.</t>
        </is>
      </c>
      <c r="S38" s="12" t="inlineStr">
        <is>
          <r>
            <rPr>
              <rFont val="Calibri"/>
              <b val="1"/>
              <sz val="10"/>
            </rPr>
            <t>Comparable stage:</t>
          </r>
          <r>
            <rPr>
              <rFont val="Calibri"/>
              <sz val="10"/>
            </rPr>
            <t xml:space="preserve"> ENG01-1 · Associate Software Engineer
</t>
          </r>
          <r>
            <rPr>
              <rFont val="Calibri"/>
              <b val="1"/>
              <sz val="10"/>
            </rPr>
            <t>Complete defined parts under review:</t>
          </r>
          <r>
            <rPr>
              <rFont val="Calibri"/>
              <sz val="10"/>
            </rPr>
            <t xml:space="preserve"> deliver tested apis and services with clear error handling.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service design and implementation with tests, failure handling and measured production behaviour</t>
          </r>
        </is>
      </c>
      <c r="T38"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38" s="12" t="inlineStr">
        <is>
          <t>A3 · Senior Associate</t>
        </is>
      </c>
      <c r="V38" s="12" t="inlineStr">
        <is>
          <t>Framework + role-holders' themes · 3+ answered</t>
        </is>
      </c>
    </row>
    <row r="39" ht="249" customHeight="1">
      <c r="A39" s="90" t="inlineStr">
        <is>
          <t>RC-067</t>
        </is>
      </c>
      <c r="B39" s="12" t="inlineStr">
        <is>
          <t>Engineering &amp; Development</t>
        </is>
      </c>
      <c r="C39" s="12" t="inlineStr">
        <is>
          <t>Backend Development</t>
        </is>
      </c>
      <c r="D39" s="16" t="inlineStr">
        <is>
          <t>A3</t>
        </is>
      </c>
      <c r="E39" s="17" t="inlineStr">
        <is>
          <t>Senior Associate</t>
        </is>
      </c>
      <c r="F39" s="12" t="inlineStr">
        <is>
          <t>IC</t>
        </is>
      </c>
      <c r="G39" s="12" t="inlineStr">
        <is>
          <t>Senior Software Engineer · Technical Specialist</t>
        </is>
      </c>
      <c r="H39" s="12" t="inlineStr">
        <is>
          <t>Aaqib Ahmad, Abhishek Kadam, Ajay Chauhan, Amiz Azad, Arun Kumar, Balram Mahato, Chetan Yerpude, Gaurav Ghare, Govind Chidrawar, Harshal Chaudhari, Harshal Wadode, Hemalatha Visamsetti, Khelendra Pratap Singh, Kunal Sanjay Prasad, Mukesh Babulal Suthar, Nilesh Mohite, Pankaj Sharma, Pranay Usatkar, Priyadarshini Naidu, Ritesh Gadekar, Sadhna Sahu, Sagar Soni, Sahil Chavan, Saikiran Rowlo, Sandeep Mehta, Saurabh Jaykumar Wanjari, Shubham Mhadgut, Shubham Shrikhande, Shubhangi Vaidya, Siddharth Dhone, Sonal Bagul, Sourav Moharana, Viranchi Suresh Bhure</t>
        </is>
      </c>
      <c r="I39" s="12" t="inlineStr">
        <is>
          <t>Technology</t>
        </is>
      </c>
      <c r="J39" s="12"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K39" s="12"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L39" s="12"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M39" s="12" t="inlineStr">
        <is>
          <r>
            <rPr>
              <rFont val="Calibri"/>
              <b val="1"/>
              <sz val="10"/>
            </rPr>
            <t>Common themes in manager-set KRAs:</t>
          </r>
          <r>
            <rPr>
              <rFont val="Calibri"/>
              <sz val="10"/>
            </rPr>
            <t xml:space="preserve"> year · coverage · code · quality · deliver · assigned</t>
          </r>
        </is>
      </c>
      <c r="N39" s="12" t="inlineStr">
        <is>
          <r>
            <rPr>
              <rFont val="Calibri"/>
              <b val="1"/>
              <sz val="10"/>
            </rPr>
            <t>Skills: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t>
          </r>
        </is>
      </c>
      <c r="O39"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9" s="12" t="inlineStr">
        <is>
          <t>2–4 yrs
Graduate; relevant certification preferred</t>
        </is>
      </c>
      <c r="Q39" s="12" t="inlineStr">
        <is>
          <t>Core 2 · Future-ready 2 · Functional 3 · Leadership —
★ Programming &amp; Tech-Stack Depth · System Design &amp; Architecture</t>
        </is>
      </c>
      <c r="R39" s="12" t="inlineStr">
        <is>
          <t>Build and operate software capabilities. Includes: Application code, data/ML engineering and product reliability. Excludes: Product investment decisions; internal IT service desk.</t>
        </is>
      </c>
      <c r="S39" s="12" t="inlineStr">
        <is>
          <r>
            <rPr>
              <rFont val="Calibri"/>
              <b val="1"/>
              <sz val="10"/>
            </rPr>
            <t>Comparable stage:</t>
          </r>
          <r>
            <rPr>
              <rFont val="Calibri"/>
              <sz val="10"/>
            </rPr>
            <t xml:space="preserve"> ENG01-2 · Software Engineer
Deliver tested APIs and services with clear error handling.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service design and implementation with tests, failure handling and measured production behaviour</t>
          </r>
        </is>
      </c>
      <c r="T39"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39" s="12" t="inlineStr">
        <is>
          <t>B1 · Specialist</t>
        </is>
      </c>
      <c r="V39" s="12" t="inlineStr">
        <is>
          <t>Framework + role-holders' themes · 3+ answered</t>
        </is>
      </c>
    </row>
    <row r="40" ht="119" customHeight="1">
      <c r="A40" s="90" t="inlineStr">
        <is>
          <t>RC-068</t>
        </is>
      </c>
      <c r="B40" s="12" t="inlineStr">
        <is>
          <t>Engineering &amp; Development</t>
        </is>
      </c>
      <c r="C40" s="12" t="inlineStr">
        <is>
          <t>Backend Development</t>
        </is>
      </c>
      <c r="D40" s="20" t="inlineStr">
        <is>
          <t>B1</t>
        </is>
      </c>
      <c r="E40" s="21" t="inlineStr">
        <is>
          <t>Specialist</t>
        </is>
      </c>
      <c r="F40" s="12" t="inlineStr">
        <is>
          <t>IC</t>
        </is>
      </c>
      <c r="G40" s="12" t="inlineStr">
        <is>
          <t>Technical Specialist – POD Lead · Technical Specialist · Senior Technical Specialist – POD Lead</t>
        </is>
      </c>
      <c r="H40" s="12" t="inlineStr">
        <is>
          <t>Bhavana Thakare, Manish Chouhan, Pradnya Mhatre, Pragati Raskar, Sarvesh Yadav, Vivek Shinde</t>
        </is>
      </c>
      <c r="I40" s="12" t="inlineStr">
        <is>
          <t>Technology</t>
        </is>
      </c>
      <c r="J40" s="12" t="inlineStr">
        <is>
          <r>
            <rPr>
              <rFont val="Calibri"/>
              <sz val="10"/>
            </rPr>
            <t xml:space="preserve">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t>
          </r>
        </is>
      </c>
      <c r="K40" s="12" t="inlineStr">
        <is>
          <r>
            <rPr>
              <rFont val="Calibri"/>
              <sz val="10"/>
            </rPr>
            <t xml:space="preserve">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t>
          </r>
        </is>
      </c>
      <c r="L40" s="12" t="inlineStr">
        <is>
          <r>
            <rPr>
              <rFont val="Calibri"/>
              <sz val="10"/>
            </rPr>
            <t xml:space="preserve">Technical / QC / client calls for the domain
</t>
          </r>
          <r>
            <rPr>
              <rFont val="Calibri"/>
              <b val="1"/>
              <sz val="10"/>
            </rPr>
            <t>Common themes in role-holders' answers:</t>
          </r>
          <r>
            <rPr>
              <rFont val="Calibri"/>
              <sz val="10"/>
            </rPr>
            <t xml:space="preserve"> technical · approach · decisions · process · issue · code</t>
          </r>
        </is>
      </c>
      <c r="M40" s="12" t="inlineStr">
        <is>
          <r>
            <rPr>
              <rFont val="Calibri"/>
              <b val="1"/>
              <sz val="10"/>
            </rPr>
            <t>Common themes in manager-set KRAs:</t>
          </r>
          <r>
            <rPr>
              <rFont val="Calibri"/>
              <sz val="10"/>
            </rPr>
            <t xml:space="preserve"> reduce · production · time · quarterly · incidents resolved · stability critical</t>
          </r>
        </is>
      </c>
      <c r="N40" s="12" t="inlineStr">
        <is>
          <r>
            <rPr>
              <rFont val="Calibri"/>
              <b val="1"/>
              <sz val="10"/>
            </rPr>
            <t>Skills: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t>
          </r>
        </is>
      </c>
      <c r="O4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40" s="12" t="inlineStr">
        <is>
          <t>4–7 yrs
Graduate + relevant qualification or certification preferred</t>
        </is>
      </c>
      <c r="Q40" s="12" t="inlineStr">
        <is>
          <t>Core 3 · Future-ready 3 · Functional 3 · Leadership 1
★ Programming &amp; Tech-Stack Depth · System Design &amp; Architecture</t>
        </is>
      </c>
      <c r="R40" s="12" t="inlineStr">
        <is>
          <t>Build and operate software capabilities. Includes: Application code, data/ML engineering and product reliability. Excludes: Product investment decisions; internal IT service desk.</t>
        </is>
      </c>
      <c r="S40" s="12" t="inlineStr">
        <is>
          <r>
            <rPr>
              <rFont val="Calibri"/>
              <b val="1"/>
              <sz val="10"/>
            </rPr>
            <t>Comparable stage:</t>
          </r>
          <r>
            <rPr>
              <rFont val="Calibri"/>
              <sz val="10"/>
            </rPr>
            <t xml:space="preserve"> ENG01-3 · Senior Software Engineer
Own a service design, security review and production failure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service design and implementation with tests, failure handling and measured production behaviour</t>
          </r>
        </is>
      </c>
      <c r="T40"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40" s="12" t="inlineStr">
        <is>
          <t>B2 · Senior Specialist</t>
        </is>
      </c>
      <c r="V40" s="12" t="inlineStr">
        <is>
          <t>Framework + role-holders' themes · 3+ answered</t>
        </is>
      </c>
    </row>
    <row r="41" ht="119" customHeight="1">
      <c r="A41" s="90" t="inlineStr">
        <is>
          <t>RC-069</t>
        </is>
      </c>
      <c r="B41" s="12" t="inlineStr">
        <is>
          <t>Engineering &amp; Development</t>
        </is>
      </c>
      <c r="C41" s="12" t="inlineStr">
        <is>
          <t>Backend Development</t>
        </is>
      </c>
      <c r="D41" s="20" t="inlineStr">
        <is>
          <t>B2</t>
        </is>
      </c>
      <c r="E41" s="21" t="inlineStr">
        <is>
          <t>Senior Specialist</t>
        </is>
      </c>
      <c r="F41" s="12" t="inlineStr">
        <is>
          <t>IC</t>
        </is>
      </c>
      <c r="G41" s="12" t="inlineStr">
        <is>
          <t>Senior Technical Specialist – POD Lead · Lead Software Engineer · Lead Software Engineer – POD Lead · Senior Technical Specialist</t>
        </is>
      </c>
      <c r="H41" s="12" t="inlineStr">
        <is>
          <t>Arpit Pagaria, Deepa Karmarkar, Himanshu Pawar, Monisha Ubriani, Prasad Gavhane</t>
        </is>
      </c>
      <c r="I41" s="12" t="inlineStr">
        <is>
          <t>Technology</t>
        </is>
      </c>
      <c r="J41" s="12"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K41" s="12"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L41" s="12"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M41" s="12" t="inlineStr">
        <is>
          <r>
            <rPr>
              <rFont val="Calibri"/>
              <b val="1"/>
              <sz val="10"/>
            </rPr>
            <t>Common themes in manager-set KRAs:</t>
          </r>
          <r>
            <rPr>
              <rFont val="Calibri"/>
              <sz val="10"/>
            </rPr>
            <t xml:space="preserve"> modules · coverage · complete · components · committed · sprint</t>
          </r>
        </is>
      </c>
      <c r="N41" s="12" t="inlineStr">
        <is>
          <r>
            <rPr>
              <rFont val="Calibri"/>
              <b val="1"/>
              <sz val="10"/>
            </rPr>
            <t>Skills:</t>
          </r>
          <r>
            <rPr>
              <rFont val="Calibri"/>
              <sz val="10"/>
            </rPr>
            <t xml:space="preserve"> NET MVC · Java</t>
          </r>
        </is>
      </c>
      <c r="O4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41" s="12" t="inlineStr">
        <is>
          <t>6–9 yrs
Graduate or postgraduate; professional qualification preferred</t>
        </is>
      </c>
      <c r="Q41" s="12" t="inlineStr">
        <is>
          <t>Core 3 · Future-ready 3 · Functional 4 · Leadership 2
★ Programming &amp; Tech-Stack Depth · System Design &amp; Architecture</t>
        </is>
      </c>
      <c r="R41" s="12" t="inlineStr">
        <is>
          <t>Build and operate software capabilities. Includes: Application code, data/ML engineering and product reliability. Excludes: Product investment decisions; internal IT service desk.</t>
        </is>
      </c>
      <c r="S41" s="12" t="inlineStr">
        <is>
          <r>
            <rPr>
              <rFont val="Calibri"/>
              <b val="1"/>
              <sz val="10"/>
            </rPr>
            <t>Comparable stage:</t>
          </r>
          <r>
            <rPr>
              <rFont val="Calibri"/>
              <sz val="10"/>
            </rPr>
            <t xml:space="preserve"> ENG01-3 · Senior Software Engineer
Own a service design, security review and production failure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service design and implementation with tests, failure handling and measured production behaviour</t>
          </r>
        </is>
      </c>
      <c r="T41"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41" s="12" t="inlineStr">
        <is>
          <t>B3 · Lead Specialist</t>
        </is>
      </c>
      <c r="V41" s="12" t="inlineStr">
        <is>
          <t>Framework + role-holders' themes · 3+ answered</t>
        </is>
      </c>
    </row>
    <row r="42" ht="106" customHeight="1">
      <c r="A42" s="90" t="inlineStr">
        <is>
          <t>RC-070</t>
        </is>
      </c>
      <c r="B42" s="12" t="inlineStr">
        <is>
          <t>Engineering &amp; Development</t>
        </is>
      </c>
      <c r="C42" s="12" t="inlineStr">
        <is>
          <t>Backend Development</t>
        </is>
      </c>
      <c r="D42" s="20" t="inlineStr">
        <is>
          <t>B2</t>
        </is>
      </c>
      <c r="E42" s="21" t="inlineStr">
        <is>
          <t>Manager</t>
        </is>
      </c>
      <c r="F42" s="12" t="inlineStr">
        <is>
          <t>Manager</t>
        </is>
      </c>
      <c r="G42" s="12" t="inlineStr">
        <is>
          <t>Engineering Manager</t>
        </is>
      </c>
      <c r="H42" s="12" t="inlineStr">
        <is>
          <t>Amruta Kadam</t>
        </is>
      </c>
      <c r="I42" s="12" t="inlineStr">
        <is>
          <t>Technology</t>
        </is>
      </c>
      <c r="J42" s="12"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sub-family holders, all levels' answers:</t>
          </r>
          <r>
            <rPr>
              <rFont val="Calibri"/>
              <sz val="10"/>
            </rPr>
            <t xml:space="preserve"> software · solutions · business · reliable · develop · technical</t>
          </r>
        </is>
      </c>
      <c r="K42" s="12"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sub-family holders, all levels' answers:</t>
          </r>
          <r>
            <rPr>
              <rFont val="Calibri"/>
              <sz val="10"/>
            </rPr>
            <t xml:space="preserve"> development · code · quality · technical · support · software</t>
          </r>
        </is>
      </c>
      <c r="L42" s="12" t="inlineStr">
        <is>
          <r>
            <rPr>
              <rFont val="Calibri"/>
              <sz val="10"/>
            </rPr>
            <t xml:space="preserve">Allocates people and sets team priorities
</t>
          </r>
          <r>
            <rPr>
              <rFont val="Calibri"/>
              <b val="1"/>
              <sz val="10"/>
            </rPr>
            <t>Common themes in sub-family holders, all levels' answers:</t>
          </r>
          <r>
            <rPr>
              <rFont val="Calibri"/>
              <sz val="10"/>
            </rPr>
            <t xml:space="preserve"> technical · code · approach · implementation · decisions · issues</t>
          </r>
        </is>
      </c>
      <c r="M42" s="12" t="inlineStr">
        <is>
          <t>—</t>
        </is>
      </c>
      <c r="N42" s="12" t="inlineStr">
        <is>
          <r>
            <rPr>
              <rFont val="Calibri"/>
              <b val="1"/>
              <sz val="10"/>
            </rPr>
            <t>Skills:</t>
          </r>
          <r>
            <rPr>
              <rFont val="Calibri"/>
              <sz val="10"/>
            </rPr>
            <t xml:space="preserve"> Java · NET MVC · Debugging · AI · SQL · Technical knowledge · Problem Solving · Python
</t>
          </r>
          <r>
            <rPr>
              <rFont val="Calibri"/>
              <b val="1"/>
              <sz val="10"/>
            </rPr>
            <t>Tools:</t>
          </r>
          <r>
            <rPr>
              <rFont val="Calibri"/>
              <sz val="10"/>
            </rPr>
            <t xml:space="preserve"> VS code · Visual studio · Claude · Git · Postman · Oracle Database · Copilot · Excel</t>
          </r>
        </is>
      </c>
      <c r="O42"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42" s="12" t="inlineStr">
        <is>
          <t>6–9 yrs
Graduate or postgraduate; professional qualification preferred</t>
        </is>
      </c>
      <c r="Q42" s="12" t="inlineStr">
        <is>
          <t>Core 3 · Future-ready 3 · Functional 4 · Leadership 3
★ Programming &amp; Tech-Stack Depth · System Design &amp; Architecture</t>
        </is>
      </c>
      <c r="R42" s="12" t="inlineStr">
        <is>
          <t>Build and operate software capabilities. Includes: Application code, data/ML engineering and product reliability. Excludes: Product investment decisions; internal IT service desk.</t>
        </is>
      </c>
      <c r="S42" s="12" t="inlineStr">
        <is>
          <r>
            <rPr>
              <rFont val="Calibri"/>
              <b val="1"/>
              <sz val="10"/>
            </rPr>
            <t>Comparable stage:</t>
          </r>
          <r>
            <rPr>
              <rFont val="Calibri"/>
              <sz val="10"/>
            </rPr>
            <t xml:space="preserve"> LD01-1 ·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42"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42" s="12" t="inlineStr">
        <is>
          <t>B3 · Lead Specialist</t>
        </is>
      </c>
      <c r="V42" s="12" t="inlineStr">
        <is>
          <t>Framework + sub-family themes · 3+ answered</t>
        </is>
      </c>
    </row>
    <row r="43" ht="119" customHeight="1">
      <c r="A43" s="90" t="inlineStr">
        <is>
          <t>RC-071</t>
        </is>
      </c>
      <c r="B43" s="12" t="inlineStr">
        <is>
          <t>Engineering &amp; Development</t>
        </is>
      </c>
      <c r="C43" s="12" t="inlineStr">
        <is>
          <t>Backend Development</t>
        </is>
      </c>
      <c r="D43" s="20" t="inlineStr">
        <is>
          <t>B3</t>
        </is>
      </c>
      <c r="E43" s="21" t="inlineStr">
        <is>
          <t>Lead Specialist</t>
        </is>
      </c>
      <c r="F43" s="12" t="inlineStr">
        <is>
          <t>IC</t>
        </is>
      </c>
      <c r="G43" s="12" t="inlineStr">
        <is>
          <t>Lead Software Engineer · Lead Software Engineer – POD Lead</t>
        </is>
      </c>
      <c r="H43" s="12" t="inlineStr">
        <is>
          <t>Prathmesh Ramdas Sutar, Ravikant Karmoju</t>
        </is>
      </c>
      <c r="I43" s="12" t="inlineStr">
        <is>
          <t>Technology</t>
        </is>
      </c>
      <c r="J43" s="12" t="inlineStr">
        <is>
          <t>Builds back-end services, APIs, processing/validation logic and DB code; fixes defects and delivers change requests. At B3: a practice, or several teams through team leads.</t>
        </is>
      </c>
      <c r="K43" s="12" t="inlineStr">
        <is>
          <t>Builds back-end services, APIs, processing/validation logic and DB code; fixes defects and delivers change requests; Sets standards for a practice; cross-team problems; Several teams or a practice</t>
        </is>
      </c>
      <c r="L43" s="12" t="inlineStr">
        <is>
          <t>Commercial / strategic calls for the unit</t>
        </is>
      </c>
      <c r="M43" s="12" t="inlineStr">
        <is>
          <r>
            <rPr>
              <rFont val="Calibri"/>
              <b val="1"/>
              <sz val="10"/>
            </rPr>
            <t>Common themes in manager-set KRAs:</t>
          </r>
          <r>
            <rPr>
              <rFont val="Calibri"/>
              <sz val="10"/>
            </rPr>
            <t xml:space="preserve"> technical · defect · quality · agreed · deliver · reviews</t>
          </r>
        </is>
      </c>
      <c r="N43" s="12" t="inlineStr">
        <is>
          <r>
            <rPr>
              <rFont val="Calibri"/>
              <b val="1"/>
              <sz val="10"/>
            </rPr>
            <t>Skills:</t>
          </r>
          <r>
            <rPr>
              <rFont val="Calibri"/>
              <sz val="10"/>
            </rPr>
            <t xml:space="preserve"> Java · NET MVC</t>
          </r>
        </is>
      </c>
      <c r="O43"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43" s="12" t="inlineStr">
        <is>
          <t>8–12 yrs
Postgraduate or professional qualification preferred</t>
        </is>
      </c>
      <c r="Q43" s="12" t="inlineStr">
        <is>
          <t>Core 4 · Future-ready 3 · Functional 4 · Leadership 3
★ Programming &amp; Tech-Stack Depth · System Design &amp; Architecture</t>
        </is>
      </c>
      <c r="R43" s="12" t="inlineStr">
        <is>
          <t>Build and operate software capabilities. Includes: Application code, data/ML engineering and product reliability. Excludes: Product investment decisions; internal IT service desk.</t>
        </is>
      </c>
      <c r="S43" s="12" t="inlineStr">
        <is>
          <r>
            <rPr>
              <rFont val="Calibri"/>
              <b val="1"/>
              <sz val="10"/>
            </rPr>
            <t>Comparable stage:</t>
          </r>
          <r>
            <rPr>
              <rFont val="Calibri"/>
              <sz val="10"/>
            </rPr>
            <t xml:space="preserve"> ENG01-4 · Staff Software Engineer
Resolve architecture trade-offs across services and establish adopted standards.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service design and implementation with tests, failure handling and measured production behaviour</t>
          </r>
        </is>
      </c>
      <c r="T43" s="12" t="inlineStr">
        <is>
          <r>
            <rPr>
              <rFont val="Calibri"/>
              <sz val="10"/>
            </rPr>
            <t xml:space="preserve">Radford / Mercer P5 / M4 · SFIA 5 Ensure, advise
</t>
          </r>
          <r>
            <rPr>
              <rFont val="Calibri"/>
              <b val="1"/>
              <sz val="10"/>
            </rPr>
            <t>Workiva:</t>
          </r>
          <r>
            <rPr>
              <rFont val="Calibri"/>
              <sz val="10"/>
            </rPr>
            <t xml:space="preserve"> Staff SE · Broadridge India: Senior Lead SE · Nasdaq / AxiomSL: Lead SE · Salesforce: LMTS</t>
          </r>
        </is>
      </c>
      <c r="U43" s="12" t="inlineStr">
        <is>
          <t>C1 · Principal · or B+ · Player-Coach transition step if leading people hands-on</t>
        </is>
      </c>
      <c r="V43" s="12" t="inlineStr">
        <is>
          <t>Framework only · fewer than 3 answered</t>
        </is>
      </c>
    </row>
    <row r="44" ht="106" customHeight="1">
      <c r="A44" s="90" t="inlineStr">
        <is>
          <t>RC-073</t>
        </is>
      </c>
      <c r="B44" s="12" t="inlineStr">
        <is>
          <t>Engineering &amp; Development</t>
        </is>
      </c>
      <c r="C44" s="12" t="inlineStr">
        <is>
          <t>Backend Development</t>
        </is>
      </c>
      <c r="D44" s="36" t="inlineStr">
        <is>
          <t>X1</t>
        </is>
      </c>
      <c r="E44" s="37" t="inlineStr">
        <is>
          <t>Associate Consultant</t>
        </is>
      </c>
      <c r="F44" s="12" t="inlineStr">
        <is>
          <t>IC</t>
        </is>
      </c>
      <c r="G44" s="12" t="inlineStr">
        <is>
          <t>Associate Consultant – Software Development</t>
        </is>
      </c>
      <c r="H44" s="12" t="inlineStr">
        <is>
          <t>Aloke Chatterjee, Bhumika Viroja, Dhruv Patel, Dinesh Choudhary, Falguni, Hardikraja, Jay Kalariya, Nilimesh Baruah, Peshal Jha, Poonam Rajput, Shifa Salheen, Snnehasis Debyans, Vivek Kumar Singh</t>
        </is>
      </c>
      <c r="I44" s="12" t="inlineStr">
        <is>
          <t>Technology</t>
        </is>
      </c>
      <c r="J44" s="12" t="inlineStr">
        <is>
          <r>
            <rPr>
              <rFont val="Calibri"/>
              <sz val="10"/>
            </rPr>
            <t xml:space="preserve">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t>
          </r>
        </is>
      </c>
      <c r="K44" s="12"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t>
          </r>
        </is>
      </c>
      <c r="L44" s="12" t="inlineStr">
        <is>
          <r>
            <rPr>
              <rFont val="Calibri"/>
              <sz val="10"/>
            </rPr>
            <t xml:space="preserve">Within the statement of work
</t>
          </r>
          <r>
            <rPr>
              <rFont val="Calibri"/>
              <b val="1"/>
              <sz val="10"/>
            </rPr>
            <t>Common themes in sub-family holders, all levels' answers:</t>
          </r>
          <r>
            <rPr>
              <rFont val="Calibri"/>
              <sz val="10"/>
            </rPr>
            <t xml:space="preserve"> technical · code · approach · implementation · decisions · issues</t>
          </r>
        </is>
      </c>
      <c r="M44" s="12" t="inlineStr">
        <is>
          <t>—</t>
        </is>
      </c>
      <c r="N44" s="12" t="inlineStr">
        <is>
          <r>
            <rPr>
              <rFont val="Calibri"/>
              <b val="1"/>
              <sz val="10"/>
            </rPr>
            <t>Skills:</t>
          </r>
          <r>
            <rPr>
              <rFont val="Calibri"/>
              <sz val="10"/>
            </rPr>
            <t xml:space="preserve"> Java · NET MVC · Debugging · AI · SQL · Technical knowledge · Problem Solving · Python
</t>
          </r>
          <r>
            <rPr>
              <rFont val="Calibri"/>
              <b val="1"/>
              <sz val="10"/>
            </rPr>
            <t>Tools:</t>
          </r>
          <r>
            <rPr>
              <rFont val="Calibri"/>
              <sz val="10"/>
            </rPr>
            <t xml:space="preserve"> VS code · Visual studio · Claude · Git · Postman · Oracle Database · Copilot · Excel</t>
          </r>
        </is>
      </c>
      <c r="O44" s="12" t="inlineStr">
        <is>
          <r>
            <rPr>
              <rFont val="Calibri"/>
              <b val="1"/>
              <sz val="10"/>
            </rPr>
            <t>Owns:</t>
          </r>
          <r>
            <rPr>
              <rFont val="Calibri"/>
              <sz val="10"/>
            </rPr>
            <t xml:space="preserve"> Defined deliverables under a statement of work · ≈ A2–A3</t>
          </r>
        </is>
      </c>
      <c r="P44" s="12" t="inlineStr">
        <is>
          <t>0–5 yrs
As for equivalent role</t>
        </is>
      </c>
      <c r="Q44" s="12" t="inlineStr">
        <is>
          <t>Per statement of work
★ Programming &amp; Tech-Stack Depth · System Design &amp; Architecture</t>
        </is>
      </c>
      <c r="R44" s="12" t="inlineStr">
        <is>
          <t>Build and operate software capabilities. Includes: Application code, data/ML engineering and product reliability. Excludes: Product investment decisions; internal IT service desk.</t>
        </is>
      </c>
      <c r="S44" s="12" t="inlineStr">
        <is>
          <t>—</t>
        </is>
      </c>
      <c r="T44" s="12" t="inlineStr">
        <is>
          <t>Radford / Mercer Contractor · SFIA —
—</t>
        </is>
      </c>
      <c r="U44" s="12" t="inlineStr">
        <is>
          <t>—</t>
        </is>
      </c>
      <c r="V44" s="12" t="inlineStr">
        <is>
          <t>Framework + sub-family themes · 3+ answered</t>
        </is>
      </c>
    </row>
    <row r="45" ht="93" customHeight="1">
      <c r="A45" s="90" t="inlineStr">
        <is>
          <t>RC-074</t>
        </is>
      </c>
      <c r="B45" s="12" t="inlineStr">
        <is>
          <t>Engineering &amp; Development</t>
        </is>
      </c>
      <c r="C45" s="12" t="inlineStr">
        <is>
          <t>Data Engineering &amp; Database Development</t>
        </is>
      </c>
      <c r="D45" s="16" t="inlineStr">
        <is>
          <t>A3</t>
        </is>
      </c>
      <c r="E45" s="17" t="inlineStr">
        <is>
          <t>Senior Associate</t>
        </is>
      </c>
      <c r="F45" s="12" t="inlineStr">
        <is>
          <t>IC</t>
        </is>
      </c>
      <c r="G45" s="12" t="inlineStr">
        <is>
          <t>Senior Database Engineer · Database Specialist</t>
        </is>
      </c>
      <c r="H45" s="12" t="inlineStr">
        <is>
          <t>Akbar Basha, Chaitanya Vadagabhaktula, Yash Raj</t>
        </is>
      </c>
      <c r="I45" s="12" t="inlineStr">
        <is>
          <t>Technology</t>
        </is>
      </c>
      <c r="J45" s="12" t="inlineStr">
        <is>
          <r>
            <rPr>
              <rFont val="Calibri"/>
              <sz val="10"/>
            </rPr>
            <t xml:space="preserve">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t>
          </r>
        </is>
      </c>
      <c r="K45" s="12" t="inlineStr">
        <is>
          <r>
            <rPr>
              <rFont val="Calibri"/>
              <sz val="10"/>
            </rPr>
            <t xml:space="preserve">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t>
          </r>
        </is>
      </c>
      <c r="L45" s="12" t="inlineStr">
        <is>
          <r>
            <rPr>
              <rFont val="Calibri"/>
              <sz val="10"/>
            </rPr>
            <t xml:space="preserve">Technical / QC / client calls on own work
</t>
          </r>
          <r>
            <rPr>
              <rFont val="Calibri"/>
              <b val="1"/>
              <sz val="10"/>
            </rPr>
            <t>Common themes in role-holders' answers:</t>
          </r>
          <r>
            <rPr>
              <rFont val="Calibri"/>
              <sz val="10"/>
            </rPr>
            <t xml:space="preserve"> issues · troubleshoot · independently · client · implement · technical</t>
          </r>
        </is>
      </c>
      <c r="M45" s="12" t="inlineStr">
        <is>
          <r>
            <rPr>
              <rFont val="Calibri"/>
              <b val="1"/>
              <sz val="10"/>
            </rPr>
            <t>Common themes in manager-set KRAs:</t>
          </r>
          <r>
            <rPr>
              <rFont val="Calibri"/>
              <sz val="10"/>
            </rPr>
            <t xml:space="preserve"> quality · deliver · project · timely · development · code</t>
          </r>
        </is>
      </c>
      <c r="N45" s="12" t="inlineStr">
        <is>
          <r>
            <rPr>
              <rFont val="Calibri"/>
              <b val="1"/>
              <sz val="10"/>
            </rPr>
            <t>Skills:</t>
          </r>
          <r>
            <rPr>
              <rFont val="Calibri"/>
              <sz val="10"/>
            </rPr>
            <t xml:space="preserve"> Sql · prompt engineering · debugging · ETL · Talend</t>
          </r>
        </is>
      </c>
      <c r="O4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5" s="12" t="inlineStr">
        <is>
          <t>2–4 yrs
Graduate; relevant certification preferred</t>
        </is>
      </c>
      <c r="Q45" s="12" t="inlineStr">
        <is>
          <t>Core 2 · Future-ready 2 · Functional 3 · Leadership —
★ Programming &amp; Tech-Stack Depth · System Design &amp; Architecture</t>
        </is>
      </c>
      <c r="R45" s="12" t="inlineStr">
        <is>
          <t>Build and operate software capabilities. Includes: Application code, data/ML engineering and product reliability. Excludes: Product investment decisions; internal IT service desk.</t>
        </is>
      </c>
      <c r="S45" s="12" t="inlineStr">
        <is>
          <r>
            <rPr>
              <rFont val="Calibri"/>
              <b val="1"/>
              <sz val="10"/>
            </rPr>
            <t>Comparable stage:</t>
          </r>
          <r>
            <rPr>
              <rFont val="Calibri"/>
              <sz val="10"/>
            </rPr>
            <t xml:space="preserve"> ENG05-2 · Data Engineer
Build validated data pipelines with documented schemas.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idempotent pipeline with lineage, reconciliation and recovery tests</t>
          </r>
        </is>
      </c>
      <c r="T45"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45" s="12" t="inlineStr">
        <is>
          <t>B1 · Specialist</t>
        </is>
      </c>
      <c r="V45" s="12" t="inlineStr">
        <is>
          <t>Framework + role-holders' themes · 3+ answered</t>
        </is>
      </c>
    </row>
    <row r="46" ht="106" customHeight="1">
      <c r="A46" s="90" t="inlineStr">
        <is>
          <t>RC-076</t>
        </is>
      </c>
      <c r="B46" s="12" t="inlineStr">
        <is>
          <t>Engineering &amp; Development</t>
        </is>
      </c>
      <c r="C46" s="12" t="inlineStr">
        <is>
          <t>DevOps &amp; Release Engineering</t>
        </is>
      </c>
      <c r="D46" s="16" t="inlineStr">
        <is>
          <t>A3</t>
        </is>
      </c>
      <c r="E46" s="17" t="inlineStr">
        <is>
          <t>Senior Associate</t>
        </is>
      </c>
      <c r="F46" s="12" t="inlineStr">
        <is>
          <t>IC</t>
        </is>
      </c>
      <c r="G46" s="12" t="inlineStr">
        <is>
          <t>Senior DevOps Engineer</t>
        </is>
      </c>
      <c r="H46" s="12" t="inlineStr">
        <is>
          <t>Akhilesh Gore</t>
        </is>
      </c>
      <c r="I46" s="12" t="inlineStr">
        <is>
          <t>Technology</t>
        </is>
      </c>
      <c r="J46" s="12" t="inlineStr">
        <is>
          <r>
            <rPr>
              <rFont val="Calibri"/>
              <sz val="10"/>
            </rPr>
            <t xml:space="preserve">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t>
          </r>
        </is>
      </c>
      <c r="K46" s="12" t="inlineStr">
        <is>
          <t>Builds and runs CI/CD pipelines, environments, deployments and release automation; Varied and non-standard work; handles exceptions; A module / process, or work with client or regulatory consequences</t>
        </is>
      </c>
      <c r="L46" s="12" t="inlineStr">
        <is>
          <t>Technical / QC / client calls on own work</t>
        </is>
      </c>
      <c r="M46" s="12" t="inlineStr">
        <is>
          <t>—</t>
        </is>
      </c>
      <c r="N46" s="12" t="inlineStr">
        <is>
          <t>—</t>
        </is>
      </c>
      <c r="O4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6" s="12" t="inlineStr">
        <is>
          <t>2–4 yrs
Graduate; relevant certification preferred</t>
        </is>
      </c>
      <c r="Q46" s="12" t="inlineStr">
        <is>
          <t>Core 2 · Future-ready 2 · Functional 3 · Leadership —
★ Programming &amp; Tech-Stack Depth · System Design &amp; Architecture</t>
        </is>
      </c>
      <c r="R46" s="12" t="inlineStr">
        <is>
          <t>Build and operate software capabilities. Includes: Application code, data/ML engineering and product reliability. Excludes: Product investment decisions; internal IT service desk.</t>
        </is>
      </c>
      <c r="S46" s="12" t="inlineStr">
        <is>
          <r>
            <rPr>
              <rFont val="Calibri"/>
              <b val="1"/>
              <sz val="10"/>
            </rPr>
            <t>Comparable stage:</t>
          </r>
          <r>
            <rPr>
              <rFont val="Calibri"/>
              <sz val="10"/>
            </rPr>
            <t xml:space="preserve"> ENG07-2 · DevOps Engineer / Release Engineer
Run repeatable releases with tested rollback procedures.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reproducible release pipeline with security gates, rollback and reliability measures</t>
          </r>
        </is>
      </c>
      <c r="T46"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46" s="12" t="inlineStr">
        <is>
          <t>B1 · Specialist</t>
        </is>
      </c>
      <c r="V46" s="12" t="inlineStr">
        <is>
          <t>Framework + sub-family themes · 3+ answered</t>
        </is>
      </c>
    </row>
    <row r="47" ht="106" customHeight="1">
      <c r="A47" s="90" t="inlineStr">
        <is>
          <t>RC-079</t>
        </is>
      </c>
      <c r="B47" s="12" t="inlineStr">
        <is>
          <t>Engineering &amp; Development</t>
        </is>
      </c>
      <c r="C47" s="12" t="inlineStr">
        <is>
          <t>Front-End / UI Development</t>
        </is>
      </c>
      <c r="D47" s="16" t="inlineStr">
        <is>
          <t>A1</t>
        </is>
      </c>
      <c r="E47" s="17" t="inlineStr">
        <is>
          <t>Intern / Trainee</t>
        </is>
      </c>
      <c r="F47" s="12" t="inlineStr">
        <is>
          <t>IC</t>
        </is>
      </c>
      <c r="G47" s="12" t="inlineStr">
        <is>
          <t>Intern – Front-End / UI Development</t>
        </is>
      </c>
      <c r="H47" s="12" t="inlineStr">
        <is>
          <t>Pradnya Shindhe</t>
        </is>
      </c>
      <c r="I47" s="12" t="inlineStr">
        <is>
          <t>Technology</t>
        </is>
      </c>
      <c r="J47" s="12" t="inlineStr">
        <is>
          <r>
            <rPr>
              <rFont val="Calibri"/>
              <sz val="10"/>
            </rPr>
            <t xml:space="preserve">Builds user interfaces and reusable UI components. At A1: learning the role; all work reviewed.
</t>
          </r>
          <r>
            <rPr>
              <rFont val="Calibri"/>
              <b val="1"/>
              <sz val="10"/>
            </rPr>
            <t>Common themes in sub-family holders, all levels' answers:</t>
          </r>
          <r>
            <rPr>
              <rFont val="Calibri"/>
              <sz val="10"/>
            </rPr>
            <t xml:space="preserve"> core · purpose · business · improve · development · solutions</t>
          </r>
        </is>
      </c>
      <c r="K47" s="12" t="inlineStr">
        <is>
          <r>
            <rPr>
              <rFont val="Calibri"/>
              <sz val="10"/>
            </rPr>
            <t xml:space="preserve">Builds user interfaces and reusable UI components; Learning; follows worked examples; Learning tasks
</t>
          </r>
          <r>
            <rPr>
              <rFont val="Calibri"/>
              <b val="1"/>
              <sz val="10"/>
            </rPr>
            <t>Common themes in sub-family holders, all levels' answers:</t>
          </r>
          <r>
            <rPr>
              <rFont val="Calibri"/>
              <sz val="10"/>
            </rPr>
            <t xml:space="preserve"> ui · code · feature · development · design · testing</t>
          </r>
        </is>
      </c>
      <c r="L47" s="12" t="inlineStr">
        <is>
          <r>
            <rPr>
              <rFont val="Calibri"/>
              <sz val="10"/>
            </rPr>
            <t xml:space="preserve">Needs approval / close guidance
</t>
          </r>
          <r>
            <rPr>
              <rFont val="Calibri"/>
              <b val="1"/>
              <sz val="10"/>
            </rPr>
            <t>Common themes in sub-family holders, all levels' answers:</t>
          </r>
          <r>
            <rPr>
              <rFont val="Calibri"/>
              <sz val="10"/>
            </rPr>
            <t xml:space="preserve"> decide · code · ui · decisions · implement</t>
          </r>
        </is>
      </c>
      <c r="M47" s="12" t="inlineStr">
        <is>
          <t>—</t>
        </is>
      </c>
      <c r="N47" s="12" t="inlineStr">
        <is>
          <r>
            <rPr>
              <rFont val="Calibri"/>
              <b val="1"/>
              <sz val="10"/>
            </rPr>
            <t>Skills:</t>
          </r>
          <r>
            <rPr>
              <rFont val="Calibri"/>
              <sz val="10"/>
            </rPr>
            <t xml:space="preserve"> Angular · UI · React · Full stack development · Angular + Node.js
</t>
          </r>
          <r>
            <rPr>
              <rFont val="Calibri"/>
              <b val="1"/>
              <sz val="10"/>
            </rPr>
            <t>Tools:</t>
          </r>
          <r>
            <rPr>
              <rFont val="Calibri"/>
              <sz val="10"/>
            </rPr>
            <t xml:space="preserve"> Vs code · visual studio · VsCode</t>
          </r>
        </is>
      </c>
      <c r="O47"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47" s="12" t="inlineStr">
        <is>
          <t>0 yrs · fresher / intern
Pursuing or completed graduation / diploma</t>
        </is>
      </c>
      <c r="Q47" s="12" t="inlineStr">
        <is>
          <t>Core 1 · Future-ready 1 · Functional 1 · Leadership —
★ Programming &amp; Tech-Stack Depth · System Design &amp; Architecture</t>
        </is>
      </c>
      <c r="R47" s="12" t="inlineStr">
        <is>
          <t>Build and operate software capabilities. Includes: Application code, data/ML engineering and product reliability. Excludes: Product investment decisions; internal IT service desk.</t>
        </is>
      </c>
      <c r="S47" s="12" t="inlineStr">
        <is>
          <r>
            <rPr>
              <rFont val="Calibri"/>
              <b val="1"/>
              <sz val="10"/>
            </rPr>
            <t>Comparable stage:</t>
          </r>
          <r>
            <rPr>
              <rFont val="Calibri"/>
              <sz val="10"/>
            </rPr>
            <t xml:space="preserve"> ENG03-0 · Frontend Engineering Intern
</t>
          </r>
          <r>
            <rPr>
              <rFont val="Calibri"/>
              <b val="1"/>
              <sz val="10"/>
            </rPr>
            <t>Assist with a supervised work sample:</t>
          </r>
          <r>
            <rPr>
              <rFont val="Calibri"/>
              <sz val="10"/>
            </rPr>
            <t xml:space="preserve"> build accessible components and reliable browser interactions.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tested accessible interface and reusable components with measured performance</t>
          </r>
        </is>
      </c>
      <c r="T47" s="12" t="inlineStr">
        <is>
          <t>Radford / Mercer Entry / P1 · intern · SFIA 1 Follow
—</t>
        </is>
      </c>
      <c r="U47" s="12" t="inlineStr">
        <is>
          <t>A2 · Associate</t>
        </is>
      </c>
      <c r="V47" s="12" t="inlineStr">
        <is>
          <t>Framework + sub-family themes · 3+ answered</t>
        </is>
      </c>
    </row>
    <row r="48" ht="106" customHeight="1">
      <c r="A48" s="90" t="inlineStr">
        <is>
          <t>RC-080</t>
        </is>
      </c>
      <c r="B48" s="12" t="inlineStr">
        <is>
          <t>Engineering &amp; Development</t>
        </is>
      </c>
      <c r="C48" s="12" t="inlineStr">
        <is>
          <t>Front-End / UI Development</t>
        </is>
      </c>
      <c r="D48" s="16" t="inlineStr">
        <is>
          <t>A2</t>
        </is>
      </c>
      <c r="E48" s="17" t="inlineStr">
        <is>
          <t>Associate</t>
        </is>
      </c>
      <c r="F48" s="12" t="inlineStr">
        <is>
          <t>IC</t>
        </is>
      </c>
      <c r="G48" s="12" t="inlineStr">
        <is>
          <t>UI Developer</t>
        </is>
      </c>
      <c r="H48" s="12" t="inlineStr">
        <is>
          <t>Anurag Gupta, Chandani Gusain, Faisal Pathan, Lalita Dixit, Rajeev Gupta</t>
        </is>
      </c>
      <c r="I48" s="12" t="inlineStr">
        <is>
          <t>Technology</t>
        </is>
      </c>
      <c r="J48" s="12" t="inlineStr">
        <is>
          <r>
            <rPr>
              <rFont val="Calibri"/>
              <sz val="10"/>
            </rPr>
            <t xml:space="preserve">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t>
          </r>
        </is>
      </c>
      <c r="K48" s="12" t="inlineStr">
        <is>
          <r>
            <rPr>
              <rFont val="Calibri"/>
              <sz val="10"/>
            </rPr>
            <t xml:space="preserve">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t>
          </r>
        </is>
      </c>
      <c r="L48" s="12" t="inlineStr">
        <is>
          <r>
            <rPr>
              <rFont val="Calibri"/>
              <sz val="10"/>
            </rPr>
            <t xml:space="preserve">Chooses own approach within standards
</t>
          </r>
          <r>
            <rPr>
              <rFont val="Calibri"/>
              <b val="1"/>
              <sz val="10"/>
            </rPr>
            <t>Common themes in role-holders' answers:</t>
          </r>
          <r>
            <rPr>
              <rFont val="Calibri"/>
              <sz val="10"/>
            </rPr>
            <t xml:space="preserve"> decisions · implement</t>
          </r>
        </is>
      </c>
      <c r="M48" s="12" t="inlineStr">
        <is>
          <r>
            <rPr>
              <rFont val="Calibri"/>
              <b val="1"/>
              <sz val="10"/>
            </rPr>
            <t>Common themes in manager-set KRAs:</t>
          </r>
          <r>
            <rPr>
              <rFont val="Calibri"/>
              <sz val="10"/>
            </rPr>
            <t xml:space="preserve"> complete · improve · assigned · resolve · code · leakage qa/uat</t>
          </r>
        </is>
      </c>
      <c r="N48" s="12" t="inlineStr">
        <is>
          <r>
            <rPr>
              <rFont val="Calibri"/>
              <b val="1"/>
              <sz val="10"/>
            </rPr>
            <t>Skills:</t>
          </r>
          <r>
            <rPr>
              <rFont val="Calibri"/>
              <sz val="10"/>
            </rPr>
            <t xml:space="preserve"> Angular · React</t>
          </r>
        </is>
      </c>
      <c r="O48"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48" s="12" t="inlineStr">
        <is>
          <t>0–2 yrs
Graduate · or diploma with experience</t>
        </is>
      </c>
      <c r="Q48" s="12" t="inlineStr">
        <is>
          <t>Core 2 · Future-ready 2 · Functional 2 · Leadership —
★ Programming &amp; Tech-Stack Depth · System Design &amp; Architecture</t>
        </is>
      </c>
      <c r="R48" s="12" t="inlineStr">
        <is>
          <t>Build and operate software capabilities. Includes: Application code, data/ML engineering and product reliability. Excludes: Product investment decisions; internal IT service desk.</t>
        </is>
      </c>
      <c r="S48" s="12" t="inlineStr">
        <is>
          <r>
            <rPr>
              <rFont val="Calibri"/>
              <b val="1"/>
              <sz val="10"/>
            </rPr>
            <t>Comparable stage:</t>
          </r>
          <r>
            <rPr>
              <rFont val="Calibri"/>
              <sz val="10"/>
            </rPr>
            <t xml:space="preserve"> ENG03-1 · Associate Frontend Engineer
</t>
          </r>
          <r>
            <rPr>
              <rFont val="Calibri"/>
              <b val="1"/>
              <sz val="10"/>
            </rPr>
            <t>Complete defined parts under review:</t>
          </r>
          <r>
            <rPr>
              <rFont val="Calibri"/>
              <sz val="10"/>
            </rPr>
            <t xml:space="preserve"> build accessible components and reliable browser interactions.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tested accessible interface and reusable components with measured performance</t>
          </r>
        </is>
      </c>
      <c r="T48"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48" s="12" t="inlineStr">
        <is>
          <t>A3 · Senior Associate</t>
        </is>
      </c>
      <c r="V48" s="12" t="inlineStr">
        <is>
          <t>Framework + role-holders' themes · 3+ answered</t>
        </is>
      </c>
    </row>
    <row r="49" ht="106" customHeight="1">
      <c r="A49" s="90" t="inlineStr">
        <is>
          <t>RC-081</t>
        </is>
      </c>
      <c r="B49" s="12" t="inlineStr">
        <is>
          <t>Engineering &amp; Development</t>
        </is>
      </c>
      <c r="C49" s="12" t="inlineStr">
        <is>
          <t>Front-End / UI Development</t>
        </is>
      </c>
      <c r="D49" s="16" t="inlineStr">
        <is>
          <t>A3</t>
        </is>
      </c>
      <c r="E49" s="17" t="inlineStr">
        <is>
          <t>Senior Associate</t>
        </is>
      </c>
      <c r="F49" s="12" t="inlineStr">
        <is>
          <t>IC</t>
        </is>
      </c>
      <c r="G49" s="12" t="inlineStr">
        <is>
          <t>Senior UI Developer</t>
        </is>
      </c>
      <c r="H49" s="12" t="inlineStr">
        <is>
          <t>Ghanshyam L Desale, Kishori Rajigare, Rajshree Bhosale, Shritesh Aher, Shubham Yadav</t>
        </is>
      </c>
      <c r="I49" s="12" t="inlineStr">
        <is>
          <t>Design · Technology</t>
        </is>
      </c>
      <c r="J49" s="12" t="inlineStr">
        <is>
          <r>
            <rPr>
              <rFont val="Calibri"/>
              <sz val="10"/>
            </rPr>
            <t xml:space="preserve">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t>
          </r>
        </is>
      </c>
      <c r="K49" s="12" t="inlineStr">
        <is>
          <r>
            <rPr>
              <rFont val="Calibri"/>
              <sz val="10"/>
            </rPr>
            <t xml:space="preserve">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t>
          </r>
        </is>
      </c>
      <c r="L49" s="12" t="inlineStr">
        <is>
          <r>
            <rPr>
              <rFont val="Calibri"/>
              <sz val="10"/>
            </rPr>
            <t xml:space="preserve">Technical / QC / client calls on own work
</t>
          </r>
          <r>
            <rPr>
              <rFont val="Calibri"/>
              <b val="1"/>
              <sz val="10"/>
            </rPr>
            <t>Common themes in role-holders' answers:</t>
          </r>
          <r>
            <rPr>
              <rFont val="Calibri"/>
              <sz val="10"/>
            </rPr>
            <t xml:space="preserve"> code · ui</t>
          </r>
        </is>
      </c>
      <c r="M49" s="12" t="inlineStr">
        <is>
          <r>
            <rPr>
              <rFont val="Calibri"/>
              <b val="1"/>
              <sz val="10"/>
            </rPr>
            <t>Common themes in manager-set KRAs:</t>
          </r>
          <r>
            <rPr>
              <rFont val="Calibri"/>
              <sz val="10"/>
            </rPr>
            <t xml:space="preserve"> components · sprint · code · coverage · quality · maintain</t>
          </r>
        </is>
      </c>
      <c r="N49" s="12" t="inlineStr">
        <is>
          <r>
            <rPr>
              <rFont val="Calibri"/>
              <b val="1"/>
              <sz val="10"/>
            </rPr>
            <t>Skills:</t>
          </r>
          <r>
            <rPr>
              <rFont val="Calibri"/>
              <sz val="10"/>
            </rPr>
            <t xml:space="preserve"> UI · Angular
</t>
          </r>
          <r>
            <rPr>
              <rFont val="Calibri"/>
              <b val="1"/>
              <sz val="10"/>
            </rPr>
            <t>Tools:</t>
          </r>
          <r>
            <rPr>
              <rFont val="Calibri"/>
              <sz val="10"/>
            </rPr>
            <t xml:space="preserve"> Vs code</t>
          </r>
        </is>
      </c>
      <c r="O49"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9" s="12" t="inlineStr">
        <is>
          <t>2–4 yrs
Graduate; relevant certification preferred</t>
        </is>
      </c>
      <c r="Q49" s="12" t="inlineStr">
        <is>
          <t>Core 2 · Future-ready 2 · Functional 3 · Leadership —
★ Programming &amp; Tech-Stack Depth · System Design &amp; Architecture</t>
        </is>
      </c>
      <c r="R49" s="12" t="inlineStr">
        <is>
          <t>Build and operate software capabilities. Includes: Application code, data/ML engineering and product reliability. Excludes: Product investment decisions; internal IT service desk.</t>
        </is>
      </c>
      <c r="S49" s="12" t="inlineStr">
        <is>
          <r>
            <rPr>
              <rFont val="Calibri"/>
              <b val="1"/>
              <sz val="10"/>
            </rPr>
            <t>Comparable stage:</t>
          </r>
          <r>
            <rPr>
              <rFont val="Calibri"/>
              <sz val="10"/>
            </rPr>
            <t xml:space="preserve"> ENG03-2 · Frontend Engineer
Build accessible components and reliable browser interactions.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tested accessible interface and reusable components with measured performance</t>
          </r>
        </is>
      </c>
      <c r="T49"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49" s="12" t="inlineStr">
        <is>
          <t>B1 · Specialist</t>
        </is>
      </c>
      <c r="V49" s="12" t="inlineStr">
        <is>
          <t>Framework + role-holders' themes · 3+ answered</t>
        </is>
      </c>
    </row>
    <row r="50" ht="106" customHeight="1">
      <c r="A50" s="90" t="inlineStr">
        <is>
          <t>RC-082</t>
        </is>
      </c>
      <c r="B50" s="12" t="inlineStr">
        <is>
          <t>Engineering &amp; Development</t>
        </is>
      </c>
      <c r="C50" s="12" t="inlineStr">
        <is>
          <t>Front-End / UI Development</t>
        </is>
      </c>
      <c r="D50" s="20" t="inlineStr">
        <is>
          <t>B1</t>
        </is>
      </c>
      <c r="E50" s="21" t="inlineStr">
        <is>
          <t>Specialist</t>
        </is>
      </c>
      <c r="F50" s="12" t="inlineStr">
        <is>
          <t>IC</t>
        </is>
      </c>
      <c r="G50" s="12" t="inlineStr">
        <is>
          <t>UI Specialist – POD Lead</t>
        </is>
      </c>
      <c r="H50" s="12" t="inlineStr">
        <is>
          <t>Rajeev Kumar</t>
        </is>
      </c>
      <c r="I50" s="12" t="inlineStr">
        <is>
          <t>Design</t>
        </is>
      </c>
      <c r="J50" s="12" t="inlineStr">
        <is>
          <r>
            <rPr>
              <rFont val="Calibri"/>
              <sz val="10"/>
            </rPr>
            <t xml:space="preserve">Builds user interfaces and reusable UI components. At B1: a domain / module, or a small team.
</t>
          </r>
          <r>
            <rPr>
              <rFont val="Calibri"/>
              <b val="1"/>
              <sz val="10"/>
            </rPr>
            <t>Common themes in sub-family holders, all levels' answers:</t>
          </r>
          <r>
            <rPr>
              <rFont val="Calibri"/>
              <sz val="10"/>
            </rPr>
            <t xml:space="preserve"> core · purpose · business · improve · development · solutions</t>
          </r>
        </is>
      </c>
      <c r="K50" s="12" t="inlineStr">
        <is>
          <r>
            <rPr>
              <rFont val="Calibri"/>
              <sz val="10"/>
            </rPr>
            <t xml:space="preserve">Builds user interfaces and reusable UI components; Domain specialist work; A domain or a small team
</t>
          </r>
          <r>
            <rPr>
              <rFont val="Calibri"/>
              <b val="1"/>
              <sz val="10"/>
            </rPr>
            <t>Common themes in sub-family holders, all levels' answers:</t>
          </r>
          <r>
            <rPr>
              <rFont val="Calibri"/>
              <sz val="10"/>
            </rPr>
            <t xml:space="preserve"> ui · code · feature · development · design · testing</t>
          </r>
        </is>
      </c>
      <c r="L50" s="12" t="inlineStr">
        <is>
          <r>
            <rPr>
              <rFont val="Calibri"/>
              <sz val="10"/>
            </rPr>
            <t xml:space="preserve">Technical / QC / client calls for the domain
</t>
          </r>
          <r>
            <rPr>
              <rFont val="Calibri"/>
              <b val="1"/>
              <sz val="10"/>
            </rPr>
            <t>Common themes in sub-family holders, all levels' answers:</t>
          </r>
          <r>
            <rPr>
              <rFont val="Calibri"/>
              <sz val="10"/>
            </rPr>
            <t xml:space="preserve"> decide · code · ui · decisions · implement</t>
          </r>
        </is>
      </c>
      <c r="M50" s="12" t="inlineStr">
        <is>
          <t>—</t>
        </is>
      </c>
      <c r="N50" s="12" t="inlineStr">
        <is>
          <r>
            <rPr>
              <rFont val="Calibri"/>
              <b val="1"/>
              <sz val="10"/>
            </rPr>
            <t>Skills:</t>
          </r>
          <r>
            <rPr>
              <rFont val="Calibri"/>
              <sz val="10"/>
            </rPr>
            <t xml:space="preserve"> Angular · UI · React · Full stack development · Angular + Node.js
</t>
          </r>
          <r>
            <rPr>
              <rFont val="Calibri"/>
              <b val="1"/>
              <sz val="10"/>
            </rPr>
            <t>Tools:</t>
          </r>
          <r>
            <rPr>
              <rFont val="Calibri"/>
              <sz val="10"/>
            </rPr>
            <t xml:space="preserve"> Vs code · visual studio · VsCode</t>
          </r>
        </is>
      </c>
      <c r="O5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50" s="12" t="inlineStr">
        <is>
          <t>4–7 yrs
Graduate + relevant qualification or certification preferred</t>
        </is>
      </c>
      <c r="Q50" s="12" t="inlineStr">
        <is>
          <t>Core 3 · Future-ready 3 · Functional 3 · Leadership 1
★ Programming &amp; Tech-Stack Depth · System Design &amp; Architecture</t>
        </is>
      </c>
      <c r="R50" s="12" t="inlineStr">
        <is>
          <t>Build and operate software capabilities. Includes: Application code, data/ML engineering and product reliability. Excludes: Product investment decisions; internal IT service desk.</t>
        </is>
      </c>
      <c r="S50" s="12" t="inlineStr">
        <is>
          <r>
            <rPr>
              <rFont val="Calibri"/>
              <b val="1"/>
              <sz val="10"/>
            </rPr>
            <t>Comparable stage:</t>
          </r>
          <r>
            <rPr>
              <rFont val="Calibri"/>
              <sz val="10"/>
            </rPr>
            <t xml:space="preserve"> ENG03-3 · Senior Frontend Engineer
Own a complex workflow and its accessibility/performance constraints.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tested accessible interface and reusable components with measured performance</t>
          </r>
        </is>
      </c>
      <c r="T50"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50" s="12" t="inlineStr">
        <is>
          <t>B2 · Senior Specialist</t>
        </is>
      </c>
      <c r="V50" s="12" t="inlineStr">
        <is>
          <t>Framework + sub-family themes · 3+ answered</t>
        </is>
      </c>
    </row>
    <row r="51" ht="132" customHeight="1">
      <c r="A51" s="90" t="inlineStr">
        <is>
          <t>RC-083</t>
        </is>
      </c>
      <c r="B51" s="12" t="inlineStr">
        <is>
          <t>Engineering &amp; Development</t>
        </is>
      </c>
      <c r="C51" s="12" t="inlineStr">
        <is>
          <t>Full-Stack Development</t>
        </is>
      </c>
      <c r="D51" s="16" t="inlineStr">
        <is>
          <t>A1</t>
        </is>
      </c>
      <c r="E51" s="17" t="inlineStr">
        <is>
          <t>Intern / Trainee</t>
        </is>
      </c>
      <c r="F51" s="12" t="inlineStr">
        <is>
          <t>IC</t>
        </is>
      </c>
      <c r="G51" s="12" t="inlineStr">
        <is>
          <t>Trainee Software Engineer</t>
        </is>
      </c>
      <c r="H51" s="12" t="inlineStr">
        <is>
          <t>Amaan Ullah, Mayuresh Raghunath Mahale</t>
        </is>
      </c>
      <c r="I51" s="12" t="inlineStr">
        <is>
          <t>Technology</t>
        </is>
      </c>
      <c r="J51" s="12"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K51" s="12"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L51" s="12"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M51" s="12" t="inlineStr">
        <is>
          <r>
            <rPr>
              <rFont val="Calibri"/>
              <b val="1"/>
              <sz val="10"/>
            </rPr>
            <t>Common themes in manager-set KRAs:</t>
          </r>
          <r>
            <rPr>
              <rFont val="Calibri"/>
              <sz val="10"/>
            </rPr>
            <t xml:space="preserve"> complete · assigned · improve · code · technical · quality</t>
          </r>
        </is>
      </c>
      <c r="N51" s="12" t="inlineStr">
        <is>
          <r>
            <rPr>
              <rFont val="Calibri"/>
              <b val="1"/>
              <sz val="10"/>
            </rPr>
            <t>Skills:</t>
          </r>
          <r>
            <rPr>
              <rFont val="Calibri"/>
              <sz val="10"/>
            </rPr>
            <t xml:space="preserve"> React · Java · Angular · NET MVC
</t>
          </r>
          <r>
            <rPr>
              <rFont val="Calibri"/>
              <b val="1"/>
              <sz val="10"/>
            </rPr>
            <t>Tools:</t>
          </r>
          <r>
            <rPr>
              <rFont val="Calibri"/>
              <sz val="10"/>
            </rPr>
            <t xml:space="preserve"> Vs code · Postman</t>
          </r>
        </is>
      </c>
      <c r="O51"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51" s="12" t="inlineStr">
        <is>
          <t>0 yrs · fresher / intern
Pursuing or completed graduation / diploma</t>
        </is>
      </c>
      <c r="Q51" s="12" t="inlineStr">
        <is>
          <t>Core 1 · Future-ready 1 · Functional 1 · Leadership —
★ Programming &amp; Tech-Stack Depth · System Design &amp; Architecture</t>
        </is>
      </c>
      <c r="R51" s="12" t="inlineStr">
        <is>
          <t>Build and operate software capabilities. Includes: Application code, data/ML engineering and product reliability. Excludes: Product investment decisions; internal IT service desk.</t>
        </is>
      </c>
      <c r="S51" s="12" t="inlineStr">
        <is>
          <r>
            <rPr>
              <rFont val="Calibri"/>
              <b val="1"/>
              <sz val="10"/>
            </rPr>
            <t>Comparable stage:</t>
          </r>
          <r>
            <rPr>
              <rFont val="Calibri"/>
              <sz val="10"/>
            </rPr>
            <t xml:space="preserve"> ENG02-0 · Software Engineering Intern
</t>
          </r>
          <r>
            <rPr>
              <rFont val="Calibri"/>
              <b val="1"/>
              <sz val="10"/>
            </rPr>
            <t>Assist with a supervised work sample:</t>
          </r>
          <r>
            <rPr>
              <rFont val="Calibri"/>
              <sz val="10"/>
            </rPr>
            <t xml:space="preserve"> deliver a tested end-to-end feature across ui, api and storage.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working end-to-end journey with usability checks, test coverage and deployment evidence</t>
          </r>
        </is>
      </c>
      <c r="T51" s="12" t="inlineStr">
        <is>
          <t>Radford / Mercer Entry / P1 · intern · SFIA 1 Follow
—</t>
        </is>
      </c>
      <c r="U51" s="12" t="inlineStr">
        <is>
          <t>A2 · Associate</t>
        </is>
      </c>
      <c r="V51" s="12" t="inlineStr">
        <is>
          <t>Framework + role-holders' themes · 3+ answered</t>
        </is>
      </c>
    </row>
    <row r="52" ht="119" customHeight="1">
      <c r="A52" s="90" t="inlineStr">
        <is>
          <t>RC-084</t>
        </is>
      </c>
      <c r="B52" s="12" t="inlineStr">
        <is>
          <t>Engineering &amp; Development</t>
        </is>
      </c>
      <c r="C52" s="12" t="inlineStr">
        <is>
          <t>Full-Stack Development</t>
        </is>
      </c>
      <c r="D52" s="16" t="inlineStr">
        <is>
          <t>A2</t>
        </is>
      </c>
      <c r="E52" s="17" t="inlineStr">
        <is>
          <t>Associate</t>
        </is>
      </c>
      <c r="F52" s="12" t="inlineStr">
        <is>
          <t>IC</t>
        </is>
      </c>
      <c r="G52" s="12" t="inlineStr">
        <is>
          <t>Software Engineer</t>
        </is>
      </c>
      <c r="H52" s="12" t="inlineStr">
        <is>
          <t>Chetna Vijay Nile, Hemant Sakunde, Shubham Nimse, Tanay Hisariya</t>
        </is>
      </c>
      <c r="I52" s="12" t="inlineStr">
        <is>
          <t>Technology</t>
        </is>
      </c>
      <c r="J52" s="12" t="inlineStr">
        <is>
          <r>
            <rPr>
              <rFont val="Calibri"/>
              <sz val="10"/>
            </rPr>
            <t xml:space="preserve">Builds features end to end — back-end services/APIs plus UI screens. At A2: standard work delivered independently.
</t>
          </r>
          <r>
            <rPr>
              <rFont val="Calibri"/>
              <b val="1"/>
              <sz val="10"/>
            </rPr>
            <t>Common themes in role-holders' answers:</t>
          </r>
          <r>
            <rPr>
              <rFont val="Calibri"/>
              <sz val="10"/>
            </rPr>
            <t xml:space="preserve"> solutions</t>
          </r>
        </is>
      </c>
      <c r="K52" s="12" t="inlineStr">
        <is>
          <r>
            <rPr>
              <rFont val="Calibri"/>
              <sz val="10"/>
            </rPr>
            <t xml:space="preserve">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t>
          </r>
        </is>
      </c>
      <c r="L52" s="12" t="inlineStr">
        <is>
          <t>Chooses own approach within standards</t>
        </is>
      </c>
      <c r="M52" s="12" t="inlineStr">
        <is>
          <r>
            <rPr>
              <rFont val="Calibri"/>
              <b val="1"/>
              <sz val="10"/>
            </rPr>
            <t>Common themes in manager-set KRAs:</t>
          </r>
          <r>
            <rPr>
              <rFont val="Calibri"/>
              <sz val="10"/>
            </rPr>
            <t xml:space="preserve"> assigned · improve · resolve · code · leakage qa/uat · coverage</t>
          </r>
        </is>
      </c>
      <c r="N52" s="12" t="inlineStr">
        <is>
          <r>
            <rPr>
              <rFont val="Calibri"/>
              <b val="1"/>
              <sz val="10"/>
            </rPr>
            <t>Skills:</t>
          </r>
          <r>
            <rPr>
              <rFont val="Calibri"/>
              <sz val="10"/>
            </rPr>
            <t xml:space="preserve"> Java · Docker · Java + Angular</t>
          </r>
        </is>
      </c>
      <c r="O52"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52" s="12" t="inlineStr">
        <is>
          <t>0–2 yrs
Graduate · or diploma with experience</t>
        </is>
      </c>
      <c r="Q52" s="12" t="inlineStr">
        <is>
          <t>Core 2 · Future-ready 2 · Functional 2 · Leadership —
★ Programming &amp; Tech-Stack Depth · System Design &amp; Architecture</t>
        </is>
      </c>
      <c r="R52" s="12" t="inlineStr">
        <is>
          <t>Build and operate software capabilities. Includes: Application code, data/ML engineering and product reliability. Excludes: Product investment decisions; internal IT service desk.</t>
        </is>
      </c>
      <c r="S52" s="12" t="inlineStr">
        <is>
          <r>
            <rPr>
              <rFont val="Calibri"/>
              <b val="1"/>
              <sz val="10"/>
            </rPr>
            <t>Comparable stage:</t>
          </r>
          <r>
            <rPr>
              <rFont val="Calibri"/>
              <sz val="10"/>
            </rPr>
            <t xml:space="preserve"> ENG02-1 · Associate Full Stack Engineer
</t>
          </r>
          <r>
            <rPr>
              <rFont val="Calibri"/>
              <b val="1"/>
              <sz val="10"/>
            </rPr>
            <t>Complete defined parts under review:</t>
          </r>
          <r>
            <rPr>
              <rFont val="Calibri"/>
              <sz val="10"/>
            </rPr>
            <t xml:space="preserve"> deliver a tested end-to-end feature across ui, api and storage.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working end-to-end journey with usability checks, test coverage and deployment evidence</t>
          </r>
        </is>
      </c>
      <c r="T52"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52" s="12" t="inlineStr">
        <is>
          <t>A3 · Senior Associate</t>
        </is>
      </c>
      <c r="V52" s="12" t="inlineStr">
        <is>
          <t>Framework + role-holders' themes · 3+ answered</t>
        </is>
      </c>
    </row>
    <row r="53" ht="119" customHeight="1">
      <c r="A53" s="90" t="inlineStr">
        <is>
          <t>RC-085</t>
        </is>
      </c>
      <c r="B53" s="12" t="inlineStr">
        <is>
          <t>Engineering &amp; Development</t>
        </is>
      </c>
      <c r="C53" s="12" t="inlineStr">
        <is>
          <t>Full-Stack Development</t>
        </is>
      </c>
      <c r="D53" s="16" t="inlineStr">
        <is>
          <t>A3</t>
        </is>
      </c>
      <c r="E53" s="17" t="inlineStr">
        <is>
          <t>Senior Associate</t>
        </is>
      </c>
      <c r="F53" s="12" t="inlineStr">
        <is>
          <t>IC</t>
        </is>
      </c>
      <c r="G53" s="12" t="inlineStr">
        <is>
          <t>Senior Software Engineer · Technical Specialist</t>
        </is>
      </c>
      <c r="H53" s="12" t="inlineStr">
        <is>
          <t>Abhishek Patil, Amol Pawar, Ateef Ansari, Devkumar Nishad, Mahtab Shah, Prajwal Chitode, Rudransh Nemade, Swati Patil</t>
        </is>
      </c>
      <c r="I53" s="12" t="inlineStr">
        <is>
          <t>Technology</t>
        </is>
      </c>
      <c r="J53" s="12"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K53" s="12"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L53" s="12"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M53" s="12" t="inlineStr">
        <is>
          <r>
            <rPr>
              <rFont val="Calibri"/>
              <b val="1"/>
              <sz val="10"/>
            </rPr>
            <t>Common themes in manager-set KRAs:</t>
          </r>
          <r>
            <rPr>
              <rFont val="Calibri"/>
              <sz val="10"/>
            </rPr>
            <t xml:space="preserve"> complete · improve · code quality · assigned · year · deliver</t>
          </r>
        </is>
      </c>
      <c r="N53" s="12" t="inlineStr">
        <is>
          <r>
            <rPr>
              <rFont val="Calibri"/>
              <b val="1"/>
              <sz val="10"/>
            </rPr>
            <t>Skills: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t>
          </r>
        </is>
      </c>
      <c r="O53"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53" s="12" t="inlineStr">
        <is>
          <t>2–4 yrs
Graduate; relevant certification preferred</t>
        </is>
      </c>
      <c r="Q53" s="12" t="inlineStr">
        <is>
          <t>Core 2 · Future-ready 2 · Functional 3 · Leadership —
★ Programming &amp; Tech-Stack Depth · System Design &amp; Architecture</t>
        </is>
      </c>
      <c r="R53" s="12" t="inlineStr">
        <is>
          <t>Build and operate software capabilities. Includes: Application code, data/ML engineering and product reliability. Excludes: Product investment decisions; internal IT service desk.</t>
        </is>
      </c>
      <c r="S53" s="12" t="inlineStr">
        <is>
          <r>
            <rPr>
              <rFont val="Calibri"/>
              <b val="1"/>
              <sz val="10"/>
            </rPr>
            <t>Comparable stage:</t>
          </r>
          <r>
            <rPr>
              <rFont val="Calibri"/>
              <sz val="10"/>
            </rPr>
            <t xml:space="preserve"> ENG02-2 · Full Stack Engineer
Deliver a tested end-to-end feature across UI, API and storage.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working end-to-end journey with usability checks, test coverage and deployment evidence</t>
          </r>
        </is>
      </c>
      <c r="T53"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53" s="12" t="inlineStr">
        <is>
          <t>B1 · Specialist</t>
        </is>
      </c>
      <c r="V53" s="12" t="inlineStr">
        <is>
          <t>Framework + role-holders' themes · 3+ answered</t>
        </is>
      </c>
    </row>
    <row r="54" ht="119" customHeight="1">
      <c r="A54" s="90" t="inlineStr">
        <is>
          <t>RC-086</t>
        </is>
      </c>
      <c r="B54" s="12" t="inlineStr">
        <is>
          <t>Engineering &amp; Development</t>
        </is>
      </c>
      <c r="C54" s="12" t="inlineStr">
        <is>
          <t>Full-Stack Development</t>
        </is>
      </c>
      <c r="D54" s="20" t="inlineStr">
        <is>
          <t>B1</t>
        </is>
      </c>
      <c r="E54" s="21" t="inlineStr">
        <is>
          <t>Specialist</t>
        </is>
      </c>
      <c r="F54" s="12" t="inlineStr">
        <is>
          <t>IC</t>
        </is>
      </c>
      <c r="G54" s="12" t="inlineStr">
        <is>
          <t>Technical Specialist · Technical Specialist – POD Lead</t>
        </is>
      </c>
      <c r="H54" s="12" t="inlineStr">
        <is>
          <t>Anilkumar Aarumughan, Paresh Patil, Rajneesh Patel, Vikash Gupta</t>
        </is>
      </c>
      <c r="I54" s="12" t="inlineStr">
        <is>
          <t>Technology</t>
        </is>
      </c>
      <c r="J54" s="12" t="inlineStr">
        <is>
          <r>
            <rPr>
              <rFont val="Calibri"/>
              <sz val="10"/>
            </rPr>
            <t xml:space="preserve">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t>
          </r>
        </is>
      </c>
      <c r="K54" s="12" t="inlineStr">
        <is>
          <r>
            <rPr>
              <rFont val="Calibri"/>
              <sz val="10"/>
            </rPr>
            <t xml:space="preserve">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t>
          </r>
        </is>
      </c>
      <c r="L54" s="12" t="inlineStr">
        <is>
          <r>
            <rPr>
              <rFont val="Calibri"/>
              <sz val="10"/>
            </rPr>
            <t xml:space="preserve">Technical / QC / client calls for the domain
</t>
          </r>
          <r>
            <rPr>
              <rFont val="Calibri"/>
              <b val="1"/>
              <sz val="10"/>
            </rPr>
            <t>Common themes in role-holders' answers:</t>
          </r>
          <r>
            <rPr>
              <rFont val="Calibri"/>
              <sz val="10"/>
            </rPr>
            <t xml:space="preserve"> code · independently · approaches · diagnose · improvements · issues</t>
          </r>
        </is>
      </c>
      <c r="M54" s="12" t="inlineStr">
        <is>
          <r>
            <rPr>
              <rFont val="Calibri"/>
              <b val="1"/>
              <sz val="10"/>
            </rPr>
            <t>Common themes in manager-set KRAs:</t>
          </r>
          <r>
            <rPr>
              <rFont val="Calibri"/>
              <sz val="10"/>
            </rPr>
            <t xml:space="preserve"> improve · defect · assigned · sla · time · production</t>
          </r>
        </is>
      </c>
      <c r="N54" s="12" t="inlineStr">
        <is>
          <r>
            <rPr>
              <rFont val="Calibri"/>
              <b val="1"/>
              <sz val="10"/>
            </rPr>
            <t>Skills:</t>
          </r>
          <r>
            <rPr>
              <rFont val="Calibri"/>
              <sz val="10"/>
            </rPr>
            <t xml:space="preserve"> NET MVC · Angular
</t>
          </r>
          <r>
            <rPr>
              <rFont val="Calibri"/>
              <b val="1"/>
              <sz val="10"/>
            </rPr>
            <t>Tools:</t>
          </r>
          <r>
            <rPr>
              <rFont val="Calibri"/>
              <sz val="10"/>
            </rPr>
            <t xml:space="preserve"> Visual Studio · SQL Server</t>
          </r>
        </is>
      </c>
      <c r="O54"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54" s="12" t="inlineStr">
        <is>
          <t>4–7 yrs
Graduate + relevant qualification or certification preferred</t>
        </is>
      </c>
      <c r="Q54" s="12" t="inlineStr">
        <is>
          <t>Core 3 · Future-ready 3 · Functional 3 · Leadership 1
★ Programming &amp; Tech-Stack Depth · System Design &amp; Architecture</t>
        </is>
      </c>
      <c r="R54" s="12" t="inlineStr">
        <is>
          <t>Build and operate software capabilities. Includes: Application code, data/ML engineering and product reliability. Excludes: Product investment decisions; internal IT service desk.</t>
        </is>
      </c>
      <c r="S54" s="12" t="inlineStr">
        <is>
          <r>
            <rPr>
              <rFont val="Calibri"/>
              <b val="1"/>
              <sz val="10"/>
            </rPr>
            <t>Comparable stage:</t>
          </r>
          <r>
            <rPr>
              <rFont val="Calibri"/>
              <sz val="10"/>
            </rPr>
            <t xml:space="preserve"> ENG02-3 · Senior Full Stack Engineer
Own cross-layer performance, security and deployment choices.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working end-to-end journey with usability checks, test coverage and deployment evidence</t>
          </r>
        </is>
      </c>
      <c r="T54"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54" s="12" t="inlineStr">
        <is>
          <t>B2 · Senior Specialist</t>
        </is>
      </c>
      <c r="V54" s="12" t="inlineStr">
        <is>
          <t>Framework + role-holders' themes · 3+ answered</t>
        </is>
      </c>
    </row>
    <row r="55" ht="119" customHeight="1">
      <c r="A55" s="90" t="inlineStr">
        <is>
          <t>RC-087</t>
        </is>
      </c>
      <c r="B55" s="12" t="inlineStr">
        <is>
          <t>Engineering &amp; Development</t>
        </is>
      </c>
      <c r="C55" s="12" t="inlineStr">
        <is>
          <t>Full-Stack Development</t>
        </is>
      </c>
      <c r="D55" s="20" t="inlineStr">
        <is>
          <t>B2</t>
        </is>
      </c>
      <c r="E55" s="21" t="inlineStr">
        <is>
          <t>Senior Specialist</t>
        </is>
      </c>
      <c r="F55" s="12" t="inlineStr">
        <is>
          <t>IC</t>
        </is>
      </c>
      <c r="G55" s="12" t="inlineStr">
        <is>
          <t>Lead Software Engineer – POD Lead · Senior Technical Specialist – POD Lead</t>
        </is>
      </c>
      <c r="H55" s="12" t="inlineStr">
        <is>
          <t>Anup Salve</t>
        </is>
      </c>
      <c r="I55" s="12" t="inlineStr">
        <is>
          <t>Technology</t>
        </is>
      </c>
      <c r="J55" s="12"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K55" s="12"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L55" s="12"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M55" s="12" t="inlineStr">
        <is>
          <t>—</t>
        </is>
      </c>
      <c r="N55" s="12" t="inlineStr">
        <is>
          <r>
            <rPr>
              <rFont val="Calibri"/>
              <b val="1"/>
              <sz val="10"/>
            </rPr>
            <t>Skills: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t>
          </r>
        </is>
      </c>
      <c r="O55"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55" s="12" t="inlineStr">
        <is>
          <t>6–9 yrs
Graduate or postgraduate; professional qualification preferred</t>
        </is>
      </c>
      <c r="Q55" s="12" t="inlineStr">
        <is>
          <t>Core 3 · Future-ready 3 · Functional 4 · Leadership 2
★ Programming &amp; Tech-Stack Depth · System Design &amp; Architecture</t>
        </is>
      </c>
      <c r="R55" s="12" t="inlineStr">
        <is>
          <t>Build and operate software capabilities. Includes: Application code, data/ML engineering and product reliability. Excludes: Product investment decisions; internal IT service desk.</t>
        </is>
      </c>
      <c r="S55" s="12" t="inlineStr">
        <is>
          <r>
            <rPr>
              <rFont val="Calibri"/>
              <b val="1"/>
              <sz val="10"/>
            </rPr>
            <t>Comparable stage:</t>
          </r>
          <r>
            <rPr>
              <rFont val="Calibri"/>
              <sz val="10"/>
            </rPr>
            <t xml:space="preserve"> ENG02-3 · Senior Full Stack Engineer
Own cross-layer performance, security and deployment choices.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working end-to-end journey with usability checks, test coverage and deployment evidence</t>
          </r>
        </is>
      </c>
      <c r="T55"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55" s="12" t="inlineStr">
        <is>
          <t>B3 · Lead Specialist</t>
        </is>
      </c>
      <c r="V55" s="12" t="inlineStr">
        <is>
          <t>Framework + sub-family themes · 3+ answered</t>
        </is>
      </c>
    </row>
    <row r="56" ht="106" customHeight="1">
      <c r="A56" s="90" t="inlineStr">
        <is>
          <t>RC-088</t>
        </is>
      </c>
      <c r="B56" s="12" t="inlineStr">
        <is>
          <t>Engineering &amp; Development</t>
        </is>
      </c>
      <c r="C56" s="12" t="inlineStr">
        <is>
          <t>Full-Stack Development</t>
        </is>
      </c>
      <c r="D56" s="20" t="inlineStr">
        <is>
          <t>B2</t>
        </is>
      </c>
      <c r="E56" s="21" t="inlineStr">
        <is>
          <t>Manager</t>
        </is>
      </c>
      <c r="F56" s="12" t="inlineStr">
        <is>
          <t>Manager</t>
        </is>
      </c>
      <c r="G56" s="12" t="inlineStr">
        <is>
          <t>Engineering Manager</t>
        </is>
      </c>
      <c r="H56" s="12" t="inlineStr">
        <is>
          <t>Sagar Jadhav</t>
        </is>
      </c>
      <c r="I56" s="12" t="inlineStr">
        <is>
          <t>Technology</t>
        </is>
      </c>
      <c r="J56" s="12"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K56" s="12"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L56" s="12"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M56" s="12" t="inlineStr">
        <is>
          <t>—</t>
        </is>
      </c>
      <c r="N56" s="12" t="inlineStr">
        <is>
          <r>
            <rPr>
              <rFont val="Calibri"/>
              <b val="1"/>
              <sz val="10"/>
            </rPr>
            <t>Skills: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t>
          </r>
        </is>
      </c>
      <c r="O56"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56" s="12" t="inlineStr">
        <is>
          <t>6–9 yrs
Graduate or postgraduate; professional qualification preferred</t>
        </is>
      </c>
      <c r="Q56" s="12" t="inlineStr">
        <is>
          <t>Core 3 · Future-ready 3 · Functional 4 · Leadership 3
★ Programming &amp; Tech-Stack Depth · System Design &amp; Architecture</t>
        </is>
      </c>
      <c r="R56" s="12" t="inlineStr">
        <is>
          <t>Build and operate software capabilities. Includes: Application code, data/ML engineering and product reliability. Excludes: Product investment decisions; internal IT service desk.</t>
        </is>
      </c>
      <c r="S56" s="12" t="inlineStr">
        <is>
          <r>
            <rPr>
              <rFont val="Calibri"/>
              <b val="1"/>
              <sz val="10"/>
            </rPr>
            <t>Comparable stage:</t>
          </r>
          <r>
            <rPr>
              <rFont val="Calibri"/>
              <sz val="10"/>
            </rPr>
            <t xml:space="preserve"> LD01-1 ·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56"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56" s="12" t="inlineStr">
        <is>
          <t>B3 · Lead Specialist</t>
        </is>
      </c>
      <c r="V56" s="12" t="inlineStr">
        <is>
          <t>Framework + sub-family themes · 3+ answered</t>
        </is>
      </c>
    </row>
    <row r="57" ht="119" customHeight="1">
      <c r="A57" s="90" t="inlineStr">
        <is>
          <t>RC-089</t>
        </is>
      </c>
      <c r="B57" s="12" t="inlineStr">
        <is>
          <t>Engineering &amp; Development</t>
        </is>
      </c>
      <c r="C57" s="12" t="inlineStr">
        <is>
          <t>Full-Stack Development</t>
        </is>
      </c>
      <c r="D57" s="20" t="inlineStr">
        <is>
          <t>B3</t>
        </is>
      </c>
      <c r="E57" s="21" t="inlineStr">
        <is>
          <t>Lead Specialist</t>
        </is>
      </c>
      <c r="F57" s="12" t="inlineStr">
        <is>
          <t>IC</t>
        </is>
      </c>
      <c r="G57" s="12" t="inlineStr">
        <is>
          <t>Lead Software Engineer – POD Lead</t>
        </is>
      </c>
      <c r="H57" s="12" t="inlineStr">
        <is>
          <t>Alwina Shaikh</t>
        </is>
      </c>
      <c r="I57" s="12" t="inlineStr">
        <is>
          <t>Technology</t>
        </is>
      </c>
      <c r="J57" s="12" t="inlineStr">
        <is>
          <r>
            <rPr>
              <rFont val="Calibri"/>
              <sz val="10"/>
            </rPr>
            <t xml:space="preserve">Builds features end to end — back-end services/APIs plus UI screens. At B3: a practice, or several teams through team leads.
</t>
          </r>
          <r>
            <rPr>
              <rFont val="Calibri"/>
              <b val="1"/>
              <sz val="10"/>
            </rPr>
            <t>Common themes in sub-family holders, all levels' answers:</t>
          </r>
          <r>
            <rPr>
              <rFont val="Calibri"/>
              <sz val="10"/>
            </rPr>
            <t xml:space="preserve"> software · develop · solutions · product · improve · business</t>
          </r>
        </is>
      </c>
      <c r="K57" s="12" t="inlineStr">
        <is>
          <r>
            <rPr>
              <rFont val="Calibri"/>
              <sz val="10"/>
            </rPr>
            <t xml:space="preserve">Builds features end to end — back-end services/APIs plus UI screens; Sets standards for a practice; cross-team problems; Several teams or a practice
</t>
          </r>
          <r>
            <rPr>
              <rFont val="Calibri"/>
              <b val="1"/>
              <sz val="10"/>
            </rPr>
            <t>Common themes in sub-family holders, all levels' answers:</t>
          </r>
          <r>
            <rPr>
              <rFont val="Calibri"/>
              <sz val="10"/>
            </rPr>
            <t xml:space="preserve"> development · bug · fixing · feature · support · code</t>
          </r>
        </is>
      </c>
      <c r="L57" s="12" t="inlineStr">
        <is>
          <r>
            <rPr>
              <rFont val="Calibri"/>
              <sz val="10"/>
            </rPr>
            <t xml:space="preserve">Commercial / strategic calls for the unit
</t>
          </r>
          <r>
            <rPr>
              <rFont val="Calibri"/>
              <b val="1"/>
              <sz val="10"/>
            </rPr>
            <t>Common themes in sub-family holders, all levels' answers:</t>
          </r>
          <r>
            <rPr>
              <rFont val="Calibri"/>
              <sz val="10"/>
            </rPr>
            <t xml:space="preserve"> code · implementation · technical · approaches · independently · decisions</t>
          </r>
        </is>
      </c>
      <c r="M57" s="12" t="inlineStr">
        <is>
          <t>—</t>
        </is>
      </c>
      <c r="N57" s="12" t="inlineStr">
        <is>
          <r>
            <rPr>
              <rFont val="Calibri"/>
              <b val="1"/>
              <sz val="10"/>
            </rPr>
            <t>Skills: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t>
          </r>
        </is>
      </c>
      <c r="O57"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57" s="12" t="inlineStr">
        <is>
          <t>8–12 yrs
Postgraduate or professional qualification preferred</t>
        </is>
      </c>
      <c r="Q57" s="12" t="inlineStr">
        <is>
          <t>Core 4 · Future-ready 3 · Functional 4 · Leadership 3
★ Programming &amp; Tech-Stack Depth · System Design &amp; Architecture</t>
        </is>
      </c>
      <c r="R57" s="12" t="inlineStr">
        <is>
          <t>Build and operate software capabilities. Includes: Application code, data/ML engineering and product reliability. Excludes: Product investment decisions; internal IT service desk.</t>
        </is>
      </c>
      <c r="S57" s="12" t="inlineStr">
        <is>
          <r>
            <rPr>
              <rFont val="Calibri"/>
              <b val="1"/>
              <sz val="10"/>
            </rPr>
            <t>Comparable stage:</t>
          </r>
          <r>
            <rPr>
              <rFont val="Calibri"/>
              <sz val="10"/>
            </rPr>
            <t xml:space="preserve"> ENG02-4 · Staff Full Stack Engineer
Reduce systemic coupling across products through reusable platform decisions.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working end-to-end journey with usability checks, test coverage and deployment evidence</t>
          </r>
        </is>
      </c>
      <c r="T57" s="12" t="inlineStr">
        <is>
          <r>
            <rPr>
              <rFont val="Calibri"/>
              <sz val="10"/>
            </rPr>
            <t xml:space="preserve">Radford / Mercer P5 / M4 · SFIA 5 Ensure, advise
</t>
          </r>
          <r>
            <rPr>
              <rFont val="Calibri"/>
              <b val="1"/>
              <sz val="10"/>
            </rPr>
            <t>Workiva:</t>
          </r>
          <r>
            <rPr>
              <rFont val="Calibri"/>
              <sz val="10"/>
            </rPr>
            <t xml:space="preserve"> Staff SE · Broadridge India: Senior Lead SE · Nasdaq / AxiomSL: Lead SE · Salesforce: LMTS</t>
          </r>
        </is>
      </c>
      <c r="U57" s="12" t="inlineStr">
        <is>
          <t>C1 · Principal · or B+ · Player-Coach transition step if leading people hands-on</t>
        </is>
      </c>
      <c r="V57" s="12" t="inlineStr">
        <is>
          <t>Framework + sub-family themes · 3+ answered</t>
        </is>
      </c>
    </row>
    <row r="58">
      <c r="A58" s="89" t="inlineStr">
        <is>
          <t>Executive Leadership</t>
        </is>
      </c>
    </row>
    <row r="59" ht="93" customHeight="1">
      <c r="A59" s="90" t="inlineStr">
        <is>
          <t>RC-091</t>
        </is>
      </c>
      <c r="B59" s="12" t="inlineStr">
        <is>
          <t>Executive Leadership</t>
        </is>
      </c>
      <c r="C59" s="12" t="inlineStr">
        <is>
          <t>Business &amp; Functional Leadership</t>
        </is>
      </c>
      <c r="D59" s="32" t="inlineStr">
        <is>
          <t>D2</t>
        </is>
      </c>
      <c r="E59" s="33" t="inlineStr">
        <is>
          <t>Vice President</t>
        </is>
      </c>
      <c r="F59" s="12" t="inlineStr">
        <is>
          <t>Manager</t>
        </is>
      </c>
      <c r="G59" s="12" t="inlineStr">
        <is>
          <t>Business Head · Business Head – SupTech &amp; Bank-RegTech · Business Head – DataTech</t>
        </is>
      </c>
      <c r="H59" s="12" t="inlineStr">
        <is>
          <t>Shailesh Gupta</t>
        </is>
      </c>
      <c r="I59" s="12" t="inlineStr">
        <is>
          <t>Sales</t>
        </is>
      </c>
      <c r="J59" s="12" t="inlineStr">
        <is>
          <t>Owns a business line or enterprise function end to end. At D2: several business lines or an executive-scope enterprise function.</t>
        </is>
      </c>
      <c r="K59" s="12" t="inlineStr">
        <is>
          <t>Owns a business line or enterprise function end to end; Portfolio-level strategic, financial and regulatory trade-offs; Multi-business results</t>
        </is>
      </c>
      <c r="L59" s="12" t="inlineStr">
        <is>
          <t>Sets direction across business lines</t>
        </is>
      </c>
      <c r="M59" s="12" t="inlineStr">
        <is>
          <t>—</t>
        </is>
      </c>
      <c r="N59" s="12" t="inlineStr">
        <is>
          <r>
            <rPr>
              <rFont val="Calibri"/>
              <b val="1"/>
              <sz val="10"/>
            </rPr>
            <t>Skills:</t>
          </r>
          <r>
            <rPr>
              <rFont val="Calibri"/>
              <sz val="10"/>
            </rPr>
            <t xml:space="preserve"> Product Management</t>
          </r>
        </is>
      </c>
      <c r="O59" s="12" t="inlineStr">
        <is>
          <r>
            <rPr>
              <rFont val="Calibri"/>
              <b val="1"/>
              <sz val="10"/>
            </rPr>
            <t>Owns:</t>
          </r>
          <r>
            <rPr>
              <rFont val="Calibri"/>
              <sz val="10"/>
            </rPr>
            <t xml:space="preserve"> Several business lines or an executive-scope enterprise function
</t>
          </r>
          <r>
            <rPr>
              <rFont val="Calibri"/>
              <b val="1"/>
              <sz val="10"/>
            </rPr>
            <t>Complexity:</t>
          </r>
          <r>
            <rPr>
              <rFont val="Calibri"/>
              <sz val="10"/>
            </rPr>
            <t xml:space="preserve"> Portfolio-level strategic, financial and regulatory trade-offs
</t>
          </r>
          <r>
            <rPr>
              <rFont val="Calibri"/>
              <b val="1"/>
              <sz val="10"/>
            </rPr>
            <t>Decisions:</t>
          </r>
          <r>
            <rPr>
              <rFont val="Calibri"/>
              <sz val="10"/>
            </rPr>
            <t xml:space="preserve"> Sets direction across business lines
</t>
          </r>
          <r>
            <rPr>
              <rFont val="Calibri"/>
              <b val="1"/>
              <sz val="10"/>
            </rPr>
            <t>Answers for:</t>
          </r>
          <r>
            <rPr>
              <rFont val="Calibri"/>
              <sz val="10"/>
            </rPr>
            <t xml:space="preserve"> Multi-business results
</t>
          </r>
          <r>
            <rPr>
              <rFont val="Calibri"/>
              <b val="1"/>
              <sz val="10"/>
            </rPr>
            <t>Leadership:</t>
          </r>
          <r>
            <rPr>
              <rFont val="Calibri"/>
              <sz val="10"/>
            </rPr>
            <t xml:space="preserve"> Builds the leadership team across businesses</t>
          </r>
        </is>
      </c>
      <c r="P59" s="12" t="inlineStr">
        <is>
          <t>18–24 yrs
Postgraduate / professional qualification preferred</t>
        </is>
      </c>
      <c r="Q59" s="12" t="inlineStr">
        <is>
          <t>Core 5 · Future-ready 4 · Functional 4 · Leadership 5
★ Strategic Thinking &amp; Business Acumen · People Leadership &amp; Mentoring</t>
        </is>
      </c>
      <c r="R59" s="12" t="inlineStr">
        <is>
          <t>Integrate enterprise or business outcomes. Includes: Business-unit, enterprise and exceptional expert mandates. Excludes: A generic promotion destination without a new accountable role.</t>
        </is>
      </c>
      <c r="S59" s="12" t="inlineStr">
        <is>
          <r>
            <rPr>
              <rFont val="Calibri"/>
              <b val="1"/>
              <sz val="10"/>
            </rPr>
            <t>Comparable stage:</t>
          </r>
          <r>
            <rPr>
              <rFont val="Calibri"/>
              <sz val="10"/>
            </rPr>
            <t xml:space="preserve"> EX01 · Business Unit Head / General Manager
Own integrated commercial, operational, financial and risk outcomes for a defined business
</t>
          </r>
          <r>
            <rPr>
              <rFont val="Calibri"/>
              <b val="1"/>
              <sz val="10"/>
            </rPr>
            <t>Ready when:</t>
          </r>
          <r>
            <rPr>
              <rFont val="Calibri"/>
              <sz val="10"/>
            </rPr>
            <t xml:space="preserve"> A transition from functional leadership; size and delegated P&amp;L/resource mandate determine level.</t>
          </r>
        </is>
      </c>
      <c r="T59" s="12" t="inlineStr">
        <is>
          <t>Radford / Mercer E3–E4 · SFIA 7 Set strategy
IRIS Vs Market Benchmark — Aon Radford / Mercer executive codes: E3–E4 SVP · IRIS Vs Competitor Benchmark — regtech / SaaS executive titles: SVP</t>
        </is>
      </c>
      <c r="U59" s="12" t="inlineStr">
        <is>
          <t>E1 · —</t>
        </is>
      </c>
      <c r="V59" s="12" t="inlineStr">
        <is>
          <t>Framework only · fewer than 3 answered</t>
        </is>
      </c>
    </row>
    <row r="60" ht="67" customHeight="1">
      <c r="A60" s="90" t="inlineStr">
        <is>
          <t>RC-094</t>
        </is>
      </c>
      <c r="B60" s="12" t="inlineStr">
        <is>
          <t>Executive Leadership</t>
        </is>
      </c>
      <c r="C60" s="12" t="inlineStr">
        <is>
          <t>Enterprise Leadership</t>
        </is>
      </c>
      <c r="D60" s="36" t="inlineStr">
        <is>
          <t>X3</t>
        </is>
      </c>
      <c r="E60" s="37" t="inlineStr">
        <is>
          <t>Senior Consultant / Advisor</t>
        </is>
      </c>
      <c r="F60" s="12" t="inlineStr">
        <is>
          <t>IC</t>
        </is>
      </c>
      <c r="G60" s="12" t="inlineStr">
        <is>
          <t>Senior Consultant – Enterprise Leadership</t>
        </is>
      </c>
      <c r="H60" s="12" t="inlineStr">
        <is>
          <t>Anand Padmanabhan</t>
        </is>
      </c>
      <c r="I60" s="12" t="inlineStr">
        <is>
          <t>Sales</t>
        </is>
      </c>
      <c r="J60" s="12" t="inlineStr">
        <is>
          <t>Sets enterprise strategy; leads the executive team. At X3: expert or advisory scope · ≈ B3–C2.</t>
        </is>
      </c>
      <c r="K60" s="12" t="inlineStr">
        <is>
          <t>Sets enterprise strategy; leads the executive team</t>
        </is>
      </c>
      <c r="L60" s="12" t="inlineStr">
        <is>
          <t>Within the statement of work</t>
        </is>
      </c>
      <c r="M60" s="12" t="inlineStr">
        <is>
          <t>—</t>
        </is>
      </c>
      <c r="N60" s="12" t="inlineStr">
        <is>
          <r>
            <rPr>
              <rFont val="Calibri"/>
              <b val="1"/>
              <sz val="10"/>
            </rPr>
            <t>Skills:</t>
          </r>
          <r>
            <rPr>
              <rFont val="Calibri"/>
              <sz val="10"/>
            </rPr>
            <t xml:space="preserve"> Management · Sales</t>
          </r>
        </is>
      </c>
      <c r="O60" s="12" t="inlineStr">
        <is>
          <r>
            <rPr>
              <rFont val="Calibri"/>
              <b val="1"/>
              <sz val="10"/>
            </rPr>
            <t>Owns:</t>
          </r>
          <r>
            <rPr>
              <rFont val="Calibri"/>
              <sz val="10"/>
            </rPr>
            <t xml:space="preserve"> Expert or advisory scope · ≈ B3–C2</t>
          </r>
        </is>
      </c>
      <c r="P60" s="12" t="inlineStr">
        <is>
          <t>10+ yrs
As for equivalent role</t>
        </is>
      </c>
      <c r="Q60" s="12" t="inlineStr">
        <is>
          <t>Per statement of work
★ Strategic Thinking &amp; Business Acumen · People Leadership &amp; Mentoring</t>
        </is>
      </c>
      <c r="R60" s="12" t="inlineStr">
        <is>
          <t>Integrate enterprise or business outcomes. Includes: Business-unit, enterprise and exceptional expert mandates. Excludes: A generic promotion destination without a new accountable role.</t>
        </is>
      </c>
      <c r="S60" s="12" t="inlineStr">
        <is>
          <t>—</t>
        </is>
      </c>
      <c r="T60" s="12" t="inlineStr">
        <is>
          <t>Radford / Mercer Contractor · SFIA —
—</t>
        </is>
      </c>
      <c r="U60" s="12" t="inlineStr">
        <is>
          <t>—</t>
        </is>
      </c>
      <c r="V60" s="12" t="inlineStr">
        <is>
          <t>Framework only · fewer than 3 answered</t>
        </is>
      </c>
    </row>
    <row r="61">
      <c r="A61" s="89" t="inlineStr">
        <is>
          <t>Marketing &amp; Communications</t>
        </is>
      </c>
    </row>
    <row r="62" ht="106" customHeight="1">
      <c r="A62" s="90" t="inlineStr">
        <is>
          <t>RC-122</t>
        </is>
      </c>
      <c r="B62" s="12" t="inlineStr">
        <is>
          <t>Marketing &amp; Communications</t>
        </is>
      </c>
      <c r="C62" s="12" t="inlineStr">
        <is>
          <t>Marketing Operations &amp; Automation</t>
        </is>
      </c>
      <c r="D62" s="16" t="inlineStr">
        <is>
          <t>A3</t>
        </is>
      </c>
      <c r="E62" s="17" t="inlineStr">
        <is>
          <t>Senior Associate</t>
        </is>
      </c>
      <c r="F62" s="12" t="inlineStr">
        <is>
          <t>IC</t>
        </is>
      </c>
      <c r="G62" s="12" t="inlineStr">
        <is>
          <t>Senior Marketing Operations Associate</t>
        </is>
      </c>
      <c r="H62" s="12" t="inlineStr">
        <is>
          <t>Shashwat Dikshit</t>
        </is>
      </c>
      <c r="I62" s="12" t="inlineStr">
        <is>
          <t>Marketing</t>
        </is>
      </c>
      <c r="J62" s="12"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K62" s="12"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L62" s="12"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M62" s="12" t="inlineStr">
        <is>
          <t>—</t>
        </is>
      </c>
      <c r="N62" s="12" t="inlineStr">
        <is>
          <r>
            <rPr>
              <rFont val="Calibri"/>
              <b val="1"/>
              <sz val="10"/>
            </rPr>
            <t>Skills:</t>
          </r>
          <r>
            <rPr>
              <rFont val="Calibri"/>
              <sz val="10"/>
            </rPr>
            <t xml:space="preserve"> Marketing
</t>
          </r>
          <r>
            <rPr>
              <rFont val="Calibri"/>
              <b val="1"/>
              <sz val="10"/>
            </rPr>
            <t>Tools:</t>
          </r>
          <r>
            <rPr>
              <rFont val="Calibri"/>
              <sz val="10"/>
            </rPr>
            <t xml:space="preserve"> Google Ads · Google analytics</t>
          </r>
        </is>
      </c>
      <c r="O6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62" s="12" t="inlineStr">
        <is>
          <t>2–4 yrs
Graduate; relevant certification preferred</t>
        </is>
      </c>
      <c r="Q62" s="12" t="inlineStr">
        <is>
          <t>Core 2 · Future-ready 2 · Functional 3 · Leadership —
★ Marketing Tech &amp; Digital Marketing · Communication &amp; Presentation</t>
        </is>
      </c>
      <c r="R62" s="12" t="inlineStr">
        <is>
          <t>Create market understanding, demand and reputation. Includes: Content, demand, digital, product marketing, operations and communications. Excludes: Account closing; product UX design.</t>
        </is>
      </c>
      <c r="S62" s="12" t="inlineStr">
        <is>
          <r>
            <rPr>
              <rFont val="Calibri"/>
              <b val="1"/>
              <sz val="10"/>
            </rPr>
            <t>Comparable stage:</t>
          </r>
          <r>
            <rPr>
              <rFont val="Calibri"/>
              <sz val="10"/>
            </rPr>
            <t xml:space="preserve"> MKT02-2 · Marketing Operations Specialist
Operate clean CRM/automation flows with reliable tracking.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automated journey with consent controls, data reconciliation and conversion analysis</t>
          </r>
        </is>
      </c>
      <c r="T62" s="12" t="inlineStr">
        <is>
          <t>Radford / Mercer P2 · SFIA 3 Apply
IRIS Vs Market Benchmark — CIM proficiency scale: 2–3 · IRIS Vs Competitor Benchmark — SaaS marketing ladder: Marketing Specialist</t>
        </is>
      </c>
      <c r="U62" s="12" t="inlineStr">
        <is>
          <t>B1 · Specialist</t>
        </is>
      </c>
      <c r="V62" s="12" t="inlineStr">
        <is>
          <t>Framework + role-holders' themes · 3+ answered</t>
        </is>
      </c>
    </row>
    <row r="63" ht="93" customHeight="1">
      <c r="A63" s="90" t="inlineStr">
        <is>
          <t>RC-123</t>
        </is>
      </c>
      <c r="B63" s="12" t="inlineStr">
        <is>
          <t>Marketing &amp; Communications</t>
        </is>
      </c>
      <c r="C63" s="12" t="inlineStr">
        <is>
          <t>Product Marketing</t>
        </is>
      </c>
      <c r="D63" s="20" t="inlineStr">
        <is>
          <t>B1</t>
        </is>
      </c>
      <c r="E63" s="21" t="inlineStr">
        <is>
          <t>Team Lead</t>
        </is>
      </c>
      <c r="F63" s="12" t="inlineStr">
        <is>
          <t>Manager</t>
        </is>
      </c>
      <c r="G63" s="12" t="inlineStr">
        <is>
          <t>Team Lead – Product Marketing</t>
        </is>
      </c>
      <c r="H63" s="12" t="inlineStr">
        <is>
          <t>Abhilash Menon</t>
        </is>
      </c>
      <c r="I63" s="12" t="inlineStr">
        <is>
          <t>Marketing</t>
        </is>
      </c>
      <c r="J63" s="12" t="inlineStr">
        <is>
          <t>Launches, positioning, product campaigns and messaging. At B1: a domain / module, or a small team.</t>
        </is>
      </c>
      <c r="K63" s="12" t="inlineStr">
        <is>
          <t>Launches, positioning, product campaigns and messaging; Domain specialist work; A domain or a small team</t>
        </is>
      </c>
      <c r="L63" s="12" t="inlineStr">
        <is>
          <t>Technical / QC / client calls for the domain</t>
        </is>
      </c>
      <c r="M63" s="12" t="inlineStr">
        <is>
          <t>—</t>
        </is>
      </c>
      <c r="N63" s="12" t="inlineStr">
        <is>
          <t>—</t>
        </is>
      </c>
      <c r="O63"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63" s="12" t="inlineStr">
        <is>
          <t>4–7 yrs
Graduate + relevant qualification or certification preferred</t>
        </is>
      </c>
      <c r="Q63" s="12" t="inlineStr">
        <is>
          <t>Core 3 · Future-ready 3 · Functional 3 · Leadership 2
★ Marketing Tech &amp; Digital Marketing · Communication &amp; Presentation</t>
        </is>
      </c>
      <c r="R63" s="12" t="inlineStr">
        <is>
          <t>Create market understanding, demand and reputation. Includes: Content, demand, digital, product marketing, operations and communications. Excludes: Account closing; product UX design.</t>
        </is>
      </c>
      <c r="S63" s="12" t="inlineStr">
        <is>
          <r>
            <rPr>
              <rFont val="Calibri"/>
              <b val="1"/>
              <sz val="10"/>
            </rPr>
            <t>Comparable stage:</t>
          </r>
          <r>
            <rPr>
              <rFont val="Calibri"/>
              <sz val="10"/>
            </rPr>
            <t xml:space="preserve"> LD10-1 · Marketing Discipline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63" s="12" t="inlineStr">
        <is>
          <t>Radford / Mercer P3 / M2 · SFIA 4 Enable
IRIS Vs Market Benchmark — CIM proficiency scale: 3 Able · IRIS Vs Competitor Benchmark — SaaS marketing ladder: Senior Marketing Specialist</t>
        </is>
      </c>
      <c r="U63" s="12" t="inlineStr">
        <is>
          <t>B2 · Senior Specialist</t>
        </is>
      </c>
      <c r="V63" s="12" t="inlineStr">
        <is>
          <t>Framework only · fewer than 3 answered</t>
        </is>
      </c>
    </row>
    <row r="64">
      <c r="A64" s="89" t="inlineStr">
        <is>
          <t>Product Management</t>
        </is>
      </c>
    </row>
    <row r="65" ht="119" customHeight="1">
      <c r="A65" s="90" t="inlineStr">
        <is>
          <t>RC-128</t>
        </is>
      </c>
      <c r="B65" s="12" t="inlineStr">
        <is>
          <t>Product Management</t>
        </is>
      </c>
      <c r="C65" s="12" t="inlineStr">
        <is>
          <t>Product Management</t>
        </is>
      </c>
      <c r="D65" s="20" t="inlineStr">
        <is>
          <t>B3</t>
        </is>
      </c>
      <c r="E65" s="21" t="inlineStr">
        <is>
          <t>Lead Specialist</t>
        </is>
      </c>
      <c r="F65" s="12" t="inlineStr">
        <is>
          <t>IC</t>
        </is>
      </c>
      <c r="G65" s="12" t="inlineStr">
        <is>
          <t>Senior Product Manager</t>
        </is>
      </c>
      <c r="H65" s="12" t="inlineStr">
        <is>
          <t>Sumit Jain</t>
        </is>
      </c>
      <c r="I65" s="12" t="inlineStr">
        <is>
          <t>Product Management</t>
        </is>
      </c>
      <c r="J65" s="12" t="inlineStr">
        <is>
          <r>
            <rPr>
              <rFont val="Calibri"/>
              <sz val="10"/>
            </rPr>
            <t xml:space="preserve">Owns product vision, roadmap, requirements · PRDs, prioritisation and adoption. At B3: a practice, or several teams through team leads.
</t>
          </r>
          <r>
            <rPr>
              <rFont val="Calibri"/>
              <b val="1"/>
              <sz val="10"/>
            </rPr>
            <t>Common themes in sub-family holders, all levels' answers:</t>
          </r>
          <r>
            <rPr>
              <rFont val="Calibri"/>
              <sz val="10"/>
            </rPr>
            <t xml:space="preserve"> product · market · business · customers · management · revenue</t>
          </r>
        </is>
      </c>
      <c r="K65" s="12" t="inlineStr">
        <is>
          <r>
            <rPr>
              <rFont val="Calibri"/>
              <sz val="10"/>
            </rPr>
            <t xml:space="preserve">Owns product vision, roadmap, requirements · PRDs, prioritisation and adoption; Sets standards for a practice; cross-team problems; Several teams or a practice
</t>
          </r>
          <r>
            <rPr>
              <rFont val="Calibri"/>
              <b val="1"/>
              <sz val="10"/>
            </rPr>
            <t>Common themes in sub-family holders, all levels' answers:</t>
          </r>
          <r>
            <rPr>
              <rFont val="Calibri"/>
              <sz val="10"/>
            </rPr>
            <t xml:space="preserve"> product · roadmap · management · customer · research · implementation</t>
          </r>
        </is>
      </c>
      <c r="L65" s="12" t="inlineStr">
        <is>
          <r>
            <rPr>
              <rFont val="Calibri"/>
              <sz val="10"/>
            </rPr>
            <t xml:space="preserve">Commercial / strategic calls for the unit
</t>
          </r>
          <r>
            <rPr>
              <rFont val="Calibri"/>
              <b val="1"/>
              <sz val="10"/>
            </rPr>
            <t>Common themes in sub-family holders, all levels' answers:</t>
          </r>
          <r>
            <rPr>
              <rFont val="Calibri"/>
              <sz val="10"/>
            </rPr>
            <t xml:space="preserve"> research · priorities · approach · roadmap · product · stakeholders</t>
          </r>
        </is>
      </c>
      <c r="M65" s="12" t="inlineStr">
        <is>
          <t>—</t>
        </is>
      </c>
      <c r="N65" s="12" t="inlineStr">
        <is>
          <r>
            <rPr>
              <rFont val="Calibri"/>
              <b val="1"/>
              <sz val="10"/>
            </rPr>
            <t>Skills: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t>
          </r>
        </is>
      </c>
      <c r="O65"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65" s="12" t="inlineStr">
        <is>
          <t>8–12 yrs
Postgraduate or professional qualification preferred</t>
        </is>
      </c>
      <c r="Q65" s="12" t="inlineStr">
        <is>
          <t>Core 4 · Future-ready 3 · Functional 4 · Leadership 3
★ Product, Platform &amp; Domain Knowledge · Business Analysis &amp; Requirements Engineering</t>
        </is>
      </c>
      <c r="R65" s="12" t="inlineStr">
        <is>
          <t>Choose and organise product outcomes. Includes: Discovery, prioritisation, roadmap decisions and product operations. Excludes: Project schedule ownership alone; user research as a standalone discipline.</t>
        </is>
      </c>
      <c r="S65" s="12" t="inlineStr">
        <is>
          <r>
            <rPr>
              <rFont val="Calibri"/>
              <b val="1"/>
              <sz val="10"/>
            </rPr>
            <t>Comparable stage:</t>
          </r>
          <r>
            <rPr>
              <rFont val="Calibri"/>
              <sz val="10"/>
            </rPr>
            <t xml:space="preserve"> PRO01-4 · Lead Product Manager
Shape multiple-product strategy and shared investment principles.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product decision with customer evidence, trade-offs and measured outcomes after launch</t>
          </r>
        </is>
      </c>
      <c r="T65" s="12" t="inlineStr">
        <is>
          <t>Radford / Mercer P5 / M4 · SFIA 5 Ensure, advise
IRIS Vs Competitor Benchmark — SaaS product ladder: Principal / Group PM</t>
        </is>
      </c>
      <c r="U65" s="12" t="inlineStr">
        <is>
          <t>C1 · Principal · or B+ · Player-Coach transition step if leading people hands-on</t>
        </is>
      </c>
      <c r="V65" s="12" t="inlineStr">
        <is>
          <t>Framework + sub-family themes · 3+ answered</t>
        </is>
      </c>
    </row>
    <row r="66">
      <c r="A66" s="89" t="inlineStr">
        <is>
          <t>Project &amp; Program Management</t>
        </is>
      </c>
    </row>
    <row r="67" ht="93" customHeight="1">
      <c r="A67" s="90" t="inlineStr">
        <is>
          <t>RC-131</t>
        </is>
      </c>
      <c r="B67" s="12" t="inlineStr">
        <is>
          <t>Project &amp; Program Management</t>
        </is>
      </c>
      <c r="C67" s="12" t="inlineStr">
        <is>
          <t>Delivery Leadership</t>
        </is>
      </c>
      <c r="D67" s="28" t="inlineStr">
        <is>
          <t>C2</t>
        </is>
      </c>
      <c r="E67" s="29" t="inlineStr">
        <is>
          <t>Head of Function</t>
        </is>
      </c>
      <c r="F67" s="12" t="inlineStr">
        <is>
          <t>Manager</t>
        </is>
      </c>
      <c r="G67" s="12" t="inlineStr">
        <is>
          <t>Head – Delivery</t>
        </is>
      </c>
      <c r="H67" s="12" t="inlineStr">
        <is>
          <t>Pradip Dey</t>
        </is>
      </c>
      <c r="I67" s="12" t="inlineStr">
        <is>
          <t>Technology</t>
        </is>
      </c>
      <c r="J67" s="12" t="inlineStr">
        <is>
          <t>Leads the project &amp; program management function. At C2: a function or department, or a company-wide discipline.</t>
        </is>
      </c>
      <c r="K67" s="12" t="inlineStr">
        <is>
          <t>Leads the project &amp; program management function; Function-wide or company-wide problems; creates methods and standards; Function results, budget and risk</t>
        </is>
      </c>
      <c r="L67" s="12" t="inlineStr">
        <is>
          <t>Sets direction for a function</t>
        </is>
      </c>
      <c r="M67" s="12" t="inlineStr">
        <is>
          <t>—</t>
        </is>
      </c>
      <c r="N67" s="12" t="inlineStr">
        <is>
          <t>—</t>
        </is>
      </c>
      <c r="O67" s="12" t="inlineStr">
        <is>
          <r>
            <rPr>
              <rFont val="Calibri"/>
              <b val="1"/>
              <sz val="10"/>
            </rPr>
            <t>Owns:</t>
          </r>
          <r>
            <rPr>
              <rFont val="Calibri"/>
              <sz val="10"/>
            </rPr>
            <t xml:space="preserve"> A function or department, or a company-wide discipline
</t>
          </r>
          <r>
            <rPr>
              <rFont val="Calibri"/>
              <b val="1"/>
              <sz val="10"/>
            </rPr>
            <t>Complexity:</t>
          </r>
          <r>
            <rPr>
              <rFont val="Calibri"/>
              <sz val="10"/>
            </rPr>
            <t xml:space="preserve"> Function-wide or company-wide problems; creates methods and standards
</t>
          </r>
          <r>
            <rPr>
              <rFont val="Calibri"/>
              <b val="1"/>
              <sz val="10"/>
            </rPr>
            <t>Decisions:</t>
          </r>
          <r>
            <rPr>
              <rFont val="Calibri"/>
              <sz val="10"/>
            </rPr>
            <t xml:space="preserve"> Sets direction for a function
</t>
          </r>
          <r>
            <rPr>
              <rFont val="Calibri"/>
              <b val="1"/>
              <sz val="10"/>
            </rPr>
            <t>Answers for:</t>
          </r>
          <r>
            <rPr>
              <rFont val="Calibri"/>
              <sz val="10"/>
            </rPr>
            <t xml:space="preserve"> Function results, budget and risk
</t>
          </r>
          <r>
            <rPr>
              <rFont val="Calibri"/>
              <b val="1"/>
              <sz val="10"/>
            </rPr>
            <t>Leadership:</t>
          </r>
          <r>
            <rPr>
              <rFont val="Calibri"/>
              <sz val="10"/>
            </rPr>
            <t xml:space="preserve"> Leads a function; shapes functional strategy</t>
          </r>
        </is>
      </c>
      <c r="P67" s="12" t="inlineStr">
        <is>
          <t>12–17 yrs
Postgraduate / professional qualification preferred</t>
        </is>
      </c>
      <c r="Q67" s="12" t="inlineStr">
        <is>
          <t>Core 4 · Future-ready 4 · Functional 5 · Leadership 4
★ Project, Program &amp; Agile Management · Stakeholder &amp; Client Management</t>
        </is>
      </c>
      <c r="R67" s="12" t="inlineStr">
        <is>
          <t>Deliver change and govern investment execution. Includes: Project, programme, portfolio and PMO work with distinct mandates. Excludes: Ongoing product strategy; routine service operations.</t>
        </is>
      </c>
      <c r="S67" s="12" t="inlineStr">
        <is>
          <r>
            <rPr>
              <rFont val="Calibri"/>
              <b val="1"/>
              <sz val="10"/>
            </rPr>
            <t>Comparable stage:</t>
          </r>
          <r>
            <rPr>
              <rFont val="Calibri"/>
              <sz val="10"/>
            </rPr>
            <t xml:space="preserve"> LD11-2 · Head of Delivery / Enterprise PMO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67" s="12" t="inlineStr">
        <is>
          <t>Radford / Mercer P7 / M6 · SFIA 6 Initiate, influence
IRIS Vs Competitor Benchmark — PMI pathway + SaaS delivery ladder: Director PMO / Delivery</t>
        </is>
      </c>
      <c r="U67" s="12" t="inlineStr">
        <is>
          <t>D1 · Chief Specialist / Distinguished Principal · or C+ · Player-Coach transition step if leading people hands-on</t>
        </is>
      </c>
      <c r="V67" s="12" t="inlineStr">
        <is>
          <t>Framework only · fewer than 3 answered</t>
        </is>
      </c>
    </row>
    <row r="68" ht="106" customHeight="1">
      <c r="A68" s="90" t="inlineStr">
        <is>
          <t>RC-134</t>
        </is>
      </c>
      <c r="B68" s="12" t="inlineStr">
        <is>
          <t>Project &amp; Program Management</t>
        </is>
      </c>
      <c r="C68" s="12" t="inlineStr">
        <is>
          <t>Project &amp; Program Delivery</t>
        </is>
      </c>
      <c r="D68" s="20" t="inlineStr">
        <is>
          <t>B1</t>
        </is>
      </c>
      <c r="E68" s="21" t="inlineStr">
        <is>
          <t>Specialist</t>
        </is>
      </c>
      <c r="F68" s="12" t="inlineStr">
        <is>
          <t>IC</t>
        </is>
      </c>
      <c r="G68" s="12" t="inlineStr">
        <is>
          <t>Associate Project Manager · Associate Project Manager – POD Lead · Project Manager – POD Lead</t>
        </is>
      </c>
      <c r="H68" s="12" t="inlineStr">
        <is>
          <t>Aayushi Sharma, Jerigan Gracias, Nivedita Wagh</t>
        </is>
      </c>
      <c r="I68" s="12" t="inlineStr">
        <is>
          <t>Technology</t>
        </is>
      </c>
      <c r="J68" s="12" t="inlineStr">
        <is>
          <r>
            <rPr>
              <rFont val="Calibri"/>
              <sz val="10"/>
            </rPr>
            <t xml:space="preserve">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t>
          </r>
        </is>
      </c>
      <c r="K68" s="12" t="inlineStr">
        <is>
          <r>
            <rPr>
              <rFont val="Calibri"/>
              <sz val="10"/>
            </rPr>
            <t xml:space="preserve">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t>
          </r>
        </is>
      </c>
      <c r="L68" s="12" t="inlineStr">
        <is>
          <r>
            <rPr>
              <rFont val="Calibri"/>
              <sz val="10"/>
            </rPr>
            <t xml:space="preserve">Technical / QC / client calls for the domain
</t>
          </r>
          <r>
            <rPr>
              <rFont val="Calibri"/>
              <b val="1"/>
              <sz val="10"/>
            </rPr>
            <t>Common themes in role-holders' answers:</t>
          </r>
          <r>
            <rPr>
              <rFont val="Calibri"/>
              <sz val="10"/>
            </rPr>
            <t xml:space="preserve"> client · requirement</t>
          </r>
        </is>
      </c>
      <c r="M68" s="12" t="inlineStr">
        <is>
          <r>
            <rPr>
              <rFont val="Calibri"/>
              <b val="1"/>
              <sz val="10"/>
            </rPr>
            <t>Common themes in manager-set KRAs:</t>
          </r>
          <r>
            <rPr>
              <rFont val="Calibri"/>
              <sz val="10"/>
            </rPr>
            <t xml:space="preserve"> projects · support · maintain · pm · reporting · on-time</t>
          </r>
        </is>
      </c>
      <c r="N68" s="12" t="inlineStr">
        <is>
          <r>
            <rPr>
              <rFont val="Calibri"/>
              <b val="1"/>
              <sz val="10"/>
            </rPr>
            <t>Skills:</t>
          </r>
          <r>
            <rPr>
              <rFont val="Calibri"/>
              <sz val="10"/>
            </rPr>
            <t xml:space="preserve"> Project Management · Stakeholder Management
</t>
          </r>
          <r>
            <rPr>
              <rFont val="Calibri"/>
              <b val="1"/>
              <sz val="10"/>
            </rPr>
            <t>Tools:</t>
          </r>
          <r>
            <rPr>
              <rFont val="Calibri"/>
              <sz val="10"/>
            </rPr>
            <t xml:space="preserve"> Excel · Quick Scrum</t>
          </r>
        </is>
      </c>
      <c r="O68"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68" s="12" t="inlineStr">
        <is>
          <t>4–7 yrs
Graduate + relevant qualification or certification preferred</t>
        </is>
      </c>
      <c r="Q68" s="12" t="inlineStr">
        <is>
          <t>Core 3 · Future-ready 3 · Functional 3 · Leadership 1
★ Project, Program &amp; Agile Management · Stakeholder &amp; Client Management</t>
        </is>
      </c>
      <c r="R68" s="12" t="inlineStr">
        <is>
          <t>Deliver change and govern investment execution. Includes: Project, programme, portfolio and PMO work with distinct mandates. Excludes: Ongoing product strategy; routine service operations.</t>
        </is>
      </c>
      <c r="S68" s="12" t="inlineStr">
        <is>
          <r>
            <rPr>
              <rFont val="Calibri"/>
              <b val="1"/>
              <sz val="10"/>
            </rPr>
            <t>Comparable stage:</t>
          </r>
          <r>
            <rPr>
              <rFont val="Calibri"/>
              <sz val="10"/>
            </rPr>
            <t xml:space="preserve"> PMO01-3 · Senior Project Manager
Own complex dependencies, commercial changes and delivery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delivered project with baseline, managed changes, acceptance and benefit review</t>
          </r>
        </is>
      </c>
      <c r="T68" s="12" t="inlineStr">
        <is>
          <t>Radford / Mercer P3 / M2 · SFIA 4 Enable
IRIS Vs Competitor Benchmark — PMI pathway + SaaS delivery ladder: Project Manager · PMP</t>
        </is>
      </c>
      <c r="U68" s="12" t="inlineStr">
        <is>
          <t>B2 · Senior Specialist</t>
        </is>
      </c>
      <c r="V68" s="12" t="inlineStr">
        <is>
          <t>Framework + role-holders' themes · 3+ answered</t>
        </is>
      </c>
    </row>
    <row r="69" ht="106" customHeight="1">
      <c r="A69" s="90" t="inlineStr">
        <is>
          <t>RC-135</t>
        </is>
      </c>
      <c r="B69" s="12" t="inlineStr">
        <is>
          <t>Project &amp; Program Management</t>
        </is>
      </c>
      <c r="C69" s="12" t="inlineStr">
        <is>
          <t>Project &amp; Program Delivery</t>
        </is>
      </c>
      <c r="D69" s="20" t="inlineStr">
        <is>
          <t>B2</t>
        </is>
      </c>
      <c r="E69" s="21" t="inlineStr">
        <is>
          <t>Senior Specialist</t>
        </is>
      </c>
      <c r="F69" s="12" t="inlineStr">
        <is>
          <t>IC</t>
        </is>
      </c>
      <c r="G69" s="12" t="inlineStr">
        <is>
          <t>Project Manager</t>
        </is>
      </c>
      <c r="H69" s="12" t="inlineStr">
        <is>
          <t>Deepa Vaman Shinde</t>
        </is>
      </c>
      <c r="I69" s="12" t="inlineStr">
        <is>
          <t>Technology</t>
        </is>
      </c>
      <c r="J69" s="12" t="inlineStr">
        <is>
          <r>
            <rPr>
              <rFont val="Calibri"/>
              <sz val="10"/>
            </rPr>
            <t xml:space="preserve">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t>
          </r>
        </is>
      </c>
      <c r="K69" s="12"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t>
          </r>
        </is>
      </c>
      <c r="L69" s="12" t="inlineStr">
        <is>
          <r>
            <rPr>
              <rFont val="Calibri"/>
              <sz val="10"/>
            </rPr>
            <t xml:space="preserve">Allocates people and sets team priorities
</t>
          </r>
          <r>
            <rPr>
              <rFont val="Calibri"/>
              <b val="1"/>
              <sz val="10"/>
            </rPr>
            <t>Common themes in sub-family holders, all levels' answers:</t>
          </r>
          <r>
            <rPr>
              <rFont val="Calibri"/>
              <sz val="10"/>
            </rPr>
            <t xml:space="preserve"> client · project · issue · product · allocation · delivery</t>
          </r>
        </is>
      </c>
      <c r="M69" s="12" t="inlineStr">
        <is>
          <t>—</t>
        </is>
      </c>
      <c r="N69" s="12" t="inlineStr">
        <is>
          <r>
            <rPr>
              <rFont val="Calibri"/>
              <b val="1"/>
              <sz val="10"/>
            </rPr>
            <t>Skills:</t>
          </r>
          <r>
            <rPr>
              <rFont val="Calibri"/>
              <sz val="10"/>
            </rPr>
            <t xml:space="preserve"> Project Management · Stakeholder management · Requirement analysis
</t>
          </r>
          <r>
            <rPr>
              <rFont val="Calibri"/>
              <b val="1"/>
              <sz val="10"/>
            </rPr>
            <t>Tools:</t>
          </r>
          <r>
            <rPr>
              <rFont val="Calibri"/>
              <sz val="10"/>
            </rPr>
            <t xml:space="preserve"> Excel · Claude · Quickscrum · Quick Scrum</t>
          </r>
        </is>
      </c>
      <c r="O69"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69" s="12" t="inlineStr">
        <is>
          <t>6–9 yrs
Graduate or postgraduate; professional qualification preferred</t>
        </is>
      </c>
      <c r="Q69" s="12" t="inlineStr">
        <is>
          <t>Core 3 · Future-ready 3 · Functional 4 · Leadership 2
★ Project, Program &amp; Agile Management · Stakeholder &amp; Client Management</t>
        </is>
      </c>
      <c r="R69" s="12" t="inlineStr">
        <is>
          <t>Deliver change and govern investment execution. Includes: Project, programme, portfolio and PMO work with distinct mandates. Excludes: Ongoing product strategy; routine service operations.</t>
        </is>
      </c>
      <c r="S69" s="12" t="inlineStr">
        <is>
          <r>
            <rPr>
              <rFont val="Calibri"/>
              <b val="1"/>
              <sz val="10"/>
            </rPr>
            <t>Comparable stage:</t>
          </r>
          <r>
            <rPr>
              <rFont val="Calibri"/>
              <sz val="10"/>
            </rPr>
            <t xml:space="preserve"> PMO01-3 · Senior Project Manager
Own complex dependencies, commercial changes and delivery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delivered project with baseline, managed changes, acceptance and benefit review</t>
          </r>
        </is>
      </c>
      <c r="T69" s="12" t="inlineStr">
        <is>
          <t>Radford / Mercer P4 / M3 · SFIA 4–5
IRIS Vs Competitor Benchmark — PMI pathway + SaaS delivery ladder: Senior PM</t>
        </is>
      </c>
      <c r="U69" s="12" t="inlineStr">
        <is>
          <t>B3 · Lead Specialist</t>
        </is>
      </c>
      <c r="V69" s="12" t="inlineStr">
        <is>
          <t>Framework + sub-family themes · 3+ answered</t>
        </is>
      </c>
    </row>
    <row r="70" ht="93" customHeight="1">
      <c r="A70" s="90" t="inlineStr">
        <is>
          <t>RC-136</t>
        </is>
      </c>
      <c r="B70" s="12" t="inlineStr">
        <is>
          <t>Project &amp; Program Management</t>
        </is>
      </c>
      <c r="C70" s="12" t="inlineStr">
        <is>
          <t>Project &amp; Program Delivery</t>
        </is>
      </c>
      <c r="D70" s="20" t="inlineStr">
        <is>
          <t>B2</t>
        </is>
      </c>
      <c r="E70" s="21" t="inlineStr">
        <is>
          <t>Manager</t>
        </is>
      </c>
      <c r="F70" s="12" t="inlineStr">
        <is>
          <t>Manager</t>
        </is>
      </c>
      <c r="G70" s="12" t="inlineStr">
        <is>
          <t>Delivery Manager · Project Manager</t>
        </is>
      </c>
      <c r="H70" s="12" t="inlineStr">
        <is>
          <t>Jailesh Bhadra, Kimaya Mundlye, Nikhil Nalawade, Sandeep Dwivedi, Saurabh Kadam, Yunus Patel</t>
        </is>
      </c>
      <c r="I70" s="12" t="inlineStr">
        <is>
          <t>Technology</t>
        </is>
      </c>
      <c r="J70" s="12" t="inlineStr">
        <is>
          <r>
            <rPr>
              <rFont val="Calibri"/>
              <sz val="10"/>
            </rPr>
            <t xml:space="preserve">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t>
          </r>
        </is>
      </c>
      <c r="K70" s="12"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t>
          </r>
        </is>
      </c>
      <c r="L70" s="12" t="inlineStr">
        <is>
          <r>
            <rPr>
              <rFont val="Calibri"/>
              <sz val="10"/>
            </rPr>
            <t xml:space="preserve">Allocates people and sets team priorities
</t>
          </r>
          <r>
            <rPr>
              <rFont val="Calibri"/>
              <b val="1"/>
              <sz val="10"/>
            </rPr>
            <t>Common themes in role-holders' answers:</t>
          </r>
          <r>
            <rPr>
              <rFont val="Calibri"/>
              <sz val="10"/>
            </rPr>
            <t xml:space="preserve"> project · issue</t>
          </r>
        </is>
      </c>
      <c r="M70" s="12" t="inlineStr">
        <is>
          <r>
            <rPr>
              <rFont val="Calibri"/>
              <b val="1"/>
              <sz val="10"/>
            </rPr>
            <t>Common themes in manager-set KRAs:</t>
          </r>
          <r>
            <rPr>
              <rFont val="Calibri"/>
              <sz val="10"/>
            </rPr>
            <t xml:space="preserve"> project · management · level · support · scope · client</t>
          </r>
        </is>
      </c>
      <c r="N70" s="12" t="inlineStr">
        <is>
          <r>
            <rPr>
              <rFont val="Calibri"/>
              <b val="1"/>
              <sz val="10"/>
            </rPr>
            <t>Skills:</t>
          </r>
          <r>
            <rPr>
              <rFont val="Calibri"/>
              <sz val="10"/>
            </rPr>
            <t xml:space="preserve"> Project Management · Stakeholder management
</t>
          </r>
          <r>
            <rPr>
              <rFont val="Calibri"/>
              <b val="1"/>
              <sz val="10"/>
            </rPr>
            <t>Tools:</t>
          </r>
          <r>
            <rPr>
              <rFont val="Calibri"/>
              <sz val="10"/>
            </rPr>
            <t xml:space="preserve"> Claude</t>
          </r>
        </is>
      </c>
      <c r="O70"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70" s="12" t="inlineStr">
        <is>
          <t>6–9 yrs
Graduate or postgraduate; professional qualification preferred</t>
        </is>
      </c>
      <c r="Q70" s="12" t="inlineStr">
        <is>
          <t>Core 3 · Future-ready 3 · Functional 4 · Leadership 3
★ Project, Program &amp; Agile Management · Stakeholder &amp; Client Management</t>
        </is>
      </c>
      <c r="R70" s="12" t="inlineStr">
        <is>
          <t>Deliver change and govern investment execution. Includes: Project, programme, portfolio and PMO work with distinct mandates. Excludes: Ongoing product strategy; routine service operations.</t>
        </is>
      </c>
      <c r="S70" s="12" t="inlineStr">
        <is>
          <r>
            <rPr>
              <rFont val="Calibri"/>
              <b val="1"/>
              <sz val="10"/>
            </rPr>
            <t>Comparable stage:</t>
          </r>
          <r>
            <rPr>
              <rFont val="Calibri"/>
              <sz val="10"/>
            </rPr>
            <t xml:space="preserve"> LD11-1 · Delivery / PMO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70" s="12" t="inlineStr">
        <is>
          <t>Radford / Mercer P4 / M3 · SFIA 4–5
IRIS Vs Competitor Benchmark — PMI pathway + SaaS delivery ladder: Senior PM</t>
        </is>
      </c>
      <c r="U70" s="12" t="inlineStr">
        <is>
          <t>B3 · Lead Specialist</t>
        </is>
      </c>
      <c r="V70" s="12" t="inlineStr">
        <is>
          <t>Framework + role-holders' themes · 3+ answered</t>
        </is>
      </c>
    </row>
    <row r="71" ht="106" customHeight="1">
      <c r="A71" s="90" t="inlineStr">
        <is>
          <t>RC-137</t>
        </is>
      </c>
      <c r="B71" s="12" t="inlineStr">
        <is>
          <t>Project &amp; Program Management</t>
        </is>
      </c>
      <c r="C71" s="12" t="inlineStr">
        <is>
          <t>Project &amp; Program Delivery</t>
        </is>
      </c>
      <c r="D71" s="20" t="inlineStr">
        <is>
          <t>B3</t>
        </is>
      </c>
      <c r="E71" s="21" t="inlineStr">
        <is>
          <t>Lead Specialist</t>
        </is>
      </c>
      <c r="F71" s="12" t="inlineStr">
        <is>
          <t>IC</t>
        </is>
      </c>
      <c r="G71" s="12" t="inlineStr">
        <is>
          <t>Program Manager</t>
        </is>
      </c>
      <c r="H71" s="12" t="inlineStr">
        <is>
          <t>Tarun Kumar Mittal</t>
        </is>
      </c>
      <c r="I71" s="12" t="inlineStr">
        <is>
          <t>Technology</t>
        </is>
      </c>
      <c r="J71" s="12" t="inlineStr">
        <is>
          <r>
            <rPr>
              <rFont val="Calibri"/>
              <sz val="10"/>
            </rPr>
            <t xml:space="preserve">Plans and delivers projects/programmes to scope, time and cost; manages CRs, risks and stakeholders. At B3: a practice, or several teams through team leads.
</t>
          </r>
          <r>
            <rPr>
              <rFont val="Calibri"/>
              <b val="1"/>
              <sz val="10"/>
            </rPr>
            <t>Common themes in sub-family holders, all levels' answers:</t>
          </r>
          <r>
            <rPr>
              <rFont val="Calibri"/>
              <sz val="10"/>
            </rPr>
            <t xml:space="preserve"> project · business · client · manager · management · bridge</t>
          </r>
        </is>
      </c>
      <c r="K71" s="12" t="inlineStr">
        <is>
          <r>
            <rPr>
              <rFont val="Calibri"/>
              <sz val="10"/>
            </rPr>
            <t xml:space="preserve">Plans and delivers projects/programmes to scope, time and cost; manages CRs, risks and stakeholders; Sets standards for a practice; cross-team problems; Several teams or a practice
</t>
          </r>
          <r>
            <rPr>
              <rFont val="Calibri"/>
              <b val="1"/>
              <sz val="10"/>
            </rPr>
            <t>Common themes in sub-family holders, all levels' answers:</t>
          </r>
          <r>
            <rPr>
              <rFont val="Calibri"/>
              <sz val="10"/>
            </rPr>
            <t xml:space="preserve"> management · project · delivery · client · define · priorities</t>
          </r>
        </is>
      </c>
      <c r="L71" s="12" t="inlineStr">
        <is>
          <r>
            <rPr>
              <rFont val="Calibri"/>
              <sz val="10"/>
            </rPr>
            <t xml:space="preserve">Commercial / strategic calls for the unit
</t>
          </r>
          <r>
            <rPr>
              <rFont val="Calibri"/>
              <b val="1"/>
              <sz val="10"/>
            </rPr>
            <t>Common themes in sub-family holders, all levels' answers:</t>
          </r>
          <r>
            <rPr>
              <rFont val="Calibri"/>
              <sz val="10"/>
            </rPr>
            <t xml:space="preserve"> client · project · issue · product · allocation · delivery</t>
          </r>
        </is>
      </c>
      <c r="M71" s="12" t="inlineStr">
        <is>
          <t>—</t>
        </is>
      </c>
      <c r="N71" s="12" t="inlineStr">
        <is>
          <r>
            <rPr>
              <rFont val="Calibri"/>
              <b val="1"/>
              <sz val="10"/>
            </rPr>
            <t>Skills:</t>
          </r>
          <r>
            <rPr>
              <rFont val="Calibri"/>
              <sz val="10"/>
            </rPr>
            <t xml:space="preserve"> Project Management · Stakeholder management · Requirement analysis
</t>
          </r>
          <r>
            <rPr>
              <rFont val="Calibri"/>
              <b val="1"/>
              <sz val="10"/>
            </rPr>
            <t>Tools:</t>
          </r>
          <r>
            <rPr>
              <rFont val="Calibri"/>
              <sz val="10"/>
            </rPr>
            <t xml:space="preserve"> Excel · Claude · Quickscrum · Quick Scrum</t>
          </r>
        </is>
      </c>
      <c r="O71"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71" s="12" t="inlineStr">
        <is>
          <t>8–12 yrs
Postgraduate or professional qualification preferred</t>
        </is>
      </c>
      <c r="Q71" s="12" t="inlineStr">
        <is>
          <t>Core 4 · Future-ready 3 · Functional 4 · Leadership 3
★ Project, Program &amp; Agile Management · Stakeholder &amp; Client Management</t>
        </is>
      </c>
      <c r="R71" s="12" t="inlineStr">
        <is>
          <t>Deliver change and govern investment execution. Includes: Project, programme, portfolio and PMO work with distinct mandates. Excludes: Ongoing product strategy; routine service operations.</t>
        </is>
      </c>
      <c r="S71" s="12" t="inlineStr">
        <is>
          <r>
            <rPr>
              <rFont val="Calibri"/>
              <b val="1"/>
              <sz val="10"/>
            </rPr>
            <t>Comparable stage:</t>
          </r>
          <r>
            <rPr>
              <rFont val="Calibri"/>
              <sz val="10"/>
            </rPr>
            <t xml:space="preserve"> PMO01-4 · Programme Manager · transition
Enter programme work through benefits and multi-project accountability, not tenure.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delivered project with baseline, managed changes, acceptance and benefit review</t>
          </r>
        </is>
      </c>
      <c r="T71" s="12" t="inlineStr">
        <is>
          <t>Radford / Mercer P5 / M4 · SFIA 5 Ensure, advise
IRIS Vs Competitor Benchmark — PMI pathway + SaaS delivery ladder: Program Manager · PgMP · Infosys / Accenture: JL6B Project Manager · L7 Manager</t>
        </is>
      </c>
      <c r="U71" s="12" t="inlineStr">
        <is>
          <t>C1 · Principal · or B+ · Player-Coach transition step if leading people hands-on</t>
        </is>
      </c>
      <c r="V71" s="12" t="inlineStr">
        <is>
          <t>Framework + sub-family themes · 3+ answered</t>
        </is>
      </c>
    </row>
    <row r="72" ht="132" customHeight="1">
      <c r="A72" s="90" t="inlineStr">
        <is>
          <t>RC-138</t>
        </is>
      </c>
      <c r="B72" s="12" t="inlineStr">
        <is>
          <t>Project &amp; Program Management</t>
        </is>
      </c>
      <c r="C72" s="12" t="inlineStr">
        <is>
          <t>Project &amp; Program Delivery</t>
        </is>
      </c>
      <c r="D72" s="24" t="inlineStr">
        <is>
          <t>B+</t>
        </is>
      </c>
      <c r="E72" s="25" t="inlineStr">
        <is>
          <t>Practice Lead · Player-Coach</t>
        </is>
      </c>
      <c r="F72" s="12" t="inlineStr">
        <is>
          <t>IC</t>
        </is>
      </c>
      <c r="G72" s="12" t="inlineStr">
        <is>
          <t>Practice Lead – Project &amp; Program Delivery · Player-Coach</t>
        </is>
      </c>
      <c r="H72" s="12" t="inlineStr">
        <is>
          <t>Izharuddin Shaikh</t>
        </is>
      </c>
      <c r="I72" s="12" t="inlineStr">
        <is>
          <t>Technology</t>
        </is>
      </c>
      <c r="J72" s="12" t="inlineStr">
        <is>
          <r>
            <rPr>
              <rFont val="Calibri"/>
              <sz val="10"/>
            </rPr>
            <t xml:space="preserve">Plans and delivers projects/programmes to scope, time and cost; manages CRs, risks and stakeholders. At B+: a practice or product area: does the hardest hands-on work itself and leads 3–6 people · player-coach.
</t>
          </r>
          <r>
            <rPr>
              <rFont val="Calibri"/>
              <b val="1"/>
              <sz val="10"/>
            </rPr>
            <t>Common themes in sub-family holders, all levels' answers:</t>
          </r>
          <r>
            <rPr>
              <rFont val="Calibri"/>
              <sz val="10"/>
            </rPr>
            <t xml:space="preserve"> project · business · client · manager · management · bridge</t>
          </r>
        </is>
      </c>
      <c r="K72" s="12" t="inlineStr">
        <is>
          <r>
            <rPr>
              <rFont val="Calibri"/>
              <sz val="10"/>
            </rPr>
            <t xml:space="preserve">Plans and delivers projects/programmes to scope, time and cost; manages CRs, risks and stakeholders; Principal-level problems in own domain; sets technical or quality standards and still builds; Practice outcomes plus own deliverables; quality and delivery of the team
</t>
          </r>
          <r>
            <rPr>
              <rFont val="Calibri"/>
              <b val="1"/>
              <sz val="10"/>
            </rPr>
            <t>Common themes in sub-family holders, all levels' answers:</t>
          </r>
          <r>
            <rPr>
              <rFont val="Calibri"/>
              <sz val="10"/>
            </rPr>
            <t xml:space="preserve"> management · project · delivery · client · define · priorities</t>
          </r>
        </is>
      </c>
      <c r="L72" s="12" t="inlineStr">
        <is>
          <r>
            <rPr>
              <rFont val="Calibri"/>
              <sz val="10"/>
            </rPr>
            <t xml:space="preserve">Decides approach and priorities for the practice; escalates only cross-function trade-offs
</t>
          </r>
          <r>
            <rPr>
              <rFont val="Calibri"/>
              <b val="1"/>
              <sz val="10"/>
            </rPr>
            <t>Common themes in sub-family holders, all levels' answers:</t>
          </r>
          <r>
            <rPr>
              <rFont val="Calibri"/>
              <sz val="10"/>
            </rPr>
            <t xml:space="preserve"> client · project · issue · product · allocation · delivery</t>
          </r>
        </is>
      </c>
      <c r="M72" s="12" t="inlineStr">
        <is>
          <t>—</t>
        </is>
      </c>
      <c r="N72" s="12" t="inlineStr">
        <is>
          <r>
            <rPr>
              <rFont val="Calibri"/>
              <b val="1"/>
              <sz val="10"/>
            </rPr>
            <t>Skills:</t>
          </r>
          <r>
            <rPr>
              <rFont val="Calibri"/>
              <sz val="10"/>
            </rPr>
            <t xml:space="preserve"> Project Management · Stakeholder management · Requirement analysis
</t>
          </r>
          <r>
            <rPr>
              <rFont val="Calibri"/>
              <b val="1"/>
              <sz val="10"/>
            </rPr>
            <t>Tools:</t>
          </r>
          <r>
            <rPr>
              <rFont val="Calibri"/>
              <sz val="10"/>
            </rPr>
            <t xml:space="preserve"> Excel · Claude · Quickscrum · Quick Scrum</t>
          </r>
        </is>
      </c>
      <c r="O72" s="12" t="inlineStr">
        <is>
          <r>
            <rPr>
              <rFont val="Calibri"/>
              <b val="1"/>
              <sz val="10"/>
            </rPr>
            <t>Owns:</t>
          </r>
          <r>
            <rPr>
              <rFont val="Calibri"/>
              <sz val="10"/>
            </rPr>
            <t xml:space="preserve"> A practice or product area: does the hardest hands-on work itself and leads 3–6 people · player-coach
</t>
          </r>
          <r>
            <rPr>
              <rFont val="Calibri"/>
              <b val="1"/>
              <sz val="10"/>
            </rPr>
            <t>Complexity:</t>
          </r>
          <r>
            <rPr>
              <rFont val="Calibri"/>
              <sz val="10"/>
            </rPr>
            <t xml:space="preserve"> Principal-level problems in own domain; sets technical or quality standards and still builds
</t>
          </r>
          <r>
            <rPr>
              <rFont val="Calibri"/>
              <b val="1"/>
              <sz val="10"/>
            </rPr>
            <t>Decisions:</t>
          </r>
          <r>
            <rPr>
              <rFont val="Calibri"/>
              <sz val="10"/>
            </rPr>
            <t xml:space="preserve"> Decides approach and priorities for the practice; escalates only cross-function trade-offs
</t>
          </r>
          <r>
            <rPr>
              <rFont val="Calibri"/>
              <b val="1"/>
              <sz val="10"/>
            </rPr>
            <t>Answers for:</t>
          </r>
          <r>
            <rPr>
              <rFont val="Calibri"/>
              <sz val="10"/>
            </rPr>
            <t xml:space="preserve"> Practice outcomes plus own deliverables; quality and delivery of the team
</t>
          </r>
          <r>
            <rPr>
              <rFont val="Calibri"/>
              <b val="1"/>
              <sz val="10"/>
            </rPr>
            <t>Leadership:</t>
          </r>
          <r>
            <rPr>
              <rFont val="Calibri"/>
              <sz val="10"/>
            </rPr>
            <t xml:space="preserve"> Leads 3–6 people · or a pod while remaining a hands-on expert; coaches, allocates, reviews</t>
          </r>
        </is>
      </c>
      <c r="P72" s="12" t="inlineStr">
        <is>
          <t>9–14 yrs
Postgraduate or professional qualification preferred</t>
        </is>
      </c>
      <c r="Q72" s="12" t="inlineStr">
        <is>
          <t>Core 4 · Future-ready 4 · Functional 4 · Leadership 4
★ Project, Program &amp; Agile Management · Stakeholder &amp; Client Management</t>
        </is>
      </c>
      <c r="R72" s="12" t="inlineStr">
        <is>
          <t>Deliver change and govern investment execution. Includes: Project, programme, portfolio and PMO work with distinct mandates. Excludes: Ongoing product strategy; routine service operations.</t>
        </is>
      </c>
      <c r="S72" s="12" t="inlineStr">
        <is>
          <r>
            <rPr>
              <rFont val="Calibri"/>
              <b val="1"/>
              <sz val="10"/>
            </rPr>
            <t>Comparable stage:</t>
          </r>
          <r>
            <rPr>
              <rFont val="Calibri"/>
              <sz val="10"/>
            </rPr>
            <t xml:space="preserve"> PMO01-4 · Programme Manager · transition
Enter programme work through benefits and multi-project accountability, not tenure.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delivered project with baseline, managed changes, acceptance and benefit review</t>
          </r>
        </is>
      </c>
      <c r="T72" s="12" t="inlineStr">
        <is>
          <r>
            <rPr>
              <rFont val="Calibri"/>
              <sz val="10"/>
            </rPr>
            <t xml:space="preserve">Radford / Mercer P5–P6 / M4–M5 · SFIA 5 Ensure, advise
</t>
          </r>
          <r>
            <rPr>
              <rFont val="Calibri"/>
              <b val="1"/>
              <sz val="10"/>
            </rPr>
            <t>Google:</t>
          </r>
          <r>
            <rPr>
              <rFont val="Calibri"/>
              <sz val="10"/>
            </rPr>
            <t xml:space="preserve"> Tech Lead Manager · TLM · McKinsey player/coach · 3–5 reports · SaaS: player-coach team lead carrying own work</t>
          </r>
        </is>
      </c>
      <c r="U72" s="12" t="inlineStr">
        <is>
          <t>C1 · Principal</t>
        </is>
      </c>
      <c r="V72" s="12" t="inlineStr">
        <is>
          <t>Framework + sub-family themes · 3+ answered</t>
        </is>
      </c>
    </row>
    <row r="73">
      <c r="A73" s="89" t="inlineStr">
        <is>
          <t>Quality Assurance</t>
        </is>
      </c>
    </row>
    <row r="74" ht="145" customHeight="1">
      <c r="A74" s="90" t="inlineStr">
        <is>
          <t>RC-139</t>
        </is>
      </c>
      <c r="B74" s="12" t="inlineStr">
        <is>
          <t>Quality Assurance</t>
        </is>
      </c>
      <c r="C74" s="12" t="inlineStr">
        <is>
          <t>Functional &amp; Domain Testing</t>
        </is>
      </c>
      <c r="D74" s="16" t="inlineStr">
        <is>
          <t>A1</t>
        </is>
      </c>
      <c r="E74" s="17" t="inlineStr">
        <is>
          <t>Intern / Trainee</t>
        </is>
      </c>
      <c r="F74" s="12" t="inlineStr">
        <is>
          <t>IC</t>
        </is>
      </c>
      <c r="G74" s="12" t="inlineStr">
        <is>
          <t>Intern – Functional &amp; Domain Testing</t>
        </is>
      </c>
      <c r="H74" s="12" t="inlineStr">
        <is>
          <t>Yugal Kishore Singh</t>
        </is>
      </c>
      <c r="I74" s="12" t="inlineStr">
        <is>
          <t>Quality Assurance</t>
        </is>
      </c>
      <c r="J74" s="12" t="inlineStr">
        <is>
          <r>
            <rPr>
              <rFont val="Calibri"/>
              <sz val="10"/>
            </rPr>
            <t xml:space="preserve">Designs and executes functional, regression and domain/AI-feature test cases; logs defects; supports sign-off. At A1: learning the role; all work reviewed.
</t>
          </r>
          <r>
            <rPr>
              <rFont val="Calibri"/>
              <b val="1"/>
              <sz val="10"/>
            </rPr>
            <t>Common themes in sub-family holders, all levels' answers:</t>
          </r>
          <r>
            <rPr>
              <rFont val="Calibri"/>
              <sz val="10"/>
            </rPr>
            <t xml:space="preserve"> software · quality · product · requirements · user · before</t>
          </r>
        </is>
      </c>
      <c r="K74" s="12" t="inlineStr">
        <is>
          <r>
            <rPr>
              <rFont val="Calibri"/>
              <sz val="10"/>
            </rPr>
            <t xml:space="preserve">Designs and executes functional, regression and domain/AI-feature test cases; logs defects; supports sign-off; Learning; follows worked examples; Learning tasks
</t>
          </r>
          <r>
            <rPr>
              <rFont val="Calibri"/>
              <b val="1"/>
              <sz val="10"/>
            </rPr>
            <t>Common themes in sub-family holders, all levels' answers:</t>
          </r>
          <r>
            <rPr>
              <rFont val="Calibri"/>
              <sz val="10"/>
            </rPr>
            <t xml:space="preserve"> test · defect · reporting · regression · case · execution</t>
          </r>
        </is>
      </c>
      <c r="L74" s="12" t="inlineStr">
        <is>
          <r>
            <rPr>
              <rFont val="Calibri"/>
              <sz val="10"/>
            </rPr>
            <t xml:space="preserve">Needs approval / close guidance
</t>
          </r>
          <r>
            <rPr>
              <rFont val="Calibri"/>
              <b val="1"/>
              <sz val="10"/>
            </rPr>
            <t>Common themes in sub-family holders, all levels' answers:</t>
          </r>
          <r>
            <rPr>
              <rFont val="Calibri"/>
              <sz val="10"/>
            </rPr>
            <t xml:space="preserve"> test · prioritize · independently · scenarios · identify · issues</t>
          </r>
        </is>
      </c>
      <c r="M74" s="12" t="inlineStr">
        <is>
          <t>—</t>
        </is>
      </c>
      <c r="N74" s="12" t="inlineStr">
        <is>
          <r>
            <rPr>
              <rFont val="Calibri"/>
              <b val="1"/>
              <sz val="10"/>
            </rPr>
            <t>Skills: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t>
          </r>
        </is>
      </c>
      <c r="O74"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74" s="12" t="inlineStr">
        <is>
          <t>0 yrs · fresher / intern
Pursuing or completed graduation / diploma</t>
        </is>
      </c>
      <c r="Q74" s="12" t="inlineStr">
        <is>
          <t>Core 1 · Future-ready 1 · Functional 1 · Leadership —
★ Test Automation &amp; QA Engineering · Product, Platform &amp; Domain Knowledge</t>
        </is>
      </c>
      <c r="R74" s="12" t="inlineStr">
        <is>
          <t>Provide systematic product-quality assurance. Includes: Test design, automation, risk-based coverage and quality architecture. Excludes: Data-production checking where the primary output is data.</t>
        </is>
      </c>
      <c r="S74" s="12" t="inlineStr">
        <is>
          <r>
            <rPr>
              <rFont val="Calibri"/>
              <b val="1"/>
              <sz val="10"/>
            </rPr>
            <t>Comparable stage:</t>
          </r>
          <r>
            <rPr>
              <rFont val="Calibri"/>
              <sz val="10"/>
            </rPr>
            <t xml:space="preserve"> QA01-0 · Testing Intern
</t>
          </r>
          <r>
            <rPr>
              <rFont val="Calibri"/>
              <b val="1"/>
              <sz val="10"/>
            </rPr>
            <t>Assist with a supervised work sample:</t>
          </r>
          <r>
            <rPr>
              <rFont val="Calibri"/>
              <sz val="10"/>
            </rPr>
            <t xml:space="preserve"> design tests from requirements and report reproducible defects.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risk-based test plan with traceability, reproducible defects and release recommendation</t>
          </r>
        </is>
      </c>
      <c r="T74" s="12" t="inlineStr">
        <is>
          <t>Radford / Mercer Entry / P1 · intern · SFIA 1 Follow
—</t>
        </is>
      </c>
      <c r="U74" s="12" t="inlineStr">
        <is>
          <t>A2 · Associate</t>
        </is>
      </c>
      <c r="V74" s="12" t="inlineStr">
        <is>
          <t>Framework + sub-family themes · 3+ answered</t>
        </is>
      </c>
    </row>
    <row r="75" ht="145" customHeight="1">
      <c r="A75" s="90" t="inlineStr">
        <is>
          <t>RC-140</t>
        </is>
      </c>
      <c r="B75" s="12" t="inlineStr">
        <is>
          <t>Quality Assurance</t>
        </is>
      </c>
      <c r="C75" s="12" t="inlineStr">
        <is>
          <t>Functional &amp; Domain Testing</t>
        </is>
      </c>
      <c r="D75" s="16" t="inlineStr">
        <is>
          <t>A2</t>
        </is>
      </c>
      <c r="E75" s="17" t="inlineStr">
        <is>
          <t>Associate</t>
        </is>
      </c>
      <c r="F75" s="12" t="inlineStr">
        <is>
          <t>IC</t>
        </is>
      </c>
      <c r="G75" s="12" t="inlineStr">
        <is>
          <t>QA Engineer</t>
        </is>
      </c>
      <c r="H75" s="12" t="inlineStr">
        <is>
          <t>Sanskruti Varade</t>
        </is>
      </c>
      <c r="I75" s="12" t="inlineStr">
        <is>
          <t>Quality Assurance</t>
        </is>
      </c>
      <c r="J75" s="12" t="inlineStr">
        <is>
          <r>
            <rPr>
              <rFont val="Calibri"/>
              <sz val="10"/>
            </rPr>
            <t xml:space="preserve">Designs and executes functional, regression and domain/AI-feature test cases; logs defects; supports sign-off. At A2: standard work delivered independently.
</t>
          </r>
          <r>
            <rPr>
              <rFont val="Calibri"/>
              <b val="1"/>
              <sz val="10"/>
            </rPr>
            <t>Common themes in sub-family holders, all levels' answers:</t>
          </r>
          <r>
            <rPr>
              <rFont val="Calibri"/>
              <sz val="10"/>
            </rPr>
            <t xml:space="preserve"> software · quality · product · requirements · user · before</t>
          </r>
        </is>
      </c>
      <c r="K75" s="12" t="inlineStr">
        <is>
          <r>
            <rPr>
              <rFont val="Calibri"/>
              <sz val="10"/>
            </rPr>
            <t xml:space="preserve">Designs and executes functional, regression and domain/AI-feature test cases; logs defects; supports sign-off; Standard work of the discipline; Own deliverables · accuracy, TAT
</t>
          </r>
          <r>
            <rPr>
              <rFont val="Calibri"/>
              <b val="1"/>
              <sz val="10"/>
            </rPr>
            <t>Common themes in sub-family holders, all levels' answers:</t>
          </r>
          <r>
            <rPr>
              <rFont val="Calibri"/>
              <sz val="10"/>
            </rPr>
            <t xml:space="preserve"> test · defect · reporting · regression · case · execution</t>
          </r>
        </is>
      </c>
      <c r="L75" s="12" t="inlineStr">
        <is>
          <r>
            <rPr>
              <rFont val="Calibri"/>
              <sz val="10"/>
            </rPr>
            <t xml:space="preserve">Chooses own approach within standards
</t>
          </r>
          <r>
            <rPr>
              <rFont val="Calibri"/>
              <b val="1"/>
              <sz val="10"/>
            </rPr>
            <t>Common themes in sub-family holders, all levels' answers:</t>
          </r>
          <r>
            <rPr>
              <rFont val="Calibri"/>
              <sz val="10"/>
            </rPr>
            <t xml:space="preserve"> test · prioritize · independently · scenarios · identify · issues</t>
          </r>
        </is>
      </c>
      <c r="M75" s="12" t="inlineStr">
        <is>
          <t>—</t>
        </is>
      </c>
      <c r="N75" s="12" t="inlineStr">
        <is>
          <r>
            <rPr>
              <rFont val="Calibri"/>
              <b val="1"/>
              <sz val="10"/>
            </rPr>
            <t>Skills: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t>
          </r>
        </is>
      </c>
      <c r="O7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75" s="12" t="inlineStr">
        <is>
          <t>0–2 yrs
Graduate · or diploma with experience</t>
        </is>
      </c>
      <c r="Q75" s="12" t="inlineStr">
        <is>
          <t>Core 2 · Future-ready 2 · Functional 2 · Leadership —
★ Test Automation &amp; QA Engineering · Product, Platform &amp; Domain Knowledge</t>
        </is>
      </c>
      <c r="R75" s="12" t="inlineStr">
        <is>
          <t>Provide systematic product-quality assurance. Includes: Test design, automation, risk-based coverage and quality architecture. Excludes: Data-production checking where the primary output is data.</t>
        </is>
      </c>
      <c r="S75" s="12" t="inlineStr">
        <is>
          <r>
            <rPr>
              <rFont val="Calibri"/>
              <b val="1"/>
              <sz val="10"/>
            </rPr>
            <t>Comparable stage:</t>
          </r>
          <r>
            <rPr>
              <rFont val="Calibri"/>
              <sz val="10"/>
            </rPr>
            <t xml:space="preserve"> QA01-1 · Associate Test Engineer
</t>
          </r>
          <r>
            <rPr>
              <rFont val="Calibri"/>
              <b val="1"/>
              <sz val="10"/>
            </rPr>
            <t>Complete defined parts under review:</t>
          </r>
          <r>
            <rPr>
              <rFont val="Calibri"/>
              <sz val="10"/>
            </rPr>
            <t xml:space="preserve"> design tests from requirements and report reproducible defects.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risk-based test plan with traceability, reproducible defects and release recommendation</t>
          </r>
        </is>
      </c>
      <c r="T75" s="12" t="inlineStr">
        <is>
          <r>
            <rPr>
              <rFont val="Calibri"/>
              <sz val="10"/>
            </rPr>
            <t xml:space="preserve">Radford / Mercer P1–P2 · SFIA 2 Assist
</t>
          </r>
          <r>
            <rPr>
              <rFont val="Calibri"/>
              <b val="1"/>
              <sz val="10"/>
            </rPr>
            <t>Workiva:</t>
          </r>
          <r>
            <rPr>
              <rFont val="Calibri"/>
              <sz val="10"/>
            </rPr>
            <t xml:space="preserve"> Associate SE · Broadridge India: SE · Nasdaq / AxiomSL: SE · IRIS Vs Market Benchmark — ISTQB certification pathway: Foundation</t>
          </r>
        </is>
      </c>
      <c r="U75" s="12" t="inlineStr">
        <is>
          <t>A3 · Senior Associate</t>
        </is>
      </c>
      <c r="V75" s="12" t="inlineStr">
        <is>
          <t>Framework + sub-family themes · 3+ answered</t>
        </is>
      </c>
    </row>
    <row r="76" ht="106" customHeight="1">
      <c r="A76" s="90" t="inlineStr">
        <is>
          <t>RC-141</t>
        </is>
      </c>
      <c r="B76" s="12" t="inlineStr">
        <is>
          <t>Quality Assurance</t>
        </is>
      </c>
      <c r="C76" s="12" t="inlineStr">
        <is>
          <t>Functional &amp; Domain Testing</t>
        </is>
      </c>
      <c r="D76" s="16" t="inlineStr">
        <is>
          <t>A3</t>
        </is>
      </c>
      <c r="E76" s="17" t="inlineStr">
        <is>
          <t>Senior Associate</t>
        </is>
      </c>
      <c r="F76" s="12" t="inlineStr">
        <is>
          <t>IC</t>
        </is>
      </c>
      <c r="G76" s="12" t="inlineStr">
        <is>
          <t>Senior QA Engineer · QA Specialist</t>
        </is>
      </c>
      <c r="H76" s="12" t="inlineStr">
        <is>
          <t>Ayush Saurkar, Bhagyshree Khedkar, Deepika Bartwal, Rahul Devarkonda, Sakina Rampurawala, Sanchi Pawaskar, Sandeep Padhi, Sandip Potkule, Suraj Govind Walhekar, Tejas Rane, Vishal Khare</t>
        </is>
      </c>
      <c r="I76" s="12" t="inlineStr">
        <is>
          <t>Quality Assurance</t>
        </is>
      </c>
      <c r="J76" s="12"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K76" s="12"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L76" s="12"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M76" s="12" t="inlineStr">
        <is>
          <r>
            <rPr>
              <rFont val="Calibri"/>
              <b val="1"/>
              <sz val="10"/>
            </rPr>
            <t>Common themes in manager-set KRAs:</t>
          </r>
          <r>
            <rPr>
              <rFont val="Calibri"/>
              <sz val="10"/>
            </rPr>
            <t xml:space="preserve"> project · qa · quality · production · knowledge · test</t>
          </r>
        </is>
      </c>
      <c r="N76" s="12" t="inlineStr">
        <is>
          <r>
            <rPr>
              <rFont val="Calibri"/>
              <b val="1"/>
              <sz val="10"/>
            </rPr>
            <t>Skills: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t>
          </r>
        </is>
      </c>
      <c r="O7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76" s="12" t="inlineStr">
        <is>
          <t>2–4 yrs
Graduate; relevant certification preferred</t>
        </is>
      </c>
      <c r="Q76" s="12" t="inlineStr">
        <is>
          <t>Core 2 · Future-ready 2 · Functional 3 · Leadership —
★ Test Automation &amp; QA Engineering · Product, Platform &amp; Domain Knowledge</t>
        </is>
      </c>
      <c r="R76" s="12" t="inlineStr">
        <is>
          <t>Provide systematic product-quality assurance. Includes: Test design, automation, risk-based coverage and quality architecture. Excludes: Data-production checking where the primary output is data.</t>
        </is>
      </c>
      <c r="S76" s="12" t="inlineStr">
        <is>
          <r>
            <rPr>
              <rFont val="Calibri"/>
              <b val="1"/>
              <sz val="10"/>
            </rPr>
            <t>Comparable stage:</t>
          </r>
          <r>
            <rPr>
              <rFont val="Calibri"/>
              <sz val="10"/>
            </rPr>
            <t xml:space="preserve"> QA01-2 · Test Engineer
Design tests from requirements and report reproducible defects.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risk-based test plan with traceability, reproducible defects and release recommendation</t>
          </r>
        </is>
      </c>
      <c r="T76"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76" s="12" t="inlineStr">
        <is>
          <t>B1 · Specialist</t>
        </is>
      </c>
      <c r="V76" s="12" t="inlineStr">
        <is>
          <t>Framework + role-holders' themes · 3+ answered</t>
        </is>
      </c>
    </row>
    <row r="77" ht="119" customHeight="1">
      <c r="A77" s="90" t="inlineStr">
        <is>
          <t>RC-142</t>
        </is>
      </c>
      <c r="B77" s="12" t="inlineStr">
        <is>
          <t>Quality Assurance</t>
        </is>
      </c>
      <c r="C77" s="12" t="inlineStr">
        <is>
          <t>Functional &amp; Domain Testing</t>
        </is>
      </c>
      <c r="D77" s="20" t="inlineStr">
        <is>
          <t>B1</t>
        </is>
      </c>
      <c r="E77" s="21" t="inlineStr">
        <is>
          <t>Specialist</t>
        </is>
      </c>
      <c r="F77" s="12" t="inlineStr">
        <is>
          <t>IC</t>
        </is>
      </c>
      <c r="G77" s="12" t="inlineStr">
        <is>
          <t>QA Specialist – POD Lead</t>
        </is>
      </c>
      <c r="H77" s="12" t="inlineStr">
        <is>
          <t>Pallavi Suryavanshi, Ruturaj Kadam, Susan Peter</t>
        </is>
      </c>
      <c r="I77" s="12" t="inlineStr">
        <is>
          <t>Quality Assurance</t>
        </is>
      </c>
      <c r="J77" s="12" t="inlineStr">
        <is>
          <r>
            <rPr>
              <rFont val="Calibri"/>
              <sz val="10"/>
            </rPr>
            <t xml:space="preserve">Designs and executes functional, regression and domain/AI-feature test cases; logs defects; supports sign-off. At B1: a domain / module, or a small team.
</t>
          </r>
          <r>
            <rPr>
              <rFont val="Calibri"/>
              <b val="1"/>
              <sz val="10"/>
            </rPr>
            <t>Common themes in role-holders' answers:</t>
          </r>
          <r>
            <rPr>
              <rFont val="Calibri"/>
              <sz val="10"/>
            </rPr>
            <t xml:space="preserve"> quality · testing · software</t>
          </r>
        </is>
      </c>
      <c r="K77" s="12" t="inlineStr">
        <is>
          <r>
            <rPr>
              <rFont val="Calibri"/>
              <sz val="10"/>
            </rPr>
            <t xml:space="preserve">Designs and executes functional, regression and domain/AI-feature test cases; logs defects; supports sign-off; Domain specialist work; A domain or a small team
</t>
          </r>
          <r>
            <rPr>
              <rFont val="Calibri"/>
              <b val="1"/>
              <sz val="10"/>
            </rPr>
            <t>Common themes in role-holders' answers:</t>
          </r>
          <r>
            <rPr>
              <rFont val="Calibri"/>
              <sz val="10"/>
            </rPr>
            <t xml:space="preserve"> automation testing · review · preparation · defect</t>
          </r>
        </is>
      </c>
      <c r="L77" s="12" t="inlineStr">
        <is>
          <t>Technical / QC / client calls for the domain</t>
        </is>
      </c>
      <c r="M77" s="12" t="inlineStr">
        <is>
          <r>
            <rPr>
              <rFont val="Calibri"/>
              <b val="1"/>
              <sz val="10"/>
            </rPr>
            <t>Common themes in manager-set KRAs:</t>
          </r>
          <r>
            <rPr>
              <rFont val="Calibri"/>
              <sz val="10"/>
            </rPr>
            <t xml:space="preserve"> business · portal · testing · maintained · resolution · automation</t>
          </r>
        </is>
      </c>
      <c r="N77" s="12" t="inlineStr">
        <is>
          <r>
            <rPr>
              <rFont val="Calibri"/>
              <b val="1"/>
              <sz val="10"/>
            </rPr>
            <t>Skills:</t>
          </r>
          <r>
            <rPr>
              <rFont val="Calibri"/>
              <sz val="10"/>
            </rPr>
            <t xml:space="preserve"> Software Testing · Functional testing
</t>
          </r>
          <r>
            <rPr>
              <rFont val="Calibri"/>
              <b val="1"/>
              <sz val="10"/>
            </rPr>
            <t>Tools:</t>
          </r>
          <r>
            <rPr>
              <rFont val="Calibri"/>
              <sz val="10"/>
            </rPr>
            <t xml:space="preserve"> Notepad plus plus · Postman</t>
          </r>
        </is>
      </c>
      <c r="O7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77" s="12" t="inlineStr">
        <is>
          <t>4–7 yrs
Graduate + relevant qualification or certification preferred</t>
        </is>
      </c>
      <c r="Q77" s="12" t="inlineStr">
        <is>
          <t>Core 3 · Future-ready 3 · Functional 3 · Leadership 1
★ Test Automation &amp; QA Engineering · Product, Platform &amp; Domain Knowledge</t>
        </is>
      </c>
      <c r="R77" s="12" t="inlineStr">
        <is>
          <t>Provide systematic product-quality assurance. Includes: Test design, automation, risk-based coverage and quality architecture. Excludes: Data-production checking where the primary output is data.</t>
        </is>
      </c>
      <c r="S77" s="12" t="inlineStr">
        <is>
          <r>
            <rPr>
              <rFont val="Calibri"/>
              <b val="1"/>
              <sz val="10"/>
            </rPr>
            <t>Comparable stage:</t>
          </r>
          <r>
            <rPr>
              <rFont val="Calibri"/>
              <sz val="10"/>
            </rPr>
            <t xml:space="preserve"> QA01-3 · Senior Test Engineer
Own risk-based coverage and release-quality recommendations.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risk-based test plan with traceability, reproducible defects and release recommendation</t>
          </r>
        </is>
      </c>
      <c r="T77"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IRIS Vs Market Benchmark — ISTQB certification pathway: Advanced · Test Analyst</t>
          </r>
        </is>
      </c>
      <c r="U77" s="12" t="inlineStr">
        <is>
          <t>B2 · Senior Specialist</t>
        </is>
      </c>
      <c r="V77" s="12" t="inlineStr">
        <is>
          <t>Framework + role-holders' themes · 3+ answered</t>
        </is>
      </c>
    </row>
    <row r="78" ht="106" customHeight="1">
      <c r="A78" s="90" t="inlineStr">
        <is>
          <t>RC-145</t>
        </is>
      </c>
      <c r="B78" s="12" t="inlineStr">
        <is>
          <t>Quality Assurance</t>
        </is>
      </c>
      <c r="C78" s="12" t="inlineStr">
        <is>
          <t>Test Automation</t>
        </is>
      </c>
      <c r="D78" s="16" t="inlineStr">
        <is>
          <t>A1</t>
        </is>
      </c>
      <c r="E78" s="17" t="inlineStr">
        <is>
          <t>Intern / Trainee</t>
        </is>
      </c>
      <c r="F78" s="12" t="inlineStr">
        <is>
          <t>IC</t>
        </is>
      </c>
      <c r="G78" s="12" t="inlineStr">
        <is>
          <t>Trainee QA Automation Engineer</t>
        </is>
      </c>
      <c r="H78" s="12" t="inlineStr">
        <is>
          <t>Chinmay Dambe, Mahesh Dhokale</t>
        </is>
      </c>
      <c r="I78" s="12" t="inlineStr">
        <is>
          <t>Quality Assurance</t>
        </is>
      </c>
      <c r="J78" s="12" t="inlineStr">
        <is>
          <r>
            <rPr>
              <rFont val="Calibri"/>
              <sz val="10"/>
            </rPr>
            <t xml:space="preserve">Builds and runs automated UI/API test suites integrated with CI. At A1: learning the role; all work reviewed.
</t>
          </r>
          <r>
            <rPr>
              <rFont val="Calibri"/>
              <b val="1"/>
              <sz val="10"/>
            </rPr>
            <t>Common themes in sub-family holders, all levels' answers:</t>
          </r>
          <r>
            <rPr>
              <rFont val="Calibri"/>
              <sz val="10"/>
            </rPr>
            <t xml:space="preserve"> product · quality · early · defects · automation · meets</t>
          </r>
        </is>
      </c>
      <c r="K78" s="12" t="inlineStr">
        <is>
          <r>
            <rPr>
              <rFont val="Calibri"/>
              <sz val="10"/>
            </rPr>
            <t xml:space="preserve">Builds and runs automated UI/API test suites integrated with CI; Learning; follows worked examples; Learning tasks
</t>
          </r>
          <r>
            <rPr>
              <rFont val="Calibri"/>
              <b val="1"/>
              <sz val="10"/>
            </rPr>
            <t>Common themes in sub-family holders, all levels' answers:</t>
          </r>
          <r>
            <rPr>
              <rFont val="Calibri"/>
              <sz val="10"/>
            </rPr>
            <t xml:space="preserve"> testing · scripts · defects · testcase · automation · report</t>
          </r>
        </is>
      </c>
      <c r="L78" s="12" t="inlineStr">
        <is>
          <r>
            <rPr>
              <rFont val="Calibri"/>
              <sz val="10"/>
            </rPr>
            <t xml:space="preserve">Needs approval / close guidance
</t>
          </r>
          <r>
            <rPr>
              <rFont val="Calibri"/>
              <b val="1"/>
              <sz val="10"/>
            </rPr>
            <t>Common themes in sub-family holders, all levels' answers:</t>
          </r>
          <r>
            <rPr>
              <rFont val="Calibri"/>
              <sz val="10"/>
            </rPr>
            <t xml:space="preserve"> testing</t>
          </r>
        </is>
      </c>
      <c r="M78" s="12" t="inlineStr">
        <is>
          <r>
            <rPr>
              <rFont val="Calibri"/>
              <b val="1"/>
              <sz val="10"/>
            </rPr>
            <t>Common themes in manager-set KRAs:</t>
          </r>
          <r>
            <rPr>
              <rFont val="Calibri"/>
              <sz val="10"/>
            </rPr>
            <t xml:space="preserve"> learning · defect · test · assigned · execution · resolve</t>
          </r>
        </is>
      </c>
      <c r="N78" s="12" t="inlineStr">
        <is>
          <r>
            <rPr>
              <rFont val="Calibri"/>
              <b val="1"/>
              <sz val="10"/>
            </rPr>
            <t>Skills:</t>
          </r>
          <r>
            <rPr>
              <rFont val="Calibri"/>
              <sz val="10"/>
            </rPr>
            <t xml:space="preserve"> Software Testing · Manual testing · Playwright · Automation · Api testing
</t>
          </r>
          <r>
            <rPr>
              <rFont val="Calibri"/>
              <b val="1"/>
              <sz val="10"/>
            </rPr>
            <t>Tools:</t>
          </r>
          <r>
            <rPr>
              <rFont val="Calibri"/>
              <sz val="10"/>
            </rPr>
            <t xml:space="preserve"> Selenium · Postman</t>
          </r>
        </is>
      </c>
      <c r="O78"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78" s="12" t="inlineStr">
        <is>
          <t>0 yrs · fresher / intern
Pursuing or completed graduation / diploma</t>
        </is>
      </c>
      <c r="Q78" s="12" t="inlineStr">
        <is>
          <t>Core 1 · Future-ready 1 · Functional 1 · Leadership —
★ Test Automation &amp; QA Engineering · Product, Platform &amp; Domain Knowledge</t>
        </is>
      </c>
      <c r="R78" s="12" t="inlineStr">
        <is>
          <t>Provide systematic product-quality assurance. Includes: Test design, automation, risk-based coverage and quality architecture. Excludes: Data-production checking where the primary output is data.</t>
        </is>
      </c>
      <c r="S78" s="12" t="inlineStr">
        <is>
          <r>
            <rPr>
              <rFont val="Calibri"/>
              <b val="1"/>
              <sz val="10"/>
            </rPr>
            <t>Comparable stage:</t>
          </r>
          <r>
            <rPr>
              <rFont val="Calibri"/>
              <sz val="10"/>
            </rPr>
            <t xml:space="preserve"> QA02-0 · Test Engineering Intern
</t>
          </r>
          <r>
            <rPr>
              <rFont val="Calibri"/>
              <b val="1"/>
              <sz val="10"/>
            </rPr>
            <t>Assist with a supervised work sample:</t>
          </r>
          <r>
            <rPr>
              <rFont val="Calibri"/>
              <sz val="10"/>
            </rPr>
            <t xml:space="preserve"> build reliable automated tests with useful failure signals.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maintained automation suite with reliable signals and reduced regression effort</t>
          </r>
        </is>
      </c>
      <c r="T78" s="12" t="inlineStr">
        <is>
          <t>Radford / Mercer Entry / P1 · intern · SFIA 1 Follow
—</t>
        </is>
      </c>
      <c r="U78" s="12" t="inlineStr">
        <is>
          <t>A2 · Associate</t>
        </is>
      </c>
      <c r="V78" s="12" t="inlineStr">
        <is>
          <t>Framework + sub-family themes · 3+ answered</t>
        </is>
      </c>
    </row>
    <row r="79" ht="106" customHeight="1">
      <c r="A79" s="90" t="inlineStr">
        <is>
          <t>RC-146</t>
        </is>
      </c>
      <c r="B79" s="12" t="inlineStr">
        <is>
          <t>Quality Assurance</t>
        </is>
      </c>
      <c r="C79" s="12" t="inlineStr">
        <is>
          <t>Test Automation</t>
        </is>
      </c>
      <c r="D79" s="16" t="inlineStr">
        <is>
          <t>A3</t>
        </is>
      </c>
      <c r="E79" s="17" t="inlineStr">
        <is>
          <t>Senior Associate</t>
        </is>
      </c>
      <c r="F79" s="12" t="inlineStr">
        <is>
          <t>IC</t>
        </is>
      </c>
      <c r="G79" s="12" t="inlineStr">
        <is>
          <t>Senior QA Automation Engineer</t>
        </is>
      </c>
      <c r="H79" s="12" t="inlineStr">
        <is>
          <t>Adnan Yakub Majgaonkar</t>
        </is>
      </c>
      <c r="I79" s="12" t="inlineStr">
        <is>
          <t>Quality Assurance</t>
        </is>
      </c>
      <c r="J79" s="12"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K79" s="12"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L79" s="12" t="inlineStr">
        <is>
          <r>
            <rPr>
              <rFont val="Calibri"/>
              <sz val="10"/>
            </rPr>
            <t xml:space="preserve">Technical / QC / client calls on own work
</t>
          </r>
          <r>
            <rPr>
              <rFont val="Calibri"/>
              <b val="1"/>
              <sz val="10"/>
            </rPr>
            <t>Common themes in role-holders' answers:</t>
          </r>
          <r>
            <rPr>
              <rFont val="Calibri"/>
              <sz val="10"/>
            </rPr>
            <t xml:space="preserve"> testing</t>
          </r>
        </is>
      </c>
      <c r="M79" s="12" t="inlineStr">
        <is>
          <r>
            <rPr>
              <rFont val="Calibri"/>
              <b val="1"/>
              <sz val="10"/>
            </rPr>
            <t>Common themes in manager-set KRAs:</t>
          </r>
          <r>
            <rPr>
              <rFont val="Calibri"/>
              <sz val="10"/>
            </rPr>
            <t xml:space="preserve"> test coverage · business · automation · knowledge · activities · comprehensive</t>
          </r>
        </is>
      </c>
      <c r="N79" s="12" t="inlineStr">
        <is>
          <r>
            <rPr>
              <rFont val="Calibri"/>
              <b val="1"/>
              <sz val="10"/>
            </rPr>
            <t>Skills:</t>
          </r>
          <r>
            <rPr>
              <rFont val="Calibri"/>
              <sz val="10"/>
            </rPr>
            <t xml:space="preserve"> Software Testing · Manual testing · Playwright
</t>
          </r>
          <r>
            <rPr>
              <rFont val="Calibri"/>
              <b val="1"/>
              <sz val="10"/>
            </rPr>
            <t>Tools:</t>
          </r>
          <r>
            <rPr>
              <rFont val="Calibri"/>
              <sz val="10"/>
            </rPr>
            <t xml:space="preserve"> Postman</t>
          </r>
        </is>
      </c>
      <c r="O79"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79" s="12" t="inlineStr">
        <is>
          <t>2–4 yrs
Graduate; relevant certification preferred</t>
        </is>
      </c>
      <c r="Q79" s="12" t="inlineStr">
        <is>
          <t>Core 2 · Future-ready 2 · Functional 3 · Leadership —
★ Test Automation &amp; QA Engineering · Product, Platform &amp; Domain Knowledge</t>
        </is>
      </c>
      <c r="R79" s="12" t="inlineStr">
        <is>
          <t>Provide systematic product-quality assurance. Includes: Test design, automation, risk-based coverage and quality architecture. Excludes: Data-production checking where the primary output is data.</t>
        </is>
      </c>
      <c r="S79" s="12" t="inlineStr">
        <is>
          <r>
            <rPr>
              <rFont val="Calibri"/>
              <b val="1"/>
              <sz val="10"/>
            </rPr>
            <t>Comparable stage:</t>
          </r>
          <r>
            <rPr>
              <rFont val="Calibri"/>
              <sz val="10"/>
            </rPr>
            <t xml:space="preserve"> QA02-2 · Test Automation Engineer / SDET
Build reliable automated tests with useful failure signals.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maintained automation suite with reliable signals and reduced regression effort</t>
          </r>
        </is>
      </c>
      <c r="T79"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79" s="12" t="inlineStr">
        <is>
          <t>B1 · Specialist</t>
        </is>
      </c>
      <c r="V79" s="12" t="inlineStr">
        <is>
          <t>Framework + role-holders' themes · 3+ answered</t>
        </is>
      </c>
    </row>
    <row r="80" ht="93" customHeight="1">
      <c r="A80" s="90" t="inlineStr">
        <is>
          <t>RC-147</t>
        </is>
      </c>
      <c r="B80" s="12" t="inlineStr">
        <is>
          <t>Quality Assurance</t>
        </is>
      </c>
      <c r="C80" s="12" t="inlineStr">
        <is>
          <t>Test Management &amp; QA Leadership</t>
        </is>
      </c>
      <c r="D80" s="20" t="inlineStr">
        <is>
          <t>B2</t>
        </is>
      </c>
      <c r="E80" s="21" t="inlineStr">
        <is>
          <t>Senior Specialist</t>
        </is>
      </c>
      <c r="F80" s="12" t="inlineStr">
        <is>
          <t>IC</t>
        </is>
      </c>
      <c r="G80" s="12" t="inlineStr">
        <is>
          <t>Senior QA Specialist – POD Lead</t>
        </is>
      </c>
      <c r="H80" s="12" t="inlineStr">
        <is>
          <t>Sameer Joshi</t>
        </is>
      </c>
      <c r="I80" s="12" t="inlineStr">
        <is>
          <t>Quality Assurance</t>
        </is>
      </c>
      <c r="J80" s="12"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K80" s="12"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L80" s="12" t="inlineStr">
        <is>
          <t>Allocates people and sets team priorities</t>
        </is>
      </c>
      <c r="M80" s="12" t="inlineStr">
        <is>
          <t>—</t>
        </is>
      </c>
      <c r="N80" s="12" t="inlineStr">
        <is>
          <r>
            <rPr>
              <rFont val="Calibri"/>
              <b val="1"/>
              <sz val="10"/>
            </rPr>
            <t>Skills:</t>
          </r>
          <r>
            <rPr>
              <rFont val="Calibri"/>
              <sz val="10"/>
            </rPr>
            <t xml:space="preserve"> Software Testing</t>
          </r>
        </is>
      </c>
      <c r="O80"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0" s="12" t="inlineStr">
        <is>
          <t>6–9 yrs
Graduate or postgraduate; professional qualification preferred</t>
        </is>
      </c>
      <c r="Q80" s="12" t="inlineStr">
        <is>
          <t>Core 3 · Future-ready 3 · Functional 4 · Leadership 2
★ Test Automation &amp; QA Engineering · Product, Platform &amp; Domain Knowledge</t>
        </is>
      </c>
      <c r="R80" s="12" t="inlineStr">
        <is>
          <t>Provide systematic product-quality assurance. Includes: Test design, automation, risk-based coverage and quality architecture. Excludes: Data-production checking where the primary output is data.</t>
        </is>
      </c>
      <c r="S80" s="12" t="inlineStr">
        <is>
          <r>
            <rPr>
              <rFont val="Calibri"/>
              <b val="1"/>
              <sz val="10"/>
            </rPr>
            <t>Comparable stage:</t>
          </r>
          <r>
            <rPr>
              <rFont val="Calibri"/>
              <sz val="10"/>
            </rPr>
            <t xml:space="preserve"> LD06-1 · Quality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80"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IRIS Vs Market Benchmark — ISTQB certification pathway: Advanced · Test Manager / TAE</t>
          </r>
        </is>
      </c>
      <c r="U80" s="12" t="inlineStr">
        <is>
          <t>B3 · Lead Specialist</t>
        </is>
      </c>
      <c r="V80" s="12" t="inlineStr">
        <is>
          <t>Framework + sub-family themes · 3+ answered</t>
        </is>
      </c>
    </row>
    <row r="81" ht="93" customHeight="1">
      <c r="A81" s="90" t="inlineStr">
        <is>
          <t>RC-148</t>
        </is>
      </c>
      <c r="B81" s="12" t="inlineStr">
        <is>
          <t>Quality Assurance</t>
        </is>
      </c>
      <c r="C81" s="12" t="inlineStr">
        <is>
          <t>Test Management &amp; QA Leadership</t>
        </is>
      </c>
      <c r="D81" s="20" t="inlineStr">
        <is>
          <t>B2</t>
        </is>
      </c>
      <c r="E81" s="21" t="inlineStr">
        <is>
          <t>Manager</t>
        </is>
      </c>
      <c r="F81" s="12" t="inlineStr">
        <is>
          <t>Manager</t>
        </is>
      </c>
      <c r="G81" s="12" t="inlineStr">
        <is>
          <t>QA Manager · Senior QA Manager</t>
        </is>
      </c>
      <c r="H81" s="12" t="inlineStr">
        <is>
          <t>Davinder Pal Singh</t>
        </is>
      </c>
      <c r="I81" s="12" t="inlineStr">
        <is>
          <t>Quality Assurance</t>
        </is>
      </c>
      <c r="J81" s="12"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K81" s="12"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L81" s="12" t="inlineStr">
        <is>
          <t>Allocates people and sets team priorities</t>
        </is>
      </c>
      <c r="M81" s="12" t="inlineStr">
        <is>
          <t>—</t>
        </is>
      </c>
      <c r="N81" s="12" t="inlineStr">
        <is>
          <r>
            <rPr>
              <rFont val="Calibri"/>
              <b val="1"/>
              <sz val="10"/>
            </rPr>
            <t>Skills:</t>
          </r>
          <r>
            <rPr>
              <rFont val="Calibri"/>
              <sz val="10"/>
            </rPr>
            <t xml:space="preserve"> Software Testing</t>
          </r>
        </is>
      </c>
      <c r="O8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1" s="12" t="inlineStr">
        <is>
          <t>6–9 yrs
Graduate or postgraduate; professional qualification preferred</t>
        </is>
      </c>
      <c r="Q81" s="12" t="inlineStr">
        <is>
          <t>Core 3 · Future-ready 3 · Functional 4 · Leadership 3
★ Test Automation &amp; QA Engineering · Product, Platform &amp; Domain Knowledge</t>
        </is>
      </c>
      <c r="R81" s="12" t="inlineStr">
        <is>
          <t>Provide systematic product-quality assurance. Includes: Test design, automation, risk-based coverage and quality architecture. Excludes: Data-production checking where the primary output is data.</t>
        </is>
      </c>
      <c r="S81" s="12" t="inlineStr">
        <is>
          <r>
            <rPr>
              <rFont val="Calibri"/>
              <b val="1"/>
              <sz val="10"/>
            </rPr>
            <t>Comparable stage:</t>
          </r>
          <r>
            <rPr>
              <rFont val="Calibri"/>
              <sz val="10"/>
            </rPr>
            <t xml:space="preserve"> LD06-1 · Quality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81"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IRIS Vs Market Benchmark — ISTQB certification pathway: Advanced · Test Manager / TAE</t>
          </r>
        </is>
      </c>
      <c r="U81" s="12" t="inlineStr">
        <is>
          <t>B3 · Lead Specialist</t>
        </is>
      </c>
      <c r="V81" s="12" t="inlineStr">
        <is>
          <t>Framework + sub-family themes · 3+ answered</t>
        </is>
      </c>
    </row>
    <row r="82">
      <c r="A82" s="89" t="inlineStr">
        <is>
          <t>Sales &amp; Business Development</t>
        </is>
      </c>
    </row>
    <row r="83" ht="106" customHeight="1">
      <c r="A83" s="90" t="inlineStr">
        <is>
          <t>RC-151</t>
        </is>
      </c>
      <c r="B83" s="12" t="inlineStr">
        <is>
          <t>Sales &amp; Business Development</t>
        </is>
      </c>
      <c r="C83" s="12" t="inlineStr">
        <is>
          <t>Enterprise Sales &amp; Account Management</t>
        </is>
      </c>
      <c r="D83" s="20" t="inlineStr">
        <is>
          <t>B1</t>
        </is>
      </c>
      <c r="E83" s="21" t="inlineStr">
        <is>
          <t>Specialist</t>
        </is>
      </c>
      <c r="F83" s="12" t="inlineStr">
        <is>
          <t>IC</t>
        </is>
      </c>
      <c r="G83" s="12" t="inlineStr">
        <is>
          <t>Account Executive – POD Lead · Account Executive</t>
        </is>
      </c>
      <c r="H83" s="12" t="inlineStr">
        <is>
          <t>Shreya Jolly</t>
        </is>
      </c>
      <c r="I83" s="12" t="inlineStr">
        <is>
          <t>Sales</t>
        </is>
      </c>
      <c r="J83" s="12" t="inlineStr">
        <is>
          <r>
            <rPr>
              <rFont val="Calibri"/>
              <sz val="10"/>
            </rPr>
            <t xml:space="preserve">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t>
          </r>
        </is>
      </c>
      <c r="K83" s="12" t="inlineStr">
        <is>
          <r>
            <rPr>
              <rFont val="Calibri"/>
              <sz val="10"/>
            </rPr>
            <t xml:space="preserve">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t>
          </r>
        </is>
      </c>
      <c r="L83" s="12" t="inlineStr">
        <is>
          <r>
            <rPr>
              <rFont val="Calibri"/>
              <sz val="10"/>
            </rPr>
            <t xml:space="preserve">Technical / QC / client calls for the domain
</t>
          </r>
          <r>
            <rPr>
              <rFont val="Calibri"/>
              <b val="1"/>
              <sz val="10"/>
            </rPr>
            <t>Common themes in sub-family holders, all levels' answers:</t>
          </r>
          <r>
            <rPr>
              <rFont val="Calibri"/>
              <sz val="10"/>
            </rPr>
            <t xml:space="preserve"> meeting</t>
          </r>
        </is>
      </c>
      <c r="M83" s="12" t="inlineStr">
        <is>
          <t>—</t>
        </is>
      </c>
      <c r="N83" s="12" t="inlineStr">
        <is>
          <r>
            <rPr>
              <rFont val="Calibri"/>
              <b val="1"/>
              <sz val="10"/>
            </rPr>
            <t>Skills:</t>
          </r>
          <r>
            <rPr>
              <rFont val="Calibri"/>
              <sz val="10"/>
            </rPr>
            <t xml:space="preserve"> Sales
</t>
          </r>
          <r>
            <rPr>
              <rFont val="Calibri"/>
              <b val="1"/>
              <sz val="10"/>
            </rPr>
            <t>Tools:</t>
          </r>
          <r>
            <rPr>
              <rFont val="Calibri"/>
              <sz val="10"/>
            </rPr>
            <t xml:space="preserve"> Excel</t>
          </r>
        </is>
      </c>
      <c r="O83"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83" s="12" t="inlineStr">
        <is>
          <t>4–7 yrs
Graduate + relevant qualification or certification preferred</t>
        </is>
      </c>
      <c r="Q83" s="12" t="inlineStr">
        <is>
          <t>Core 3 · Future-ready 3 · Functional 3 · Leadership 1
★ Sales, Negotiation &amp; Account Growth · Marketing Tech &amp; Digital Marketing</t>
        </is>
      </c>
      <c r="R83" s="12" t="inlineStr">
        <is>
          <t>Create and convert commercial opportunities. Includes: Prospecting, account sales, alliances, presales and sales operations. Excludes: Customer adoption unless sales accountability is primary.</t>
        </is>
      </c>
      <c r="S83" s="12" t="inlineStr">
        <is>
          <r>
            <rPr>
              <rFont val="Calibri"/>
              <b val="1"/>
              <sz val="10"/>
            </rPr>
            <t>Comparable stage:</t>
          </r>
          <r>
            <rPr>
              <rFont val="Calibri"/>
              <sz val="10"/>
            </rPr>
            <t xml:space="preserve"> SAL02-3 · Senior Account Executive
Own complex multi-stakeholder deals and commercial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account strategy with verified buyer needs, commercial terms and forecast rationale</t>
          </r>
        </is>
      </c>
      <c r="T83" s="12" t="inlineStr">
        <is>
          <t>Radford / Mercer P3 / M2 · SFIA 4 Enable
IRIS Vs Competitor Benchmark — SaaS sales ladder — IC: Account Executive · SMB · IRIS Vs Competitor Benchmark — SaaS sales ladder — management: SDR Team Lead</t>
        </is>
      </c>
      <c r="U83" s="12" t="inlineStr">
        <is>
          <t>B2 · Senior Specialist</t>
        </is>
      </c>
      <c r="V83" s="12" t="inlineStr">
        <is>
          <t>Framework + sub-family themes · 3+ answered</t>
        </is>
      </c>
    </row>
    <row r="84" ht="80" customHeight="1">
      <c r="A84" s="90" t="inlineStr">
        <is>
          <t>RC-153</t>
        </is>
      </c>
      <c r="B84" s="12" t="inlineStr">
        <is>
          <t>Sales &amp; Business Development</t>
        </is>
      </c>
      <c r="C84" s="12" t="inlineStr">
        <is>
          <t>Enterprise Sales &amp; Account Management</t>
        </is>
      </c>
      <c r="D84" s="36" t="inlineStr">
        <is>
          <t>X2</t>
        </is>
      </c>
      <c r="E84" s="37" t="inlineStr">
        <is>
          <t>Consultant</t>
        </is>
      </c>
      <c r="F84" s="12" t="inlineStr">
        <is>
          <t>IC</t>
        </is>
      </c>
      <c r="G84" s="12" t="inlineStr">
        <is>
          <t>Consultant – Enterprise Sales &amp; Account Management</t>
        </is>
      </c>
      <c r="H84" s="12" t="inlineStr">
        <is>
          <t>Rajesh Nair</t>
        </is>
      </c>
      <c r="I84" s="12" t="inlineStr">
        <is>
          <t>Sales</t>
        </is>
      </c>
      <c r="J84" s="12" t="inlineStr">
        <is>
          <r>
            <rPr>
              <rFont val="Calibri"/>
              <sz val="10"/>
            </rPr>
            <t xml:space="preserve">Runs discovery, demos, proposals and negotiations; closes and grows accounts. At X2: specialist scope or workstream · ≈ B1–B2.
</t>
          </r>
          <r>
            <rPr>
              <rFont val="Calibri"/>
              <b val="1"/>
              <sz val="10"/>
            </rPr>
            <t>Common themes in sub-family holders, all levels' answers:</t>
          </r>
          <r>
            <rPr>
              <rFont val="Calibri"/>
              <sz val="10"/>
            </rPr>
            <t xml:space="preserve"> sales · company · revenue</t>
          </r>
        </is>
      </c>
      <c r="K84" s="12"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ups · follow</t>
          </r>
        </is>
      </c>
      <c r="L84" s="12" t="inlineStr">
        <is>
          <r>
            <rPr>
              <rFont val="Calibri"/>
              <sz val="10"/>
            </rPr>
            <t xml:space="preserve">Within the statement of work
</t>
          </r>
          <r>
            <rPr>
              <rFont val="Calibri"/>
              <b val="1"/>
              <sz val="10"/>
            </rPr>
            <t>Common themes in sub-family holders, all levels' answers:</t>
          </r>
          <r>
            <rPr>
              <rFont val="Calibri"/>
              <sz val="10"/>
            </rPr>
            <t xml:space="preserve"> meeting</t>
          </r>
        </is>
      </c>
      <c r="M84" s="12" t="inlineStr">
        <is>
          <t>—</t>
        </is>
      </c>
      <c r="N84" s="12" t="inlineStr">
        <is>
          <r>
            <rPr>
              <rFont val="Calibri"/>
              <b val="1"/>
              <sz val="10"/>
            </rPr>
            <t>Skills:</t>
          </r>
          <r>
            <rPr>
              <rFont val="Calibri"/>
              <sz val="10"/>
            </rPr>
            <t xml:space="preserve"> Sales
</t>
          </r>
          <r>
            <rPr>
              <rFont val="Calibri"/>
              <b val="1"/>
              <sz val="10"/>
            </rPr>
            <t>Tools:</t>
          </r>
          <r>
            <rPr>
              <rFont val="Calibri"/>
              <sz val="10"/>
            </rPr>
            <t xml:space="preserve"> Excel</t>
          </r>
        </is>
      </c>
      <c r="O84" s="12" t="inlineStr">
        <is>
          <r>
            <rPr>
              <rFont val="Calibri"/>
              <b val="1"/>
              <sz val="10"/>
            </rPr>
            <t>Owns:</t>
          </r>
          <r>
            <rPr>
              <rFont val="Calibri"/>
              <sz val="10"/>
            </rPr>
            <t xml:space="preserve"> Specialist scope or workstream · ≈ B1–B2</t>
          </r>
        </is>
      </c>
      <c r="P84" s="12" t="inlineStr">
        <is>
          <t>4–10 yrs
As for equivalent role</t>
        </is>
      </c>
      <c r="Q84" s="12" t="inlineStr">
        <is>
          <t>Per statement of work
★ Sales, Negotiation &amp; Account Growth · Marketing Tech &amp; Digital Marketing</t>
        </is>
      </c>
      <c r="R84" s="12" t="inlineStr">
        <is>
          <t>Create and convert commercial opportunities. Includes: Prospecting, account sales, alliances, presales and sales operations. Excludes: Customer adoption unless sales accountability is primary.</t>
        </is>
      </c>
      <c r="S84" s="12" t="inlineStr">
        <is>
          <t>—</t>
        </is>
      </c>
      <c r="T84" s="12" t="inlineStr">
        <is>
          <t>Radford / Mercer Contractor · SFIA —
—</t>
        </is>
      </c>
      <c r="U84" s="12" t="inlineStr">
        <is>
          <t>—</t>
        </is>
      </c>
      <c r="V84" s="12" t="inlineStr">
        <is>
          <t>Framework + sub-family themes · 3+ answered</t>
        </is>
      </c>
    </row>
    <row r="85" ht="119" customHeight="1">
      <c r="A85" s="90" t="inlineStr">
        <is>
          <t>RC-160</t>
        </is>
      </c>
      <c r="B85" s="12" t="inlineStr">
        <is>
          <t>Sales &amp; Business Development</t>
        </is>
      </c>
      <c r="C85" s="12" t="inlineStr">
        <is>
          <t>Partnerships &amp; Alliances</t>
        </is>
      </c>
      <c r="D85" s="20" t="inlineStr">
        <is>
          <t>B3</t>
        </is>
      </c>
      <c r="E85" s="21" t="inlineStr">
        <is>
          <t>Lead Specialist</t>
        </is>
      </c>
      <c r="F85" s="12" t="inlineStr">
        <is>
          <t>IC</t>
        </is>
      </c>
      <c r="G85" s="12" t="inlineStr">
        <is>
          <t>Lead Alliances Specialist – POD Lead</t>
        </is>
      </c>
      <c r="H85" s="12" t="inlineStr">
        <is>
          <t>Amit Jaidka</t>
        </is>
      </c>
      <c r="I85" s="12" t="inlineStr">
        <is>
          <t>Sales</t>
        </is>
      </c>
      <c r="J85" s="12" t="inlineStr">
        <is>
          <t>Builds and manages partner / alliance revenue. At B3: a practice, or several teams through team leads.</t>
        </is>
      </c>
      <c r="K85" s="12" t="inlineStr">
        <is>
          <t>Builds and manages partner / alliance revenue; Sets standards for a practice; cross-team problems; Several teams or a practice</t>
        </is>
      </c>
      <c r="L85" s="12" t="inlineStr">
        <is>
          <t>Commercial / strategic calls for the unit</t>
        </is>
      </c>
      <c r="M85" s="12" t="inlineStr">
        <is>
          <t>—</t>
        </is>
      </c>
      <c r="N85" s="12" t="inlineStr">
        <is>
          <r>
            <rPr>
              <rFont val="Calibri"/>
              <b val="1"/>
              <sz val="10"/>
            </rPr>
            <t>Skills:</t>
          </r>
          <r>
            <rPr>
              <rFont val="Calibri"/>
              <sz val="10"/>
            </rPr>
            <t xml:space="preserve"> Sales</t>
          </r>
        </is>
      </c>
      <c r="O85"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85" s="12" t="inlineStr">
        <is>
          <t>8–12 yrs
Postgraduate or professional qualification preferred</t>
        </is>
      </c>
      <c r="Q85" s="12" t="inlineStr">
        <is>
          <t>Core 4 · Future-ready 3 · Functional 4 · Leadership 3
★ Sales, Negotiation &amp; Account Growth · Marketing Tech &amp; Digital Marketing</t>
        </is>
      </c>
      <c r="R85" s="12" t="inlineStr">
        <is>
          <t>Create and convert commercial opportunities. Includes: Prospecting, account sales, alliances, presales and sales operations. Excludes: Customer adoption unless sales accountability is primary.</t>
        </is>
      </c>
      <c r="S85" s="12" t="inlineStr">
        <is>
          <r>
            <rPr>
              <rFont val="Calibri"/>
              <b val="1"/>
              <sz val="10"/>
            </rPr>
            <t>Comparable stage:</t>
          </r>
          <r>
            <rPr>
              <rFont val="Calibri"/>
              <sz val="10"/>
            </rPr>
            <t xml:space="preserve"> SAL05-4 · Strategic Alliances Manager
Design ecosystem strategy and resolve cross-partner commercial conflicts.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partnership business case with responsibilities, commercial model and delivered outcomes</t>
          </r>
        </is>
      </c>
      <c r="T85" s="12" t="inlineStr">
        <is>
          <t>Radford / Mercer P5 / M4 · SFIA 5 Ensure, advise
IRIS Vs Competitor Benchmark — SaaS sales ladder — IC: Enterprise AE · IRIS Vs Competitor Benchmark — SaaS sales ladder — management: Senior Sales Manager</t>
        </is>
      </c>
      <c r="U85" s="12" t="inlineStr">
        <is>
          <t>C1 · Principal · or B+ · Player-Coach transition step if leading people hands-on</t>
        </is>
      </c>
      <c r="V85" s="12" t="inlineStr">
        <is>
          <t>Framework only · fewer than 3 answered</t>
        </is>
      </c>
    </row>
    <row r="86" ht="106" customHeight="1">
      <c r="A86" s="90" t="inlineStr">
        <is>
          <t>RC-161</t>
        </is>
      </c>
      <c r="B86" s="12" t="inlineStr">
        <is>
          <t>Sales &amp; Business Development</t>
        </is>
      </c>
      <c r="C86" s="12" t="inlineStr">
        <is>
          <t>Pre-Sales &amp; Solution Demos</t>
        </is>
      </c>
      <c r="D86" s="20" t="inlineStr">
        <is>
          <t>B1</t>
        </is>
      </c>
      <c r="E86" s="21" t="inlineStr">
        <is>
          <t>Specialist</t>
        </is>
      </c>
      <c r="F86" s="12" t="inlineStr">
        <is>
          <t>IC</t>
        </is>
      </c>
      <c r="G86" s="12" t="inlineStr">
        <is>
          <t>Pre-Sales Specialist</t>
        </is>
      </c>
      <c r="H86" s="12" t="inlineStr">
        <is>
          <t>Devam Khatri</t>
        </is>
      </c>
      <c r="I86" s="12" t="inlineStr">
        <is>
          <t>Sales</t>
        </is>
      </c>
      <c r="J86" s="12" t="inlineStr">
        <is>
          <t>Maps requirements, runs solution demos, supports RFPs and deals. At B1: a domain / module, or a small team.</t>
        </is>
      </c>
      <c r="K86" s="12" t="inlineStr">
        <is>
          <t>Maps requirements, runs solution demos, supports RFPs and deals; Domain specialist work; A domain or a small team</t>
        </is>
      </c>
      <c r="L86" s="12" t="inlineStr">
        <is>
          <t>Technical / QC / client calls for the domain</t>
        </is>
      </c>
      <c r="M86" s="12" t="inlineStr">
        <is>
          <t>—</t>
        </is>
      </c>
      <c r="N86" s="12" t="inlineStr">
        <is>
          <t>—</t>
        </is>
      </c>
      <c r="O86"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86" s="12" t="inlineStr">
        <is>
          <t>4–7 yrs
Graduate + relevant qualification or certification preferred</t>
        </is>
      </c>
      <c r="Q86" s="12" t="inlineStr">
        <is>
          <t>Core 3 · Future-ready 3 · Functional 3 · Leadership 1
★ Sales, Negotiation &amp; Account Growth · Marketing Tech &amp; Digital Marketing</t>
        </is>
      </c>
      <c r="R86" s="12" t="inlineStr">
        <is>
          <t>Create and convert commercial opportunities. Includes: Prospecting, account sales, alliances, presales and sales operations. Excludes: Customer adoption unless sales accountability is primary.</t>
        </is>
      </c>
      <c r="S86" s="12" t="inlineStr">
        <is>
          <r>
            <rPr>
              <rFont val="Calibri"/>
              <b val="1"/>
              <sz val="10"/>
            </rPr>
            <t>Comparable stage:</t>
          </r>
          <r>
            <rPr>
              <rFont val="Calibri"/>
              <sz val="10"/>
            </rPr>
            <t xml:space="preserve"> SAL06-3 · Senior Solutions Engineer
Resolve complex customer architecture and evaluation risks.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customer proof of value that satisfies agreed criteria and records constraints</t>
          </r>
        </is>
      </c>
      <c r="T86" s="12" t="inlineStr">
        <is>
          <t>Radford / Mercer P3 / M2 · SFIA 4 Enable
IRIS Vs Competitor Benchmark — SaaS sales ladder — IC: Account Executive · SMB · IRIS Vs Competitor Benchmark — SaaS sales ladder — management: SDR Team Lead</t>
        </is>
      </c>
      <c r="U86" s="12" t="inlineStr">
        <is>
          <t>B2 · Senior Specialist</t>
        </is>
      </c>
      <c r="V86" s="12" t="inlineStr">
        <is>
          <t>Framework only · fewer than 3 answered</t>
        </is>
      </c>
    </row>
    <row r="87" ht="93" customHeight="1">
      <c r="A87" s="90" t="inlineStr">
        <is>
          <t>RC-168</t>
        </is>
      </c>
      <c r="B87" s="12" t="inlineStr">
        <is>
          <t>Sales &amp; Business Development</t>
        </is>
      </c>
      <c r="C87" s="12" t="inlineStr">
        <is>
          <t>Sales Leadership</t>
        </is>
      </c>
      <c r="D87" s="20" t="inlineStr">
        <is>
          <t>B2</t>
        </is>
      </c>
      <c r="E87" s="21" t="inlineStr">
        <is>
          <t>Senior Specialist</t>
        </is>
      </c>
      <c r="F87" s="12" t="inlineStr">
        <is>
          <t>IC</t>
        </is>
      </c>
      <c r="G87" s="12" t="inlineStr">
        <is>
          <t>Lead Account Executive · Senior Account Executive – POD Lead</t>
        </is>
      </c>
      <c r="H87" s="12" t="inlineStr">
        <is>
          <t>Apurva Kirtikar</t>
        </is>
      </c>
      <c r="I87" s="12" t="inlineStr">
        <is>
          <t>Sales</t>
        </is>
      </c>
      <c r="J87" s="12" t="inlineStr">
        <is>
          <r>
            <rPr>
              <rFont val="Calibri"/>
              <sz val="10"/>
            </rPr>
            <t xml:space="preserve">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t>
          </r>
        </is>
      </c>
      <c r="K87" s="12" t="inlineStr">
        <is>
          <r>
            <rPr>
              <rFont val="Calibri"/>
              <sz val="10"/>
            </rPr>
            <t xml:space="preserve">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t>
          </r>
        </is>
      </c>
      <c r="L87" s="12" t="inlineStr">
        <is>
          <t>Allocates people and sets team priorities</t>
        </is>
      </c>
      <c r="M87" s="12" t="inlineStr">
        <is>
          <t>—</t>
        </is>
      </c>
      <c r="N87" s="12" t="inlineStr">
        <is>
          <r>
            <rPr>
              <rFont val="Calibri"/>
              <b val="1"/>
              <sz val="10"/>
            </rPr>
            <t>Skills:</t>
          </r>
          <r>
            <rPr>
              <rFont val="Calibri"/>
              <sz val="10"/>
            </rPr>
            <t xml:space="preserve"> Sales</t>
          </r>
        </is>
      </c>
      <c r="O87"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7" s="12" t="inlineStr">
        <is>
          <t>6–9 yrs
Graduate or postgraduate; professional qualification preferred</t>
        </is>
      </c>
      <c r="Q87" s="12" t="inlineStr">
        <is>
          <t>Core 3 · Future-ready 3 · Functional 4 · Leadership 2
★ Sales, Negotiation &amp; Account Growth · Marketing Tech &amp; Digital Marketing</t>
        </is>
      </c>
      <c r="R87" s="12" t="inlineStr">
        <is>
          <t>Create and convert commercial opportunities. Includes: Prospecting, account sales, alliances, presales and sales operations. Excludes: Customer adoption unless sales accountability is primary.</t>
        </is>
      </c>
      <c r="S87" s="12" t="inlineStr">
        <is>
          <r>
            <rPr>
              <rFont val="Calibri"/>
              <b val="1"/>
              <sz val="10"/>
            </rPr>
            <t>Comparable stage:</t>
          </r>
          <r>
            <rPr>
              <rFont val="Calibri"/>
              <sz val="10"/>
            </rPr>
            <t xml:space="preserve"> LD05-1 · Sales / Sales Development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87" s="12" t="inlineStr">
        <is>
          <t>Radford / Mercer P4 / M3 · SFIA 4–5
IRIS Vs Competitor Benchmark — SaaS sales ladder — IC: Mid-Market AE · IRIS Vs Competitor Benchmark — SaaS sales ladder — management: Sales Manager</t>
        </is>
      </c>
      <c r="U87" s="12" t="inlineStr">
        <is>
          <t>B3 · Lead Specialist</t>
        </is>
      </c>
      <c r="V87" s="12" t="inlineStr">
        <is>
          <t>Framework + sub-family themes · 3+ answered</t>
        </is>
      </c>
    </row>
    <row r="88" ht="93" customHeight="1">
      <c r="A88" s="90" t="inlineStr">
        <is>
          <t>RC-170</t>
        </is>
      </c>
      <c r="B88" s="12" t="inlineStr">
        <is>
          <t>Sales &amp; Business Development</t>
        </is>
      </c>
      <c r="C88" s="12" t="inlineStr">
        <is>
          <t>Sales Leadership</t>
        </is>
      </c>
      <c r="D88" s="28" t="inlineStr">
        <is>
          <t>C1</t>
        </is>
      </c>
      <c r="E88" s="29" t="inlineStr">
        <is>
          <t>Principal</t>
        </is>
      </c>
      <c r="F88" s="12" t="inlineStr">
        <is>
          <t>IC</t>
        </is>
      </c>
      <c r="G88" s="12" t="inlineStr">
        <is>
          <t>Principal – Enterprise Sales · Principal – Sales</t>
        </is>
      </c>
      <c r="H88" s="12" t="inlineStr">
        <is>
          <t>Ajay Singh Chauhan</t>
        </is>
      </c>
      <c r="I88" s="12" t="inlineStr">
        <is>
          <t>Sales</t>
        </is>
      </c>
      <c r="J88" s="12"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K88" s="12"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L88" s="12" t="inlineStr">
        <is>
          <t>Sets direction for a sub-function or domain</t>
        </is>
      </c>
      <c r="M88" s="12" t="inlineStr">
        <is>
          <t>—</t>
        </is>
      </c>
      <c r="N88" s="12" t="inlineStr">
        <is>
          <r>
            <rPr>
              <rFont val="Calibri"/>
              <b val="1"/>
              <sz val="10"/>
            </rPr>
            <t>Skills:</t>
          </r>
          <r>
            <rPr>
              <rFont val="Calibri"/>
              <sz val="10"/>
            </rPr>
            <t xml:space="preserve"> Sales</t>
          </r>
        </is>
      </c>
      <c r="O88"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88" s="12" t="inlineStr">
        <is>
          <t>10–14 yrs
Postgraduate / professional qualification preferred</t>
        </is>
      </c>
      <c r="Q88" s="12" t="inlineStr">
        <is>
          <t>Core 4 · Future-ready 4 · Functional 4 · Leadership 4
★ Sales, Negotiation &amp; Account Growth · Marketing Tech &amp; Digital Marketing</t>
        </is>
      </c>
      <c r="R88" s="12" t="inlineStr">
        <is>
          <t>Create and convert commercial opportunities. Includes: Prospecting, account sales, alliances, presales and sales operations. Excludes: Customer adoption unless sales accountability is primary.</t>
        </is>
      </c>
      <c r="S88" s="12" t="inlineStr">
        <is>
          <r>
            <rPr>
              <rFont val="Calibri"/>
              <b val="1"/>
              <sz val="10"/>
            </rPr>
            <t>Comparable stage:</t>
          </r>
          <r>
            <rPr>
              <rFont val="Calibri"/>
              <sz val="10"/>
            </rPr>
            <t xml:space="preserve"> LD05-2 · Head / VP of Sales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88" s="12" t="inlineStr">
        <is>
          <t>Radford / Mercer P6 / M5 · SFIA 5–6
IRIS Vs Competitor Benchmark — SaaS sales ladder — IC: Strategic / Principal AE · IRIS Vs Competitor Benchmark — SaaS sales ladder — management: Regional Sales Head</t>
        </is>
      </c>
      <c r="U88" s="12" t="inlineStr">
        <is>
          <t>C2 · Senior Principal / Architect</t>
        </is>
      </c>
      <c r="V88" s="12" t="inlineStr">
        <is>
          <t>Framework + sub-family themes · 3+ answered</t>
        </is>
      </c>
    </row>
    <row r="89" ht="93" customHeight="1">
      <c r="A89" s="90" t="inlineStr">
        <is>
          <t>RC-171</t>
        </is>
      </c>
      <c r="B89" s="12" t="inlineStr">
        <is>
          <t>Sales &amp; Business Development</t>
        </is>
      </c>
      <c r="C89" s="12" t="inlineStr">
        <is>
          <t>Sales Leadership</t>
        </is>
      </c>
      <c r="D89" s="28" t="inlineStr">
        <is>
          <t>C2</t>
        </is>
      </c>
      <c r="E89" s="29" t="inlineStr">
        <is>
          <t>Head of Function</t>
        </is>
      </c>
      <c r="F89" s="12" t="inlineStr">
        <is>
          <t>Manager</t>
        </is>
      </c>
      <c r="G89" s="12" t="inlineStr">
        <is>
          <t>Head – Sales</t>
        </is>
      </c>
      <c r="H89" s="12" t="inlineStr">
        <is>
          <t>Arup Ganguly</t>
        </is>
      </c>
      <c r="I89" s="12" t="inlineStr">
        <is>
          <t>Sales</t>
        </is>
      </c>
      <c r="J89" s="12" t="inlineStr">
        <is>
          <r>
            <rPr>
              <rFont val="Calibri"/>
              <sz val="10"/>
            </rPr>
            <t xml:space="preserve">Leads the sales &amp; business development function. At C2: a function or department, or a company-wide discipline.
</t>
          </r>
          <r>
            <rPr>
              <rFont val="Calibri"/>
              <b val="1"/>
              <sz val="10"/>
            </rPr>
            <t>Common themes in sub-family holders, all levels' answers:</t>
          </r>
          <r>
            <rPr>
              <rFont val="Calibri"/>
              <sz val="10"/>
            </rPr>
            <t xml:space="preserve"> client · follow till · negotiations · details sdr · understand · call</t>
          </r>
        </is>
      </c>
      <c r="K89" s="12" t="inlineStr">
        <is>
          <r>
            <rPr>
              <rFont val="Calibri"/>
              <sz val="10"/>
            </rPr>
            <t xml:space="preserve">Leads the sales &amp; business development function; Function-wide or company-wide problems; creates methods and standards; Function results, budget and risk
</t>
          </r>
          <r>
            <rPr>
              <rFont val="Calibri"/>
              <b val="1"/>
              <sz val="10"/>
            </rPr>
            <t>Common themes in sub-family holders, all levels' answers:</t>
          </r>
          <r>
            <rPr>
              <rFont val="Calibri"/>
              <sz val="10"/>
            </rPr>
            <t xml:space="preserve"> building · partner</t>
          </r>
        </is>
      </c>
      <c r="L89" s="12" t="inlineStr">
        <is>
          <t>Sets direction for a function</t>
        </is>
      </c>
      <c r="M89" s="12" t="inlineStr">
        <is>
          <t>—</t>
        </is>
      </c>
      <c r="N89" s="12" t="inlineStr">
        <is>
          <r>
            <rPr>
              <rFont val="Calibri"/>
              <b val="1"/>
              <sz val="10"/>
            </rPr>
            <t>Skills:</t>
          </r>
          <r>
            <rPr>
              <rFont val="Calibri"/>
              <sz val="10"/>
            </rPr>
            <t xml:space="preserve"> Sales</t>
          </r>
        </is>
      </c>
      <c r="O89" s="12" t="inlineStr">
        <is>
          <r>
            <rPr>
              <rFont val="Calibri"/>
              <b val="1"/>
              <sz val="10"/>
            </rPr>
            <t>Owns:</t>
          </r>
          <r>
            <rPr>
              <rFont val="Calibri"/>
              <sz val="10"/>
            </rPr>
            <t xml:space="preserve"> A function or department, or a company-wide discipline
</t>
          </r>
          <r>
            <rPr>
              <rFont val="Calibri"/>
              <b val="1"/>
              <sz val="10"/>
            </rPr>
            <t>Complexity:</t>
          </r>
          <r>
            <rPr>
              <rFont val="Calibri"/>
              <sz val="10"/>
            </rPr>
            <t xml:space="preserve"> Function-wide or company-wide problems; creates methods and standards
</t>
          </r>
          <r>
            <rPr>
              <rFont val="Calibri"/>
              <b val="1"/>
              <sz val="10"/>
            </rPr>
            <t>Decisions:</t>
          </r>
          <r>
            <rPr>
              <rFont val="Calibri"/>
              <sz val="10"/>
            </rPr>
            <t xml:space="preserve"> Sets direction for a function
</t>
          </r>
          <r>
            <rPr>
              <rFont val="Calibri"/>
              <b val="1"/>
              <sz val="10"/>
            </rPr>
            <t>Answers for:</t>
          </r>
          <r>
            <rPr>
              <rFont val="Calibri"/>
              <sz val="10"/>
            </rPr>
            <t xml:space="preserve"> Function results, budget and risk
</t>
          </r>
          <r>
            <rPr>
              <rFont val="Calibri"/>
              <b val="1"/>
              <sz val="10"/>
            </rPr>
            <t>Leadership:</t>
          </r>
          <r>
            <rPr>
              <rFont val="Calibri"/>
              <sz val="10"/>
            </rPr>
            <t xml:space="preserve"> Leads a function; shapes functional strategy</t>
          </r>
        </is>
      </c>
      <c r="P89" s="12" t="inlineStr">
        <is>
          <t>12–17 yrs
Postgraduate / professional qualification preferred</t>
        </is>
      </c>
      <c r="Q89" s="12" t="inlineStr">
        <is>
          <t>Core 4 · Future-ready 4 · Functional 5 · Leadership 4
★ Sales, Negotiation &amp; Account Growth · Marketing Tech &amp; Digital Marketing</t>
        </is>
      </c>
      <c r="R89" s="12" t="inlineStr">
        <is>
          <t>Create and convert commercial opportunities. Includes: Prospecting, account sales, alliances, presales and sales operations. Excludes: Customer adoption unless sales accountability is primary.</t>
        </is>
      </c>
      <c r="S89" s="12" t="inlineStr">
        <is>
          <r>
            <rPr>
              <rFont val="Calibri"/>
              <b val="1"/>
              <sz val="10"/>
            </rPr>
            <t>Comparable stage:</t>
          </r>
          <r>
            <rPr>
              <rFont val="Calibri"/>
              <sz val="10"/>
            </rPr>
            <t xml:space="preserve"> LD05-2 · Head / VP of Sales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89" s="12" t="inlineStr">
        <is>
          <t>Radford / Mercer P7 / M6 · SFIA 6 Initiate, influence
IRIS Vs Competitor Benchmark — SaaS sales ladder — management: Director of Sales</t>
        </is>
      </c>
      <c r="U89" s="12" t="inlineStr">
        <is>
          <t>D1 · Chief Specialist / Distinguished Principal · or C+ · Player-Coach transition step if leading people hands-on</t>
        </is>
      </c>
      <c r="V89" s="12" t="inlineStr">
        <is>
          <t>Framework + sub-family themes · 3+ answered</t>
        </is>
      </c>
    </row>
  </sheetData>
  <autoFilter ref="A6:V89"/>
  <mergeCells count="20">
    <mergeCell ref="A2:V2"/>
    <mergeCell ref="O5:Q5"/>
    <mergeCell ref="A23:V23"/>
    <mergeCell ref="J5:N5"/>
    <mergeCell ref="T5:U5"/>
    <mergeCell ref="A32:V32"/>
    <mergeCell ref="A28:V28"/>
    <mergeCell ref="A13:V13"/>
    <mergeCell ref="A5:I5"/>
    <mergeCell ref="A58:V58"/>
    <mergeCell ref="A73:V73"/>
    <mergeCell ref="V5"/>
    <mergeCell ref="A64:V64"/>
    <mergeCell ref="A82:V82"/>
    <mergeCell ref="A1:V1"/>
    <mergeCell ref="A61:V61"/>
    <mergeCell ref="A7:V7"/>
    <mergeCell ref="A66:V66"/>
    <mergeCell ref="A3:V3"/>
    <mergeCell ref="R5:S5"/>
  </mergeCells>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165"/>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0" customWidth="1" min="5" max="5"/>
    <col width="66" customWidth="1" min="6" max="6"/>
    <col width="13" customWidth="1" min="7" max="7"/>
  </cols>
  <sheetData>
    <row r="1" ht="34" customHeight="1">
      <c r="A1" s="1" t="inlineStr">
        <is>
          <t>Decisions &amp; Actions — what needs a decision, who must supply what, and what happens next</t>
        </is>
      </c>
      <c r="G1" s="104" t="inlineStr">
        <is>
          <t>◂ Start Here</t>
        </is>
      </c>
    </row>
    <row r="2" ht="30" customHeight="1">
      <c r="A2" s="3" t="inlineStr">
        <is>
          <t>Sheet 4 · Each case gives the person, the level, the score and the reason in full, so it can be decided from this page. Red = an input or decision is needed.</t>
        </is>
      </c>
    </row>
    <row r="3">
      <c r="A3" s="4" t="inlineStr">
        <is>
          <t>IRIS · Job Architecture &amp; Job Design · Final v1.12 · October 2026 · Internal — Confidential</t>
        </is>
      </c>
    </row>
    <row r="4" ht="15" customHeight="1"/>
    <row r="5" ht="15" customHeight="1">
      <c r="A5" s="41" t="inlineStr">
        <is>
          <t>A · DECISIONS FOR YOU AND THE CALIBRATION PANEL</t>
        </is>
      </c>
    </row>
    <row r="6" ht="20" customHeight="1">
      <c r="A6" s="6" t="inlineStr">
        <is>
          <t>A1. Player-Coach placements — 5</t>
        </is>
      </c>
    </row>
    <row r="7" ht="15" customHeight="1">
      <c r="A7" s="40" t="inlineStr">
        <is>
          <t>Confirm the person still spends a real share of time on hands-on work, and that the team size is right.</t>
        </is>
      </c>
    </row>
    <row r="8" ht="15" customHeight="1">
      <c r="A8" s="8" t="inlineStr">
        <is>
          <t>Person</t>
        </is>
      </c>
      <c r="B8" s="8" t="inlineStr">
        <is>
          <t>Department</t>
        </is>
      </c>
      <c r="C8" s="8" t="inlineStr">
        <is>
          <t>Level</t>
        </is>
      </c>
      <c r="D8" s="8" t="inlineStr">
        <is>
          <t>Score</t>
        </is>
      </c>
      <c r="E8" s="8" t="inlineStr">
        <is>
          <t>Designation</t>
        </is>
      </c>
      <c r="F8" s="8" t="inlineStr">
        <is>
          <t>What to decide, and why</t>
        </is>
      </c>
    </row>
    <row r="9" ht="54" customHeight="1">
      <c r="A9" s="10" t="inlineStr">
        <is>
          <t>Brij Kishor Singh</t>
        </is>
      </c>
      <c r="B9" s="12" t="inlineStr">
        <is>
          <t>Technology</t>
        </is>
      </c>
      <c r="C9" s="42" t="inlineStr">
        <is>
          <t>B+</t>
        </is>
      </c>
      <c r="D9" s="42" t="n">
        <v>6.54</v>
      </c>
      <c r="E9" s="12" t="inlineStr">
        <is>
          <t>Practice Lead – Solution &amp; Technical Architecture · Player-Coach</t>
        </is>
      </c>
      <c r="F9" s="86" t="inlineStr">
        <is>
          <r>
            <rPr>
              <rFont val="Calibri"/>
              <b val="1"/>
              <color rgb="009C0006"/>
              <sz val="10"/>
            </rPr>
            <t>Moved up to the B+ Player-Coach transition step:</t>
          </r>
          <r>
            <rPr>
              <rFont val="Calibri"/>
              <color rgb="009C0006"/>
              <sz val="10"/>
            </rPr>
            <t xml:space="preserve"> leads people and still does hands-on work; Player-Coach score 6.54 · needs 6.25 and complexity–accountability average 6.25 · needs 5.5.</t>
          </r>
        </is>
      </c>
    </row>
    <row r="10" ht="54" customHeight="1">
      <c r="A10" s="10" t="inlineStr">
        <is>
          <t>Hemant Trivedi</t>
        </is>
      </c>
      <c r="B10" s="12" t="inlineStr">
        <is>
          <t>Technology</t>
        </is>
      </c>
      <c r="C10" s="42" t="inlineStr">
        <is>
          <t>B+</t>
        </is>
      </c>
      <c r="D10" s="42" t="n">
        <v>6.58</v>
      </c>
      <c r="E10" s="12" t="inlineStr">
        <is>
          <t>Practice Lead – Solution &amp; Technical Architecture · Player-Coach</t>
        </is>
      </c>
      <c r="F10" s="86" t="inlineStr">
        <is>
          <r>
            <rPr>
              <rFont val="Calibri"/>
              <b val="1"/>
              <color rgb="009C0006"/>
              <sz val="10"/>
            </rPr>
            <t>Moved up to the B+ Player-Coach transition step:</t>
          </r>
          <r>
            <rPr>
              <rFont val="Calibri"/>
              <color rgb="009C0006"/>
              <sz val="10"/>
            </rPr>
            <t xml:space="preserve"> leads people and still does hands-on work; Player-Coach score 6.58 · needs 6.25 and complexity–accountability average 5.75 · needs 5.5.</t>
          </r>
        </is>
      </c>
    </row>
    <row r="11" ht="93" customHeight="1">
      <c r="A11" s="10" t="inlineStr">
        <is>
          <t>Izharuddin Shaikh</t>
        </is>
      </c>
      <c r="B11" s="12" t="inlineStr">
        <is>
          <t>Technology</t>
        </is>
      </c>
      <c r="C11" s="42" t="inlineStr">
        <is>
          <t>B+</t>
        </is>
      </c>
      <c r="D11" s="42" t="n">
        <v>6.22</v>
      </c>
      <c r="E11" s="12" t="inlineStr">
        <is>
          <t>Practice Lead – Project &amp; Program Delivery · Player-Coach</t>
        </is>
      </c>
      <c r="F11" s="86" t="inlineStr">
        <is>
          <r>
            <rPr>
              <rFont val="Calibri"/>
              <b val="1"/>
              <color rgb="009C0006"/>
              <sz val="10"/>
            </rPr>
            <t>Placed with tolerance:</t>
          </r>
          <r>
            <rPr>
              <rFont val="Calibri"/>
              <color rgb="009C0006"/>
              <sz val="10"/>
            </rPr>
            <t xml:space="preserve"> Player-Coach score 6.22 vs 6.25. A small shortfall or a wider span is accepted and confirmed in calibration; Moved up to the B+ Player-Coach transition step: leads people and still does hands-on work; Player-Coach score 6.22 · needs 6.25 and complexity–accountability average 6.00 · needs 5.5. Tolerance: Player-Coach score 6.22 vs 6.25.</t>
          </r>
        </is>
      </c>
    </row>
    <row r="12" ht="54" customHeight="1">
      <c r="A12" s="10" t="inlineStr">
        <is>
          <t>Pushpendra Singh</t>
        </is>
      </c>
      <c r="B12" s="12" t="inlineStr">
        <is>
          <t>Technology</t>
        </is>
      </c>
      <c r="C12" s="42" t="inlineStr">
        <is>
          <t>B+</t>
        </is>
      </c>
      <c r="D12" s="42" t="n">
        <v>6.5</v>
      </c>
      <c r="E12" s="12" t="inlineStr">
        <is>
          <t>Practice Lead – Solution &amp; Technical Architecture · Player-Coach</t>
        </is>
      </c>
      <c r="F12" s="86" t="inlineStr">
        <is>
          <r>
            <rPr>
              <rFont val="Calibri"/>
              <b val="1"/>
              <color rgb="009C0006"/>
              <sz val="10"/>
            </rPr>
            <t>Moved up to the B+ Player-Coach transition step:</t>
          </r>
          <r>
            <rPr>
              <rFont val="Calibri"/>
              <color rgb="009C0006"/>
              <sz val="10"/>
            </rPr>
            <t xml:space="preserve"> leads people and still does hands-on work; Player-Coach score 6.50 · needs 6.25 and complexity–accountability average 5.75 · needs 5.5.</t>
          </r>
        </is>
      </c>
    </row>
    <row r="13" ht="54" customHeight="1">
      <c r="A13" s="10" t="inlineStr">
        <is>
          <t>Suman Kumar</t>
        </is>
      </c>
      <c r="B13" s="12" t="inlineStr">
        <is>
          <t>Technology</t>
        </is>
      </c>
      <c r="C13" s="42" t="inlineStr">
        <is>
          <t>B+</t>
        </is>
      </c>
      <c r="D13" s="42" t="n">
        <v>6.54</v>
      </c>
      <c r="E13" s="12" t="inlineStr">
        <is>
          <t>Practice Lead – Solution &amp; Technical Architecture · Player-Coach</t>
        </is>
      </c>
      <c r="F13" s="86" t="inlineStr">
        <is>
          <r>
            <rPr>
              <rFont val="Calibri"/>
              <b val="1"/>
              <color rgb="009C0006"/>
              <sz val="10"/>
            </rPr>
            <t>Moved up to the B+ Player-Coach transition step:</t>
          </r>
          <r>
            <rPr>
              <rFont val="Calibri"/>
              <color rgb="009C0006"/>
              <sz val="10"/>
            </rPr>
            <t xml:space="preserve"> leads people and still does hands-on work; Player-Coach score 6.54 · needs 6.25 and complexity–accountability average 6.25 · needs 5.5.</t>
          </r>
        </is>
      </c>
    </row>
    <row r="14" ht="15" customHeight="1"/>
    <row r="15" ht="20" customHeight="1">
      <c r="A15" s="6" t="inlineStr">
        <is>
          <t>A2. Player-Coach candidates and watch list — 4</t>
        </is>
      </c>
    </row>
    <row r="16" ht="15" customHeight="1">
      <c r="A16" s="40" t="inlineStr">
        <is>
          <t>Candidates qualify on the numbers but have no evidence yet of their own hands-on work: confirm it, or leave them where they are.</t>
        </is>
      </c>
    </row>
    <row r="17" ht="15" customHeight="1">
      <c r="A17" s="8" t="inlineStr">
        <is>
          <t>Person</t>
        </is>
      </c>
      <c r="B17" s="8" t="inlineStr">
        <is>
          <t>Department</t>
        </is>
      </c>
      <c r="C17" s="8" t="inlineStr">
        <is>
          <t>Level</t>
        </is>
      </c>
      <c r="D17" s="8" t="inlineStr">
        <is>
          <t>Score</t>
        </is>
      </c>
      <c r="E17" s="8" t="inlineStr">
        <is>
          <t>Designation</t>
        </is>
      </c>
      <c r="F17" s="8" t="inlineStr">
        <is>
          <t>What to decide, and why</t>
        </is>
      </c>
    </row>
    <row r="18" ht="28" customHeight="1">
      <c r="A18" s="10" t="inlineStr">
        <is>
          <t>Arup Ganguly</t>
        </is>
      </c>
      <c r="B18" s="12" t="inlineStr">
        <is>
          <t>Sales</t>
        </is>
      </c>
      <c r="C18" s="42" t="inlineStr">
        <is>
          <t>C2</t>
        </is>
      </c>
      <c r="D18" s="42" t="n">
        <v>7.93</v>
      </c>
      <c r="E18" s="12" t="inlineStr">
        <is>
          <t>Head – Sales</t>
        </is>
      </c>
      <c r="F18" s="86" t="inlineStr">
        <is>
          <r>
            <rPr>
              <rFont val="Calibri"/>
              <b val="1"/>
              <color rgb="009C0006"/>
              <sz val="10"/>
            </rPr>
            <t>C+ watch:</t>
          </r>
          <r>
            <rPr>
              <rFont val="Calibri"/>
              <color rgb="009C0006"/>
              <sz val="10"/>
            </rPr>
            <t xml:space="preserve"> leads people, Player-Coach score 7.88 · needs 8.25, C–A average 7.75 · needs 7.5</t>
          </r>
        </is>
      </c>
    </row>
    <row r="19" ht="41" customHeight="1">
      <c r="A19" s="10" t="inlineStr">
        <is>
          <t>Pradip Dey</t>
        </is>
      </c>
      <c r="B19" s="12" t="inlineStr">
        <is>
          <t>Technology</t>
        </is>
      </c>
      <c r="C19" s="42" t="inlineStr">
        <is>
          <t>C2</t>
        </is>
      </c>
      <c r="D19" s="42" t="n">
        <v>8.18</v>
      </c>
      <c r="E19" s="12" t="inlineStr">
        <is>
          <t>Head – Delivery</t>
        </is>
      </c>
      <c r="F19" s="86" t="inlineStr">
        <is>
          <r>
            <rPr>
              <rFont val="Calibri"/>
              <b val="1"/>
              <color rgb="009C0006"/>
              <sz val="10"/>
            </rPr>
            <t>C+ candidate:</t>
          </r>
          <r>
            <rPr>
              <rFont val="Calibri"/>
              <color rgb="009C0006"/>
              <sz val="10"/>
            </rPr>
            <t xml:space="preserve"> leads people and scores 8.18 on the Player-Coach weights, but no survey / KRA evidence of own delivery — manager to confirm the person still delivers hands-on</t>
          </r>
        </is>
      </c>
    </row>
    <row r="20" ht="28" customHeight="1">
      <c r="A20" s="10" t="inlineStr">
        <is>
          <t>Giridhar Singh</t>
        </is>
      </c>
      <c r="B20" s="12" t="inlineStr">
        <is>
          <t>Technology</t>
        </is>
      </c>
      <c r="C20" s="42" t="inlineStr">
        <is>
          <t>B3</t>
        </is>
      </c>
      <c r="D20" s="42" t="n">
        <v>6.57</v>
      </c>
      <c r="E20" s="12" t="inlineStr">
        <is>
          <t>Technical Architect</t>
        </is>
      </c>
      <c r="F20" s="86" t="inlineStr">
        <is>
          <r>
            <rPr>
              <rFont val="Calibri"/>
              <b val="1"/>
              <color rgb="009C0006"/>
              <sz val="10"/>
            </rPr>
            <t>B+ watch:</t>
          </r>
          <r>
            <rPr>
              <rFont val="Calibri"/>
              <color rgb="009C0006"/>
              <sz val="10"/>
            </rPr>
            <t xml:space="preserve"> substance and score qualify but no one reports in — qualifies once leading people</t>
          </r>
        </is>
      </c>
    </row>
    <row r="21" ht="28" customHeight="1">
      <c r="A21" s="10" t="inlineStr">
        <is>
          <t>Virendra Kumar Ray</t>
        </is>
      </c>
      <c r="B21" s="12" t="inlineStr">
        <is>
          <t>Technology</t>
        </is>
      </c>
      <c r="C21" s="42" t="inlineStr">
        <is>
          <t>B3</t>
        </is>
      </c>
      <c r="D21" s="42" t="n">
        <v>6.3</v>
      </c>
      <c r="E21" s="12" t="inlineStr">
        <is>
          <t>Associate Technical Architect</t>
        </is>
      </c>
      <c r="F21" s="86" t="inlineStr">
        <is>
          <r>
            <rPr>
              <rFont val="Calibri"/>
              <b val="1"/>
              <color rgb="009C0006"/>
              <sz val="10"/>
            </rPr>
            <t>B+ watch:</t>
          </r>
          <r>
            <rPr>
              <rFont val="Calibri"/>
              <color rgb="009C0006"/>
              <sz val="10"/>
            </rPr>
            <t xml:space="preserve"> substance and score qualify but no one reports in — qualifies once leading people</t>
          </r>
        </is>
      </c>
    </row>
    <row r="22" ht="15" customHeight="1"/>
    <row r="23" ht="20" customHeight="1">
      <c r="A23" s="6" t="inlineStr">
        <is>
          <t>A3. Close calls — 17</t>
        </is>
      </c>
    </row>
    <row r="24" ht="15" customHeight="1">
      <c r="A24" s="40" t="inlineStr">
        <is>
          <t>The score decided the level and sits within 0.05 of a rounding point: compare with peers before confirming.</t>
        </is>
      </c>
    </row>
    <row r="25" ht="15" customHeight="1">
      <c r="A25" s="8" t="inlineStr">
        <is>
          <t>Person</t>
        </is>
      </c>
      <c r="B25" s="8" t="inlineStr">
        <is>
          <t>Department</t>
        </is>
      </c>
      <c r="C25" s="8" t="inlineStr">
        <is>
          <t>Level</t>
        </is>
      </c>
      <c r="D25" s="8" t="inlineStr">
        <is>
          <t>Score</t>
        </is>
      </c>
      <c r="E25" s="8" t="inlineStr">
        <is>
          <t>Designation</t>
        </is>
      </c>
      <c r="F25" s="8" t="inlineStr">
        <is>
          <t>What to decide, and why</t>
        </is>
      </c>
    </row>
    <row r="26" ht="41" customHeight="1">
      <c r="A26" s="10" t="inlineStr">
        <is>
          <t>Vishal Khare</t>
        </is>
      </c>
      <c r="B26" s="12" t="inlineStr">
        <is>
          <t>Quality Assurance</t>
        </is>
      </c>
      <c r="C26" s="42" t="inlineStr">
        <is>
          <t>A3</t>
        </is>
      </c>
      <c r="D26" s="42" t="n">
        <v>2.52</v>
      </c>
      <c r="E26" s="12" t="inlineStr">
        <is>
          <t>Senior QA Engineer</t>
        </is>
      </c>
      <c r="F26" s="86" t="inlineStr">
        <is>
          <t>Score 2.52 is 0.02 above the 2.5 rounding point between A2 and A3, and no rule moved it: confirm A3 against peers in similar roles, or place at A2.</t>
        </is>
      </c>
    </row>
    <row r="27" ht="41" customHeight="1">
      <c r="A27" s="10" t="inlineStr">
        <is>
          <t>Amit Jaidka</t>
        </is>
      </c>
      <c r="B27" s="12" t="inlineStr">
        <is>
          <t>Sales</t>
        </is>
      </c>
      <c r="C27" s="42" t="inlineStr">
        <is>
          <t>B3</t>
        </is>
      </c>
      <c r="D27" s="42" t="n">
        <v>5.51</v>
      </c>
      <c r="E27" s="12" t="inlineStr">
        <is>
          <t>Lead Alliances Specialist – POD Lead</t>
        </is>
      </c>
      <c r="F27" s="86" t="inlineStr">
        <is>
          <t>Score 5.51 is 0.01 above the 5.5 rounding point between B2 and B3, and no rule moved it: confirm B3 against peers in similar roles, or place at B2.</t>
        </is>
      </c>
    </row>
    <row r="28" ht="41" customHeight="1">
      <c r="A28" s="10" t="inlineStr">
        <is>
          <t>Sayed Ibrahim</t>
        </is>
      </c>
      <c r="B28" s="12" t="inlineStr">
        <is>
          <t>Support</t>
        </is>
      </c>
      <c r="C28" s="42" t="inlineStr">
        <is>
          <t>A3</t>
        </is>
      </c>
      <c r="D28" s="42" t="n">
        <v>2.5</v>
      </c>
      <c r="E28" s="12" t="inlineStr">
        <is>
          <t>Senior Support Executive</t>
        </is>
      </c>
      <c r="F28" s="86" t="inlineStr">
        <is>
          <t>Score 2.50 is 0.00 above the 2.5 rounding point between A2 and A3, and no rule moved it: confirm A3 against peers in similar roles, or place at A2.</t>
        </is>
      </c>
    </row>
    <row r="29" ht="41" customHeight="1">
      <c r="A29" s="10" t="inlineStr">
        <is>
          <t>Shruti Patil</t>
        </is>
      </c>
      <c r="B29" s="12" t="inlineStr">
        <is>
          <t>Technology</t>
        </is>
      </c>
      <c r="C29" s="42" t="inlineStr">
        <is>
          <t>B1</t>
        </is>
      </c>
      <c r="D29" s="42" t="n">
        <v>3.54</v>
      </c>
      <c r="E29" s="12" t="inlineStr">
        <is>
          <t>Team Lead – Business Analysis</t>
        </is>
      </c>
      <c r="F29" s="86" t="inlineStr">
        <is>
          <t>Score 3.54 is 0.04 above the 3.5 rounding point between A3 and B1, and no rule moved it: confirm B1 against peers in similar roles, or place at A3.</t>
        </is>
      </c>
    </row>
    <row r="30" ht="41" customHeight="1">
      <c r="A30" s="10" t="inlineStr">
        <is>
          <t>Anilkumar Aarumughan</t>
        </is>
      </c>
      <c r="B30" s="12" t="inlineStr">
        <is>
          <t>Technology</t>
        </is>
      </c>
      <c r="C30" s="42" t="inlineStr">
        <is>
          <t>B1</t>
        </is>
      </c>
      <c r="D30" s="42" t="n">
        <v>3.5</v>
      </c>
      <c r="E30" s="12" t="inlineStr">
        <is>
          <t>Technical Specialist</t>
        </is>
      </c>
      <c r="F30" s="86" t="inlineStr">
        <is>
          <t>Score 3.50 is 0.00 above the 3.5 rounding point between A3 and B1, and no rule moved it: confirm B1 against peers in similar roles, or place at A3.</t>
        </is>
      </c>
    </row>
    <row r="31" ht="41" customHeight="1">
      <c r="A31" s="10" t="inlineStr">
        <is>
          <t>Arun Kumar</t>
        </is>
      </c>
      <c r="B31" s="12" t="inlineStr">
        <is>
          <t>Technology</t>
        </is>
      </c>
      <c r="C31" s="42" t="inlineStr">
        <is>
          <t>A3</t>
        </is>
      </c>
      <c r="D31" s="42" t="n">
        <v>3.48</v>
      </c>
      <c r="E31" s="12" t="inlineStr">
        <is>
          <t>Technical Specialist</t>
        </is>
      </c>
      <c r="F31" s="86" t="inlineStr">
        <is>
          <t>Score 3.48 is 0.02 below the 3.5 rounding point between A3 and B1, and no rule moved it: confirm A3 against peers in similar roles, or place at B1.</t>
        </is>
      </c>
    </row>
    <row r="32" ht="41" customHeight="1">
      <c r="A32" s="10" t="inlineStr">
        <is>
          <t>Chetan Galande</t>
        </is>
      </c>
      <c r="B32" s="12" t="inlineStr">
        <is>
          <t>Technology</t>
        </is>
      </c>
      <c r="C32" s="42" t="inlineStr">
        <is>
          <t>A3</t>
        </is>
      </c>
      <c r="D32" s="42" t="n">
        <v>3.47</v>
      </c>
      <c r="E32" s="12" t="inlineStr">
        <is>
          <t>Business Analysis Specialist</t>
        </is>
      </c>
      <c r="F32" s="86" t="inlineStr">
        <is>
          <t>Score 3.47 is 0.03 below the 3.5 rounding point between A3 and B1, and no rule moved it: confirm A3 against peers in similar roles, or place at B1.</t>
        </is>
      </c>
    </row>
    <row r="33" ht="41" customHeight="1">
      <c r="A33" s="10" t="inlineStr">
        <is>
          <t>Vikash Gupta</t>
        </is>
      </c>
      <c r="B33" s="12" t="inlineStr">
        <is>
          <t>Technology</t>
        </is>
      </c>
      <c r="C33" s="42" t="inlineStr">
        <is>
          <t>B1</t>
        </is>
      </c>
      <c r="D33" s="42" t="n">
        <v>3.54</v>
      </c>
      <c r="E33" s="12" t="inlineStr">
        <is>
          <t>Technical Specialist</t>
        </is>
      </c>
      <c r="F33" s="86" t="inlineStr">
        <is>
          <t>Score 3.54 is 0.04 above the 3.5 rounding point between A3 and B1, and no rule moved it: confirm B1 against peers in similar roles, or place at A3.</t>
        </is>
      </c>
    </row>
    <row r="34" ht="41" customHeight="1">
      <c r="A34" s="10" t="inlineStr">
        <is>
          <t>Faisal Pathan</t>
        </is>
      </c>
      <c r="B34" s="12" t="inlineStr">
        <is>
          <t>Technology</t>
        </is>
      </c>
      <c r="C34" s="42" t="inlineStr">
        <is>
          <t>A2</t>
        </is>
      </c>
      <c r="D34" s="42" t="n">
        <v>2.45</v>
      </c>
      <c r="E34" s="12" t="inlineStr">
        <is>
          <t>UI Developer</t>
        </is>
      </c>
      <c r="F34" s="86" t="inlineStr">
        <is>
          <t>Score 2.45 is 0.05 below the 2.5 rounding point between A2 and A3, and no rule moved it: confirm A2 against peers in similar roles, or place at A3.</t>
        </is>
      </c>
    </row>
    <row r="35" ht="41" customHeight="1">
      <c r="A35" s="10" t="inlineStr">
        <is>
          <t>Lalita Dixit</t>
        </is>
      </c>
      <c r="B35" s="12" t="inlineStr">
        <is>
          <t>Technology</t>
        </is>
      </c>
      <c r="C35" s="42" t="inlineStr">
        <is>
          <t>A2</t>
        </is>
      </c>
      <c r="D35" s="42" t="n">
        <v>2.45</v>
      </c>
      <c r="E35" s="12" t="inlineStr">
        <is>
          <t>UI Developer</t>
        </is>
      </c>
      <c r="F35" s="86" t="inlineStr">
        <is>
          <t>Score 2.45 is 0.05 below the 2.5 rounding point between A2 and A3, and no rule moved it: confirm A2 against peers in similar roles, or place at A3.</t>
        </is>
      </c>
    </row>
    <row r="36" ht="41" customHeight="1">
      <c r="A36" s="10" t="inlineStr">
        <is>
          <t>Saurabh Jaykumar Wanjari</t>
        </is>
      </c>
      <c r="B36" s="12" t="inlineStr">
        <is>
          <t>Technology</t>
        </is>
      </c>
      <c r="C36" s="42" t="inlineStr">
        <is>
          <t>A3</t>
        </is>
      </c>
      <c r="D36" s="42" t="n">
        <v>2.53</v>
      </c>
      <c r="E36" s="12" t="inlineStr">
        <is>
          <t>Senior Software Engineer</t>
        </is>
      </c>
      <c r="F36" s="86" t="inlineStr">
        <is>
          <t>Score 2.53 is 0.03 above the 2.5 rounding point between A2 and A3, and no rule moved it: confirm A3 against peers in similar roles, or place at A2.</t>
        </is>
      </c>
    </row>
    <row r="37" ht="41" customHeight="1">
      <c r="A37" s="10" t="inlineStr">
        <is>
          <t>Saurabh Padalkar</t>
        </is>
      </c>
      <c r="B37" s="12" t="inlineStr">
        <is>
          <t>Technology</t>
        </is>
      </c>
      <c r="C37" s="42" t="inlineStr">
        <is>
          <t>A3</t>
        </is>
      </c>
      <c r="D37" s="42" t="n">
        <v>2.52</v>
      </c>
      <c r="E37" s="12" t="inlineStr">
        <is>
          <t>Senior AI/ML Engineer</t>
        </is>
      </c>
      <c r="F37" s="86" t="inlineStr">
        <is>
          <t>Score 2.52 is 0.02 above the 2.5 rounding point between A2 and A3, and no rule moved it: confirm A3 against peers in similar roles, or place at A2.</t>
        </is>
      </c>
    </row>
    <row r="38" ht="41" customHeight="1">
      <c r="A38" s="10" t="inlineStr">
        <is>
          <t>Srikant Mishra</t>
        </is>
      </c>
      <c r="B38" s="12" t="inlineStr">
        <is>
          <t>Technology</t>
        </is>
      </c>
      <c r="C38" s="42" t="inlineStr">
        <is>
          <t>A3</t>
        </is>
      </c>
      <c r="D38" s="42" t="n">
        <v>3.45</v>
      </c>
      <c r="E38" s="12" t="inlineStr">
        <is>
          <t>Senior Business Analyst</t>
        </is>
      </c>
      <c r="F38" s="86" t="inlineStr">
        <is>
          <t>Score 3.45 is 0.05 below the 3.5 rounding point between A3 and B1, and no rule moved it: confirm A3 against peers in similar roles, or place at B1.</t>
        </is>
      </c>
    </row>
    <row r="39" ht="41" customHeight="1">
      <c r="A39" s="10" t="inlineStr">
        <is>
          <t>Anirudh Singh Bartwal</t>
        </is>
      </c>
      <c r="B39" s="12" t="inlineStr">
        <is>
          <t>XBRL Consulting</t>
        </is>
      </c>
      <c r="C39" s="42" t="inlineStr">
        <is>
          <t>B1</t>
        </is>
      </c>
      <c r="D39" s="42" t="n">
        <v>4.48</v>
      </c>
      <c r="E39" s="12" t="inlineStr">
        <is>
          <t>Senior Taxonomy Specialist</t>
        </is>
      </c>
      <c r="F39" s="86" t="inlineStr">
        <is>
          <t>Score 4.48 is 0.02 below the 4.5 rounding point between B1 and B2, and no rule moved it: confirm B1 against peers in similar roles, or place at B2.</t>
        </is>
      </c>
    </row>
    <row r="40" ht="41" customHeight="1">
      <c r="A40" s="10" t="inlineStr">
        <is>
          <t>Kulanand Rupani</t>
        </is>
      </c>
      <c r="B40" s="12" t="inlineStr">
        <is>
          <t>XBRL Consulting</t>
        </is>
      </c>
      <c r="C40" s="42" t="inlineStr">
        <is>
          <t>B2</t>
        </is>
      </c>
      <c r="D40" s="42" t="n">
        <v>4.5</v>
      </c>
      <c r="E40" s="12" t="inlineStr">
        <is>
          <t>Senior Taxonomy Specialist</t>
        </is>
      </c>
      <c r="F40" s="86" t="inlineStr">
        <is>
          <t>Score 4.50 is 0.00 above the 4.5 rounding point between B1 and B2, and no rule moved it: confirm B2 against peers in similar roles, or place at B1.</t>
        </is>
      </c>
    </row>
    <row r="41" ht="41" customHeight="1">
      <c r="A41" s="10" t="inlineStr">
        <is>
          <t>Prashant Ramakant Wagh</t>
        </is>
      </c>
      <c r="B41" s="12" t="inlineStr">
        <is>
          <t>XBRL Consulting</t>
        </is>
      </c>
      <c r="C41" s="42" t="inlineStr">
        <is>
          <t>B1</t>
        </is>
      </c>
      <c r="D41" s="42" t="n">
        <v>3.54</v>
      </c>
      <c r="E41" s="12" t="inlineStr">
        <is>
          <t>Taxonomy Specialist</t>
        </is>
      </c>
      <c r="F41" s="86" t="inlineStr">
        <is>
          <t>Score 3.54 is 0.04 above the 3.5 rounding point between A3 and B1, and no rule moved it: confirm B1 against peers in similar roles, or place at A3.</t>
        </is>
      </c>
    </row>
    <row r="42" ht="41" customHeight="1">
      <c r="A42" s="10" t="inlineStr">
        <is>
          <t>Surekha Ghadigaonkar</t>
        </is>
      </c>
      <c r="B42" s="12" t="inlineStr">
        <is>
          <t>XBRL Consulting</t>
        </is>
      </c>
      <c r="C42" s="42" t="inlineStr">
        <is>
          <t>A3</t>
        </is>
      </c>
      <c r="D42" s="42" t="n">
        <v>3.5</v>
      </c>
      <c r="E42" s="12" t="inlineStr">
        <is>
          <t>Senior Taxonomy Analyst</t>
        </is>
      </c>
      <c r="F42" s="86" t="inlineStr">
        <is>
          <t>Score 3.50 is 0.00 below the 3.5 rounding point between A3 and B1, and no rule moved it: confirm A3 against peers in similar roles, or place at B1.</t>
        </is>
      </c>
    </row>
    <row r="43" ht="15" customHeight="1"/>
    <row r="44" ht="20" customHeight="1">
      <c r="A44" s="6" t="inlineStr">
        <is>
          <t>A4. Near a gate — 18</t>
        </is>
      </c>
    </row>
    <row r="45" ht="15" customHeight="1">
      <c r="A45" s="40" t="inlineStr">
        <is>
          <t>A rule set the level, and the number behind it is within a quarter-point of changing it: a small change in one rating would move the person.</t>
        </is>
      </c>
    </row>
    <row r="46" ht="15" customHeight="1">
      <c r="A46" s="8" t="inlineStr">
        <is>
          <t>Person</t>
        </is>
      </c>
      <c r="B46" s="8" t="inlineStr">
        <is>
          <t>Department</t>
        </is>
      </c>
      <c r="C46" s="8" t="inlineStr">
        <is>
          <t>Level</t>
        </is>
      </c>
      <c r="D46" s="8" t="inlineStr">
        <is>
          <t>Score</t>
        </is>
      </c>
      <c r="E46" s="8" t="inlineStr">
        <is>
          <t>Designation</t>
        </is>
      </c>
      <c r="F46" s="8" t="inlineStr">
        <is>
          <t>What to decide, and why</t>
        </is>
      </c>
    </row>
    <row r="47" ht="28" customHeight="1">
      <c r="A47" s="10" t="inlineStr">
        <is>
          <t>Shashwat Dikshit</t>
        </is>
      </c>
      <c r="B47" s="12" t="inlineStr">
        <is>
          <t>Marketing</t>
        </is>
      </c>
      <c r="C47" s="42" t="inlineStr">
        <is>
          <t>A3</t>
        </is>
      </c>
      <c r="D47" s="42" t="n">
        <v>3.55</v>
      </c>
      <c r="E47" s="12" t="inlineStr">
        <is>
          <t>Senior Marketing Operations Associate</t>
        </is>
      </c>
      <c r="F47" s="86" t="inlineStr">
        <is>
          <r>
            <rPr>
              <rFont val="Calibri"/>
              <b val="1"/>
              <color rgb="009C0006"/>
              <sz val="10"/>
            </rPr>
            <t>Top of band:</t>
          </r>
          <r>
            <rPr>
              <rFont val="Calibri"/>
              <color rgb="009C0006"/>
              <sz val="10"/>
            </rPr>
            <t xml:space="preserve"> 3.48 on Band B's weights, 0.02 short of the 3.5 needed to enter Band B.</t>
          </r>
        </is>
      </c>
    </row>
    <row r="48" ht="28" customHeight="1">
      <c r="A48" s="10" t="inlineStr">
        <is>
          <t>Sakina Rampurawala</t>
        </is>
      </c>
      <c r="B48" s="12" t="inlineStr">
        <is>
          <t>Quality Assurance</t>
        </is>
      </c>
      <c r="C48" s="42" t="inlineStr">
        <is>
          <t>A3</t>
        </is>
      </c>
      <c r="D48" s="42" t="n">
        <v>3.55</v>
      </c>
      <c r="E48" s="12" t="inlineStr">
        <is>
          <t>QA Specialist</t>
        </is>
      </c>
      <c r="F48" s="86" t="inlineStr">
        <is>
          <r>
            <rPr>
              <rFont val="Calibri"/>
              <b val="1"/>
              <color rgb="009C0006"/>
              <sz val="10"/>
            </rPr>
            <t>Top of band:</t>
          </r>
          <r>
            <rPr>
              <rFont val="Calibri"/>
              <color rgb="009C0006"/>
              <sz val="10"/>
            </rPr>
            <t xml:space="preserve"> 3.48 on Band B's weights, 0.02 short of the 3.5 needed to enter Band B.</t>
          </r>
        </is>
      </c>
    </row>
    <row r="49" ht="41" customHeight="1">
      <c r="A49" s="10" t="inlineStr">
        <is>
          <t>Brij Kishor Singh</t>
        </is>
      </c>
      <c r="B49" s="12" t="inlineStr">
        <is>
          <t>Technology</t>
        </is>
      </c>
      <c r="C49" s="42" t="inlineStr">
        <is>
          <t>B+</t>
        </is>
      </c>
      <c r="D49" s="42" t="n">
        <v>6.54</v>
      </c>
      <c r="E49" s="12" t="inlineStr">
        <is>
          <t>Practice Lead – Solution &amp; Technical Architecture · Player-Coach</t>
        </is>
      </c>
      <c r="F49" s="86" t="inlineStr">
        <is>
          <r>
            <rPr>
              <rFont val="Calibri"/>
              <b val="1"/>
              <color rgb="009C0006"/>
              <sz val="10"/>
            </rPr>
            <t>Top of band:</t>
          </r>
          <r>
            <rPr>
              <rFont val="Calibri"/>
              <color rgb="009C0006"/>
              <sz val="10"/>
            </rPr>
            <t xml:space="preserve"> 6.46 on Band C's weights, 0.04 short of the 6.5 needed to enter Band C.</t>
          </r>
        </is>
      </c>
    </row>
    <row r="50" ht="28" customHeight="1">
      <c r="A50" s="10" t="inlineStr">
        <is>
          <t>Giridhar Singh</t>
        </is>
      </c>
      <c r="B50" s="12" t="inlineStr">
        <is>
          <t>Technology</t>
        </is>
      </c>
      <c r="C50" s="42" t="inlineStr">
        <is>
          <t>B3</t>
        </is>
      </c>
      <c r="D50" s="42" t="n">
        <v>6.57</v>
      </c>
      <c r="E50" s="12" t="inlineStr">
        <is>
          <t>Technical Architect</t>
        </is>
      </c>
      <c r="F50" s="86" t="inlineStr">
        <is>
          <r>
            <rPr>
              <rFont val="Calibri"/>
              <b val="1"/>
              <color rgb="009C0006"/>
              <sz val="10"/>
            </rPr>
            <t>Top of band:</t>
          </r>
          <r>
            <rPr>
              <rFont val="Calibri"/>
              <color rgb="009C0006"/>
              <sz val="10"/>
            </rPr>
            <t xml:space="preserve"> 6.44 on Band C's weights, 0.06 short of the 6.5 needed to enter Band C.</t>
          </r>
        </is>
      </c>
    </row>
    <row r="51" ht="41" customHeight="1">
      <c r="A51" s="10" t="inlineStr">
        <is>
          <t>Hemant Trivedi</t>
        </is>
      </c>
      <c r="B51" s="12" t="inlineStr">
        <is>
          <t>Technology</t>
        </is>
      </c>
      <c r="C51" s="42" t="inlineStr">
        <is>
          <t>B+</t>
        </is>
      </c>
      <c r="D51" s="42" t="n">
        <v>6.58</v>
      </c>
      <c r="E51" s="12" t="inlineStr">
        <is>
          <t>Practice Lead – Solution &amp; Technical Architecture · Player-Coach</t>
        </is>
      </c>
      <c r="F51" s="86" t="inlineStr">
        <is>
          <r>
            <rPr>
              <rFont val="Calibri"/>
              <b val="1"/>
              <color rgb="009C0006"/>
              <sz val="10"/>
            </rPr>
            <t>Top of band:</t>
          </r>
          <r>
            <rPr>
              <rFont val="Calibri"/>
              <color rgb="009C0006"/>
              <sz val="10"/>
            </rPr>
            <t xml:space="preserve"> 6.49 on Band C's weights, 0.01 short of the 6.5 needed to enter Band C.</t>
          </r>
        </is>
      </c>
    </row>
    <row r="52" ht="28" customHeight="1">
      <c r="A52" s="10" t="inlineStr">
        <is>
          <t>Izharuddin Shaikh</t>
        </is>
      </c>
      <c r="B52" s="12" t="inlineStr">
        <is>
          <t>Technology</t>
        </is>
      </c>
      <c r="C52" s="42" t="inlineStr">
        <is>
          <t>B+</t>
        </is>
      </c>
      <c r="D52" s="42" t="n">
        <v>6.22</v>
      </c>
      <c r="E52" s="12" t="inlineStr">
        <is>
          <t>Practice Lead – Project &amp; Program Delivery · Player-Coach</t>
        </is>
      </c>
      <c r="F52" s="86" t="inlineStr">
        <is>
          <r>
            <rPr>
              <rFont val="Calibri"/>
              <b val="1"/>
              <color rgb="009C0006"/>
              <sz val="10"/>
            </rPr>
            <t>Player-Coach transition step placed within tolerance:</t>
          </r>
          <r>
            <rPr>
              <rFont val="Calibri"/>
              <color rgb="009C0006"/>
              <sz val="10"/>
            </rPr>
            <t xml:space="preserve"> Player-Coach score 6.22 vs 6.25.</t>
          </r>
        </is>
      </c>
    </row>
    <row r="53" ht="41" customHeight="1">
      <c r="A53" s="10" t="inlineStr">
        <is>
          <t>Pushpendra Singh</t>
        </is>
      </c>
      <c r="B53" s="12" t="inlineStr">
        <is>
          <t>Technology</t>
        </is>
      </c>
      <c r="C53" s="42" t="inlineStr">
        <is>
          <t>B+</t>
        </is>
      </c>
      <c r="D53" s="42" t="n">
        <v>6.5</v>
      </c>
      <c r="E53" s="12" t="inlineStr">
        <is>
          <t>Practice Lead – Solution &amp; Technical Architecture · Player-Coach</t>
        </is>
      </c>
      <c r="F53" s="86" t="inlineStr">
        <is>
          <r>
            <rPr>
              <rFont val="Calibri"/>
              <b val="1"/>
              <color rgb="009C0006"/>
              <sz val="10"/>
            </rPr>
            <t>Top of band:</t>
          </r>
          <r>
            <rPr>
              <rFont val="Calibri"/>
              <color rgb="009C0006"/>
              <sz val="10"/>
            </rPr>
            <t xml:space="preserve"> 6.42 on Band C's weights, 0.08 short of the 6.5 needed to enter Band C.</t>
          </r>
        </is>
      </c>
    </row>
    <row r="54" ht="41" customHeight="1">
      <c r="A54" s="10" t="inlineStr">
        <is>
          <t>Suman Kumar</t>
        </is>
      </c>
      <c r="B54" s="12" t="inlineStr">
        <is>
          <t>Technology</t>
        </is>
      </c>
      <c r="C54" s="42" t="inlineStr">
        <is>
          <t>B+</t>
        </is>
      </c>
      <c r="D54" s="42" t="n">
        <v>6.54</v>
      </c>
      <c r="E54" s="12" t="inlineStr">
        <is>
          <t>Practice Lead – Solution &amp; Technical Architecture · Player-Coach</t>
        </is>
      </c>
      <c r="F54" s="86" t="inlineStr">
        <is>
          <r>
            <rPr>
              <rFont val="Calibri"/>
              <b val="1"/>
              <color rgb="009C0006"/>
              <sz val="10"/>
            </rPr>
            <t>Top of band:</t>
          </r>
          <r>
            <rPr>
              <rFont val="Calibri"/>
              <color rgb="009C0006"/>
              <sz val="10"/>
            </rPr>
            <t xml:space="preserve"> 6.46 on Band C's weights, 0.04 short of the 6.5 needed to enter Band C.</t>
          </r>
        </is>
      </c>
    </row>
    <row r="55" ht="28" customHeight="1">
      <c r="A55" s="10" t="inlineStr">
        <is>
          <t>Amiz Azad</t>
        </is>
      </c>
      <c r="B55" s="12" t="inlineStr">
        <is>
          <t>Technology</t>
        </is>
      </c>
      <c r="C55" s="42" t="inlineStr">
        <is>
          <t>A3</t>
        </is>
      </c>
      <c r="D55" s="42" t="n">
        <v>3.5</v>
      </c>
      <c r="E55" s="12" t="inlineStr">
        <is>
          <t>Senior Software Engineer</t>
        </is>
      </c>
      <c r="F55" s="86" t="inlineStr">
        <is>
          <r>
            <rPr>
              <rFont val="Calibri"/>
              <b val="1"/>
              <color rgb="009C0006"/>
              <sz val="10"/>
            </rPr>
            <t>Top of band:</t>
          </r>
          <r>
            <rPr>
              <rFont val="Calibri"/>
              <color rgb="009C0006"/>
              <sz val="10"/>
            </rPr>
            <t xml:space="preserve"> 3.44 on Band B's weights, 0.06 short of the 3.5 needed to enter Band B.</t>
          </r>
        </is>
      </c>
    </row>
    <row r="56" ht="28" customHeight="1">
      <c r="A56" s="10" t="inlineStr">
        <is>
          <t>Ateef Ansari</t>
        </is>
      </c>
      <c r="B56" s="12" t="inlineStr">
        <is>
          <t>Technology</t>
        </is>
      </c>
      <c r="C56" s="42" t="inlineStr">
        <is>
          <t>A3</t>
        </is>
      </c>
      <c r="D56" s="42" t="n">
        <v>3.55</v>
      </c>
      <c r="E56" s="12" t="inlineStr">
        <is>
          <t>Technical Specialist</t>
        </is>
      </c>
      <c r="F56" s="86" t="inlineStr">
        <is>
          <r>
            <rPr>
              <rFont val="Calibri"/>
              <b val="1"/>
              <color rgb="009C0006"/>
              <sz val="10"/>
            </rPr>
            <t>Top of band:</t>
          </r>
          <r>
            <rPr>
              <rFont val="Calibri"/>
              <color rgb="009C0006"/>
              <sz val="10"/>
            </rPr>
            <t xml:space="preserve"> 3.49 on Band B's weights, 0.01 short of the 3.5 needed to enter Band B.</t>
          </r>
        </is>
      </c>
    </row>
    <row r="57" ht="28" customHeight="1">
      <c r="A57" s="10" t="inlineStr">
        <is>
          <t>Chaitanya Vadagabhaktula</t>
        </is>
      </c>
      <c r="B57" s="12" t="inlineStr">
        <is>
          <t>Technology</t>
        </is>
      </c>
      <c r="C57" s="42" t="inlineStr">
        <is>
          <t>A3</t>
        </is>
      </c>
      <c r="D57" s="42" t="n">
        <v>3.57</v>
      </c>
      <c r="E57" s="12" t="inlineStr">
        <is>
          <t>Database Specialist</t>
        </is>
      </c>
      <c r="F57" s="86" t="inlineStr">
        <is>
          <r>
            <rPr>
              <rFont val="Calibri"/>
              <b val="1"/>
              <color rgb="009C0006"/>
              <sz val="10"/>
            </rPr>
            <t>Top of band:</t>
          </r>
          <r>
            <rPr>
              <rFont val="Calibri"/>
              <color rgb="009C0006"/>
              <sz val="10"/>
            </rPr>
            <t xml:space="preserve"> 3.48 on Band B's weights, 0.02 short of the 3.5 needed to enter Band B.</t>
          </r>
        </is>
      </c>
    </row>
    <row r="58" ht="54" customHeight="1">
      <c r="A58" s="10" t="inlineStr">
        <is>
          <t>Anurag Gupta</t>
        </is>
      </c>
      <c r="B58" s="12" t="inlineStr">
        <is>
          <t>Technology</t>
        </is>
      </c>
      <c r="C58" s="42" t="inlineStr">
        <is>
          <t>A2</t>
        </is>
      </c>
      <c r="D58" s="42" t="n">
        <v>1.92</v>
      </c>
      <c r="E58" s="12" t="inlineStr">
        <is>
          <t>UI Developer</t>
        </is>
      </c>
      <c r="F58" s="86" t="inlineStr">
        <is>
          <r>
            <rPr>
              <rFont val="Calibri"/>
              <b val="1"/>
              <color rgb="009C0006"/>
              <sz val="10"/>
            </rPr>
            <t>Role substance:</t>
          </r>
          <r>
            <rPr>
              <rFont val="Calibri"/>
              <color rgb="009C0006"/>
              <sz val="10"/>
            </rPr>
            <t xml:space="preserve"> complexity–accountability average 1.75 is 0.25 short of 2, which would lift the limit by one level; Band A experience rule: 2 yrs is within three months of the 1- or 2-year threshold.</t>
          </r>
        </is>
      </c>
    </row>
    <row r="59" ht="28" customHeight="1">
      <c r="A59" s="10" t="inlineStr">
        <is>
          <t>Aquib Shah</t>
        </is>
      </c>
      <c r="B59" s="12" t="inlineStr">
        <is>
          <t>Technology</t>
        </is>
      </c>
      <c r="C59" s="42" t="inlineStr">
        <is>
          <t>A2</t>
        </is>
      </c>
      <c r="D59" s="42" t="n">
        <v>1.92</v>
      </c>
      <c r="E59" s="12" t="inlineStr">
        <is>
          <t>Software Engineer</t>
        </is>
      </c>
      <c r="F59" s="86" t="inlineStr">
        <is>
          <r>
            <rPr>
              <rFont val="Calibri"/>
              <b val="1"/>
              <color rgb="009C0006"/>
              <sz val="10"/>
            </rPr>
            <t>Role substance:</t>
          </r>
          <r>
            <rPr>
              <rFont val="Calibri"/>
              <color rgb="009C0006"/>
              <sz val="10"/>
            </rPr>
            <t xml:space="preserve"> complexity–accountability average 1.75 is 0.25 short of 2, which would lift the limit by one level.</t>
          </r>
        </is>
      </c>
    </row>
    <row r="60" ht="28" customHeight="1">
      <c r="A60" s="10" t="inlineStr">
        <is>
          <t>Shubham Nimse</t>
        </is>
      </c>
      <c r="B60" s="12" t="inlineStr">
        <is>
          <t>Technology</t>
        </is>
      </c>
      <c r="C60" s="42" t="inlineStr">
        <is>
          <t>A2</t>
        </is>
      </c>
      <c r="D60" s="42" t="n">
        <v>1.7</v>
      </c>
      <c r="E60" s="12" t="inlineStr">
        <is>
          <t>Software Engineer</t>
        </is>
      </c>
      <c r="F60" s="86" t="inlineStr">
        <is>
          <r>
            <rPr>
              <rFont val="Calibri"/>
              <b val="1"/>
              <color rgb="009C0006"/>
              <sz val="10"/>
            </rPr>
            <t>Role substance:</t>
          </r>
          <r>
            <rPr>
              <rFont val="Calibri"/>
              <color rgb="009C0006"/>
              <sz val="10"/>
            </rPr>
            <t xml:space="preserve"> complexity–accountability average 1.75 is 0.25 short of 2, which would lift the limit by one level.</t>
          </r>
        </is>
      </c>
    </row>
    <row r="61" ht="28" customHeight="1">
      <c r="A61" s="10" t="inlineStr">
        <is>
          <t>Neha Periwal</t>
        </is>
      </c>
      <c r="B61" s="12" t="inlineStr">
        <is>
          <t>XBRL Consulting</t>
        </is>
      </c>
      <c r="C61" s="42" t="inlineStr">
        <is>
          <t>A3</t>
        </is>
      </c>
      <c r="D61" s="42" t="n">
        <v>3.54</v>
      </c>
      <c r="E61" s="12" t="inlineStr">
        <is>
          <t>Senior Taxonomy Analyst</t>
        </is>
      </c>
      <c r="F61" s="86" t="inlineStr">
        <is>
          <r>
            <rPr>
              <rFont val="Calibri"/>
              <b val="1"/>
              <color rgb="009C0006"/>
              <sz val="10"/>
            </rPr>
            <t>Top of band:</t>
          </r>
          <r>
            <rPr>
              <rFont val="Calibri"/>
              <color rgb="009C0006"/>
              <sz val="10"/>
            </rPr>
            <t xml:space="preserve"> 3.46 on Band B's weights, 0.04 short of the 3.5 needed to enter Band B.</t>
          </r>
        </is>
      </c>
    </row>
    <row r="62" ht="28" customHeight="1">
      <c r="A62" s="10" t="inlineStr">
        <is>
          <t>Bhushan Patkar</t>
        </is>
      </c>
      <c r="B62" s="12" t="inlineStr">
        <is>
          <t>XBRL Consulting</t>
        </is>
      </c>
      <c r="C62" s="42" t="inlineStr">
        <is>
          <t>A3</t>
        </is>
      </c>
      <c r="D62" s="42" t="n">
        <v>3.54</v>
      </c>
      <c r="E62" s="12" t="inlineStr">
        <is>
          <t>Senior Taxonomy Analyst</t>
        </is>
      </c>
      <c r="F62" s="86" t="inlineStr">
        <is>
          <r>
            <rPr>
              <rFont val="Calibri"/>
              <b val="1"/>
              <color rgb="009C0006"/>
              <sz val="10"/>
            </rPr>
            <t>Top of band:</t>
          </r>
          <r>
            <rPr>
              <rFont val="Calibri"/>
              <color rgb="009C0006"/>
              <sz val="10"/>
            </rPr>
            <t xml:space="preserve"> 3.48 on Band B's weights, 0.02 short of the 3.5 needed to enter Band B.</t>
          </r>
        </is>
      </c>
    </row>
    <row r="63" ht="28" customHeight="1">
      <c r="A63" s="10" t="inlineStr">
        <is>
          <t>Kalyani Sunil Nagap</t>
        </is>
      </c>
      <c r="B63" s="12" t="inlineStr">
        <is>
          <t>XBRL Consulting</t>
        </is>
      </c>
      <c r="C63" s="42" t="inlineStr">
        <is>
          <t>A3</t>
        </is>
      </c>
      <c r="D63" s="42" t="n">
        <v>3.57</v>
      </c>
      <c r="E63" s="12" t="inlineStr">
        <is>
          <t>Taxonomy Specialist</t>
        </is>
      </c>
      <c r="F63" s="86" t="inlineStr">
        <is>
          <r>
            <rPr>
              <rFont val="Calibri"/>
              <b val="1"/>
              <color rgb="009C0006"/>
              <sz val="10"/>
            </rPr>
            <t>Top of band:</t>
          </r>
          <r>
            <rPr>
              <rFont val="Calibri"/>
              <color rgb="009C0006"/>
              <sz val="10"/>
            </rPr>
            <t xml:space="preserve"> 3.49 on Band B's weights, 0.01 short of the 3.5 needed to enter Band B.</t>
          </r>
        </is>
      </c>
    </row>
    <row r="64" ht="28" customHeight="1">
      <c r="A64" s="10" t="inlineStr">
        <is>
          <t>Musaf Shaikh</t>
        </is>
      </c>
      <c r="B64" s="12" t="inlineStr">
        <is>
          <t>XBRL Consulting</t>
        </is>
      </c>
      <c r="C64" s="42" t="inlineStr">
        <is>
          <t>A3</t>
        </is>
      </c>
      <c r="D64" s="42" t="n">
        <v>2.05</v>
      </c>
      <c r="E64" s="12" t="inlineStr">
        <is>
          <t>Senior Financial Analyst</t>
        </is>
      </c>
      <c r="F64" s="86" t="inlineStr">
        <is>
          <r>
            <rPr>
              <rFont val="Calibri"/>
              <b val="1"/>
              <color rgb="009C0006"/>
              <sz val="10"/>
            </rPr>
            <t>Band A experience rule:</t>
          </r>
          <r>
            <rPr>
              <rFont val="Calibri"/>
              <color rgb="009C0006"/>
              <sz val="10"/>
            </rPr>
            <t xml:space="preserve"> 2.2 yrs is within three months of the 1- or 2-year threshold.</t>
          </r>
        </is>
      </c>
    </row>
    <row r="65" ht="15" customHeight="1"/>
    <row r="66" ht="20" customHeight="1">
      <c r="A66" s="6" t="inlineStr">
        <is>
          <t>A5. Moves down · pay and title protected for one cycle — 18</t>
        </is>
      </c>
    </row>
    <row r="67" ht="15" customHeight="1">
      <c r="A67" s="40" t="inlineStr">
        <is>
          <t>Confirm the scope of the role and the review date.</t>
        </is>
      </c>
    </row>
    <row r="68" ht="15" customHeight="1">
      <c r="A68" s="8" t="inlineStr">
        <is>
          <t>Person</t>
        </is>
      </c>
      <c r="B68" s="8" t="inlineStr">
        <is>
          <t>Department</t>
        </is>
      </c>
      <c r="C68" s="8" t="inlineStr">
        <is>
          <t>Level</t>
        </is>
      </c>
      <c r="D68" s="8" t="inlineStr">
        <is>
          <t>Score</t>
        </is>
      </c>
      <c r="E68" s="8" t="inlineStr">
        <is>
          <t>Designation</t>
        </is>
      </c>
      <c r="F68" s="8" t="inlineStr">
        <is>
          <t>What to decide, and why</t>
        </is>
      </c>
    </row>
    <row r="69" ht="28" customHeight="1">
      <c r="A69" s="10" t="inlineStr">
        <is>
          <t>Abhilash Menon</t>
        </is>
      </c>
      <c r="B69" s="12" t="inlineStr">
        <is>
          <t>Marketing</t>
        </is>
      </c>
      <c r="C69" s="42" t="inlineStr">
        <is>
          <t>B1</t>
        </is>
      </c>
      <c r="D69" s="42" t="n">
        <v>4.42</v>
      </c>
      <c r="E69" s="12" t="inlineStr">
        <is>
          <t>Team Lead – Product Marketing</t>
        </is>
      </c>
      <c r="F69" s="86" t="inlineStr">
        <is>
          <t>Current L5 – Manager → B1. No rule changed the level: the score decides.</t>
        </is>
      </c>
    </row>
    <row r="70" ht="28" customHeight="1">
      <c r="A70" s="10" t="inlineStr">
        <is>
          <t>Sameer Joshi</t>
        </is>
      </c>
      <c r="B70" s="12" t="inlineStr">
        <is>
          <t>Quality Assurance</t>
        </is>
      </c>
      <c r="C70" s="42" t="inlineStr">
        <is>
          <t>B2</t>
        </is>
      </c>
      <c r="D70" s="42" t="n">
        <v>4.55</v>
      </c>
      <c r="E70" s="12" t="inlineStr">
        <is>
          <t>Senior QA Specialist – POD Lead</t>
        </is>
      </c>
      <c r="F70" s="86" t="inlineStr">
        <is>
          <t>Current L5 – Lead · IC → B2. No rule changed the level: the score decides.</t>
        </is>
      </c>
    </row>
    <row r="71" ht="41" customHeight="1">
      <c r="A71" s="10" t="inlineStr">
        <is>
          <t>Ajay Singh Chauhan</t>
        </is>
      </c>
      <c r="B71" s="12" t="inlineStr">
        <is>
          <t>Sales</t>
        </is>
      </c>
      <c r="C71" s="42" t="inlineStr">
        <is>
          <t>C1</t>
        </is>
      </c>
      <c r="D71" s="42" t="n">
        <v>9.539999999999999</v>
      </c>
      <c r="E71" s="12" t="inlineStr">
        <is>
          <t>Principal – Enterprise Sales</t>
        </is>
      </c>
      <c r="F71" s="86" t="inlineStr">
        <is>
          <t>Current L8 – Vice President → C1. Held at C1 instead of D2: C2 needs a whole function or a company-wide discipline, and the org chart does not show this yet.</t>
        </is>
      </c>
    </row>
    <row r="72" ht="28" customHeight="1">
      <c r="A72" s="10" t="inlineStr">
        <is>
          <t>Apurva Kirtikar</t>
        </is>
      </c>
      <c r="B72" s="12" t="inlineStr">
        <is>
          <t>Sales</t>
        </is>
      </c>
      <c r="C72" s="42" t="inlineStr">
        <is>
          <t>B2</t>
        </is>
      </c>
      <c r="D72" s="42" t="n">
        <v>5.17</v>
      </c>
      <c r="E72" s="12" t="inlineStr">
        <is>
          <t>Senior Account Executive – POD Lead</t>
        </is>
      </c>
      <c r="F72" s="86" t="inlineStr">
        <is>
          <t>Current L6 – Senior Manager → B2. No rule changed the level: the score decides.</t>
        </is>
      </c>
    </row>
    <row r="73" ht="28" customHeight="1">
      <c r="A73" s="10" t="inlineStr">
        <is>
          <t>Shraddha Gawali</t>
        </is>
      </c>
      <c r="B73" s="12" t="inlineStr">
        <is>
          <t>Support</t>
        </is>
      </c>
      <c r="C73" s="42" t="inlineStr">
        <is>
          <t>B1</t>
        </is>
      </c>
      <c r="D73" s="42" t="n">
        <v>3.55</v>
      </c>
      <c r="E73" s="12" t="inlineStr">
        <is>
          <t>Support Specialist</t>
        </is>
      </c>
      <c r="F73" s="86" t="inlineStr">
        <is>
          <t>Current L5 – Lead · IC → B1. No rule changed the level: the score decides.</t>
        </is>
      </c>
    </row>
    <row r="74" ht="28" customHeight="1">
      <c r="A74" s="10" t="inlineStr">
        <is>
          <t>Vijay Sakpal</t>
        </is>
      </c>
      <c r="B74" s="12" t="inlineStr">
        <is>
          <t>Support</t>
        </is>
      </c>
      <c r="C74" s="42" t="inlineStr">
        <is>
          <t>B1</t>
        </is>
      </c>
      <c r="D74" s="42" t="n">
        <v>3.79</v>
      </c>
      <c r="E74" s="12" t="inlineStr">
        <is>
          <t>Support Specialist</t>
        </is>
      </c>
      <c r="F74" s="86" t="inlineStr">
        <is>
          <t>Current L5 – Lead · IC → B1. No rule changed the level: the score decides.</t>
        </is>
      </c>
    </row>
    <row r="75" ht="28" customHeight="1">
      <c r="A75" s="10" t="inlineStr">
        <is>
          <t>Shiveshdhar Dubey</t>
        </is>
      </c>
      <c r="B75" s="12" t="inlineStr">
        <is>
          <t>Technology</t>
        </is>
      </c>
      <c r="C75" s="42" t="inlineStr">
        <is>
          <t>B3</t>
        </is>
      </c>
      <c r="D75" s="42" t="n">
        <v>5.88</v>
      </c>
      <c r="E75" s="12" t="inlineStr">
        <is>
          <t>Associate Technical Architect – POD Lead</t>
        </is>
      </c>
      <c r="F75" s="86" t="inlineStr">
        <is>
          <t>Current L6 – Principal · IC → B3. No rule changed the level: the score decides.</t>
        </is>
      </c>
    </row>
    <row r="76" ht="28" customHeight="1">
      <c r="A76" s="10" t="inlineStr">
        <is>
          <t>Anup Salve</t>
        </is>
      </c>
      <c r="B76" s="12" t="inlineStr">
        <is>
          <t>Technology</t>
        </is>
      </c>
      <c r="C76" s="42" t="inlineStr">
        <is>
          <t>B2</t>
        </is>
      </c>
      <c r="D76" s="42" t="n">
        <v>5.12</v>
      </c>
      <c r="E76" s="12" t="inlineStr">
        <is>
          <t>Senior Technical Specialist – POD Lead</t>
        </is>
      </c>
      <c r="F76" s="86" t="inlineStr">
        <is>
          <t>Current L5 – Lead · IC → B2. No rule changed the level: the score decides.</t>
        </is>
      </c>
    </row>
    <row r="77" ht="28" customHeight="1">
      <c r="A77" s="10" t="inlineStr">
        <is>
          <t>Arpit Pagaria</t>
        </is>
      </c>
      <c r="B77" s="12" t="inlineStr">
        <is>
          <t>Technology</t>
        </is>
      </c>
      <c r="C77" s="42" t="inlineStr">
        <is>
          <t>B2</t>
        </is>
      </c>
      <c r="D77" s="42" t="n">
        <v>4.77</v>
      </c>
      <c r="E77" s="12" t="inlineStr">
        <is>
          <t>Senior Technical Specialist – POD Lead</t>
        </is>
      </c>
      <c r="F77" s="86" t="inlineStr">
        <is>
          <t>Current L5 – Lead · IC → B2. No rule changed the level: the score decides.</t>
        </is>
      </c>
    </row>
    <row r="78" ht="28" customHeight="1">
      <c r="A78" s="10" t="inlineStr">
        <is>
          <t>Bhavana Thakare</t>
        </is>
      </c>
      <c r="B78" s="12" t="inlineStr">
        <is>
          <t>Technology</t>
        </is>
      </c>
      <c r="C78" s="42" t="inlineStr">
        <is>
          <t>B1</t>
        </is>
      </c>
      <c r="D78" s="42" t="n">
        <v>4.38</v>
      </c>
      <c r="E78" s="12" t="inlineStr">
        <is>
          <t>Senior Technical Specialist – POD Lead</t>
        </is>
      </c>
      <c r="F78" s="86" t="inlineStr">
        <is>
          <t>Current L5 – Lead · IC → B1. No rule changed the level: the score decides.</t>
        </is>
      </c>
    </row>
    <row r="79" ht="28" customHeight="1">
      <c r="A79" s="10" t="inlineStr">
        <is>
          <t>Monisha Ubriani</t>
        </is>
      </c>
      <c r="B79" s="12" t="inlineStr">
        <is>
          <t>Technology</t>
        </is>
      </c>
      <c r="C79" s="42" t="inlineStr">
        <is>
          <t>B2</t>
        </is>
      </c>
      <c r="D79" s="42" t="n">
        <v>5.19</v>
      </c>
      <c r="E79" s="12" t="inlineStr">
        <is>
          <t>Senior Technical Specialist</t>
        </is>
      </c>
      <c r="F79" s="86" t="inlineStr">
        <is>
          <t>Current L5 – Lead · IC → B2. No rule changed the level: the score decides.</t>
        </is>
      </c>
    </row>
    <row r="80" ht="28" customHeight="1">
      <c r="A80" s="10" t="inlineStr">
        <is>
          <t>Amruta Kadam</t>
        </is>
      </c>
      <c r="B80" s="12" t="inlineStr">
        <is>
          <t>Technology</t>
        </is>
      </c>
      <c r="C80" s="42" t="inlineStr">
        <is>
          <t>B2</t>
        </is>
      </c>
      <c r="D80" s="42" t="n">
        <v>5.11</v>
      </c>
      <c r="E80" s="12" t="inlineStr">
        <is>
          <t>Engineering Manager</t>
        </is>
      </c>
      <c r="F80" s="86" t="inlineStr">
        <is>
          <t>Current L5 – Lead · IC → B2. No rule changed the level: the score decides.</t>
        </is>
      </c>
    </row>
    <row r="81" ht="28" customHeight="1">
      <c r="A81" s="10" t="inlineStr">
        <is>
          <t>Sagar Jadhav</t>
        </is>
      </c>
      <c r="B81" s="12" t="inlineStr">
        <is>
          <t>Technology</t>
        </is>
      </c>
      <c r="C81" s="42" t="inlineStr">
        <is>
          <t>B2</t>
        </is>
      </c>
      <c r="D81" s="42" t="n">
        <v>5.14</v>
      </c>
      <c r="E81" s="12" t="inlineStr">
        <is>
          <t>Engineering Manager</t>
        </is>
      </c>
      <c r="F81" s="86" t="inlineStr">
        <is>
          <t>Current L5 – Lead · IC → B2. No rule changed the level: the score decides.</t>
        </is>
      </c>
    </row>
    <row r="82" ht="28" customHeight="1">
      <c r="A82" s="10" t="inlineStr">
        <is>
          <t>Aayushi Sharma</t>
        </is>
      </c>
      <c r="B82" s="12" t="inlineStr">
        <is>
          <t>Technology</t>
        </is>
      </c>
      <c r="C82" s="42" t="inlineStr">
        <is>
          <t>B1</t>
        </is>
      </c>
      <c r="D82" s="42" t="n">
        <v>4.33</v>
      </c>
      <c r="E82" s="12" t="inlineStr">
        <is>
          <t>Associate Project Manager</t>
        </is>
      </c>
      <c r="F82" s="86" t="inlineStr">
        <is>
          <t>Current L5 – Manager → B1. No rule changed the level: the score decides.</t>
        </is>
      </c>
    </row>
    <row r="83" ht="28" customHeight="1">
      <c r="A83" s="10" t="inlineStr">
        <is>
          <t>Jerigan Gracias</t>
        </is>
      </c>
      <c r="B83" s="12" t="inlineStr">
        <is>
          <t>Technology</t>
        </is>
      </c>
      <c r="C83" s="42" t="inlineStr">
        <is>
          <t>B1</t>
        </is>
      </c>
      <c r="D83" s="42" t="n">
        <v>3.93</v>
      </c>
      <c r="E83" s="12" t="inlineStr">
        <is>
          <t>Associate Project Manager – POD Lead</t>
        </is>
      </c>
      <c r="F83" s="86" t="inlineStr">
        <is>
          <t>Current L5 – Lead · IC → B1. No rule changed the level: the score decides.</t>
        </is>
      </c>
    </row>
    <row r="84" ht="28" customHeight="1">
      <c r="A84" s="10" t="inlineStr">
        <is>
          <t>Nivedita Wagh</t>
        </is>
      </c>
      <c r="B84" s="12" t="inlineStr">
        <is>
          <t>Technology</t>
        </is>
      </c>
      <c r="C84" s="42" t="inlineStr">
        <is>
          <t>B1</t>
        </is>
      </c>
      <c r="D84" s="42" t="n">
        <v>4.45</v>
      </c>
      <c r="E84" s="12" t="inlineStr">
        <is>
          <t>Project Manager – POD Lead</t>
        </is>
      </c>
      <c r="F84" s="86" t="inlineStr">
        <is>
          <t>Current L5 – Lead · IC → B1. No rule changed the level: the score decides.</t>
        </is>
      </c>
    </row>
    <row r="85" ht="28" customHeight="1">
      <c r="A85" s="10" t="inlineStr">
        <is>
          <t>Akshay Jain</t>
        </is>
      </c>
      <c r="B85" s="12" t="inlineStr">
        <is>
          <t>XBRL Consulting</t>
        </is>
      </c>
      <c r="C85" s="42" t="inlineStr">
        <is>
          <t>B2</t>
        </is>
      </c>
      <c r="D85" s="42" t="n">
        <v>4.85</v>
      </c>
      <c r="E85" s="12" t="inlineStr">
        <is>
          <t>Senior Taxonomy Specialist</t>
        </is>
      </c>
      <c r="F85" s="86" t="inlineStr">
        <is>
          <t>Current L5 – Lead · IC → B2. No rule changed the level: the score decides.</t>
        </is>
      </c>
    </row>
    <row r="86" ht="28" customHeight="1">
      <c r="A86" s="10" t="inlineStr">
        <is>
          <t>Sujeet Rathod</t>
        </is>
      </c>
      <c r="B86" s="12" t="inlineStr">
        <is>
          <t>XBRL Consulting</t>
        </is>
      </c>
      <c r="C86" s="42" t="inlineStr">
        <is>
          <t>B2</t>
        </is>
      </c>
      <c r="D86" s="42" t="n">
        <v>4.82</v>
      </c>
      <c r="E86" s="12" t="inlineStr">
        <is>
          <t>Manager – Taxonomy Consulting</t>
        </is>
      </c>
      <c r="F86" s="86" t="inlineStr">
        <is>
          <t>Current L5 – Lead · IC → B2. No rule changed the level: the score decides.</t>
        </is>
      </c>
    </row>
    <row r="87" ht="15" customHeight="1"/>
    <row r="88" ht="20" customHeight="1">
      <c r="A88" s="6" t="inlineStr">
        <is>
          <t>A6. Senior titles held by the structure gate — 2</t>
        </is>
      </c>
    </row>
    <row r="89" ht="15" customHeight="1">
      <c r="A89" s="40" t="inlineStr">
        <is>
          <t>Confirm whether the structure behind the title exists · team leads, a sub-function, a business line.</t>
        </is>
      </c>
    </row>
    <row r="90" ht="15" customHeight="1">
      <c r="A90" s="8" t="inlineStr">
        <is>
          <t>Person</t>
        </is>
      </c>
      <c r="B90" s="8" t="inlineStr">
        <is>
          <t>Department</t>
        </is>
      </c>
      <c r="C90" s="8" t="inlineStr">
        <is>
          <t>Level</t>
        </is>
      </c>
      <c r="D90" s="8" t="inlineStr">
        <is>
          <t>Score</t>
        </is>
      </c>
      <c r="E90" s="8" t="inlineStr">
        <is>
          <t>Designation</t>
        </is>
      </c>
      <c r="F90" s="8" t="inlineStr">
        <is>
          <t>What to decide, and why</t>
        </is>
      </c>
    </row>
    <row r="91" ht="41" customHeight="1">
      <c r="A91" s="10" t="inlineStr">
        <is>
          <t>Ajay Singh Chauhan</t>
        </is>
      </c>
      <c r="B91" s="12" t="inlineStr">
        <is>
          <t>Sales</t>
        </is>
      </c>
      <c r="C91" s="42" t="inlineStr">
        <is>
          <t>C1</t>
        </is>
      </c>
      <c r="D91" s="42" t="n">
        <v>9.539999999999999</v>
      </c>
      <c r="E91" s="12" t="inlineStr">
        <is>
          <t>Vice President Sales → Principal – Enterprise Sales</t>
        </is>
      </c>
      <c r="F91" s="86" t="inlineStr">
        <is>
          <r>
            <rPr>
              <rFont val="Calibri"/>
              <b val="1"/>
              <color rgb="009C0006"/>
              <sz val="10"/>
            </rPr>
            <t>Held at C1 instead of D2:</t>
          </r>
          <r>
            <rPr>
              <rFont val="Calibri"/>
              <color rgb="009C0006"/>
              <sz val="10"/>
            </rPr>
            <t xml:space="preserve"> C2 needs a whole function or a company-wide discipline, and the org chart does not show this yet.</t>
          </r>
        </is>
      </c>
    </row>
    <row r="92" ht="41" customHeight="1">
      <c r="A92" s="10" t="inlineStr">
        <is>
          <t>Saurabh Kadam</t>
        </is>
      </c>
      <c r="B92" s="12" t="inlineStr">
        <is>
          <t>Technology</t>
        </is>
      </c>
      <c r="C92" s="42" t="inlineStr">
        <is>
          <t>B2</t>
        </is>
      </c>
      <c r="D92" s="42" t="n">
        <v>5.62</v>
      </c>
      <c r="E92" s="12" t="inlineStr">
        <is>
          <t>Program Manager → Project Manager</t>
        </is>
      </c>
      <c r="F92" s="86" t="inlineStr">
        <is>
          <r>
            <rPr>
              <rFont val="Calibri"/>
              <b val="1"/>
              <color rgb="009C0006"/>
              <sz val="10"/>
            </rPr>
            <t>Held at B2 instead of B3:</t>
          </r>
          <r>
            <rPr>
              <rFont val="Calibri"/>
              <color rgb="009C0006"/>
              <sz val="10"/>
            </rPr>
            <t xml:space="preserve"> a B3 manager needs team leads reporting in, or 10+ people in the team, and the org chart does not show this yet.</t>
          </r>
        </is>
      </c>
    </row>
    <row r="93" ht="15" customHeight="1"/>
    <row r="94" ht="20" customHeight="1">
      <c r="A94" s="6" t="inlineStr">
        <is>
          <t>A7. Provisional placements — 3</t>
        </is>
      </c>
    </row>
    <row r="95" ht="15" customHeight="1">
      <c r="A95" s="40" t="inlineStr">
        <is>
          <t>HR to confirm the experience record; the level is kept until then.</t>
        </is>
      </c>
    </row>
    <row r="96" ht="15" customHeight="1">
      <c r="A96" s="8" t="inlineStr">
        <is>
          <t>Person</t>
        </is>
      </c>
      <c r="B96" s="8" t="inlineStr">
        <is>
          <t>Department</t>
        </is>
      </c>
      <c r="C96" s="8" t="inlineStr">
        <is>
          <t>Level</t>
        </is>
      </c>
      <c r="D96" s="8" t="inlineStr">
        <is>
          <t>Score</t>
        </is>
      </c>
      <c r="E96" s="8" t="inlineStr">
        <is>
          <t>Designation</t>
        </is>
      </c>
      <c r="F96" s="8" t="inlineStr">
        <is>
          <t>What to decide, and why</t>
        </is>
      </c>
    </row>
    <row r="97" ht="28" customHeight="1">
      <c r="A97" s="10" t="inlineStr">
        <is>
          <t>Sumit Jain</t>
        </is>
      </c>
      <c r="B97" s="12" t="inlineStr">
        <is>
          <t>Product Management</t>
        </is>
      </c>
      <c r="C97" s="42" t="inlineStr">
        <is>
          <t>B3</t>
        </is>
      </c>
      <c r="D97" s="42" t="n">
        <v>5.95</v>
      </c>
      <c r="E97" s="12" t="inlineStr">
        <is>
          <t>Senior Product Manager</t>
        </is>
      </c>
      <c r="F97" s="86" t="inlineStr">
        <is>
          <r>
            <rPr>
              <rFont val="Calibri"/>
              <b val="1"/>
              <color rgb="009C0006"/>
              <sz val="10"/>
            </rPr>
            <t>Provisional:</t>
          </r>
          <r>
            <rPr>
              <rFont val="Calibri"/>
              <color rgb="009C0006"/>
              <sz val="10"/>
            </rPr>
            <t xml:space="preserve"> experience to be confirmed by HR — level kept until confirmed</t>
          </r>
        </is>
      </c>
    </row>
    <row r="98" ht="28" customHeight="1">
      <c r="A98" s="10" t="inlineStr">
        <is>
          <t>Sanskruti Varade</t>
        </is>
      </c>
      <c r="B98" s="12" t="inlineStr">
        <is>
          <t>Quality Assurance</t>
        </is>
      </c>
      <c r="C98" s="42" t="inlineStr">
        <is>
          <t>A2</t>
        </is>
      </c>
      <c r="D98" s="42" t="n">
        <v>2.05</v>
      </c>
      <c r="E98" s="12" t="inlineStr">
        <is>
          <t>QA Engineer</t>
        </is>
      </c>
      <c r="F98" s="86" t="inlineStr">
        <is>
          <r>
            <rPr>
              <rFont val="Calibri"/>
              <b val="1"/>
              <color rgb="009C0006"/>
              <sz val="10"/>
            </rPr>
            <t>Provisional:</t>
          </r>
          <r>
            <rPr>
              <rFont val="Calibri"/>
              <color rgb="009C0006"/>
              <sz val="10"/>
            </rPr>
            <t xml:space="preserve"> experience to be confirmed by HR — level kept until confirmed</t>
          </r>
        </is>
      </c>
    </row>
    <row r="99" ht="28" customHeight="1">
      <c r="A99" s="10" t="inlineStr">
        <is>
          <t>Isheekka Gupta</t>
        </is>
      </c>
      <c r="B99" s="12" t="inlineStr">
        <is>
          <t>XBRL Consulting</t>
        </is>
      </c>
      <c r="C99" s="42" t="inlineStr">
        <is>
          <t>A3</t>
        </is>
      </c>
      <c r="D99" s="42" t="n">
        <v>2.6</v>
      </c>
      <c r="E99" s="12" t="inlineStr">
        <is>
          <t>Senior Taxonomy Analyst</t>
        </is>
      </c>
      <c r="F99" s="86" t="inlineStr">
        <is>
          <r>
            <rPr>
              <rFont val="Calibri"/>
              <b val="1"/>
              <color rgb="009C0006"/>
              <sz val="10"/>
            </rPr>
            <t>Provisional:</t>
          </r>
          <r>
            <rPr>
              <rFont val="Calibri"/>
              <color rgb="009C0006"/>
              <sz val="10"/>
            </rPr>
            <t xml:space="preserve"> experience to be confirmed by HR — level kept until confirmed</t>
          </r>
        </is>
      </c>
    </row>
    <row r="100" ht="15" customHeight="1"/>
    <row r="101" ht="15" customHeight="1">
      <c r="A101" s="41" t="inlineStr">
        <is>
          <t>B · INPUTS STILL NEEDED — BY OWNER · pay is needed for everyone and is set later</t>
        </is>
      </c>
    </row>
    <row r="102" ht="20" customHeight="1">
      <c r="A102" s="6" t="inlineStr">
        <is>
          <t>B · Manager — 14</t>
        </is>
      </c>
    </row>
    <row r="103" ht="15" customHeight="1">
      <c r="A103" s="8" t="inlineStr">
        <is>
          <t>Person</t>
        </is>
      </c>
      <c r="B103" s="8" t="inlineStr">
        <is>
          <t>Department</t>
        </is>
      </c>
      <c r="C103" s="8" t="inlineStr">
        <is>
          <t>Level</t>
        </is>
      </c>
      <c r="D103" s="8" t="inlineStr">
        <is>
          <t>Score</t>
        </is>
      </c>
      <c r="E103" s="8" t="inlineStr">
        <is>
          <t>Designation</t>
        </is>
      </c>
      <c r="F103" s="8" t="inlineStr">
        <is>
          <t>Input needed</t>
        </is>
      </c>
    </row>
    <row r="104" ht="15" customHeight="1">
      <c r="A104" s="10" t="inlineStr">
        <is>
          <t>Pradip Dey</t>
        </is>
      </c>
      <c r="B104" s="12" t="inlineStr">
        <is>
          <t>Technology</t>
        </is>
      </c>
      <c r="C104" s="42" t="inlineStr">
        <is>
          <t>C2</t>
        </is>
      </c>
      <c r="D104" s="42" t="n">
        <v>8.18</v>
      </c>
      <c r="E104" s="12" t="inlineStr">
        <is>
          <t>Head – Delivery</t>
        </is>
      </c>
      <c r="F104" s="86" t="inlineStr">
        <is>
          <t>Confirm hands-on delivery share · Player-Coach candidate</t>
        </is>
      </c>
    </row>
    <row r="105" ht="15" customHeight="1">
      <c r="A105" s="10" t="inlineStr">
        <is>
          <t>Giridhar Singh</t>
        </is>
      </c>
      <c r="B105" s="12" t="inlineStr">
        <is>
          <t>Technology</t>
        </is>
      </c>
      <c r="C105" s="42" t="inlineStr">
        <is>
          <t>B3</t>
        </is>
      </c>
      <c r="D105" s="42" t="n">
        <v>6.57</v>
      </c>
      <c r="E105" s="12" t="inlineStr">
        <is>
          <t>Technical Architect</t>
        </is>
      </c>
      <c r="F105" s="86" t="inlineStr">
        <is>
          <t>Confirm the reporting line</t>
        </is>
      </c>
    </row>
    <row r="106" ht="15" customHeight="1">
      <c r="A106" s="10" t="inlineStr">
        <is>
          <t>Virendra Kumar Ray</t>
        </is>
      </c>
      <c r="B106" s="12" t="inlineStr">
        <is>
          <t>Technology</t>
        </is>
      </c>
      <c r="C106" s="42" t="inlineStr">
        <is>
          <t>B3</t>
        </is>
      </c>
      <c r="D106" s="42" t="n">
        <v>6.3</v>
      </c>
      <c r="E106" s="12" t="inlineStr">
        <is>
          <t>Associate Technical Architect</t>
        </is>
      </c>
      <c r="F106" s="86" t="inlineStr">
        <is>
          <t>Confirm the reporting line</t>
        </is>
      </c>
    </row>
    <row r="107" ht="15" customHeight="1">
      <c r="A107" s="10" t="inlineStr">
        <is>
          <t>Himanshu Pawar</t>
        </is>
      </c>
      <c r="B107" s="12" t="inlineStr">
        <is>
          <t>Technology</t>
        </is>
      </c>
      <c r="C107" s="42" t="inlineStr">
        <is>
          <t>B2</t>
        </is>
      </c>
      <c r="D107" s="42" t="n">
        <v>5.34</v>
      </c>
      <c r="E107" s="12" t="inlineStr">
        <is>
          <t>Lead Software Engineer</t>
        </is>
      </c>
      <c r="F107" s="86" t="inlineStr">
        <is>
          <t>Confirm the reporting line</t>
        </is>
      </c>
    </row>
    <row r="108" ht="15" customHeight="1">
      <c r="A108" s="10" t="inlineStr">
        <is>
          <t>Kimaya Mundlye</t>
        </is>
      </c>
      <c r="B108" s="12" t="inlineStr">
        <is>
          <t>Technology</t>
        </is>
      </c>
      <c r="C108" s="42" t="inlineStr">
        <is>
          <t>B2</t>
        </is>
      </c>
      <c r="D108" s="42" t="n">
        <v>5.13</v>
      </c>
      <c r="E108" s="12" t="inlineStr">
        <is>
          <t>Delivery Manager</t>
        </is>
      </c>
      <c r="F108" s="86" t="inlineStr">
        <is>
          <t>Confirm the reporting line</t>
        </is>
      </c>
    </row>
    <row r="109" ht="15" customHeight="1">
      <c r="A109" s="10" t="inlineStr">
        <is>
          <t>Prasad Gavhane</t>
        </is>
      </c>
      <c r="B109" s="12" t="inlineStr">
        <is>
          <t>Technology</t>
        </is>
      </c>
      <c r="C109" s="42" t="inlineStr">
        <is>
          <t>B2</t>
        </is>
      </c>
      <c r="D109" s="42" t="n">
        <v>5.36</v>
      </c>
      <c r="E109" s="12" t="inlineStr">
        <is>
          <t>Lead Software Engineer</t>
        </is>
      </c>
      <c r="F109" s="86" t="inlineStr">
        <is>
          <t>Confirm the reporting line</t>
        </is>
      </c>
    </row>
    <row r="110" ht="15" customHeight="1">
      <c r="A110" s="10" t="inlineStr">
        <is>
          <t>Tarun Kumar Mittal</t>
        </is>
      </c>
      <c r="B110" s="12" t="inlineStr">
        <is>
          <t>Technology</t>
        </is>
      </c>
      <c r="C110" s="42" t="inlineStr">
        <is>
          <t>B3</t>
        </is>
      </c>
      <c r="D110" s="42" t="n">
        <v>5.97</v>
      </c>
      <c r="E110" s="12" t="inlineStr">
        <is>
          <t>Program Manager</t>
        </is>
      </c>
      <c r="F110" s="86" t="inlineStr">
        <is>
          <t>Confirm the reporting line</t>
        </is>
      </c>
    </row>
    <row r="111" ht="15" customHeight="1">
      <c r="A111" s="10" t="inlineStr">
        <is>
          <t>Akbar Basha</t>
        </is>
      </c>
      <c r="B111" s="12" t="inlineStr">
        <is>
          <t>Technology</t>
        </is>
      </c>
      <c r="C111" s="42" t="inlineStr">
        <is>
          <t>A3</t>
        </is>
      </c>
      <c r="D111" s="42" t="n">
        <v>3.2</v>
      </c>
      <c r="E111" s="12" t="inlineStr">
        <is>
          <t>Senior Database Engineer</t>
        </is>
      </c>
      <c r="F111" s="86" t="inlineStr">
        <is>
          <t>Confirm the reporting line</t>
        </is>
      </c>
    </row>
    <row r="112" ht="15" customHeight="1">
      <c r="A112" s="10" t="inlineStr">
        <is>
          <t>Arun Kumar</t>
        </is>
      </c>
      <c r="B112" s="12" t="inlineStr">
        <is>
          <t>Technology</t>
        </is>
      </c>
      <c r="C112" s="42" t="inlineStr">
        <is>
          <t>A3</t>
        </is>
      </c>
      <c r="D112" s="42" t="n">
        <v>3.48</v>
      </c>
      <c r="E112" s="12" t="inlineStr">
        <is>
          <t>Technical Specialist</t>
        </is>
      </c>
      <c r="F112" s="86" t="inlineStr">
        <is>
          <t>Confirm the reporting line</t>
        </is>
      </c>
    </row>
    <row r="113" ht="15" customHeight="1">
      <c r="A113" s="10" t="inlineStr">
        <is>
          <t>Prajakta Chavan</t>
        </is>
      </c>
      <c r="B113" s="12" t="inlineStr">
        <is>
          <t>Technology</t>
        </is>
      </c>
      <c r="C113" s="42" t="inlineStr">
        <is>
          <t>A3</t>
        </is>
      </c>
      <c r="D113" s="42" t="n">
        <v>3.26</v>
      </c>
      <c r="E113" s="12" t="inlineStr">
        <is>
          <t>Senior Business Analyst</t>
        </is>
      </c>
      <c r="F113" s="86" t="inlineStr">
        <is>
          <t>Confirm the reporting line</t>
        </is>
      </c>
    </row>
    <row r="114" ht="15" customHeight="1">
      <c r="A114" s="10" t="inlineStr">
        <is>
          <t>Sarvesh Yadav</t>
        </is>
      </c>
      <c r="B114" s="12" t="inlineStr">
        <is>
          <t>Technology</t>
        </is>
      </c>
      <c r="C114" s="42" t="inlineStr">
        <is>
          <t>B1</t>
        </is>
      </c>
      <c r="D114" s="42" t="n">
        <v>3.95</v>
      </c>
      <c r="E114" s="12" t="inlineStr">
        <is>
          <t>Technical Specialist</t>
        </is>
      </c>
      <c r="F114" s="86" t="inlineStr">
        <is>
          <t>Confirm the reporting line</t>
        </is>
      </c>
    </row>
    <row r="115" ht="15" customHeight="1">
      <c r="A115" s="10" t="inlineStr">
        <is>
          <t>Devkumar Nishad</t>
        </is>
      </c>
      <c r="B115" s="12" t="inlineStr">
        <is>
          <t>Technology</t>
        </is>
      </c>
      <c r="C115" s="42" t="inlineStr">
        <is>
          <t>A3</t>
        </is>
      </c>
      <c r="D115" s="42" t="n">
        <v>2.6</v>
      </c>
      <c r="E115" s="12" t="inlineStr">
        <is>
          <t>Senior Software Engineer</t>
        </is>
      </c>
      <c r="F115" s="86" t="inlineStr">
        <is>
          <t>Confirm the reporting line</t>
        </is>
      </c>
    </row>
    <row r="116" ht="15" customHeight="1">
      <c r="A116" s="10" t="inlineStr">
        <is>
          <t>Shubham Yadav</t>
        </is>
      </c>
      <c r="B116" s="12" t="inlineStr">
        <is>
          <t>Technology</t>
        </is>
      </c>
      <c r="C116" s="42" t="inlineStr">
        <is>
          <t>A3</t>
        </is>
      </c>
      <c r="D116" s="42" t="n">
        <v>2.48</v>
      </c>
      <c r="E116" s="12" t="inlineStr">
        <is>
          <t>Senior UI Developer</t>
        </is>
      </c>
      <c r="F116" s="86" t="inlineStr">
        <is>
          <t>Confirm the reporting line</t>
        </is>
      </c>
    </row>
    <row r="117" ht="15" customHeight="1">
      <c r="A117" s="10" t="inlineStr">
        <is>
          <t>Kulanand Rupani</t>
        </is>
      </c>
      <c r="B117" s="12" t="inlineStr">
        <is>
          <t>XBRL Consulting</t>
        </is>
      </c>
      <c r="C117" s="42" t="inlineStr">
        <is>
          <t>B2</t>
        </is>
      </c>
      <c r="D117" s="42" t="n">
        <v>4.5</v>
      </c>
      <c r="E117" s="12" t="inlineStr">
        <is>
          <t>Senior Taxonomy Specialist</t>
        </is>
      </c>
      <c r="F117" s="86" t="inlineStr">
        <is>
          <t>Confirm the reporting line</t>
        </is>
      </c>
    </row>
    <row r="118" ht="15" customHeight="1"/>
    <row r="119" ht="20" customHeight="1">
      <c r="A119" s="6" t="inlineStr">
        <is>
          <t>B · HR — 8</t>
        </is>
      </c>
    </row>
    <row r="120" ht="15" customHeight="1">
      <c r="A120" s="8" t="inlineStr">
        <is>
          <t>Person</t>
        </is>
      </c>
      <c r="B120" s="8" t="inlineStr">
        <is>
          <t>Department</t>
        </is>
      </c>
      <c r="C120" s="8" t="inlineStr">
        <is>
          <t>Level</t>
        </is>
      </c>
      <c r="D120" s="8" t="inlineStr">
        <is>
          <t>Score</t>
        </is>
      </c>
      <c r="E120" s="8" t="inlineStr">
        <is>
          <t>Designation</t>
        </is>
      </c>
      <c r="F120" s="8" t="inlineStr">
        <is>
          <t>Input needed</t>
        </is>
      </c>
    </row>
    <row r="121" ht="28" customHeight="1">
      <c r="A121" s="10" t="inlineStr">
        <is>
          <t>Sumit Jain</t>
        </is>
      </c>
      <c r="B121" s="12" t="inlineStr">
        <is>
          <t>Product Management</t>
        </is>
      </c>
      <c r="C121" s="42" t="inlineStr">
        <is>
          <t>B3</t>
        </is>
      </c>
      <c r="D121" s="42" t="n">
        <v>5.95</v>
      </c>
      <c r="E121" s="12" t="inlineStr">
        <is>
          <t>Senior Product Manager</t>
        </is>
      </c>
      <c r="F121" s="86" t="inlineStr">
        <is>
          <t>Total experience · outside + at IRIS</t>
        </is>
      </c>
    </row>
    <row r="122" ht="28" customHeight="1">
      <c r="A122" s="10" t="inlineStr">
        <is>
          <t>Sumit Jain</t>
        </is>
      </c>
      <c r="B122" s="12" t="inlineStr">
        <is>
          <t>Product Management</t>
        </is>
      </c>
      <c r="C122" s="42" t="inlineStr">
        <is>
          <t>B3</t>
        </is>
      </c>
      <c r="D122" s="42" t="n">
        <v>5.95</v>
      </c>
      <c r="E122" s="12" t="inlineStr">
        <is>
          <t>Senior Product Manager</t>
        </is>
      </c>
      <c r="F122" s="86" t="inlineStr">
        <is>
          <t>Confirm prior experience · provisional placement</t>
        </is>
      </c>
    </row>
    <row r="123" ht="15" customHeight="1">
      <c r="A123" s="10" t="inlineStr">
        <is>
          <t>Sanskruti Varade</t>
        </is>
      </c>
      <c r="B123" s="12" t="inlineStr">
        <is>
          <t>Quality Assurance</t>
        </is>
      </c>
      <c r="C123" s="42" t="inlineStr">
        <is>
          <t>A2</t>
        </is>
      </c>
      <c r="D123" s="42" t="n">
        <v>2.05</v>
      </c>
      <c r="E123" s="12" t="inlineStr">
        <is>
          <t>QA Engineer</t>
        </is>
      </c>
      <c r="F123" s="86" t="inlineStr">
        <is>
          <t>Total experience · outside + at IRIS</t>
        </is>
      </c>
    </row>
    <row r="124" ht="15" customHeight="1">
      <c r="A124" s="10" t="inlineStr">
        <is>
          <t>Sanskruti Varade</t>
        </is>
      </c>
      <c r="B124" s="12" t="inlineStr">
        <is>
          <t>Quality Assurance</t>
        </is>
      </c>
      <c r="C124" s="42" t="inlineStr">
        <is>
          <t>A2</t>
        </is>
      </c>
      <c r="D124" s="42" t="n">
        <v>2.05</v>
      </c>
      <c r="E124" s="12" t="inlineStr">
        <is>
          <t>QA Engineer</t>
        </is>
      </c>
      <c r="F124" s="86" t="inlineStr">
        <is>
          <t>Confirm prior experience · provisional placement</t>
        </is>
      </c>
    </row>
    <row r="125" ht="15" customHeight="1">
      <c r="A125" s="10" t="inlineStr">
        <is>
          <t>Isheekka Gupta</t>
        </is>
      </c>
      <c r="B125" s="12" t="inlineStr">
        <is>
          <t>XBRL Consulting</t>
        </is>
      </c>
      <c r="C125" s="42" t="inlineStr">
        <is>
          <t>A3</t>
        </is>
      </c>
      <c r="D125" s="42" t="n">
        <v>2.6</v>
      </c>
      <c r="E125" s="12" t="inlineStr">
        <is>
          <t>Senior Taxonomy Analyst</t>
        </is>
      </c>
      <c r="F125" s="86" t="inlineStr">
        <is>
          <t>Total experience · outside + at IRIS</t>
        </is>
      </c>
    </row>
    <row r="126" ht="15" customHeight="1">
      <c r="A126" s="10" t="inlineStr">
        <is>
          <t>Isheekka Gupta</t>
        </is>
      </c>
      <c r="B126" s="12" t="inlineStr">
        <is>
          <t>XBRL Consulting</t>
        </is>
      </c>
      <c r="C126" s="42" t="inlineStr">
        <is>
          <t>A3</t>
        </is>
      </c>
      <c r="D126" s="42" t="n">
        <v>2.6</v>
      </c>
      <c r="E126" s="12" t="inlineStr">
        <is>
          <t>Senior Taxonomy Analyst</t>
        </is>
      </c>
      <c r="F126" s="86" t="inlineStr">
        <is>
          <t>Confirm prior experience · provisional placement</t>
        </is>
      </c>
    </row>
    <row r="127" ht="15" customHeight="1">
      <c r="A127" s="10" t="inlineStr">
        <is>
          <t>Pranali Khanavkar</t>
        </is>
      </c>
      <c r="B127" s="12" t="inlineStr">
        <is>
          <t>XBRL Consulting</t>
        </is>
      </c>
      <c r="C127" s="42" t="inlineStr">
        <is>
          <t>A3</t>
        </is>
      </c>
      <c r="D127" s="42" t="n">
        <v>2.2</v>
      </c>
      <c r="E127" s="12" t="inlineStr">
        <is>
          <t>Senior Taxonomy Analyst</t>
        </is>
      </c>
      <c r="F127" s="86" t="inlineStr">
        <is>
          <t>Correct the experience record</t>
        </is>
      </c>
    </row>
    <row r="128" ht="15" customHeight="1">
      <c r="A128" s="10" t="inlineStr">
        <is>
          <t>Bhagyashree Kamble</t>
        </is>
      </c>
      <c r="B128" s="12" t="inlineStr">
        <is>
          <t>XBRL Consulting</t>
        </is>
      </c>
      <c r="C128" s="42" t="inlineStr">
        <is>
          <t>A3</t>
        </is>
      </c>
      <c r="D128" s="42" t="n">
        <v>2.5</v>
      </c>
      <c r="E128" s="12" t="inlineStr">
        <is>
          <t>Senior Taxonomy Analyst</t>
        </is>
      </c>
      <c r="F128" s="86" t="inlineStr">
        <is>
          <t>Correct the experience record</t>
        </is>
      </c>
    </row>
    <row r="129" ht="15" customHeight="1"/>
    <row r="130" ht="20" customHeight="1">
      <c r="A130" s="6" t="inlineStr">
        <is>
          <t>B · Employee — 5</t>
        </is>
      </c>
    </row>
    <row r="131" ht="15" customHeight="1">
      <c r="A131" s="8" t="inlineStr">
        <is>
          <t>Person</t>
        </is>
      </c>
      <c r="B131" s="8" t="inlineStr">
        <is>
          <t>Department</t>
        </is>
      </c>
      <c r="C131" s="8" t="inlineStr">
        <is>
          <t>Level</t>
        </is>
      </c>
      <c r="D131" s="8" t="inlineStr">
        <is>
          <t>Score</t>
        </is>
      </c>
      <c r="E131" s="8" t="inlineStr">
        <is>
          <t>Designation</t>
        </is>
      </c>
      <c r="F131" s="8" t="inlineStr">
        <is>
          <t>Input needed</t>
        </is>
      </c>
    </row>
    <row r="132" ht="28" customHeight="1">
      <c r="A132" s="10" t="inlineStr">
        <is>
          <t>Shailesh Gupta</t>
        </is>
      </c>
      <c r="B132" s="12" t="inlineStr">
        <is>
          <t>Sales</t>
        </is>
      </c>
      <c r="C132" s="42" t="inlineStr">
        <is>
          <t>D2</t>
        </is>
      </c>
      <c r="D132" s="42" t="n">
        <v>9.1</v>
      </c>
      <c r="E132" s="12" t="inlineStr">
        <is>
          <t>Business Head – SupTech &amp; Bank-RegTech</t>
        </is>
      </c>
      <c r="F132" s="86" t="inlineStr">
        <is>
          <t>Survey response or KRAs describing the work · nothing on file</t>
        </is>
      </c>
    </row>
    <row r="133" ht="15" customHeight="1">
      <c r="A133" s="10" t="inlineStr">
        <is>
          <t>Arup Ganguly</t>
        </is>
      </c>
      <c r="B133" s="12" t="inlineStr">
        <is>
          <t>Sales</t>
        </is>
      </c>
      <c r="C133" s="42" t="inlineStr">
        <is>
          <t>C2</t>
        </is>
      </c>
      <c r="D133" s="42" t="n">
        <v>7.93</v>
      </c>
      <c r="E133" s="12" t="inlineStr">
        <is>
          <t>Head – Sales</t>
        </is>
      </c>
      <c r="F133" s="86" t="inlineStr">
        <is>
          <t>Survey response or KRAs describing the work · nothing on file</t>
        </is>
      </c>
    </row>
    <row r="134" ht="15" customHeight="1">
      <c r="A134" s="10" t="inlineStr">
        <is>
          <t>Pradip Dey</t>
        </is>
      </c>
      <c r="B134" s="12" t="inlineStr">
        <is>
          <t>Technology</t>
        </is>
      </c>
      <c r="C134" s="42" t="inlineStr">
        <is>
          <t>C2</t>
        </is>
      </c>
      <c r="D134" s="42" t="n">
        <v>8.18</v>
      </c>
      <c r="E134" s="12" t="inlineStr">
        <is>
          <t>Head – Delivery</t>
        </is>
      </c>
      <c r="F134" s="86" t="inlineStr">
        <is>
          <t>Survey response or KRAs describing the work · nothing on file</t>
        </is>
      </c>
    </row>
    <row r="135" ht="15" customHeight="1">
      <c r="A135" s="10" t="inlineStr">
        <is>
          <t>Sadhna Sahu</t>
        </is>
      </c>
      <c r="B135" s="12" t="inlineStr">
        <is>
          <t>Technology</t>
        </is>
      </c>
      <c r="C135" s="42" t="inlineStr">
        <is>
          <t>A3</t>
        </is>
      </c>
      <c r="D135" s="42" t="n">
        <v>2.47</v>
      </c>
      <c r="E135" s="12" t="inlineStr">
        <is>
          <t>Senior Software Engineer</t>
        </is>
      </c>
      <c r="F135" s="86" t="inlineStr">
        <is>
          <t>Survey response or KRAs describing the work · nothing on file</t>
        </is>
      </c>
    </row>
    <row r="136" ht="15" customHeight="1">
      <c r="A136" s="10" t="inlineStr">
        <is>
          <t>Rahul Dhamne</t>
        </is>
      </c>
      <c r="B136" s="12" t="inlineStr">
        <is>
          <t>XBRL Consulting</t>
        </is>
      </c>
      <c r="C136" s="42" t="inlineStr">
        <is>
          <t>C2</t>
        </is>
      </c>
      <c r="D136" s="42" t="n">
        <v>7.85</v>
      </c>
      <c r="E136" s="12" t="inlineStr">
        <is>
          <t>Head – Consulting</t>
        </is>
      </c>
      <c r="F136" s="86" t="inlineStr">
        <is>
          <t>Survey response or KRAs describing the work · nothing on file</t>
        </is>
      </c>
    </row>
    <row r="137" ht="15" customHeight="1"/>
    <row r="138" ht="20" customHeight="1">
      <c r="A138" s="6" t="inlineStr">
        <is>
          <t>B · Business head — 2</t>
        </is>
      </c>
    </row>
    <row r="139" ht="15" customHeight="1">
      <c r="A139" s="8" t="inlineStr">
        <is>
          <t>Person</t>
        </is>
      </c>
      <c r="B139" s="8" t="inlineStr">
        <is>
          <t>Department</t>
        </is>
      </c>
      <c r="C139" s="8" t="inlineStr">
        <is>
          <t>Level</t>
        </is>
      </c>
      <c r="D139" s="8" t="inlineStr">
        <is>
          <t>Score</t>
        </is>
      </c>
      <c r="E139" s="8" t="inlineStr">
        <is>
          <t>Designation</t>
        </is>
      </c>
      <c r="F139" s="8" t="inlineStr">
        <is>
          <t>Input needed</t>
        </is>
      </c>
    </row>
    <row r="140" ht="15" customHeight="1">
      <c r="A140" s="10" t="inlineStr">
        <is>
          <t>Ajay Singh Chauhan</t>
        </is>
      </c>
      <c r="B140" s="12" t="inlineStr">
        <is>
          <t>Sales</t>
        </is>
      </c>
      <c r="C140" s="42" t="inlineStr">
        <is>
          <t>C1</t>
        </is>
      </c>
      <c r="D140" s="42" t="n">
        <v>9.539999999999999</v>
      </c>
      <c r="E140" s="12" t="inlineStr">
        <is>
          <t>Principal – Enterprise Sales</t>
        </is>
      </c>
      <c r="F140" s="86" t="inlineStr">
        <is>
          <t>Confirm structure behind the senior title · org chart</t>
        </is>
      </c>
    </row>
    <row r="141" ht="15" customHeight="1">
      <c r="A141" s="10" t="inlineStr">
        <is>
          <t>Saurabh Kadam</t>
        </is>
      </c>
      <c r="B141" s="12" t="inlineStr">
        <is>
          <t>Technology</t>
        </is>
      </c>
      <c r="C141" s="42" t="inlineStr">
        <is>
          <t>B2</t>
        </is>
      </c>
      <c r="D141" s="42" t="n">
        <v>5.62</v>
      </c>
      <c r="E141" s="12" t="inlineStr">
        <is>
          <t>Project Manager</t>
        </is>
      </c>
      <c r="F141" s="86" t="inlineStr">
        <is>
          <t>Confirm structure behind the senior title · org chart</t>
        </is>
      </c>
    </row>
    <row r="142" ht="15" customHeight="1"/>
    <row r="143" ht="15" customHeight="1">
      <c r="A143" s="41" t="inlineStr">
        <is>
          <t>C · HOW THE STRUCTURE CHANGED IN THIS BUSINESS</t>
        </is>
      </c>
    </row>
    <row r="144" ht="20" customHeight="1">
      <c r="A144" s="6" t="inlineStr">
        <is>
          <t>C. Job families — before → after</t>
        </is>
      </c>
    </row>
    <row r="145" ht="15" customHeight="1">
      <c r="A145" s="8" t="inlineStr">
        <is>
          <t>Job family · now</t>
        </is>
      </c>
      <c r="B145" s="8" t="inlineStr">
        <is>
          <t>People</t>
        </is>
      </c>
      <c r="C145" s="91" t="inlineStr"/>
      <c r="D145" s="91" t="inlineStr"/>
      <c r="E145" s="8" t="inlineStr">
        <is>
          <t>Status</t>
        </is>
      </c>
      <c r="F145" s="8" t="inlineStr">
        <is>
          <t>What happened</t>
        </is>
      </c>
    </row>
    <row r="146" ht="28" customHeight="1">
      <c r="A146" s="10" t="inlineStr">
        <is>
          <t>Engineering &amp; Development</t>
        </is>
      </c>
      <c r="B146" s="42" t="n">
        <v>107</v>
      </c>
      <c r="C146" s="12" t="inlineStr"/>
      <c r="D146" s="12" t="inlineStr"/>
      <c r="E146" s="12" t="inlineStr">
        <is>
          <t>Regrouped</t>
        </is>
      </c>
      <c r="F146" s="12" t="inlineStr">
        <is>
          <t>Kept its name; joined from Product/Project · Employee Master ×18</t>
        </is>
      </c>
    </row>
    <row r="147" ht="28" customHeight="1">
      <c r="A147" s="10" t="inlineStr">
        <is>
          <t>Consulting &amp; Professional Services</t>
        </is>
      </c>
      <c r="B147" s="42" t="n">
        <v>32</v>
      </c>
      <c r="C147" s="12" t="inlineStr"/>
      <c r="D147" s="12" t="inlineStr"/>
      <c r="E147" s="12" t="inlineStr">
        <is>
          <t>Regrouped</t>
        </is>
      </c>
      <c r="F147" s="12" t="inlineStr">
        <is>
          <t>Kept its name; joined from Professional Services · Employee Master ×2; part moved to Sales &amp; Business Development</t>
        </is>
      </c>
    </row>
    <row r="148" ht="15" customHeight="1">
      <c r="A148" s="10" t="inlineStr">
        <is>
          <t>Quality Assurance</t>
        </is>
      </c>
      <c r="B148" s="42" t="n">
        <v>21</v>
      </c>
      <c r="C148" s="12" t="inlineStr"/>
      <c r="D148" s="12" t="inlineStr"/>
      <c r="E148" s="12" t="inlineStr">
        <is>
          <t>Regrouped</t>
        </is>
      </c>
      <c r="F148" s="12" t="inlineStr">
        <is>
          <t>Kept its name; joined from Product/Project · Employee Master</t>
        </is>
      </c>
    </row>
    <row r="149" ht="28" customHeight="1">
      <c r="A149" s="10" t="inlineStr">
        <is>
          <t>Project &amp; Program Management</t>
        </is>
      </c>
      <c r="B149" s="42" t="n">
        <v>13</v>
      </c>
      <c r="C149" s="12" t="inlineStr"/>
      <c r="D149" s="12" t="inlineStr"/>
      <c r="E149" s="12" t="inlineStr">
        <is>
          <t>As is</t>
        </is>
      </c>
      <c r="F149" s="12" t="inlineStr">
        <is>
          <t>Unchanged</t>
        </is>
      </c>
    </row>
    <row r="150" ht="15" customHeight="1">
      <c r="A150" s="10" t="inlineStr">
        <is>
          <t>Business Analysis</t>
        </is>
      </c>
      <c r="B150" s="42" t="n">
        <v>13</v>
      </c>
      <c r="C150" s="12" t="inlineStr"/>
      <c r="D150" s="12" t="inlineStr"/>
      <c r="E150" s="12" t="inlineStr">
        <is>
          <t>As is</t>
        </is>
      </c>
      <c r="F150" s="12" t="inlineStr">
        <is>
          <t>Unchanged</t>
        </is>
      </c>
    </row>
    <row r="151" ht="28" customHeight="1">
      <c r="A151" s="10" t="inlineStr">
        <is>
          <t>Customer Success &amp; Support</t>
        </is>
      </c>
      <c r="B151" s="42" t="n">
        <v>12</v>
      </c>
      <c r="C151" s="12" t="inlineStr"/>
      <c r="D151" s="12" t="inlineStr"/>
      <c r="E151" s="12" t="inlineStr">
        <is>
          <t>Regrouped</t>
        </is>
      </c>
      <c r="F151" s="12" t="inlineStr">
        <is>
          <t>Kept its name; joined from Sales &amp; Business Development; Product/Project · Employee Master</t>
        </is>
      </c>
    </row>
    <row r="152" ht="28" customHeight="1">
      <c r="A152" s="10" t="inlineStr">
        <is>
          <t>Engineering &amp; Architecture</t>
        </is>
      </c>
      <c r="B152" s="42" t="n">
        <v>8</v>
      </c>
      <c r="C152" s="12" t="inlineStr"/>
      <c r="D152" s="12" t="inlineStr"/>
      <c r="E152" s="12" t="inlineStr">
        <is>
          <t>Regrouped</t>
        </is>
      </c>
      <c r="F152" s="12" t="inlineStr">
        <is>
          <t>Kept its name; joined from Product/Project · Employee Master</t>
        </is>
      </c>
    </row>
    <row r="153" ht="41" customHeight="1">
      <c r="A153" s="10" t="inlineStr">
        <is>
          <t>Sales &amp; Business Development</t>
        </is>
      </c>
      <c r="B153" s="42" t="n">
        <v>7</v>
      </c>
      <c r="C153" s="12" t="inlineStr"/>
      <c r="D153" s="12" t="inlineStr"/>
      <c r="E153" s="12" t="inlineStr">
        <is>
          <t>Regrouped</t>
        </is>
      </c>
      <c r="F153" s="12" t="inlineStr">
        <is>
          <t>Kept its name; joined from Sales, Marketing &amp; Support · Employee Master ×2; Consulting &amp; Professional Services; Executive Leadership; part moved to Customer Success &amp; Support</t>
        </is>
      </c>
    </row>
    <row r="154" ht="28" customHeight="1">
      <c r="A154" s="10" t="inlineStr">
        <is>
          <t>Marketing &amp; Communications</t>
        </is>
      </c>
      <c r="B154" s="42" t="n">
        <v>2</v>
      </c>
      <c r="C154" s="12" t="inlineStr"/>
      <c r="D154" s="12" t="inlineStr"/>
      <c r="E154" s="12" t="inlineStr">
        <is>
          <t>New</t>
        </is>
      </c>
      <c r="F154" s="12" t="inlineStr">
        <is>
          <t>Created from Product Management; Sales, Marketing &amp; Support · Employee Master</t>
        </is>
      </c>
    </row>
    <row r="155" ht="28" customHeight="1">
      <c r="A155" s="10" t="inlineStr">
        <is>
          <t>Executive Leadership</t>
        </is>
      </c>
      <c r="B155" s="42" t="n">
        <v>2</v>
      </c>
      <c r="C155" s="12" t="inlineStr"/>
      <c r="D155" s="12" t="inlineStr"/>
      <c r="E155" s="12" t="inlineStr">
        <is>
          <t>Regrouped</t>
        </is>
      </c>
      <c r="F155" s="12" t="inlineStr">
        <is>
          <t>Kept its name; joined from Sales, Marketing &amp; Support · Employee Master ×2; part moved to Sales &amp; Business Development</t>
        </is>
      </c>
    </row>
    <row r="156" ht="28" customHeight="1">
      <c r="A156" s="10" t="inlineStr">
        <is>
          <t>Product Management</t>
        </is>
      </c>
      <c r="B156" s="42" t="n">
        <v>1</v>
      </c>
      <c r="C156" s="12" t="inlineStr"/>
      <c r="D156" s="12" t="inlineStr"/>
      <c r="E156" s="12" t="inlineStr">
        <is>
          <t>Regrouped</t>
        </is>
      </c>
      <c r="F156" s="12" t="inlineStr">
        <is>
          <t>Kept its name; joined from Client Engagement · Employee Master; part moved to Marketing &amp; Communications</t>
        </is>
      </c>
    </row>
    <row r="157" ht="15" customHeight="1"/>
    <row r="158" ht="28" customHeight="1">
      <c r="A158" s="40" t="inlineStr">
        <is>
          <r>
            <rPr>
              <rFont val="Calibri"/>
              <b val="1"/>
              <i val="1"/>
              <color rgb="00595959"/>
              <sz val="10"/>
            </rPr>
            <t>Status:</t>
          </r>
          <r>
            <rPr>
              <rFont val="Calibri"/>
              <i val="1"/>
              <color rgb="00595959"/>
              <sz val="10"/>
            </rPr>
            <t xml:space="preserve"> As is = same name and people · Renamed = one old name became one new name · Regrouped = existing name, people joined or left · New = formed from old names.</t>
          </r>
        </is>
      </c>
    </row>
    <row r="159" ht="20" customHeight="1">
      <c r="A159" s="6" t="inlineStr">
        <is>
          <t>D · What happens next</t>
        </is>
      </c>
    </row>
    <row r="160" ht="15" customHeight="1">
      <c r="A160" s="8" t="inlineStr">
        <is>
          <t>Step</t>
        </is>
      </c>
      <c r="B160" s="91" t="inlineStr"/>
      <c r="C160" s="91" t="inlineStr"/>
      <c r="D160" s="91" t="inlineStr"/>
      <c r="E160" s="8" t="inlineStr">
        <is>
          <t>Who</t>
        </is>
      </c>
      <c r="F160" s="8" t="inlineStr">
        <is>
          <t>What</t>
        </is>
      </c>
    </row>
    <row r="161" ht="28" customHeight="1">
      <c r="A161" s="10" t="inlineStr">
        <is>
          <t>1. Validate</t>
        </is>
      </c>
      <c r="B161" s="12" t="inlineStr"/>
      <c r="C161" s="12" t="inlineStr"/>
      <c r="D161" s="12" t="inlineStr"/>
      <c r="E161" s="12" t="inlineStr">
        <is>
          <t>You and your managers</t>
        </is>
      </c>
      <c r="F161" s="12" t="inlineStr">
        <is>
          <t>Mark Agree / Change / Discuss for each person on sheet 2; give the reason for every change</t>
        </is>
      </c>
    </row>
    <row r="162" ht="28" customHeight="1">
      <c r="A162" s="10" t="inlineStr">
        <is>
          <t>2. Supply inputs</t>
        </is>
      </c>
      <c r="B162" s="12" t="inlineStr"/>
      <c r="C162" s="12" t="inlineStr"/>
      <c r="D162" s="12" t="inlineStr"/>
      <c r="E162" s="12" t="inlineStr">
        <is>
          <t>Owners in section B</t>
        </is>
      </c>
      <c r="F162" s="12" t="inlineStr">
        <is>
          <r>
            <rPr>
              <rFont val="Calibri"/>
              <b val="1"/>
              <sz val="10"/>
            </rPr>
            <t>Clear the red cells:</t>
          </r>
          <r>
            <rPr>
              <rFont val="Calibri"/>
              <sz val="10"/>
            </rPr>
            <t xml:space="preserve"> experience records, KRAs, reporting lines, scope confirmations</t>
          </r>
        </is>
      </c>
    </row>
    <row r="163" ht="28" customHeight="1">
      <c r="A163" s="10" t="inlineStr">
        <is>
          <t>3. Calibrate</t>
        </is>
      </c>
      <c r="B163" s="12" t="inlineStr"/>
      <c r="C163" s="12" t="inlineStr"/>
      <c r="D163" s="12" t="inlineStr"/>
      <c r="E163" s="12" t="inlineStr">
        <is>
          <t>Cross-business panel</t>
        </is>
      </c>
      <c r="F163" s="12" t="inlineStr">
        <is>
          <t>Decides section A cases against peers in other businesses, and all C-band and higher placements</t>
        </is>
      </c>
    </row>
    <row r="164" ht="28" customHeight="1">
      <c r="A164" s="10" t="inlineStr">
        <is>
          <t>4. Approve</t>
        </is>
      </c>
      <c r="B164" s="12" t="inlineStr"/>
      <c r="C164" s="12" t="inlineStr"/>
      <c r="D164" s="12" t="inlineStr"/>
      <c r="E164" s="12" t="inlineStr">
        <is>
          <t>HR; CEO for model changes</t>
        </is>
      </c>
      <c r="F164" s="12" t="inlineStr">
        <is>
          <t>HR approves placements; moves down are protected for one cycle; designations take effect</t>
        </is>
      </c>
    </row>
    <row r="165" ht="28" customHeight="1">
      <c r="A165" s="10" t="inlineStr">
        <is>
          <t>5. Price</t>
        </is>
      </c>
      <c r="B165" s="12" t="inlineStr"/>
      <c r="C165" s="12" t="inlineStr"/>
      <c r="D165" s="12" t="inlineStr"/>
      <c r="E165" s="12" t="inlineStr">
        <is>
          <t>HR</t>
        </is>
      </c>
      <c r="F165" s="12" t="inlineStr">
        <is>
          <t>Pay ranges per level from a purchased market survey; nothing changes pay before then</t>
        </is>
      </c>
    </row>
  </sheetData>
  <mergeCells count="27">
    <mergeCell ref="A16:F16"/>
    <mergeCell ref="A66:F66"/>
    <mergeCell ref="A89:F89"/>
    <mergeCell ref="A158:F158"/>
    <mergeCell ref="A101:F101"/>
    <mergeCell ref="A3:F3"/>
    <mergeCell ref="A95:F95"/>
    <mergeCell ref="A2:F2"/>
    <mergeCell ref="A5:F5"/>
    <mergeCell ref="A23:F23"/>
    <mergeCell ref="A144:F144"/>
    <mergeCell ref="A159:F159"/>
    <mergeCell ref="A44:F44"/>
    <mergeCell ref="A102:F102"/>
    <mergeCell ref="A67:F67"/>
    <mergeCell ref="A143:F143"/>
    <mergeCell ref="A130:F130"/>
    <mergeCell ref="A15:F15"/>
    <mergeCell ref="A24:F24"/>
    <mergeCell ref="A138:F138"/>
    <mergeCell ref="A1:F1"/>
    <mergeCell ref="A45:F45"/>
    <mergeCell ref="A94:F94"/>
    <mergeCell ref="A6:F6"/>
    <mergeCell ref="A88:F88"/>
    <mergeCell ref="A119:F119"/>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Q99"/>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iFile: department → band → level, competencies and overlaps</t>
        </is>
      </c>
      <c r="Q1" s="104" t="inlineStr">
        <is>
          <t>◂ Start Here</t>
        </is>
      </c>
    </row>
    <row r="2" ht="32" customHeight="1">
      <c r="A2" s="3" t="inlineStr">
        <is>
          <t>Sheet 5 · 218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73" t="inlineStr">
        <is>
          <t>Department</t>
        </is>
      </c>
      <c r="B6" s="73" t="inlineStr">
        <is>
          <t>Band</t>
        </is>
      </c>
      <c r="C6" s="73" t="inlineStr">
        <is>
          <t>Level</t>
        </is>
      </c>
      <c r="D6" s="73" t="inlineStr">
        <is>
          <t>Level title</t>
        </is>
      </c>
      <c r="E6" s="73" t="inlineStr">
        <is>
          <t>Job family</t>
        </is>
      </c>
      <c r="F6" s="73" t="inlineStr">
        <is>
          <t>Sub-family</t>
        </is>
      </c>
      <c r="G6" s="73" t="inlineStr">
        <is>
          <t>Designation</t>
        </is>
      </c>
      <c r="H6" s="73" t="inlineStr">
        <is>
          <t>Track</t>
        </is>
      </c>
      <c r="I6" s="73" t="inlineStr">
        <is>
          <t>Holders</t>
        </is>
      </c>
      <c r="J6" s="73" t="inlineStr">
        <is>
          <t>Ladder in this sub-family here · level: designation</t>
        </is>
      </c>
      <c r="K6" s="73" t="inlineStr">
        <is>
          <t>★ Must-have competencies</t>
        </is>
      </c>
      <c r="L6" s="73" t="inlineStr">
        <is>
          <t>Other functional competencies</t>
        </is>
      </c>
      <c r="M6" s="73" t="inlineStr">
        <is>
          <t>Proficiency needed</t>
        </is>
      </c>
      <c r="N6" s="73" t="inlineStr">
        <is>
          <t>Credentials</t>
        </is>
      </c>
      <c r="O6" s="73" t="inlineStr">
        <is>
          <t>Overlap within iFile · same work in other departments</t>
        </is>
      </c>
      <c r="P6" s="73" t="inlineStr">
        <is>
          <t>Overlap across IRIS · same work in other products</t>
        </is>
      </c>
    </row>
    <row r="7" ht="55" customHeight="1">
      <c r="A7" s="12" t="inlineStr">
        <is>
          <t>Design</t>
        </is>
      </c>
      <c r="B7" s="17" t="inlineStr">
        <is>
          <t>A · Practitioner</t>
        </is>
      </c>
      <c r="C7" s="17" t="inlineStr">
        <is>
          <t>A3</t>
        </is>
      </c>
      <c r="D7" s="12" t="inlineStr">
        <is>
          <t>Senior Associate</t>
        </is>
      </c>
      <c r="E7" s="12" t="inlineStr">
        <is>
          <t>Engineering &amp; Development</t>
        </is>
      </c>
      <c r="F7" s="12" t="inlineStr">
        <is>
          <t>Front-End / UI Development</t>
        </is>
      </c>
      <c r="G7" s="12" t="inlineStr">
        <is>
          <t>Senior UI Developer</t>
        </is>
      </c>
      <c r="H7" s="12" t="inlineStr">
        <is>
          <t>IC</t>
        </is>
      </c>
      <c r="I7" s="12" t="n">
        <v>1</v>
      </c>
      <c r="J7" s="12" t="inlineStr">
        <is>
          <r>
            <rPr>
              <rFont val="Calibri"/>
              <b val="1"/>
              <sz val="10"/>
            </rPr>
            <t>A3:</t>
          </r>
          <r>
            <rPr>
              <rFont val="Calibri"/>
              <sz val="10"/>
            </rPr>
            <t xml:space="preserve"> Senior UI Developer → B1: UI Specialist – POD Lead</t>
          </r>
        </is>
      </c>
      <c r="K7" s="12" t="inlineStr">
        <is>
          <t>Programming &amp; Tech-Stack Depth · System Design &amp; Architecture</t>
        </is>
      </c>
      <c r="L7" s="12" t="inlineStr">
        <is>
          <t>Database, SQL &amp; Data Engineering · Cloud, DevOps &amp; CI/CD · AI, GenAI &amp; Prompt Engineering · Product, Platform &amp; Domain Knowledge</t>
        </is>
      </c>
      <c r="M7" s="12" t="inlineStr">
        <is>
          <t>Core 2 · Future-ready 2 · Functional 3 · Leadership —</t>
        </is>
      </c>
      <c r="N7" s="12" t="inlineStr">
        <is>
          <t>Cloud / language certifications · optional; AWS / Azure architect · optional</t>
        </is>
      </c>
      <c r="O7" s="96" t="inlineStr">
        <is>
          <t>Technology</t>
        </is>
      </c>
      <c r="P7" s="17" t="inlineStr">
        <is>
          <t>CARBON 5
Same title</t>
        </is>
      </c>
    </row>
    <row r="8" ht="55" customHeight="1">
      <c r="A8" s="12" t="inlineStr">
        <is>
          <t>Design</t>
        </is>
      </c>
      <c r="B8" s="21" t="inlineStr">
        <is>
          <t>B · Specialist / Manager</t>
        </is>
      </c>
      <c r="C8" s="21" t="inlineStr">
        <is>
          <t>B1</t>
        </is>
      </c>
      <c r="D8" s="12" t="inlineStr">
        <is>
          <t>Specialist · POD Lead</t>
        </is>
      </c>
      <c r="E8" s="12" t="inlineStr">
        <is>
          <t>Engineering &amp; Development</t>
        </is>
      </c>
      <c r="F8" s="12" t="inlineStr">
        <is>
          <t>Front-End / UI Development</t>
        </is>
      </c>
      <c r="G8" s="12" t="inlineStr">
        <is>
          <t>UI Specialist – POD Lead</t>
        </is>
      </c>
      <c r="H8" s="12" t="inlineStr">
        <is>
          <t>POD Lead</t>
        </is>
      </c>
      <c r="I8" s="12" t="n">
        <v>1</v>
      </c>
      <c r="J8" s="12" t="inlineStr">
        <is>
          <r>
            <rPr>
              <rFont val="Calibri"/>
              <b val="1"/>
              <sz val="10"/>
            </rPr>
            <t>A3:</t>
          </r>
          <r>
            <rPr>
              <rFont val="Calibri"/>
              <sz val="10"/>
            </rPr>
            <t xml:space="preserve"> Senior UI Developer → B1: UI Specialist – POD Lead</t>
          </r>
        </is>
      </c>
      <c r="K8" s="12" t="inlineStr">
        <is>
          <t>Programming &amp; Tech-Stack Depth · System Design &amp; Architecture</t>
        </is>
      </c>
      <c r="L8" s="12" t="inlineStr">
        <is>
          <t>Database, SQL &amp; Data Engineering · Cloud, DevOps &amp; CI/CD · AI, GenAI &amp; Prompt Engineering · Product, Platform &amp; Domain Knowledge</t>
        </is>
      </c>
      <c r="M8" s="12" t="inlineStr">
        <is>
          <t>Core 3 · Future-ready 3 · Functional 3 · Leadership 1</t>
        </is>
      </c>
      <c r="N8" s="12" t="inlineStr">
        <is>
          <t>Cloud / language certifications · optional; AWS / Azure architect · optional</t>
        </is>
      </c>
      <c r="O8" s="12" t="inlineStr">
        <is>
          <t>None — only this department</t>
        </is>
      </c>
      <c r="P8" s="12" t="inlineStr">
        <is>
          <t>None — only iFile</t>
        </is>
      </c>
    </row>
    <row r="9" ht="68" customHeight="1">
      <c r="A9" s="12" t="inlineStr">
        <is>
          <t>Marketing</t>
        </is>
      </c>
      <c r="B9" s="17" t="inlineStr">
        <is>
          <t>A · Practitioner</t>
        </is>
      </c>
      <c r="C9" s="17" t="inlineStr">
        <is>
          <t>A3</t>
        </is>
      </c>
      <c r="D9" s="12" t="inlineStr">
        <is>
          <t>Senior Associate</t>
        </is>
      </c>
      <c r="E9" s="12" t="inlineStr">
        <is>
          <t>Marketing &amp; Communications</t>
        </is>
      </c>
      <c r="F9" s="12" t="inlineStr">
        <is>
          <t>Marketing Operations &amp; Automation</t>
        </is>
      </c>
      <c r="G9" s="12" t="inlineStr">
        <is>
          <t>Senior Marketing Operations Associate</t>
        </is>
      </c>
      <c r="H9" s="12" t="inlineStr">
        <is>
          <t>IC</t>
        </is>
      </c>
      <c r="I9" s="12" t="n">
        <v>1</v>
      </c>
      <c r="J9" s="12" t="inlineStr">
        <is>
          <r>
            <rPr>
              <rFont val="Calibri"/>
              <b val="1"/>
              <sz val="10"/>
            </rPr>
            <t>A3:</t>
          </r>
          <r>
            <rPr>
              <rFont val="Calibri"/>
              <sz val="10"/>
            </rPr>
            <t xml:space="preserve"> Senior Marketing Operations Associate</t>
          </r>
        </is>
      </c>
      <c r="K9" s="12" t="inlineStr">
        <is>
          <t>Marketing Tech &amp; Digital Marketing · Communication &amp; Presentation</t>
        </is>
      </c>
      <c r="L9" s="12" t="inlineStr">
        <is>
          <t>Data Analytics, BI &amp; Visualisation · AI, GenAI &amp; Prompt Engineering · Product, Platform &amp; Domain Knowledge · Strategic Thinking &amp; Business Acumen</t>
        </is>
      </c>
      <c r="M9" s="12" t="inlineStr">
        <is>
          <t>Core 2 · Future-ready 2 · Functional 3 · Leadership —</t>
        </is>
      </c>
      <c r="N9" s="12" t="inlineStr">
        <is>
          <t>Google / HubSpot certifications</t>
        </is>
      </c>
      <c r="O9" s="12" t="inlineStr">
        <is>
          <t>None — only this department</t>
        </is>
      </c>
      <c r="P9" s="17" t="inlineStr">
        <is>
          <t>CARBON 1 · Corporate 1
Same title</t>
        </is>
      </c>
    </row>
    <row r="10" ht="68" customHeight="1">
      <c r="A10" s="12" t="inlineStr">
        <is>
          <t>Marketing</t>
        </is>
      </c>
      <c r="B10" s="21" t="inlineStr">
        <is>
          <t>B · Specialist / Manager</t>
        </is>
      </c>
      <c r="C10" s="21" t="inlineStr">
        <is>
          <t>B1</t>
        </is>
      </c>
      <c r="D10" s="12" t="inlineStr">
        <is>
          <t>Team Lead</t>
        </is>
      </c>
      <c r="E10" s="12" t="inlineStr">
        <is>
          <t>Marketing &amp; Communications</t>
        </is>
      </c>
      <c r="F10" s="12" t="inlineStr">
        <is>
          <t>Product Marketing</t>
        </is>
      </c>
      <c r="G10" s="12" t="inlineStr">
        <is>
          <t>Team Lead – Product Marketing</t>
        </is>
      </c>
      <c r="H10" s="12" t="inlineStr">
        <is>
          <t>People Manager</t>
        </is>
      </c>
      <c r="I10" s="12" t="n">
        <v>1</v>
      </c>
      <c r="J10" s="12" t="inlineStr">
        <is>
          <r>
            <rPr>
              <rFont val="Calibri"/>
              <b val="1"/>
              <sz val="10"/>
            </rPr>
            <t>B1:</t>
          </r>
          <r>
            <rPr>
              <rFont val="Calibri"/>
              <sz val="10"/>
            </rPr>
            <t xml:space="preserve"> Team Lead – Product Marketing</t>
          </r>
        </is>
      </c>
      <c r="K10" s="12" t="inlineStr">
        <is>
          <t>Marketing Tech &amp; Digital Marketing · Communication &amp; Presentation</t>
        </is>
      </c>
      <c r="L10" s="12" t="inlineStr">
        <is>
          <t>Data Analytics, BI &amp; Visualisation · AI, GenAI &amp; Prompt Engineering · Product, Platform &amp; Domain Knowledge · Strategic Thinking &amp; Business Acumen</t>
        </is>
      </c>
      <c r="M10" s="12" t="inlineStr">
        <is>
          <t>Core 3 · Future-ready 3 · Functional 3 · Leadership 2</t>
        </is>
      </c>
      <c r="N10" s="12" t="inlineStr">
        <is>
          <t>Google / HubSpot certifications</t>
        </is>
      </c>
      <c r="O10" s="12" t="inlineStr">
        <is>
          <t>None — only this department</t>
        </is>
      </c>
      <c r="P10" s="12" t="inlineStr">
        <is>
          <t>None — only iFile</t>
        </is>
      </c>
    </row>
    <row r="11" ht="55" customHeight="1">
      <c r="A11" s="12" t="inlineStr">
        <is>
          <t>Product Management</t>
        </is>
      </c>
      <c r="B11" s="21" t="inlineStr">
        <is>
          <t>B · Specialist / Manager</t>
        </is>
      </c>
      <c r="C11" s="21" t="inlineStr">
        <is>
          <t>B3</t>
        </is>
      </c>
      <c r="D11" s="12" t="inlineStr">
        <is>
          <t>Lead Specialist</t>
        </is>
      </c>
      <c r="E11" s="12" t="inlineStr">
        <is>
          <t>Product Management</t>
        </is>
      </c>
      <c r="F11" s="12" t="inlineStr">
        <is>
          <t>Product Management</t>
        </is>
      </c>
      <c r="G11" s="12" t="inlineStr">
        <is>
          <t>Senior Product Manager</t>
        </is>
      </c>
      <c r="H11" s="12" t="inlineStr">
        <is>
          <t>IC</t>
        </is>
      </c>
      <c r="I11" s="12" t="n">
        <v>1</v>
      </c>
      <c r="J11" s="12" t="inlineStr">
        <is>
          <r>
            <rPr>
              <rFont val="Calibri"/>
              <b val="1"/>
              <sz val="10"/>
            </rPr>
            <t>B3:</t>
          </r>
          <r>
            <rPr>
              <rFont val="Calibri"/>
              <sz val="10"/>
            </rPr>
            <t xml:space="preserve"> Senior Product Manager</t>
          </r>
        </is>
      </c>
      <c r="K11" s="12" t="inlineStr">
        <is>
          <t>Product, Platform &amp; Domain Knowledge · Business Analysis &amp; Requirements Engineering</t>
        </is>
      </c>
      <c r="L11" s="12" t="inlineStr">
        <is>
          <t>Data Analytics, BI &amp; Visualisation · Strategic Thinking &amp; Business Acumen · Stakeholder &amp; Client Management · AI, GenAI &amp; Prompt Engineering</t>
        </is>
      </c>
      <c r="M11" s="12" t="inlineStr">
        <is>
          <t>Core 4 · Future-ready 3 · Functional 4 · Leadership 3</t>
        </is>
      </c>
      <c r="N11" s="12" t="inlineStr">
        <is>
          <t>Internal product certification; CBAP / CCBA · optional</t>
        </is>
      </c>
      <c r="O11" s="12" t="inlineStr">
        <is>
          <t>None — only this department</t>
        </is>
      </c>
      <c r="P11" s="12" t="inlineStr">
        <is>
          <t>None — only iFile</t>
        </is>
      </c>
    </row>
    <row r="12" ht="55" customHeight="1">
      <c r="A12" s="12" t="inlineStr">
        <is>
          <t>Quality Assurance</t>
        </is>
      </c>
      <c r="B12" s="17" t="inlineStr">
        <is>
          <t>A · Practitioner</t>
        </is>
      </c>
      <c r="C12" s="17" t="inlineStr">
        <is>
          <t>A1</t>
        </is>
      </c>
      <c r="D12" s="12" t="inlineStr">
        <is>
          <t>Intern / Trainee</t>
        </is>
      </c>
      <c r="E12" s="12" t="inlineStr">
        <is>
          <t>Quality Assurance</t>
        </is>
      </c>
      <c r="F12" s="12" t="inlineStr">
        <is>
          <t>Functional &amp; Domain Testing</t>
        </is>
      </c>
      <c r="G12" s="12" t="inlineStr">
        <is>
          <t>Intern – Functional &amp; Domain Testing</t>
        </is>
      </c>
      <c r="H12" s="12" t="inlineStr">
        <is>
          <t>IC</t>
        </is>
      </c>
      <c r="I12" s="12" t="n">
        <v>1</v>
      </c>
      <c r="J12" s="12" t="inlineStr">
        <is>
          <r>
            <rPr>
              <rFont val="Calibri"/>
              <b val="1"/>
              <sz val="10"/>
            </rPr>
            <t>A1:</t>
          </r>
          <r>
            <rPr>
              <rFont val="Calibri"/>
              <sz val="10"/>
            </rPr>
            <t xml:space="preserve"> Intern – Functional &amp; Domain Testing → A2: QA Engineer → A3: QA Specialist / Senior QA Engineer → B1: QA Specialist – POD Lead</t>
          </r>
        </is>
      </c>
      <c r="K12" s="12" t="inlineStr">
        <is>
          <t>Test Automation &amp; QA Engineering · Product, Platform &amp; Domain Knowledge</t>
        </is>
      </c>
      <c r="L12" s="12" t="inlineStr">
        <is>
          <t>Database, SQL &amp; Data Engineering · AI, GenAI &amp; Prompt Engineering · Process Improvement &amp; Quality Mindset · Communication &amp; Presentation</t>
        </is>
      </c>
      <c r="M12" s="12" t="inlineStr">
        <is>
          <t>Core 1 · Future-ready 1 · Functional 1 · Leadership —</t>
        </is>
      </c>
      <c r="N12" s="12" t="inlineStr">
        <is>
          <t>ISTQB Foundation / Advanced; Internal product certification</t>
        </is>
      </c>
      <c r="O12" s="12" t="inlineStr">
        <is>
          <t>None — only this department</t>
        </is>
      </c>
      <c r="P12" s="12" t="inlineStr">
        <is>
          <t>None — only iFile</t>
        </is>
      </c>
    </row>
    <row r="13" ht="55" customHeight="1">
      <c r="A13" s="12" t="inlineStr">
        <is>
          <t>Quality Assurance</t>
        </is>
      </c>
      <c r="B13" s="17" t="inlineStr">
        <is>
          <t>A · Practitioner</t>
        </is>
      </c>
      <c r="C13" s="17" t="inlineStr">
        <is>
          <t>A1</t>
        </is>
      </c>
      <c r="D13" s="12" t="inlineStr">
        <is>
          <t>Intern / Trainee</t>
        </is>
      </c>
      <c r="E13" s="12" t="inlineStr">
        <is>
          <t>Quality Assurance</t>
        </is>
      </c>
      <c r="F13" s="12" t="inlineStr">
        <is>
          <t>Test Automation</t>
        </is>
      </c>
      <c r="G13" s="12" t="inlineStr">
        <is>
          <t>Trainee QA Automation Engineer</t>
        </is>
      </c>
      <c r="H13" s="12" t="inlineStr">
        <is>
          <t>IC</t>
        </is>
      </c>
      <c r="I13" s="12" t="n">
        <v>2</v>
      </c>
      <c r="J13" s="12" t="inlineStr">
        <is>
          <r>
            <rPr>
              <rFont val="Calibri"/>
              <b val="1"/>
              <sz val="10"/>
            </rPr>
            <t>A1:</t>
          </r>
          <r>
            <rPr>
              <rFont val="Calibri"/>
              <sz val="10"/>
            </rPr>
            <t xml:space="preserve"> Trainee QA Automation Engineer → A3: Senior QA Automation Engineer</t>
          </r>
        </is>
      </c>
      <c r="K13" s="12" t="inlineStr">
        <is>
          <t>Test Automation &amp; QA Engineering · Product, Platform &amp; Domain Knowledge</t>
        </is>
      </c>
      <c r="L13" s="12" t="inlineStr">
        <is>
          <t>Database, SQL &amp; Data Engineering · AI, GenAI &amp; Prompt Engineering · Process Improvement &amp; Quality Mindset · Communication &amp; Presentation</t>
        </is>
      </c>
      <c r="M13" s="12" t="inlineStr">
        <is>
          <t>Core 1 · Future-ready 1 · Functional 1 · Leadership —</t>
        </is>
      </c>
      <c r="N13" s="12" t="inlineStr">
        <is>
          <t>ISTQB Foundation / Advanced; Internal product certification</t>
        </is>
      </c>
      <c r="O13" s="12" t="inlineStr">
        <is>
          <t>None — only this department</t>
        </is>
      </c>
      <c r="P13" s="12" t="inlineStr">
        <is>
          <t>None — only iFile</t>
        </is>
      </c>
    </row>
    <row r="14" ht="55" customHeight="1">
      <c r="A14" s="12" t="inlineStr">
        <is>
          <t>Quality Assurance</t>
        </is>
      </c>
      <c r="B14" s="17" t="inlineStr">
        <is>
          <t>A · Practitioner</t>
        </is>
      </c>
      <c r="C14" s="17" t="inlineStr">
        <is>
          <t>A2</t>
        </is>
      </c>
      <c r="D14" s="12" t="inlineStr">
        <is>
          <t>Associate</t>
        </is>
      </c>
      <c r="E14" s="12" t="inlineStr">
        <is>
          <t>Quality Assurance</t>
        </is>
      </c>
      <c r="F14" s="12" t="inlineStr">
        <is>
          <t>Functional &amp; Domain Testing</t>
        </is>
      </c>
      <c r="G14" s="12" t="inlineStr">
        <is>
          <t>QA Engineer</t>
        </is>
      </c>
      <c r="H14" s="12" t="inlineStr">
        <is>
          <t>IC</t>
        </is>
      </c>
      <c r="I14" s="12" t="n">
        <v>1</v>
      </c>
      <c r="J14" s="12" t="inlineStr">
        <is>
          <r>
            <rPr>
              <rFont val="Calibri"/>
              <b val="1"/>
              <sz val="10"/>
            </rPr>
            <t>A1:</t>
          </r>
          <r>
            <rPr>
              <rFont val="Calibri"/>
              <sz val="10"/>
            </rPr>
            <t xml:space="preserve"> Intern – Functional &amp; Domain Testing → A2: QA Engineer → A3: QA Specialist / Senior QA Engineer → B1: QA Specialist – POD Lead</t>
          </r>
        </is>
      </c>
      <c r="K14" s="12" t="inlineStr">
        <is>
          <t>Test Automation &amp; QA Engineering · Product, Platform &amp; Domain Knowledge</t>
        </is>
      </c>
      <c r="L14" s="12" t="inlineStr">
        <is>
          <t>Database, SQL &amp; Data Engineering · AI, GenAI &amp; Prompt Engineering · Process Improvement &amp; Quality Mindset · Communication &amp; Presentation</t>
        </is>
      </c>
      <c r="M14" s="12" t="inlineStr">
        <is>
          <t>Core 2 · Future-ready 2 · Functional 2 · Leadership —</t>
        </is>
      </c>
      <c r="N14" s="12" t="inlineStr">
        <is>
          <t>ISTQB Foundation / Advanced; Internal product certification</t>
        </is>
      </c>
      <c r="O14" s="12" t="inlineStr">
        <is>
          <t>None — only this department</t>
        </is>
      </c>
      <c r="P14" s="12" t="inlineStr">
        <is>
          <t>None — only iFile</t>
        </is>
      </c>
    </row>
    <row r="15" ht="55" customHeight="1">
      <c r="A15" s="12" t="inlineStr">
        <is>
          <t>Quality Assurance</t>
        </is>
      </c>
      <c r="B15" s="17" t="inlineStr">
        <is>
          <t>A · Practitioner</t>
        </is>
      </c>
      <c r="C15" s="17" t="inlineStr">
        <is>
          <t>A3</t>
        </is>
      </c>
      <c r="D15" s="12" t="inlineStr">
        <is>
          <t>Senior Associate</t>
        </is>
      </c>
      <c r="E15" s="12" t="inlineStr">
        <is>
          <t>Quality Assurance</t>
        </is>
      </c>
      <c r="F15" s="12" t="inlineStr">
        <is>
          <t>Functional &amp; Domain Testing</t>
        </is>
      </c>
      <c r="G15" s="12" t="inlineStr">
        <is>
          <t>QA Specialist</t>
        </is>
      </c>
      <c r="H15" s="12" t="inlineStr">
        <is>
          <t>IC</t>
        </is>
      </c>
      <c r="I15" s="12" t="n">
        <v>1</v>
      </c>
      <c r="J15" s="12" t="inlineStr">
        <is>
          <r>
            <rPr>
              <rFont val="Calibri"/>
              <b val="1"/>
              <sz val="10"/>
            </rPr>
            <t>A1:</t>
          </r>
          <r>
            <rPr>
              <rFont val="Calibri"/>
              <sz val="10"/>
            </rPr>
            <t xml:space="preserve"> Intern – Functional &amp; Domain Testing → A2: QA Engineer → A3: QA Specialist / Senior QA Engineer → B1: QA Specialist – POD Lead</t>
          </r>
        </is>
      </c>
      <c r="K15" s="12" t="inlineStr">
        <is>
          <t>Test Automation &amp; QA Engineering · Product, Platform &amp; Domain Knowledge</t>
        </is>
      </c>
      <c r="L15" s="12" t="inlineStr">
        <is>
          <t>Database, SQL &amp; Data Engineering · AI, GenAI &amp; Prompt Engineering · Process Improvement &amp; Quality Mindset · Communication &amp; Presentation</t>
        </is>
      </c>
      <c r="M15" s="12" t="inlineStr">
        <is>
          <t>Core 2 · Future-ready 2 · Functional 3 · Leadership —</t>
        </is>
      </c>
      <c r="N15" s="12" t="inlineStr">
        <is>
          <t>ISTQB Foundation / Advanced; Internal product certification</t>
        </is>
      </c>
      <c r="O15" s="12" t="inlineStr">
        <is>
          <t>None — only this department</t>
        </is>
      </c>
      <c r="P15" s="17" t="inlineStr">
        <is>
          <r>
            <rPr>
              <rFont val="Calibri"/>
              <sz val="10"/>
            </rPr>
            <t xml:space="preserve">CARBON 7 · iDEAL 1 · Datatech 1
</t>
          </r>
          <r>
            <rPr>
              <rFont val="Calibri"/>
              <b val="1"/>
              <sz val="10"/>
            </rPr>
            <t>Titled there:</t>
          </r>
          <r>
            <rPr>
              <rFont val="Calibri"/>
              <sz val="10"/>
            </rPr>
            <t xml:space="preserve"> Senior QA Engineer</t>
          </r>
        </is>
      </c>
    </row>
    <row r="16" ht="55" customHeight="1">
      <c r="A16" s="12" t="inlineStr">
        <is>
          <t>Quality Assurance</t>
        </is>
      </c>
      <c r="B16" s="17" t="inlineStr">
        <is>
          <t>A · Practitioner</t>
        </is>
      </c>
      <c r="C16" s="17" t="inlineStr">
        <is>
          <t>A3</t>
        </is>
      </c>
      <c r="D16" s="12" t="inlineStr">
        <is>
          <t>Senior Associate</t>
        </is>
      </c>
      <c r="E16" s="12" t="inlineStr">
        <is>
          <t>Quality Assurance</t>
        </is>
      </c>
      <c r="F16" s="12" t="inlineStr">
        <is>
          <t>Functional &amp; Domain Testing</t>
        </is>
      </c>
      <c r="G16" s="12" t="inlineStr">
        <is>
          <t>Senior QA Engineer</t>
        </is>
      </c>
      <c r="H16" s="12" t="inlineStr">
        <is>
          <t>IC</t>
        </is>
      </c>
      <c r="I16" s="12" t="n">
        <v>10</v>
      </c>
      <c r="J16" s="12" t="inlineStr">
        <is>
          <r>
            <rPr>
              <rFont val="Calibri"/>
              <b val="1"/>
              <sz val="10"/>
            </rPr>
            <t>A1:</t>
          </r>
          <r>
            <rPr>
              <rFont val="Calibri"/>
              <sz val="10"/>
            </rPr>
            <t xml:space="preserve"> Intern – Functional &amp; Domain Testing → A2: QA Engineer → A3: QA Specialist / Senior QA Engineer → B1: QA Specialist – POD Lead</t>
          </r>
        </is>
      </c>
      <c r="K16" s="12" t="inlineStr">
        <is>
          <t>Test Automation &amp; QA Engineering · Product, Platform &amp; Domain Knowledge</t>
        </is>
      </c>
      <c r="L16" s="12" t="inlineStr">
        <is>
          <t>Database, SQL &amp; Data Engineering · AI, GenAI &amp; Prompt Engineering · Process Improvement &amp; Quality Mindset · Communication &amp; Presentation</t>
        </is>
      </c>
      <c r="M16" s="12" t="inlineStr">
        <is>
          <t>Core 2 · Future-ready 2 · Functional 3 · Leadership —</t>
        </is>
      </c>
      <c r="N16" s="12" t="inlineStr">
        <is>
          <t>ISTQB Foundation / Advanced; Internal product certification</t>
        </is>
      </c>
      <c r="O16" s="12" t="inlineStr">
        <is>
          <t>None — only this department</t>
        </is>
      </c>
      <c r="P16" s="17" t="inlineStr">
        <is>
          <t>CARBON 7 · iDEAL 1 · Datatech 1
Same title</t>
        </is>
      </c>
    </row>
    <row r="17" ht="55" customHeight="1">
      <c r="A17" s="12" t="inlineStr">
        <is>
          <t>Quality Assurance</t>
        </is>
      </c>
      <c r="B17" s="17" t="inlineStr">
        <is>
          <t>A · Practitioner</t>
        </is>
      </c>
      <c r="C17" s="17" t="inlineStr">
        <is>
          <t>A3</t>
        </is>
      </c>
      <c r="D17" s="12" t="inlineStr">
        <is>
          <t>Senior Associate</t>
        </is>
      </c>
      <c r="E17" s="12" t="inlineStr">
        <is>
          <t>Quality Assurance</t>
        </is>
      </c>
      <c r="F17" s="12" t="inlineStr">
        <is>
          <t>Test Automation</t>
        </is>
      </c>
      <c r="G17" s="12" t="inlineStr">
        <is>
          <t>Senior QA Automation Engineer</t>
        </is>
      </c>
      <c r="H17" s="12" t="inlineStr">
        <is>
          <t>IC</t>
        </is>
      </c>
      <c r="I17" s="12" t="n">
        <v>1</v>
      </c>
      <c r="J17" s="12" t="inlineStr">
        <is>
          <r>
            <rPr>
              <rFont val="Calibri"/>
              <b val="1"/>
              <sz val="10"/>
            </rPr>
            <t>A1:</t>
          </r>
          <r>
            <rPr>
              <rFont val="Calibri"/>
              <sz val="10"/>
            </rPr>
            <t xml:space="preserve"> Trainee QA Automation Engineer → A3: Senior QA Automation Engineer</t>
          </r>
        </is>
      </c>
      <c r="K17" s="12" t="inlineStr">
        <is>
          <t>Test Automation &amp; QA Engineering · Product, Platform &amp; Domain Knowledge</t>
        </is>
      </c>
      <c r="L17" s="12" t="inlineStr">
        <is>
          <t>Database, SQL &amp; Data Engineering · AI, GenAI &amp; Prompt Engineering · Process Improvement &amp; Quality Mindset · Communication &amp; Presentation</t>
        </is>
      </c>
      <c r="M17" s="12" t="inlineStr">
        <is>
          <t>Core 2 · Future-ready 2 · Functional 3 · Leadership —</t>
        </is>
      </c>
      <c r="N17" s="12" t="inlineStr">
        <is>
          <t>ISTQB Foundation / Advanced; Internal product certification</t>
        </is>
      </c>
      <c r="O17" s="12" t="inlineStr">
        <is>
          <t>None — only this department</t>
        </is>
      </c>
      <c r="P17" s="17" t="inlineStr">
        <is>
          <t>iDEAL 3 · CARBON 1 · Datatech 1
Same title</t>
        </is>
      </c>
    </row>
    <row r="18" ht="55" customHeight="1">
      <c r="A18" s="12" t="inlineStr">
        <is>
          <t>Quality Assurance</t>
        </is>
      </c>
      <c r="B18" s="21" t="inlineStr">
        <is>
          <t>B · Specialist / Manager</t>
        </is>
      </c>
      <c r="C18" s="21" t="inlineStr">
        <is>
          <t>B1</t>
        </is>
      </c>
      <c r="D18" s="12" t="inlineStr">
        <is>
          <t>Specialist · POD Lead</t>
        </is>
      </c>
      <c r="E18" s="12" t="inlineStr">
        <is>
          <t>Quality Assurance</t>
        </is>
      </c>
      <c r="F18" s="12" t="inlineStr">
        <is>
          <t>Functional &amp; Domain Testing</t>
        </is>
      </c>
      <c r="G18" s="12" t="inlineStr">
        <is>
          <t>QA Specialist – POD Lead</t>
        </is>
      </c>
      <c r="H18" s="12" t="inlineStr">
        <is>
          <t>POD Lead</t>
        </is>
      </c>
      <c r="I18" s="12" t="n">
        <v>3</v>
      </c>
      <c r="J18" s="12" t="inlineStr">
        <is>
          <r>
            <rPr>
              <rFont val="Calibri"/>
              <b val="1"/>
              <sz val="10"/>
            </rPr>
            <t>A1:</t>
          </r>
          <r>
            <rPr>
              <rFont val="Calibri"/>
              <sz val="10"/>
            </rPr>
            <t xml:space="preserve"> Intern – Functional &amp; Domain Testing → A2: QA Engineer → A3: QA Specialist / Senior QA Engineer → B1: QA Specialist – POD Lead</t>
          </r>
        </is>
      </c>
      <c r="K18" s="12" t="inlineStr">
        <is>
          <t>Test Automation &amp; QA Engineering · Product, Platform &amp; Domain Knowledge</t>
        </is>
      </c>
      <c r="L18" s="12" t="inlineStr">
        <is>
          <t>Database, SQL &amp; Data Engineering · AI, GenAI &amp; Prompt Engineering · Process Improvement &amp; Quality Mindset · Communication &amp; Presentation</t>
        </is>
      </c>
      <c r="M18" s="12" t="inlineStr">
        <is>
          <t>Core 3 · Future-ready 3 · Functional 3 · Leadership 1</t>
        </is>
      </c>
      <c r="N18" s="12" t="inlineStr">
        <is>
          <t>ISTQB Foundation / Advanced; Internal product certification</t>
        </is>
      </c>
      <c r="O18" s="12" t="inlineStr">
        <is>
          <t>None — only this department</t>
        </is>
      </c>
      <c r="P18" s="17" t="inlineStr">
        <is>
          <r>
            <rPr>
              <rFont val="Calibri"/>
              <sz val="10"/>
            </rPr>
            <t xml:space="preserve">iDEAL 1
</t>
          </r>
          <r>
            <rPr>
              <rFont val="Calibri"/>
              <b val="1"/>
              <sz val="10"/>
            </rPr>
            <t>Titled there:</t>
          </r>
          <r>
            <rPr>
              <rFont val="Calibri"/>
              <sz val="10"/>
            </rPr>
            <t xml:space="preserve"> QA Manager</t>
          </r>
        </is>
      </c>
    </row>
    <row r="19" ht="55" customHeight="1">
      <c r="A19" s="12" t="inlineStr">
        <is>
          <t>Quality Assurance</t>
        </is>
      </c>
      <c r="B19" s="21" t="inlineStr">
        <is>
          <t>B · Specialist / Manager</t>
        </is>
      </c>
      <c r="C19" s="21" t="inlineStr">
        <is>
          <t>B2</t>
        </is>
      </c>
      <c r="D19" s="12" t="inlineStr">
        <is>
          <t>Manager</t>
        </is>
      </c>
      <c r="E19" s="12" t="inlineStr">
        <is>
          <t>Quality Assurance</t>
        </is>
      </c>
      <c r="F19" s="12" t="inlineStr">
        <is>
          <t>Test Management &amp; QA Leadership</t>
        </is>
      </c>
      <c r="G19" s="12" t="inlineStr">
        <is>
          <t>Senior QA Manager</t>
        </is>
      </c>
      <c r="H19" s="12" t="inlineStr">
        <is>
          <t>People Manager</t>
        </is>
      </c>
      <c r="I19" s="12" t="n">
        <v>1</v>
      </c>
      <c r="J19" s="12" t="inlineStr">
        <is>
          <r>
            <rPr>
              <rFont val="Calibri"/>
              <b val="1"/>
              <sz val="10"/>
            </rPr>
            <t>B2:</t>
          </r>
          <r>
            <rPr>
              <rFont val="Calibri"/>
              <sz val="10"/>
            </rPr>
            <t xml:space="preserve"> Senior QA Manager / Senior QA Specialist – POD Lead</t>
          </r>
        </is>
      </c>
      <c r="K19" s="12" t="inlineStr">
        <is>
          <t>Test Automation &amp; QA Engineering · Product, Platform &amp; Domain Knowledge</t>
        </is>
      </c>
      <c r="L19" s="12" t="inlineStr">
        <is>
          <t>Database, SQL &amp; Data Engineering · AI, GenAI &amp; Prompt Engineering · Process Improvement &amp; Quality Mindset · Communication &amp; Presentation</t>
        </is>
      </c>
      <c r="M19" s="12" t="inlineStr">
        <is>
          <t>Core 3 · Future-ready 3 · Functional 4 · Leadership 3</t>
        </is>
      </c>
      <c r="N19" s="12" t="inlineStr">
        <is>
          <t>ISTQB Foundation / Advanced; Internal product certification</t>
        </is>
      </c>
      <c r="O19" s="12" t="inlineStr">
        <is>
          <t>None — only this department</t>
        </is>
      </c>
      <c r="P19" s="17" t="inlineStr">
        <is>
          <r>
            <rPr>
              <rFont val="Calibri"/>
              <sz val="10"/>
            </rPr>
            <t xml:space="preserve">CARBON 1
</t>
          </r>
          <r>
            <rPr>
              <rFont val="Calibri"/>
              <b val="1"/>
              <sz val="10"/>
            </rPr>
            <t>Titled there:</t>
          </r>
          <r>
            <rPr>
              <rFont val="Calibri"/>
              <sz val="10"/>
            </rPr>
            <t xml:space="preserve"> QA Manager</t>
          </r>
        </is>
      </c>
    </row>
    <row r="20" ht="55" customHeight="1">
      <c r="A20" s="12" t="inlineStr">
        <is>
          <t>Quality Assurance</t>
        </is>
      </c>
      <c r="B20" s="21" t="inlineStr">
        <is>
          <t>B · Specialist / Manager</t>
        </is>
      </c>
      <c r="C20" s="21" t="inlineStr">
        <is>
          <t>B2</t>
        </is>
      </c>
      <c r="D20" s="12" t="inlineStr">
        <is>
          <t>Senior Specialist · POD Lead</t>
        </is>
      </c>
      <c r="E20" s="12" t="inlineStr">
        <is>
          <t>Quality Assurance</t>
        </is>
      </c>
      <c r="F20" s="12" t="inlineStr">
        <is>
          <t>Test Management &amp; QA Leadership</t>
        </is>
      </c>
      <c r="G20" s="12" t="inlineStr">
        <is>
          <t>Senior QA Specialist – POD Lead</t>
        </is>
      </c>
      <c r="H20" s="12" t="inlineStr">
        <is>
          <t>POD Lead</t>
        </is>
      </c>
      <c r="I20" s="12" t="n">
        <v>1</v>
      </c>
      <c r="J20" s="12" t="inlineStr">
        <is>
          <r>
            <rPr>
              <rFont val="Calibri"/>
              <b val="1"/>
              <sz val="10"/>
            </rPr>
            <t>B2:</t>
          </r>
          <r>
            <rPr>
              <rFont val="Calibri"/>
              <sz val="10"/>
            </rPr>
            <t xml:space="preserve"> Senior QA Manager / Senior QA Specialist – POD Lead</t>
          </r>
        </is>
      </c>
      <c r="K20" s="12" t="inlineStr">
        <is>
          <t>Test Automation &amp; QA Engineering · Product, Platform &amp; Domain Knowledge</t>
        </is>
      </c>
      <c r="L20" s="12" t="inlineStr">
        <is>
          <t>Database, SQL &amp; Data Engineering · AI, GenAI &amp; Prompt Engineering · Process Improvement &amp; Quality Mindset · Communication &amp; Presentation</t>
        </is>
      </c>
      <c r="M20" s="12" t="inlineStr">
        <is>
          <t>Core 3 · Future-ready 3 · Functional 4 · Leadership 2</t>
        </is>
      </c>
      <c r="N20" s="12" t="inlineStr">
        <is>
          <t>ISTQB Foundation / Advanced; Internal product certification</t>
        </is>
      </c>
      <c r="O20" s="12" t="inlineStr">
        <is>
          <t>None — only this department</t>
        </is>
      </c>
      <c r="P20" s="17" t="inlineStr">
        <is>
          <r>
            <rPr>
              <rFont val="Calibri"/>
              <sz val="10"/>
            </rPr>
            <t xml:space="preserve">CARBON 1
</t>
          </r>
          <r>
            <rPr>
              <rFont val="Calibri"/>
              <b val="1"/>
              <sz val="10"/>
            </rPr>
            <t>Titled there:</t>
          </r>
          <r>
            <rPr>
              <rFont val="Calibri"/>
              <sz val="10"/>
            </rPr>
            <t xml:space="preserve"> QA Manager</t>
          </r>
        </is>
      </c>
    </row>
    <row r="21" ht="55" customHeight="1">
      <c r="A21" s="12" t="inlineStr">
        <is>
          <t>Sales</t>
        </is>
      </c>
      <c r="B21" s="17" t="inlineStr">
        <is>
          <t>A · Practitioner</t>
        </is>
      </c>
      <c r="C21" s="17" t="inlineStr">
        <is>
          <t>A1</t>
        </is>
      </c>
      <c r="D21" s="12" t="inlineStr">
        <is>
          <t>Intern / Trainee</t>
        </is>
      </c>
      <c r="E21" s="12" t="inlineStr">
        <is>
          <t>Customer Success &amp; Support</t>
        </is>
      </c>
      <c r="F21" s="12" t="inlineStr">
        <is>
          <t>Application &amp; Product Support</t>
        </is>
      </c>
      <c r="G21" s="12" t="inlineStr">
        <is>
          <t>Intern – Application &amp; Product Support</t>
        </is>
      </c>
      <c r="H21" s="12" t="inlineStr">
        <is>
          <t>IC</t>
        </is>
      </c>
      <c r="I21" s="12" t="n">
        <v>1</v>
      </c>
      <c r="J21" s="12" t="inlineStr">
        <is>
          <r>
            <rPr>
              <rFont val="Calibri"/>
              <b val="1"/>
              <sz val="10"/>
            </rPr>
            <t>A1:</t>
          </r>
          <r>
            <rPr>
              <rFont val="Calibri"/>
              <sz val="10"/>
            </rPr>
            <t xml:space="preserve"> Intern – Application &amp; Product Support</t>
          </r>
        </is>
      </c>
      <c r="K21" s="12" t="inlineStr">
        <is>
          <t>Product, Platform &amp; Domain Knowledge · Stakeholder &amp; Client Management</t>
        </is>
      </c>
      <c r="L21" s="12" t="inlineStr">
        <is>
          <t>Communication &amp; Presentation · Database, SQL &amp; Data Engineering · Regulatory &amp; BFSI Domain · Process Improvement &amp; Quality Mindset</t>
        </is>
      </c>
      <c r="M21" s="12" t="inlineStr">
        <is>
          <t>Core 1 · Future-ready 1 · Functional 1 · Leadership —</t>
        </is>
      </c>
      <c r="N21" s="12" t="inlineStr">
        <is>
          <t>Internal product certification</t>
        </is>
      </c>
      <c r="O21" s="12" t="inlineStr">
        <is>
          <t>None — only this department</t>
        </is>
      </c>
      <c r="P21" s="17" t="inlineStr">
        <is>
          <t>iDEAL 1
Same title</t>
        </is>
      </c>
    </row>
    <row r="22" ht="55" customHeight="1">
      <c r="A22" s="12" t="inlineStr">
        <is>
          <t>Sales</t>
        </is>
      </c>
      <c r="B22" s="21" t="inlineStr">
        <is>
          <t>B · Specialist / Manager</t>
        </is>
      </c>
      <c r="C22" s="21" t="inlineStr">
        <is>
          <t>B1</t>
        </is>
      </c>
      <c r="D22" s="12" t="inlineStr">
        <is>
          <t>Specialist · POD Lead</t>
        </is>
      </c>
      <c r="E22" s="12" t="inlineStr">
        <is>
          <t>Sales &amp; Business Development</t>
        </is>
      </c>
      <c r="F22" s="12" t="inlineStr">
        <is>
          <t>Enterprise Sales &amp; Account Management</t>
        </is>
      </c>
      <c r="G22" s="12" t="inlineStr">
        <is>
          <t>Account Executive – POD Lead</t>
        </is>
      </c>
      <c r="H22" s="12" t="inlineStr">
        <is>
          <t>POD Lead</t>
        </is>
      </c>
      <c r="I22" s="12" t="n">
        <v>1</v>
      </c>
      <c r="J22" s="12" t="inlineStr">
        <is>
          <r>
            <rPr>
              <rFont val="Calibri"/>
              <b val="1"/>
              <sz val="10"/>
            </rPr>
            <t>B1:</t>
          </r>
          <r>
            <rPr>
              <rFont val="Calibri"/>
              <sz val="10"/>
            </rPr>
            <t xml:space="preserve"> Account Executive – POD Lead → X2: Consultant – Enterprise Sales &amp; Account Management</t>
          </r>
        </is>
      </c>
      <c r="K22" s="12" t="inlineStr">
        <is>
          <t>Sales, Negotiation &amp; Account Growth · Marketing Tech &amp; Digital Marketing</t>
        </is>
      </c>
      <c r="L22" s="12" t="inlineStr">
        <is>
          <t>Stakeholder &amp; Client Management · Communication &amp; Presentation · Product, Platform &amp; Domain Knowledge · Strategic Thinking &amp; Business Acumen</t>
        </is>
      </c>
      <c r="M22" s="12" t="inlineStr">
        <is>
          <t>Core 3 · Future-ready 3 · Functional 3 · Leadership 1</t>
        </is>
      </c>
      <c r="N22" s="12" t="inlineStr">
        <is>
          <t>Google / HubSpot certifications</t>
        </is>
      </c>
      <c r="O22" s="12" t="inlineStr">
        <is>
          <t>None — only this department</t>
        </is>
      </c>
      <c r="P22" s="17" t="inlineStr">
        <is>
          <r>
            <rPr>
              <rFont val="Calibri"/>
              <sz val="10"/>
            </rPr>
            <t xml:space="preserve">iDEAL 1
</t>
          </r>
          <r>
            <rPr>
              <rFont val="Calibri"/>
              <b val="1"/>
              <sz val="10"/>
            </rPr>
            <t>Titled there:</t>
          </r>
          <r>
            <rPr>
              <rFont val="Calibri"/>
              <sz val="10"/>
            </rPr>
            <t xml:space="preserve"> Account Executive</t>
          </r>
        </is>
      </c>
    </row>
    <row r="23" ht="55" customHeight="1">
      <c r="A23" s="12" t="inlineStr">
        <is>
          <t>Sales</t>
        </is>
      </c>
      <c r="B23" s="21" t="inlineStr">
        <is>
          <t>B · Specialist / Manager</t>
        </is>
      </c>
      <c r="C23" s="21" t="inlineStr">
        <is>
          <t>B1</t>
        </is>
      </c>
      <c r="D23" s="12" t="inlineStr">
        <is>
          <t>Specialist</t>
        </is>
      </c>
      <c r="E23" s="12" t="inlineStr">
        <is>
          <t>Sales &amp; Business Development</t>
        </is>
      </c>
      <c r="F23" s="12" t="inlineStr">
        <is>
          <t>Pre-Sales &amp; Solution Demos</t>
        </is>
      </c>
      <c r="G23" s="12" t="inlineStr">
        <is>
          <t>Pre-Sales Specialist</t>
        </is>
      </c>
      <c r="H23" s="12" t="inlineStr">
        <is>
          <t>IC</t>
        </is>
      </c>
      <c r="I23" s="12" t="n">
        <v>1</v>
      </c>
      <c r="J23" s="12" t="inlineStr">
        <is>
          <r>
            <rPr>
              <rFont val="Calibri"/>
              <b val="1"/>
              <sz val="10"/>
            </rPr>
            <t>B1:</t>
          </r>
          <r>
            <rPr>
              <rFont val="Calibri"/>
              <sz val="10"/>
            </rPr>
            <t xml:space="preserve"> Pre-Sales Specialist</t>
          </r>
        </is>
      </c>
      <c r="K23" s="12" t="inlineStr">
        <is>
          <t>Sales, Negotiation &amp; Account Growth · Marketing Tech &amp; Digital Marketing</t>
        </is>
      </c>
      <c r="L23" s="12" t="inlineStr">
        <is>
          <t>Stakeholder &amp; Client Management · Communication &amp; Presentation · Product, Platform &amp; Domain Knowledge · Strategic Thinking &amp; Business Acumen</t>
        </is>
      </c>
      <c r="M23" s="12" t="inlineStr">
        <is>
          <t>Core 3 · Future-ready 3 · Functional 3 · Leadership 1</t>
        </is>
      </c>
      <c r="N23" s="12" t="inlineStr">
        <is>
          <t>Google / HubSpot certifications</t>
        </is>
      </c>
      <c r="O23" s="12" t="inlineStr">
        <is>
          <t>None — only this department</t>
        </is>
      </c>
      <c r="P23" s="12" t="inlineStr">
        <is>
          <t>None — only iFile</t>
        </is>
      </c>
    </row>
    <row r="24" ht="55" customHeight="1">
      <c r="A24" s="12" t="inlineStr">
        <is>
          <t>Sales</t>
        </is>
      </c>
      <c r="B24" s="21" t="inlineStr">
        <is>
          <t>B · Specialist / Manager</t>
        </is>
      </c>
      <c r="C24" s="21" t="inlineStr">
        <is>
          <t>B2</t>
        </is>
      </c>
      <c r="D24" s="12" t="inlineStr">
        <is>
          <t>Senior Specialist · POD Lead</t>
        </is>
      </c>
      <c r="E24" s="12" t="inlineStr">
        <is>
          <t>Sales &amp; Business Development</t>
        </is>
      </c>
      <c r="F24" s="12" t="inlineStr">
        <is>
          <t>Sales Leadership</t>
        </is>
      </c>
      <c r="G24" s="12" t="inlineStr">
        <is>
          <t>Senior Account Executive – POD Lead</t>
        </is>
      </c>
      <c r="H24" s="12" t="inlineStr">
        <is>
          <t>POD Lead</t>
        </is>
      </c>
      <c r="I24" s="12" t="n">
        <v>1</v>
      </c>
      <c r="J24" s="12" t="inlineStr">
        <is>
          <r>
            <rPr>
              <rFont val="Calibri"/>
              <b val="1"/>
              <sz val="10"/>
            </rPr>
            <t>B2:</t>
          </r>
          <r>
            <rPr>
              <rFont val="Calibri"/>
              <sz val="10"/>
            </rPr>
            <t xml:space="preserve"> Senior Account Executive – POD Lead → C1: Principal – Enterprise Sales → C2: Head – Sales</t>
          </r>
        </is>
      </c>
      <c r="K24" s="12" t="inlineStr">
        <is>
          <t>Sales, Negotiation &amp; Account Growth · Marketing Tech &amp; Digital Marketing</t>
        </is>
      </c>
      <c r="L24" s="12" t="inlineStr">
        <is>
          <t>Stakeholder &amp; Client Management · Communication &amp; Presentation · Product, Platform &amp; Domain Knowledge · Strategic Thinking &amp; Business Acumen</t>
        </is>
      </c>
      <c r="M24" s="12" t="inlineStr">
        <is>
          <t>Core 3 · Future-ready 3 · Functional 4 · Leadership 2</t>
        </is>
      </c>
      <c r="N24" s="12" t="inlineStr">
        <is>
          <t>Google / HubSpot certifications</t>
        </is>
      </c>
      <c r="O24" s="12" t="inlineStr">
        <is>
          <t>None — only this department</t>
        </is>
      </c>
      <c r="P24" s="17" t="inlineStr">
        <is>
          <r>
            <rPr>
              <rFont val="Calibri"/>
              <sz val="10"/>
            </rPr>
            <t xml:space="preserve">CARBON 1
</t>
          </r>
          <r>
            <rPr>
              <rFont val="Calibri"/>
              <b val="1"/>
              <sz val="10"/>
            </rPr>
            <t>Titled there:</t>
          </r>
          <r>
            <rPr>
              <rFont val="Calibri"/>
              <sz val="10"/>
            </rPr>
            <t xml:space="preserve"> Lead Account Executive</t>
          </r>
        </is>
      </c>
    </row>
    <row r="25" ht="55" customHeight="1">
      <c r="A25" s="12" t="inlineStr">
        <is>
          <t>Sales</t>
        </is>
      </c>
      <c r="B25" s="21" t="inlineStr">
        <is>
          <t>B · Specialist / Manager</t>
        </is>
      </c>
      <c r="C25" s="21" t="inlineStr">
        <is>
          <t>B3</t>
        </is>
      </c>
      <c r="D25" s="12" t="inlineStr">
        <is>
          <t>Lead Specialist · POD Lead</t>
        </is>
      </c>
      <c r="E25" s="12" t="inlineStr">
        <is>
          <t>Sales &amp; Business Development</t>
        </is>
      </c>
      <c r="F25" s="12" t="inlineStr">
        <is>
          <t>Partnerships &amp; Alliances</t>
        </is>
      </c>
      <c r="G25" s="12" t="inlineStr">
        <is>
          <t>Lead Alliances Specialist – POD Lead</t>
        </is>
      </c>
      <c r="H25" s="12" t="inlineStr">
        <is>
          <t>POD Lead</t>
        </is>
      </c>
      <c r="I25" s="12" t="n">
        <v>1</v>
      </c>
      <c r="J25" s="12" t="inlineStr">
        <is>
          <r>
            <rPr>
              <rFont val="Calibri"/>
              <b val="1"/>
              <sz val="10"/>
            </rPr>
            <t>B3:</t>
          </r>
          <r>
            <rPr>
              <rFont val="Calibri"/>
              <sz val="10"/>
            </rPr>
            <t xml:space="preserve"> Lead Alliances Specialist – POD Lead</t>
          </r>
        </is>
      </c>
      <c r="K25" s="12" t="inlineStr">
        <is>
          <t>Sales, Negotiation &amp; Account Growth · Marketing Tech &amp; Digital Marketing</t>
        </is>
      </c>
      <c r="L25" s="12" t="inlineStr">
        <is>
          <t>Stakeholder &amp; Client Management · Communication &amp; Presentation · Product, Platform &amp; Domain Knowledge · Strategic Thinking &amp; Business Acumen</t>
        </is>
      </c>
      <c r="M25" s="12" t="inlineStr">
        <is>
          <t>Core 4 · Future-ready 3 · Functional 4 · Leadership 3</t>
        </is>
      </c>
      <c r="N25" s="12" t="inlineStr">
        <is>
          <t>Google / HubSpot certifications</t>
        </is>
      </c>
      <c r="O25" s="12" t="inlineStr">
        <is>
          <t>None — only this department</t>
        </is>
      </c>
      <c r="P25" s="12" t="inlineStr">
        <is>
          <t>None — only iFile</t>
        </is>
      </c>
    </row>
    <row r="26" ht="55" customHeight="1">
      <c r="A26" s="12" t="inlineStr">
        <is>
          <t>Sales</t>
        </is>
      </c>
      <c r="B26" s="29" t="inlineStr">
        <is>
          <t>C · Principal / Head</t>
        </is>
      </c>
      <c r="C26" s="29" t="inlineStr">
        <is>
          <t>C1</t>
        </is>
      </c>
      <c r="D26" s="12" t="inlineStr">
        <is>
          <t>Principal</t>
        </is>
      </c>
      <c r="E26" s="12" t="inlineStr">
        <is>
          <t>Sales &amp; Business Development</t>
        </is>
      </c>
      <c r="F26" s="12" t="inlineStr">
        <is>
          <t>Sales Leadership</t>
        </is>
      </c>
      <c r="G26" s="12" t="inlineStr">
        <is>
          <t>Principal – Enterprise Sales</t>
        </is>
      </c>
      <c r="H26" s="12" t="inlineStr">
        <is>
          <t>IC</t>
        </is>
      </c>
      <c r="I26" s="12" t="n">
        <v>1</v>
      </c>
      <c r="J26" s="12" t="inlineStr">
        <is>
          <r>
            <rPr>
              <rFont val="Calibri"/>
              <b val="1"/>
              <sz val="10"/>
            </rPr>
            <t>B2:</t>
          </r>
          <r>
            <rPr>
              <rFont val="Calibri"/>
              <sz val="10"/>
            </rPr>
            <t xml:space="preserve"> Senior Account Executive – POD Lead → C1: Principal – Enterprise Sales → C2: Head – Sales</t>
          </r>
        </is>
      </c>
      <c r="K26" s="12" t="inlineStr">
        <is>
          <t>Sales, Negotiation &amp; Account Growth · Marketing Tech &amp; Digital Marketing</t>
        </is>
      </c>
      <c r="L26" s="12" t="inlineStr">
        <is>
          <t>Stakeholder &amp; Client Management · Communication &amp; Presentation · Product, Platform &amp; Domain Knowledge · Strategic Thinking &amp; Business Acumen</t>
        </is>
      </c>
      <c r="M26" s="12" t="inlineStr">
        <is>
          <t>Core 4 · Future-ready 4 · Functional 4 · Leadership 4</t>
        </is>
      </c>
      <c r="N26" s="12" t="inlineStr">
        <is>
          <t>Google / HubSpot certifications</t>
        </is>
      </c>
      <c r="O26" s="12" t="inlineStr">
        <is>
          <t>None — only this department</t>
        </is>
      </c>
      <c r="P26" s="17" t="inlineStr">
        <is>
          <r>
            <rPr>
              <rFont val="Calibri"/>
              <sz val="10"/>
            </rPr>
            <t xml:space="preserve">CARBON 1 · Datatech 1
</t>
          </r>
          <r>
            <rPr>
              <rFont val="Calibri"/>
              <b val="1"/>
              <sz val="10"/>
            </rPr>
            <t>Titled there:</t>
          </r>
          <r>
            <rPr>
              <rFont val="Calibri"/>
              <sz val="10"/>
            </rPr>
            <t xml:space="preserve"> Principal – Enterprise Sales / Principal – Sales</t>
          </r>
        </is>
      </c>
    </row>
    <row r="27" ht="55" customHeight="1">
      <c r="A27" s="12" t="inlineStr">
        <is>
          <t>Sales</t>
        </is>
      </c>
      <c r="B27" s="29" t="inlineStr">
        <is>
          <t>C · Principal / Head</t>
        </is>
      </c>
      <c r="C27" s="29" t="inlineStr">
        <is>
          <t>C2</t>
        </is>
      </c>
      <c r="D27" s="12" t="inlineStr">
        <is>
          <t>Head of Function</t>
        </is>
      </c>
      <c r="E27" s="12" t="inlineStr">
        <is>
          <t>Sales &amp; Business Development</t>
        </is>
      </c>
      <c r="F27" s="12" t="inlineStr">
        <is>
          <t>Sales Leadership</t>
        </is>
      </c>
      <c r="G27" s="12" t="inlineStr">
        <is>
          <t>Head – Sales</t>
        </is>
      </c>
      <c r="H27" s="12" t="inlineStr">
        <is>
          <t>People Manager</t>
        </is>
      </c>
      <c r="I27" s="12" t="n">
        <v>1</v>
      </c>
      <c r="J27" s="12" t="inlineStr">
        <is>
          <r>
            <rPr>
              <rFont val="Calibri"/>
              <b val="1"/>
              <sz val="10"/>
            </rPr>
            <t>B2:</t>
          </r>
          <r>
            <rPr>
              <rFont val="Calibri"/>
              <sz val="10"/>
            </rPr>
            <t xml:space="preserve"> Senior Account Executive – POD Lead → C1: Principal – Enterprise Sales → C2: Head – Sales</t>
          </r>
        </is>
      </c>
      <c r="K27" s="12" t="inlineStr">
        <is>
          <t>Sales, Negotiation &amp; Account Growth · Marketing Tech &amp; Digital Marketing</t>
        </is>
      </c>
      <c r="L27" s="12" t="inlineStr">
        <is>
          <t>Stakeholder &amp; Client Management · Communication &amp; Presentation · Product, Platform &amp; Domain Knowledge · Strategic Thinking &amp; Business Acumen</t>
        </is>
      </c>
      <c r="M27" s="12" t="inlineStr">
        <is>
          <t>Core 4 · Future-ready 4 · Functional 5 · Leadership 4</t>
        </is>
      </c>
      <c r="N27" s="12" t="inlineStr">
        <is>
          <t>Google / HubSpot certifications</t>
        </is>
      </c>
      <c r="O27" s="12" t="inlineStr">
        <is>
          <t>None — only this department</t>
        </is>
      </c>
      <c r="P27" s="12" t="inlineStr">
        <is>
          <t>None — only iFile</t>
        </is>
      </c>
    </row>
    <row r="28" ht="55" customHeight="1">
      <c r="A28" s="12" t="inlineStr">
        <is>
          <t>Sales</t>
        </is>
      </c>
      <c r="B28" s="33" t="inlineStr">
        <is>
          <t>D · Business leadership</t>
        </is>
      </c>
      <c r="C28" s="33" t="inlineStr">
        <is>
          <t>D2</t>
        </is>
      </c>
      <c r="D28" s="12" t="inlineStr">
        <is>
          <t>Vice President</t>
        </is>
      </c>
      <c r="E28" s="12" t="inlineStr">
        <is>
          <t>Executive Leadership</t>
        </is>
      </c>
      <c r="F28" s="12" t="inlineStr">
        <is>
          <t>Business &amp; Functional Leadership</t>
        </is>
      </c>
      <c r="G28" s="12" t="inlineStr">
        <is>
          <t>Business Head – SupTech &amp; Bank-RegTech</t>
        </is>
      </c>
      <c r="H28" s="12" t="inlineStr">
        <is>
          <t>People Manager</t>
        </is>
      </c>
      <c r="I28" s="12" t="n">
        <v>1</v>
      </c>
      <c r="J28" s="12" t="inlineStr">
        <is>
          <r>
            <rPr>
              <rFont val="Calibri"/>
              <b val="1"/>
              <sz val="10"/>
            </rPr>
            <t>D2:</t>
          </r>
          <r>
            <rPr>
              <rFont val="Calibri"/>
              <sz val="10"/>
            </rPr>
            <t xml:space="preserve"> Business Head – SupTech &amp; Bank-RegTech</t>
          </r>
        </is>
      </c>
      <c r="K28" s="12" t="inlineStr">
        <is>
          <t>Strategic Thinking &amp; Business Acumen · People Leadership &amp; Mentoring</t>
        </is>
      </c>
      <c r="L28" s="12" t="inlineStr">
        <is>
          <t>Stakeholder &amp; Client Management · Product, Platform &amp; Domain Knowledge · Regulatory &amp; BFSI Domain · Communication &amp; Presentation</t>
        </is>
      </c>
      <c r="M28" s="12" t="inlineStr">
        <is>
          <t>Core 5 · Future-ready 4 · Functional 4 · Leadership 5</t>
        </is>
      </c>
      <c r="N28" s="12" t="inlineStr">
        <is>
          <t>MBA / PGDM · preferred at C+</t>
        </is>
      </c>
      <c r="O28" s="12" t="inlineStr">
        <is>
          <t>None — only this department</t>
        </is>
      </c>
      <c r="P28" s="17" t="inlineStr">
        <is>
          <r>
            <rPr>
              <rFont val="Calibri"/>
              <sz val="10"/>
            </rPr>
            <t xml:space="preserve">CARBON 1 · Datatech 1
</t>
          </r>
          <r>
            <rPr>
              <rFont val="Calibri"/>
              <b val="1"/>
              <sz val="10"/>
            </rPr>
            <t>Titled there:</t>
          </r>
          <r>
            <rPr>
              <rFont val="Calibri"/>
              <sz val="10"/>
            </rPr>
            <t xml:space="preserve"> Business Head / Business Head – DataTech</t>
          </r>
        </is>
      </c>
    </row>
    <row r="29" ht="55" customHeight="1">
      <c r="A29" s="12" t="inlineStr">
        <is>
          <t>Sales</t>
        </is>
      </c>
      <c r="B29" s="37" t="inlineStr">
        <is>
          <t>X · Consultant</t>
        </is>
      </c>
      <c r="C29" s="37" t="inlineStr">
        <is>
          <t>X2</t>
        </is>
      </c>
      <c r="D29" s="12" t="inlineStr">
        <is>
          <t>Consultant</t>
        </is>
      </c>
      <c r="E29" s="12" t="inlineStr">
        <is>
          <t>Sales &amp; Business Development</t>
        </is>
      </c>
      <c r="F29" s="12" t="inlineStr">
        <is>
          <t>Enterprise Sales &amp; Account Management</t>
        </is>
      </c>
      <c r="G29" s="12" t="inlineStr">
        <is>
          <t>Consultant – Enterprise Sales &amp; Account Management</t>
        </is>
      </c>
      <c r="H29" s="12" t="inlineStr">
        <is>
          <t>Consultant</t>
        </is>
      </c>
      <c r="I29" s="12" t="n">
        <v>1</v>
      </c>
      <c r="J29" s="12" t="inlineStr">
        <is>
          <r>
            <rPr>
              <rFont val="Calibri"/>
              <b val="1"/>
              <sz val="10"/>
            </rPr>
            <t>B1:</t>
          </r>
          <r>
            <rPr>
              <rFont val="Calibri"/>
              <sz val="10"/>
            </rPr>
            <t xml:space="preserve"> Account Executive – POD Lead → X2: Consultant – Enterprise Sales &amp; Account Management</t>
          </r>
        </is>
      </c>
      <c r="K29" s="12" t="inlineStr">
        <is>
          <t>Sales, Negotiation &amp; Account Growth · Marketing Tech &amp; Digital Marketing</t>
        </is>
      </c>
      <c r="L29" s="12" t="inlineStr">
        <is>
          <t>Stakeholder &amp; Client Management · Communication &amp; Presentation · Product, Platform &amp; Domain Knowledge · Strategic Thinking &amp; Business Acumen</t>
        </is>
      </c>
      <c r="M29" s="12" t="inlineStr">
        <is>
          <t>Per statement of work</t>
        </is>
      </c>
      <c r="N29" s="12" t="inlineStr">
        <is>
          <t>Google / HubSpot certifications</t>
        </is>
      </c>
      <c r="O29" s="12" t="inlineStr">
        <is>
          <t>None — only this department</t>
        </is>
      </c>
      <c r="P29" s="12" t="inlineStr">
        <is>
          <t>None — only iFile</t>
        </is>
      </c>
    </row>
    <row r="30" ht="55" customHeight="1">
      <c r="A30" s="12" t="inlineStr">
        <is>
          <t>Sales</t>
        </is>
      </c>
      <c r="B30" s="37" t="inlineStr">
        <is>
          <t>X · Consultant</t>
        </is>
      </c>
      <c r="C30" s="37" t="inlineStr">
        <is>
          <t>X3</t>
        </is>
      </c>
      <c r="D30" s="12" t="inlineStr">
        <is>
          <t>Senior Consultant / Advisor</t>
        </is>
      </c>
      <c r="E30" s="12" t="inlineStr">
        <is>
          <t>Executive Leadership</t>
        </is>
      </c>
      <c r="F30" s="12" t="inlineStr">
        <is>
          <t>Enterprise Leadership</t>
        </is>
      </c>
      <c r="G30" s="12" t="inlineStr">
        <is>
          <t>Senior Consultant – Enterprise Leadership</t>
        </is>
      </c>
      <c r="H30" s="12" t="inlineStr">
        <is>
          <t>Consultant</t>
        </is>
      </c>
      <c r="I30" s="12" t="n">
        <v>1</v>
      </c>
      <c r="J30" s="12" t="inlineStr">
        <is>
          <r>
            <rPr>
              <rFont val="Calibri"/>
              <b val="1"/>
              <sz val="10"/>
            </rPr>
            <t>X3:</t>
          </r>
          <r>
            <rPr>
              <rFont val="Calibri"/>
              <sz val="10"/>
            </rPr>
            <t xml:space="preserve"> Senior Consultant – Enterprise Leadership</t>
          </r>
        </is>
      </c>
      <c r="K30" s="12" t="inlineStr">
        <is>
          <t>Strategic Thinking &amp; Business Acumen · People Leadership &amp; Mentoring</t>
        </is>
      </c>
      <c r="L30" s="12" t="inlineStr">
        <is>
          <t>Stakeholder &amp; Client Management · Product, Platform &amp; Domain Knowledge · Regulatory &amp; BFSI Domain · Communication &amp; Presentation</t>
        </is>
      </c>
      <c r="M30" s="12" t="inlineStr">
        <is>
          <t>Per statement of work</t>
        </is>
      </c>
      <c r="N30" s="12" t="inlineStr">
        <is>
          <t>MBA / PGDM · preferred at C+</t>
        </is>
      </c>
      <c r="O30" s="12" t="inlineStr">
        <is>
          <t>None — only this department</t>
        </is>
      </c>
      <c r="P30" s="12" t="inlineStr">
        <is>
          <t>None — only iFile</t>
        </is>
      </c>
    </row>
    <row r="31" ht="55" customHeight="1">
      <c r="A31" s="12" t="inlineStr">
        <is>
          <t>Support</t>
        </is>
      </c>
      <c r="B31" s="17" t="inlineStr">
        <is>
          <t>A · Practitioner</t>
        </is>
      </c>
      <c r="C31" s="17" t="inlineStr">
        <is>
          <t>A2</t>
        </is>
      </c>
      <c r="D31" s="12" t="inlineStr">
        <is>
          <t>Associate</t>
        </is>
      </c>
      <c r="E31" s="12" t="inlineStr">
        <is>
          <t>Customer Success &amp; Support</t>
        </is>
      </c>
      <c r="F31" s="12" t="inlineStr">
        <is>
          <t>Application &amp; Product Support</t>
        </is>
      </c>
      <c r="G31" s="12" t="inlineStr">
        <is>
          <t>Support Executive</t>
        </is>
      </c>
      <c r="H31" s="12" t="inlineStr">
        <is>
          <t>IC</t>
        </is>
      </c>
      <c r="I31" s="12" t="n">
        <v>1</v>
      </c>
      <c r="J31" s="12" t="inlineStr">
        <is>
          <r>
            <rPr>
              <rFont val="Calibri"/>
              <b val="1"/>
              <sz val="10"/>
            </rPr>
            <t>A2:</t>
          </r>
          <r>
            <rPr>
              <rFont val="Calibri"/>
              <sz val="10"/>
            </rPr>
            <t xml:space="preserve"> Support Executive → A3: Senior Support Executive → B1: Support Specialist</t>
          </r>
        </is>
      </c>
      <c r="K31" s="12" t="inlineStr">
        <is>
          <t>Product, Platform &amp; Domain Knowledge · Stakeholder &amp; Client Management</t>
        </is>
      </c>
      <c r="L31" s="12" t="inlineStr">
        <is>
          <t>Communication &amp; Presentation · Database, SQL &amp; Data Engineering · Regulatory &amp; BFSI Domain · Process Improvement &amp; Quality Mindset</t>
        </is>
      </c>
      <c r="M31" s="12" t="inlineStr">
        <is>
          <t>Core 2 · Future-ready 2 · Functional 2 · Leadership —</t>
        </is>
      </c>
      <c r="N31" s="12" t="inlineStr">
        <is>
          <t>Internal product certification</t>
        </is>
      </c>
      <c r="O31" s="12" t="inlineStr">
        <is>
          <t>None — only this department</t>
        </is>
      </c>
      <c r="P31" s="17" t="inlineStr">
        <is>
          <t>iDEAL 1
Same title</t>
        </is>
      </c>
    </row>
    <row r="32" ht="55" customHeight="1">
      <c r="A32" s="12" t="inlineStr">
        <is>
          <t>Support</t>
        </is>
      </c>
      <c r="B32" s="17" t="inlineStr">
        <is>
          <t>A · Practitioner</t>
        </is>
      </c>
      <c r="C32" s="17" t="inlineStr">
        <is>
          <t>A3</t>
        </is>
      </c>
      <c r="D32" s="12" t="inlineStr">
        <is>
          <t>Senior Associate</t>
        </is>
      </c>
      <c r="E32" s="12" t="inlineStr">
        <is>
          <t>Customer Success &amp; Support</t>
        </is>
      </c>
      <c r="F32" s="12" t="inlineStr">
        <is>
          <t>Application &amp; Product Support</t>
        </is>
      </c>
      <c r="G32" s="12" t="inlineStr">
        <is>
          <t>Senior Support Executive</t>
        </is>
      </c>
      <c r="H32" s="12" t="inlineStr">
        <is>
          <t>IC</t>
        </is>
      </c>
      <c r="I32" s="12" t="n">
        <v>8</v>
      </c>
      <c r="J32" s="12" t="inlineStr">
        <is>
          <r>
            <rPr>
              <rFont val="Calibri"/>
              <b val="1"/>
              <sz val="10"/>
            </rPr>
            <t>A2:</t>
          </r>
          <r>
            <rPr>
              <rFont val="Calibri"/>
              <sz val="10"/>
            </rPr>
            <t xml:space="preserve"> Support Executive → A3: Senior Support Executive → B1: Support Specialist</t>
          </r>
        </is>
      </c>
      <c r="K32" s="12" t="inlineStr">
        <is>
          <t>Product, Platform &amp; Domain Knowledge · Stakeholder &amp; Client Management</t>
        </is>
      </c>
      <c r="L32" s="12" t="inlineStr">
        <is>
          <t>Communication &amp; Presentation · Database, SQL &amp; Data Engineering · Regulatory &amp; BFSI Domain · Process Improvement &amp; Quality Mindset</t>
        </is>
      </c>
      <c r="M32" s="12" t="inlineStr">
        <is>
          <t>Core 2 · Future-ready 2 · Functional 3 · Leadership —</t>
        </is>
      </c>
      <c r="N32" s="12" t="inlineStr">
        <is>
          <t>Internal product certification</t>
        </is>
      </c>
      <c r="O32" s="12" t="inlineStr">
        <is>
          <t>None — only this department</t>
        </is>
      </c>
      <c r="P32" s="17" t="inlineStr">
        <is>
          <r>
            <rPr>
              <rFont val="Calibri"/>
              <sz val="10"/>
            </rPr>
            <t xml:space="preserve">CARBON 7 · iDEAL 2
</t>
          </r>
          <r>
            <rPr>
              <rFont val="Calibri"/>
              <b val="1"/>
              <sz val="10"/>
            </rPr>
            <t>Titled there:</t>
          </r>
          <r>
            <rPr>
              <rFont val="Calibri"/>
              <sz val="10"/>
            </rPr>
            <t xml:space="preserve"> Senior Support Executive / Support Specialist</t>
          </r>
        </is>
      </c>
    </row>
    <row r="33" ht="55" customHeight="1">
      <c r="A33" s="12" t="inlineStr">
        <is>
          <t>Support</t>
        </is>
      </c>
      <c r="B33" s="21" t="inlineStr">
        <is>
          <t>B · Specialist / Manager</t>
        </is>
      </c>
      <c r="C33" s="21" t="inlineStr">
        <is>
          <t>B1</t>
        </is>
      </c>
      <c r="D33" s="12" t="inlineStr">
        <is>
          <t>Specialist</t>
        </is>
      </c>
      <c r="E33" s="12" t="inlineStr">
        <is>
          <t>Customer Success &amp; Support</t>
        </is>
      </c>
      <c r="F33" s="12" t="inlineStr">
        <is>
          <t>Application &amp; Product Support</t>
        </is>
      </c>
      <c r="G33" s="12" t="inlineStr">
        <is>
          <t>Support Specialist</t>
        </is>
      </c>
      <c r="H33" s="12" t="inlineStr">
        <is>
          <t>IC</t>
        </is>
      </c>
      <c r="I33" s="12" t="n">
        <v>2</v>
      </c>
      <c r="J33" s="12" t="inlineStr">
        <is>
          <r>
            <rPr>
              <rFont val="Calibri"/>
              <b val="1"/>
              <sz val="10"/>
            </rPr>
            <t>A2:</t>
          </r>
          <r>
            <rPr>
              <rFont val="Calibri"/>
              <sz val="10"/>
            </rPr>
            <t xml:space="preserve"> Support Executive → A3: Senior Support Executive → B1: Support Specialist</t>
          </r>
        </is>
      </c>
      <c r="K33" s="12" t="inlineStr">
        <is>
          <t>Product, Platform &amp; Domain Knowledge · Stakeholder &amp; Client Management</t>
        </is>
      </c>
      <c r="L33" s="12" t="inlineStr">
        <is>
          <t>Communication &amp; Presentation · Database, SQL &amp; Data Engineering · Regulatory &amp; BFSI Domain · Process Improvement &amp; Quality Mindset</t>
        </is>
      </c>
      <c r="M33" s="12" t="inlineStr">
        <is>
          <t>Core 3 · Future-ready 3 · Functional 3 · Leadership 1</t>
        </is>
      </c>
      <c r="N33" s="12" t="inlineStr">
        <is>
          <t>Internal product certification</t>
        </is>
      </c>
      <c r="O33" s="12" t="inlineStr">
        <is>
          <t>None — only this department</t>
        </is>
      </c>
      <c r="P33" s="17" t="inlineStr">
        <is>
          <r>
            <rPr>
              <rFont val="Calibri"/>
              <sz val="10"/>
            </rPr>
            <t xml:space="preserve">CARBON 1
</t>
          </r>
          <r>
            <rPr>
              <rFont val="Calibri"/>
              <b val="1"/>
              <sz val="10"/>
            </rPr>
            <t>Titled there:</t>
          </r>
          <r>
            <rPr>
              <rFont val="Calibri"/>
              <sz val="10"/>
            </rPr>
            <t xml:space="preserve"> Functional Specialist</t>
          </r>
        </is>
      </c>
    </row>
    <row r="34" ht="68" customHeight="1">
      <c r="A34" s="12" t="inlineStr">
        <is>
          <t>Technology</t>
        </is>
      </c>
      <c r="B34" s="17" t="inlineStr">
        <is>
          <t>A · Practitioner</t>
        </is>
      </c>
      <c r="C34" s="17" t="inlineStr">
        <is>
          <t>A1</t>
        </is>
      </c>
      <c r="D34" s="12" t="inlineStr">
        <is>
          <t>Intern / Trainee</t>
        </is>
      </c>
      <c r="E34" s="12" t="inlineStr">
        <is>
          <t>Business Analysis</t>
        </is>
      </c>
      <c r="F34" s="12" t="inlineStr">
        <is>
          <t>Business Analysis</t>
        </is>
      </c>
      <c r="G34" s="12" t="inlineStr">
        <is>
          <t>Trainee Business Analyst</t>
        </is>
      </c>
      <c r="H34" s="12" t="inlineStr">
        <is>
          <t>IC</t>
        </is>
      </c>
      <c r="I34" s="12" t="n">
        <v>1</v>
      </c>
      <c r="J34" s="12"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34" s="12" t="inlineStr">
        <is>
          <t>Business Analysis &amp; Requirements Engineering · Regulatory &amp; BFSI Domain</t>
        </is>
      </c>
      <c r="L34" s="12" t="inlineStr">
        <is>
          <t>Product, Platform &amp; Domain Knowledge · Database, SQL &amp; Data Engineering · Stakeholder &amp; Client Management · Communication &amp; Presentation</t>
        </is>
      </c>
      <c r="M34" s="12" t="inlineStr">
        <is>
          <t>Core 1 · Future-ready 1 · Functional 1 · Leadership —</t>
        </is>
      </c>
      <c r="N34" s="12" t="inlineStr">
        <is>
          <t>CBAP / CCBA · optional; Domain certifications · optional</t>
        </is>
      </c>
      <c r="O34" s="12" t="inlineStr">
        <is>
          <t>None — only this department</t>
        </is>
      </c>
      <c r="P34" s="12" t="inlineStr">
        <is>
          <t>None — only iFile</t>
        </is>
      </c>
    </row>
    <row r="35" ht="55" customHeight="1">
      <c r="A35" s="12" t="inlineStr">
        <is>
          <t>Technology</t>
        </is>
      </c>
      <c r="B35" s="17" t="inlineStr">
        <is>
          <t>A · Practitioner</t>
        </is>
      </c>
      <c r="C35" s="17" t="inlineStr">
        <is>
          <t>A1</t>
        </is>
      </c>
      <c r="D35" s="12" t="inlineStr">
        <is>
          <t>Intern / Trainee</t>
        </is>
      </c>
      <c r="E35" s="12" t="inlineStr">
        <is>
          <t>Engineering &amp; Development</t>
        </is>
      </c>
      <c r="F35" s="12" t="inlineStr">
        <is>
          <t>AI / ML &amp; GenAI Engineering</t>
        </is>
      </c>
      <c r="G35" s="12" t="inlineStr">
        <is>
          <t>Trainee AI/ML Engineer</t>
        </is>
      </c>
      <c r="H35" s="12" t="inlineStr">
        <is>
          <t>IC</t>
        </is>
      </c>
      <c r="I35" s="12" t="n">
        <v>1</v>
      </c>
      <c r="J35" s="12" t="inlineStr">
        <is>
          <r>
            <rPr>
              <rFont val="Calibri"/>
              <b val="1"/>
              <sz val="10"/>
            </rPr>
            <t>A1:</t>
          </r>
          <r>
            <rPr>
              <rFont val="Calibri"/>
              <sz val="10"/>
            </rPr>
            <t xml:space="preserve"> Trainee AI/ML Engineer → A2: AI/ML Engineer → A3: Senior AI/ML Engineer → B1: AI/ML Specialist – POD Lead</t>
          </r>
        </is>
      </c>
      <c r="K35" s="12" t="inlineStr">
        <is>
          <t>Programming &amp; Tech-Stack Depth · System Design &amp; Architecture</t>
        </is>
      </c>
      <c r="L35" s="12" t="inlineStr">
        <is>
          <t>Database, SQL &amp; Data Engineering · Cloud, DevOps &amp; CI/CD · AI, GenAI &amp; Prompt Engineering · Product, Platform &amp; Domain Knowledge</t>
        </is>
      </c>
      <c r="M35" s="12" t="inlineStr">
        <is>
          <t>Core 1 · Future-ready 1 · Functional 1 · Leadership —</t>
        </is>
      </c>
      <c r="N35" s="12" t="inlineStr">
        <is>
          <t>Cloud / language certifications · optional; AWS / Azure architect · optional</t>
        </is>
      </c>
      <c r="O35" s="12" t="inlineStr">
        <is>
          <t>None — only this department</t>
        </is>
      </c>
      <c r="P35" s="12" t="inlineStr">
        <is>
          <t>None — only iFile</t>
        </is>
      </c>
    </row>
    <row r="36" ht="146" customHeight="1">
      <c r="A36" s="12" t="inlineStr">
        <is>
          <t>Technology</t>
        </is>
      </c>
      <c r="B36" s="17" t="inlineStr">
        <is>
          <t>A · Practitioner</t>
        </is>
      </c>
      <c r="C36" s="17" t="inlineStr">
        <is>
          <t>A1</t>
        </is>
      </c>
      <c r="D36" s="12" t="inlineStr">
        <is>
          <t>Intern / Trainee</t>
        </is>
      </c>
      <c r="E36" s="12" t="inlineStr">
        <is>
          <t>Engineering &amp; Development</t>
        </is>
      </c>
      <c r="F36" s="12" t="inlineStr">
        <is>
          <t>Backend Development</t>
        </is>
      </c>
      <c r="G36" s="12" t="inlineStr">
        <is>
          <t>Intern – Software Development</t>
        </is>
      </c>
      <c r="H36" s="12" t="inlineStr">
        <is>
          <t>IC</t>
        </is>
      </c>
      <c r="I36" s="12" t="n">
        <v>1</v>
      </c>
      <c r="J36"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36" s="12" t="inlineStr">
        <is>
          <t>Programming &amp; Tech-Stack Depth · System Design &amp; Architecture</t>
        </is>
      </c>
      <c r="L36" s="12" t="inlineStr">
        <is>
          <t>Database, SQL &amp; Data Engineering · Cloud, DevOps &amp; CI/CD · AI, GenAI &amp; Prompt Engineering · Product, Platform &amp; Domain Knowledge</t>
        </is>
      </c>
      <c r="M36" s="12" t="inlineStr">
        <is>
          <t>Core 1 · Future-ready 1 · Functional 1 · Leadership —</t>
        </is>
      </c>
      <c r="N36" s="12" t="inlineStr">
        <is>
          <t>Cloud / language certifications · optional; AWS / Azure architect · optional</t>
        </is>
      </c>
      <c r="O36" s="12" t="inlineStr">
        <is>
          <t>None — only this department</t>
        </is>
      </c>
      <c r="P36" s="17" t="inlineStr">
        <is>
          <r>
            <rPr>
              <rFont val="Calibri"/>
              <sz val="10"/>
            </rPr>
            <t xml:space="preserve">CARBON 1 · iDEAL 1
</t>
          </r>
          <r>
            <rPr>
              <rFont val="Calibri"/>
              <b val="1"/>
              <sz val="10"/>
            </rPr>
            <t>Titled there:</t>
          </r>
          <r>
            <rPr>
              <rFont val="Calibri"/>
              <sz val="10"/>
            </rPr>
            <t xml:space="preserve"> Trainee Software Engineer</t>
          </r>
        </is>
      </c>
    </row>
    <row r="37" ht="146" customHeight="1">
      <c r="A37" s="12" t="inlineStr">
        <is>
          <t>Technology</t>
        </is>
      </c>
      <c r="B37" s="17" t="inlineStr">
        <is>
          <t>A · Practitioner</t>
        </is>
      </c>
      <c r="C37" s="17" t="inlineStr">
        <is>
          <t>A1</t>
        </is>
      </c>
      <c r="D37" s="12" t="inlineStr">
        <is>
          <t>Intern / Trainee</t>
        </is>
      </c>
      <c r="E37" s="12" t="inlineStr">
        <is>
          <t>Engineering &amp; Development</t>
        </is>
      </c>
      <c r="F37" s="12" t="inlineStr">
        <is>
          <t>Backend Development</t>
        </is>
      </c>
      <c r="G37" s="12" t="inlineStr">
        <is>
          <t>Trainee Software Engineer</t>
        </is>
      </c>
      <c r="H37" s="12" t="inlineStr">
        <is>
          <t>IC</t>
        </is>
      </c>
      <c r="I37" s="12" t="n">
        <v>1</v>
      </c>
      <c r="J37"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37" s="12" t="inlineStr">
        <is>
          <t>Programming &amp; Tech-Stack Depth · System Design &amp; Architecture</t>
        </is>
      </c>
      <c r="L37" s="12" t="inlineStr">
        <is>
          <t>Database, SQL &amp; Data Engineering · Cloud, DevOps &amp; CI/CD · AI, GenAI &amp; Prompt Engineering · Product, Platform &amp; Domain Knowledge</t>
        </is>
      </c>
      <c r="M37" s="12" t="inlineStr">
        <is>
          <t>Core 1 · Future-ready 1 · Functional 1 · Leadership —</t>
        </is>
      </c>
      <c r="N37" s="12" t="inlineStr">
        <is>
          <t>Cloud / language certifications · optional; AWS / Azure architect · optional</t>
        </is>
      </c>
      <c r="O37" s="12" t="inlineStr">
        <is>
          <t>None — only this department</t>
        </is>
      </c>
      <c r="P37" s="17" t="inlineStr">
        <is>
          <t>CARBON 1 · iDEAL 1
Same title</t>
        </is>
      </c>
    </row>
    <row r="38" ht="55" customHeight="1">
      <c r="A38" s="12" t="inlineStr">
        <is>
          <t>Technology</t>
        </is>
      </c>
      <c r="B38" s="17" t="inlineStr">
        <is>
          <t>A · Practitioner</t>
        </is>
      </c>
      <c r="C38" s="17" t="inlineStr">
        <is>
          <t>A1</t>
        </is>
      </c>
      <c r="D38" s="12" t="inlineStr">
        <is>
          <t>Intern / Trainee</t>
        </is>
      </c>
      <c r="E38" s="12" t="inlineStr">
        <is>
          <t>Engineering &amp; Development</t>
        </is>
      </c>
      <c r="F38" s="12" t="inlineStr">
        <is>
          <t>Front-End / UI Development</t>
        </is>
      </c>
      <c r="G38" s="12" t="inlineStr">
        <is>
          <t>Intern – Front-End / UI Development</t>
        </is>
      </c>
      <c r="H38" s="12" t="inlineStr">
        <is>
          <t>IC</t>
        </is>
      </c>
      <c r="I38" s="12" t="n">
        <v>1</v>
      </c>
      <c r="J38" s="12" t="inlineStr">
        <is>
          <r>
            <rPr>
              <rFont val="Calibri"/>
              <b val="1"/>
              <sz val="10"/>
            </rPr>
            <t>A1:</t>
          </r>
          <r>
            <rPr>
              <rFont val="Calibri"/>
              <sz val="10"/>
            </rPr>
            <t xml:space="preserve"> Intern – Front-End / UI Development → A2: UI Developer → A3: Senior UI Developer</t>
          </r>
        </is>
      </c>
      <c r="K38" s="12" t="inlineStr">
        <is>
          <t>Programming &amp; Tech-Stack Depth · System Design &amp; Architecture</t>
        </is>
      </c>
      <c r="L38" s="12" t="inlineStr">
        <is>
          <t>Database, SQL &amp; Data Engineering · Cloud, DevOps &amp; CI/CD · AI, GenAI &amp; Prompt Engineering · Product, Platform &amp; Domain Knowledge</t>
        </is>
      </c>
      <c r="M38" s="12" t="inlineStr">
        <is>
          <t>Core 1 · Future-ready 1 · Functional 1 · Leadership —</t>
        </is>
      </c>
      <c r="N38" s="12" t="inlineStr">
        <is>
          <t>Cloud / language certifications · optional; AWS / Azure architect · optional</t>
        </is>
      </c>
      <c r="O38" s="12" t="inlineStr">
        <is>
          <t>None — only this department</t>
        </is>
      </c>
      <c r="P38" s="12" t="inlineStr">
        <is>
          <t>None — only iFile</t>
        </is>
      </c>
    </row>
    <row r="39" ht="94" customHeight="1">
      <c r="A39" s="12" t="inlineStr">
        <is>
          <t>Technology</t>
        </is>
      </c>
      <c r="B39" s="17" t="inlineStr">
        <is>
          <t>A · Practitioner</t>
        </is>
      </c>
      <c r="C39" s="17" t="inlineStr">
        <is>
          <t>A1</t>
        </is>
      </c>
      <c r="D39" s="12" t="inlineStr">
        <is>
          <t>Intern / Trainee</t>
        </is>
      </c>
      <c r="E39" s="12" t="inlineStr">
        <is>
          <t>Engineering &amp; Development</t>
        </is>
      </c>
      <c r="F39" s="12" t="inlineStr">
        <is>
          <t>Full-Stack Development</t>
        </is>
      </c>
      <c r="G39" s="12" t="inlineStr">
        <is>
          <t>Trainee Software Engineer</t>
        </is>
      </c>
      <c r="H39" s="12" t="inlineStr">
        <is>
          <t>IC</t>
        </is>
      </c>
      <c r="I39" s="12" t="n">
        <v>2</v>
      </c>
      <c r="J39"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39" s="12" t="inlineStr">
        <is>
          <t>Programming &amp; Tech-Stack Depth · System Design &amp; Architecture</t>
        </is>
      </c>
      <c r="L39" s="12" t="inlineStr">
        <is>
          <t>Database, SQL &amp; Data Engineering · Cloud, DevOps &amp; CI/CD · AI, GenAI &amp; Prompt Engineering · Product, Platform &amp; Domain Knowledge</t>
        </is>
      </c>
      <c r="M39" s="12" t="inlineStr">
        <is>
          <t>Core 1 · Future-ready 1 · Functional 1 · Leadership —</t>
        </is>
      </c>
      <c r="N39" s="12" t="inlineStr">
        <is>
          <t>Cloud / language certifications · optional; AWS / Azure architect · optional</t>
        </is>
      </c>
      <c r="O39" s="12" t="inlineStr">
        <is>
          <t>None — only this department</t>
        </is>
      </c>
      <c r="P39" s="17" t="inlineStr">
        <is>
          <t>CARBON 1 · iDEAL 1
Same title</t>
        </is>
      </c>
    </row>
    <row r="40" ht="68" customHeight="1">
      <c r="A40" s="12" t="inlineStr">
        <is>
          <t>Technology</t>
        </is>
      </c>
      <c r="B40" s="17" t="inlineStr">
        <is>
          <t>A · Practitioner</t>
        </is>
      </c>
      <c r="C40" s="17" t="inlineStr">
        <is>
          <t>A2</t>
        </is>
      </c>
      <c r="D40" s="12" t="inlineStr">
        <is>
          <t>Associate</t>
        </is>
      </c>
      <c r="E40" s="12" t="inlineStr">
        <is>
          <t>Business Analysis</t>
        </is>
      </c>
      <c r="F40" s="12" t="inlineStr">
        <is>
          <t>Business Analysis</t>
        </is>
      </c>
      <c r="G40" s="12" t="inlineStr">
        <is>
          <t>Business Analyst</t>
        </is>
      </c>
      <c r="H40" s="12" t="inlineStr">
        <is>
          <t>IC</t>
        </is>
      </c>
      <c r="I40" s="12" t="n">
        <v>1</v>
      </c>
      <c r="J40" s="12"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0" s="12" t="inlineStr">
        <is>
          <t>Business Analysis &amp; Requirements Engineering · Regulatory &amp; BFSI Domain</t>
        </is>
      </c>
      <c r="L40" s="12" t="inlineStr">
        <is>
          <t>Product, Platform &amp; Domain Knowledge · Database, SQL &amp; Data Engineering · Stakeholder &amp; Client Management · Communication &amp; Presentation</t>
        </is>
      </c>
      <c r="M40" s="12" t="inlineStr">
        <is>
          <t>Core 2 · Future-ready 2 · Functional 2 · Leadership —</t>
        </is>
      </c>
      <c r="N40" s="12" t="inlineStr">
        <is>
          <t>CBAP / CCBA · optional; Domain certifications · optional</t>
        </is>
      </c>
      <c r="O40" s="12" t="inlineStr">
        <is>
          <t>None — only this department</t>
        </is>
      </c>
      <c r="P40" s="17" t="inlineStr">
        <is>
          <t>CARBON 1
Same title</t>
        </is>
      </c>
    </row>
    <row r="41" ht="55" customHeight="1">
      <c r="A41" s="12" t="inlineStr">
        <is>
          <t>Technology</t>
        </is>
      </c>
      <c r="B41" s="17" t="inlineStr">
        <is>
          <t>A · Practitioner</t>
        </is>
      </c>
      <c r="C41" s="17" t="inlineStr">
        <is>
          <t>A2</t>
        </is>
      </c>
      <c r="D41" s="12" t="inlineStr">
        <is>
          <t>Associate</t>
        </is>
      </c>
      <c r="E41" s="12" t="inlineStr">
        <is>
          <t>Engineering &amp; Development</t>
        </is>
      </c>
      <c r="F41" s="12" t="inlineStr">
        <is>
          <t>AI / ML &amp; GenAI Engineering</t>
        </is>
      </c>
      <c r="G41" s="12" t="inlineStr">
        <is>
          <t>AI/ML Engineer</t>
        </is>
      </c>
      <c r="H41" s="12" t="inlineStr">
        <is>
          <t>IC</t>
        </is>
      </c>
      <c r="I41" s="12" t="n">
        <v>1</v>
      </c>
      <c r="J41" s="12" t="inlineStr">
        <is>
          <r>
            <rPr>
              <rFont val="Calibri"/>
              <b val="1"/>
              <sz val="10"/>
            </rPr>
            <t>A1:</t>
          </r>
          <r>
            <rPr>
              <rFont val="Calibri"/>
              <sz val="10"/>
            </rPr>
            <t xml:space="preserve"> Trainee AI/ML Engineer → A2: AI/ML Engineer → A3: Senior AI/ML Engineer → B1: AI/ML Specialist – POD Lead</t>
          </r>
        </is>
      </c>
      <c r="K41" s="12" t="inlineStr">
        <is>
          <t>Programming &amp; Tech-Stack Depth · System Design &amp; Architecture</t>
        </is>
      </c>
      <c r="L41" s="12" t="inlineStr">
        <is>
          <t>Database, SQL &amp; Data Engineering · Cloud, DevOps &amp; CI/CD · AI, GenAI &amp; Prompt Engineering · Product, Platform &amp; Domain Knowledge</t>
        </is>
      </c>
      <c r="M41" s="12" t="inlineStr">
        <is>
          <t>Core 2 · Future-ready 2 · Functional 2 · Leadership —</t>
        </is>
      </c>
      <c r="N41" s="12" t="inlineStr">
        <is>
          <t>Cloud / language certifications · optional; AWS / Azure architect · optional</t>
        </is>
      </c>
      <c r="O41" s="12" t="inlineStr">
        <is>
          <t>None — only this department</t>
        </is>
      </c>
      <c r="P41" s="17" t="inlineStr">
        <is>
          <t>CARBON 2
Same title</t>
        </is>
      </c>
    </row>
    <row r="42" ht="146" customHeight="1">
      <c r="A42" s="12" t="inlineStr">
        <is>
          <t>Technology</t>
        </is>
      </c>
      <c r="B42" s="17" t="inlineStr">
        <is>
          <t>A · Practitioner</t>
        </is>
      </c>
      <c r="C42" s="17" t="inlineStr">
        <is>
          <t>A2</t>
        </is>
      </c>
      <c r="D42" s="12" t="inlineStr">
        <is>
          <t>Associate</t>
        </is>
      </c>
      <c r="E42" s="12" t="inlineStr">
        <is>
          <t>Engineering &amp; Development</t>
        </is>
      </c>
      <c r="F42" s="12" t="inlineStr">
        <is>
          <t>Backend Development</t>
        </is>
      </c>
      <c r="G42" s="12" t="inlineStr">
        <is>
          <t>Software Engineer</t>
        </is>
      </c>
      <c r="H42" s="12" t="inlineStr">
        <is>
          <t>IC</t>
        </is>
      </c>
      <c r="I42" s="12" t="n">
        <v>3</v>
      </c>
      <c r="J42"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2" s="12" t="inlineStr">
        <is>
          <t>Programming &amp; Tech-Stack Depth · System Design &amp; Architecture</t>
        </is>
      </c>
      <c r="L42" s="12" t="inlineStr">
        <is>
          <t>Database, SQL &amp; Data Engineering · Cloud, DevOps &amp; CI/CD · AI, GenAI &amp; Prompt Engineering · Product, Platform &amp; Domain Knowledge</t>
        </is>
      </c>
      <c r="M42" s="12" t="inlineStr">
        <is>
          <t>Core 2 · Future-ready 2 · Functional 2 · Leadership —</t>
        </is>
      </c>
      <c r="N42" s="12" t="inlineStr">
        <is>
          <t>Cloud / language certifications · optional; AWS / Azure architect · optional</t>
        </is>
      </c>
      <c r="O42" s="12" t="inlineStr">
        <is>
          <t>None — only this department</t>
        </is>
      </c>
      <c r="P42" s="17" t="inlineStr">
        <is>
          <t>iDEAL 2 · CARBON 1 · Datatech 1
Same title</t>
        </is>
      </c>
    </row>
    <row r="43" ht="55" customHeight="1">
      <c r="A43" s="12" t="inlineStr">
        <is>
          <t>Technology</t>
        </is>
      </c>
      <c r="B43" s="17" t="inlineStr">
        <is>
          <t>A · Practitioner</t>
        </is>
      </c>
      <c r="C43" s="17" t="inlineStr">
        <is>
          <t>A2</t>
        </is>
      </c>
      <c r="D43" s="12" t="inlineStr">
        <is>
          <t>Associate</t>
        </is>
      </c>
      <c r="E43" s="12" t="inlineStr">
        <is>
          <t>Engineering &amp; Development</t>
        </is>
      </c>
      <c r="F43" s="12" t="inlineStr">
        <is>
          <t>Front-End / UI Development</t>
        </is>
      </c>
      <c r="G43" s="12" t="inlineStr">
        <is>
          <t>UI Developer</t>
        </is>
      </c>
      <c r="H43" s="12" t="inlineStr">
        <is>
          <t>IC</t>
        </is>
      </c>
      <c r="I43" s="12" t="n">
        <v>5</v>
      </c>
      <c r="J43" s="12" t="inlineStr">
        <is>
          <r>
            <rPr>
              <rFont val="Calibri"/>
              <b val="1"/>
              <sz val="10"/>
            </rPr>
            <t>A1:</t>
          </r>
          <r>
            <rPr>
              <rFont val="Calibri"/>
              <sz val="10"/>
            </rPr>
            <t xml:space="preserve"> Intern – Front-End / UI Development → A2: UI Developer → A3: Senior UI Developer</t>
          </r>
        </is>
      </c>
      <c r="K43" s="12" t="inlineStr">
        <is>
          <t>Programming &amp; Tech-Stack Depth · System Design &amp; Architecture</t>
        </is>
      </c>
      <c r="L43" s="12" t="inlineStr">
        <is>
          <t>Database, SQL &amp; Data Engineering · Cloud, DevOps &amp; CI/CD · AI, GenAI &amp; Prompt Engineering · Product, Platform &amp; Domain Knowledge</t>
        </is>
      </c>
      <c r="M43" s="12" t="inlineStr">
        <is>
          <t>Core 2 · Future-ready 2 · Functional 2 · Leadership —</t>
        </is>
      </c>
      <c r="N43" s="12" t="inlineStr">
        <is>
          <t>Cloud / language certifications · optional; AWS / Azure architect · optional</t>
        </is>
      </c>
      <c r="O43" s="12" t="inlineStr">
        <is>
          <t>None — only this department</t>
        </is>
      </c>
      <c r="P43" s="17" t="inlineStr">
        <is>
          <t>CARBON 1
Same title</t>
        </is>
      </c>
    </row>
    <row r="44" ht="94" customHeight="1">
      <c r="A44" s="12" t="inlineStr">
        <is>
          <t>Technology</t>
        </is>
      </c>
      <c r="B44" s="17" t="inlineStr">
        <is>
          <t>A · Practitioner</t>
        </is>
      </c>
      <c r="C44" s="17" t="inlineStr">
        <is>
          <t>A2</t>
        </is>
      </c>
      <c r="D44" s="12" t="inlineStr">
        <is>
          <t>Associate</t>
        </is>
      </c>
      <c r="E44" s="12" t="inlineStr">
        <is>
          <t>Engineering &amp; Development</t>
        </is>
      </c>
      <c r="F44" s="12" t="inlineStr">
        <is>
          <t>Full-Stack Development</t>
        </is>
      </c>
      <c r="G44" s="12" t="inlineStr">
        <is>
          <t>Software Engineer</t>
        </is>
      </c>
      <c r="H44" s="12" t="inlineStr">
        <is>
          <t>IC</t>
        </is>
      </c>
      <c r="I44" s="12" t="n">
        <v>4</v>
      </c>
      <c r="J44"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44" s="12" t="inlineStr">
        <is>
          <t>Programming &amp; Tech-Stack Depth · System Design &amp; Architecture</t>
        </is>
      </c>
      <c r="L44" s="12" t="inlineStr">
        <is>
          <t>Database, SQL &amp; Data Engineering · Cloud, DevOps &amp; CI/CD · AI, GenAI &amp; Prompt Engineering · Product, Platform &amp; Domain Knowledge</t>
        </is>
      </c>
      <c r="M44" s="12" t="inlineStr">
        <is>
          <t>Core 2 · Future-ready 2 · Functional 2 · Leadership —</t>
        </is>
      </c>
      <c r="N44" s="12" t="inlineStr">
        <is>
          <t>Cloud / language certifications · optional; AWS / Azure architect · optional</t>
        </is>
      </c>
      <c r="O44" s="12" t="inlineStr">
        <is>
          <t>None — only this department</t>
        </is>
      </c>
      <c r="P44" s="12" t="inlineStr">
        <is>
          <t>None — only iFile</t>
        </is>
      </c>
    </row>
    <row r="45" ht="68" customHeight="1">
      <c r="A45" s="12" t="inlineStr">
        <is>
          <t>Technology</t>
        </is>
      </c>
      <c r="B45" s="17" t="inlineStr">
        <is>
          <t>A · Practitioner</t>
        </is>
      </c>
      <c r="C45" s="17" t="inlineStr">
        <is>
          <t>A3</t>
        </is>
      </c>
      <c r="D45" s="12" t="inlineStr">
        <is>
          <t>Senior Associate</t>
        </is>
      </c>
      <c r="E45" s="12" t="inlineStr">
        <is>
          <t>Business Analysis</t>
        </is>
      </c>
      <c r="F45" s="12" t="inlineStr">
        <is>
          <t>Business Analysis</t>
        </is>
      </c>
      <c r="G45" s="12" t="inlineStr">
        <is>
          <t>Business Analysis Specialist</t>
        </is>
      </c>
      <c r="H45" s="12" t="inlineStr">
        <is>
          <t>IC</t>
        </is>
      </c>
      <c r="I45" s="12" t="n">
        <v>1</v>
      </c>
      <c r="J45" s="12"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5" s="12" t="inlineStr">
        <is>
          <t>Business Analysis &amp; Requirements Engineering · Regulatory &amp; BFSI Domain</t>
        </is>
      </c>
      <c r="L45" s="12" t="inlineStr">
        <is>
          <t>Product, Platform &amp; Domain Knowledge · Database, SQL &amp; Data Engineering · Stakeholder &amp; Client Management · Communication &amp; Presentation</t>
        </is>
      </c>
      <c r="M45" s="12" t="inlineStr">
        <is>
          <t>Core 2 · Future-ready 2 · Functional 3 · Leadership —</t>
        </is>
      </c>
      <c r="N45" s="12" t="inlineStr">
        <is>
          <t>CBAP / CCBA · optional; Domain certifications · optional</t>
        </is>
      </c>
      <c r="O45" s="12" t="inlineStr">
        <is>
          <t>None — only this department</t>
        </is>
      </c>
      <c r="P45" s="17" t="inlineStr">
        <is>
          <r>
            <rPr>
              <rFont val="Calibri"/>
              <sz val="10"/>
            </rPr>
            <t xml:space="preserve">iDEAL 8
</t>
          </r>
          <r>
            <rPr>
              <rFont val="Calibri"/>
              <b val="1"/>
              <sz val="10"/>
            </rPr>
            <t>Titled there:</t>
          </r>
          <r>
            <rPr>
              <rFont val="Calibri"/>
              <sz val="10"/>
            </rPr>
            <t xml:space="preserve"> Senior Business Analyst</t>
          </r>
        </is>
      </c>
    </row>
    <row r="46" ht="68" customHeight="1">
      <c r="A46" s="12" t="inlineStr">
        <is>
          <t>Technology</t>
        </is>
      </c>
      <c r="B46" s="17" t="inlineStr">
        <is>
          <t>A · Practitioner</t>
        </is>
      </c>
      <c r="C46" s="17" t="inlineStr">
        <is>
          <t>A3</t>
        </is>
      </c>
      <c r="D46" s="12" t="inlineStr">
        <is>
          <t>Senior Associate</t>
        </is>
      </c>
      <c r="E46" s="12" t="inlineStr">
        <is>
          <t>Business Analysis</t>
        </is>
      </c>
      <c r="F46" s="12" t="inlineStr">
        <is>
          <t>Business Analysis</t>
        </is>
      </c>
      <c r="G46" s="12" t="inlineStr">
        <is>
          <t>Senior Business Analyst</t>
        </is>
      </c>
      <c r="H46" s="12" t="inlineStr">
        <is>
          <t>IC</t>
        </is>
      </c>
      <c r="I46" s="12" t="n">
        <v>7</v>
      </c>
      <c r="J46" s="12"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6" s="12" t="inlineStr">
        <is>
          <t>Business Analysis &amp; Requirements Engineering · Regulatory &amp; BFSI Domain</t>
        </is>
      </c>
      <c r="L46" s="12" t="inlineStr">
        <is>
          <t>Product, Platform &amp; Domain Knowledge · Database, SQL &amp; Data Engineering · Stakeholder &amp; Client Management · Communication &amp; Presentation</t>
        </is>
      </c>
      <c r="M46" s="12" t="inlineStr">
        <is>
          <t>Core 2 · Future-ready 2 · Functional 3 · Leadership —</t>
        </is>
      </c>
      <c r="N46" s="12" t="inlineStr">
        <is>
          <t>CBAP / CCBA · optional; Domain certifications · optional</t>
        </is>
      </c>
      <c r="O46" s="12" t="inlineStr">
        <is>
          <t>None — only this department</t>
        </is>
      </c>
      <c r="P46" s="17" t="inlineStr">
        <is>
          <t>iDEAL 8
Same title</t>
        </is>
      </c>
    </row>
    <row r="47" ht="55" customHeight="1">
      <c r="A47" s="12" t="inlineStr">
        <is>
          <t>Technology</t>
        </is>
      </c>
      <c r="B47" s="17" t="inlineStr">
        <is>
          <t>A · Practitioner</t>
        </is>
      </c>
      <c r="C47" s="17" t="inlineStr">
        <is>
          <t>A3</t>
        </is>
      </c>
      <c r="D47" s="12" t="inlineStr">
        <is>
          <t>Senior Associate</t>
        </is>
      </c>
      <c r="E47" s="12" t="inlineStr">
        <is>
          <t>Engineering &amp; Development</t>
        </is>
      </c>
      <c r="F47" s="12" t="inlineStr">
        <is>
          <t>AI / ML &amp; GenAI Engineering</t>
        </is>
      </c>
      <c r="G47" s="12" t="inlineStr">
        <is>
          <t>Senior AI/ML Engineer</t>
        </is>
      </c>
      <c r="H47" s="12" t="inlineStr">
        <is>
          <t>IC</t>
        </is>
      </c>
      <c r="I47" s="12" t="n">
        <v>2</v>
      </c>
      <c r="J47" s="12" t="inlineStr">
        <is>
          <r>
            <rPr>
              <rFont val="Calibri"/>
              <b val="1"/>
              <sz val="10"/>
            </rPr>
            <t>A1:</t>
          </r>
          <r>
            <rPr>
              <rFont val="Calibri"/>
              <sz val="10"/>
            </rPr>
            <t xml:space="preserve"> Trainee AI/ML Engineer → A2: AI/ML Engineer → A3: Senior AI/ML Engineer → B1: AI/ML Specialist – POD Lead</t>
          </r>
        </is>
      </c>
      <c r="K47" s="12" t="inlineStr">
        <is>
          <t>Programming &amp; Tech-Stack Depth · System Design &amp; Architecture</t>
        </is>
      </c>
      <c r="L47" s="12" t="inlineStr">
        <is>
          <t>Database, SQL &amp; Data Engineering · Cloud, DevOps &amp; CI/CD · AI, GenAI &amp; Prompt Engineering · Product, Platform &amp; Domain Knowledge</t>
        </is>
      </c>
      <c r="M47" s="12" t="inlineStr">
        <is>
          <t>Core 2 · Future-ready 2 · Functional 3 · Leadership —</t>
        </is>
      </c>
      <c r="N47" s="12" t="inlineStr">
        <is>
          <t>Cloud / language certifications · optional; AWS / Azure architect · optional</t>
        </is>
      </c>
      <c r="O47" s="12" t="inlineStr">
        <is>
          <t>None — only this department</t>
        </is>
      </c>
      <c r="P47" s="17" t="inlineStr">
        <is>
          <t>CARBON 4
Same title</t>
        </is>
      </c>
    </row>
    <row r="48" ht="146" customHeight="1">
      <c r="A48" s="12" t="inlineStr">
        <is>
          <t>Technology</t>
        </is>
      </c>
      <c r="B48" s="17" t="inlineStr">
        <is>
          <t>A · Practitioner</t>
        </is>
      </c>
      <c r="C48" s="17" t="inlineStr">
        <is>
          <t>A3</t>
        </is>
      </c>
      <c r="D48" s="12" t="inlineStr">
        <is>
          <t>Senior Associate</t>
        </is>
      </c>
      <c r="E48" s="12" t="inlineStr">
        <is>
          <t>Engineering &amp; Development</t>
        </is>
      </c>
      <c r="F48" s="12" t="inlineStr">
        <is>
          <t>Backend Development</t>
        </is>
      </c>
      <c r="G48" s="12" t="inlineStr">
        <is>
          <t>Senior Software Engineer</t>
        </is>
      </c>
      <c r="H48" s="12" t="inlineStr">
        <is>
          <t>IC</t>
        </is>
      </c>
      <c r="I48" s="12" t="n">
        <v>32</v>
      </c>
      <c r="J48"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8" s="12" t="inlineStr">
        <is>
          <t>Programming &amp; Tech-Stack Depth · System Design &amp; Architecture</t>
        </is>
      </c>
      <c r="L48" s="12" t="inlineStr">
        <is>
          <t>Database, SQL &amp; Data Engineering · Cloud, DevOps &amp; CI/CD · AI, GenAI &amp; Prompt Engineering · Product, Platform &amp; Domain Knowledge</t>
        </is>
      </c>
      <c r="M48" s="12" t="inlineStr">
        <is>
          <t>Core 2 · Future-ready 2 · Functional 3 · Leadership —</t>
        </is>
      </c>
      <c r="N48" s="12" t="inlineStr">
        <is>
          <t>Cloud / language certifications · optional; AWS / Azure architect · optional</t>
        </is>
      </c>
      <c r="O48" s="12" t="inlineStr">
        <is>
          <t>None — only this department</t>
        </is>
      </c>
      <c r="P48" s="17" t="inlineStr">
        <is>
          <t>CARBON 9 · iDEAL 5 · Datatech 2
Same title</t>
        </is>
      </c>
    </row>
    <row r="49" ht="146" customHeight="1">
      <c r="A49" s="12" t="inlineStr">
        <is>
          <t>Technology</t>
        </is>
      </c>
      <c r="B49" s="17" t="inlineStr">
        <is>
          <t>A · Practitioner</t>
        </is>
      </c>
      <c r="C49" s="17" t="inlineStr">
        <is>
          <t>A3</t>
        </is>
      </c>
      <c r="D49" s="12" t="inlineStr">
        <is>
          <t>Senior Associate</t>
        </is>
      </c>
      <c r="E49" s="12" t="inlineStr">
        <is>
          <t>Engineering &amp; Development</t>
        </is>
      </c>
      <c r="F49" s="12" t="inlineStr">
        <is>
          <t>Backend Development</t>
        </is>
      </c>
      <c r="G49" s="12" t="inlineStr">
        <is>
          <t>Technical Specialist</t>
        </is>
      </c>
      <c r="H49" s="12" t="inlineStr">
        <is>
          <t>IC</t>
        </is>
      </c>
      <c r="I49" s="12" t="n">
        <v>1</v>
      </c>
      <c r="J49"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9" s="12" t="inlineStr">
        <is>
          <t>Programming &amp; Tech-Stack Depth · System Design &amp; Architecture</t>
        </is>
      </c>
      <c r="L49" s="12" t="inlineStr">
        <is>
          <t>Database, SQL &amp; Data Engineering · Cloud, DevOps &amp; CI/CD · AI, GenAI &amp; Prompt Engineering · Product, Platform &amp; Domain Knowledge</t>
        </is>
      </c>
      <c r="M49" s="12" t="inlineStr">
        <is>
          <t>Core 2 · Future-ready 2 · Functional 3 · Leadership —</t>
        </is>
      </c>
      <c r="N49" s="12" t="inlineStr">
        <is>
          <t>Cloud / language certifications · optional; AWS / Azure architect · optional</t>
        </is>
      </c>
      <c r="O49" s="12" t="inlineStr">
        <is>
          <t>None — only this department</t>
        </is>
      </c>
      <c r="P49" s="17" t="inlineStr">
        <is>
          <r>
            <rPr>
              <rFont val="Calibri"/>
              <sz val="10"/>
            </rPr>
            <t xml:space="preserve">CARBON 9 · iDEAL 5 · Datatech 2
</t>
          </r>
          <r>
            <rPr>
              <rFont val="Calibri"/>
              <b val="1"/>
              <sz val="10"/>
            </rPr>
            <t>Titled there:</t>
          </r>
          <r>
            <rPr>
              <rFont val="Calibri"/>
              <sz val="10"/>
            </rPr>
            <t xml:space="preserve"> Senior Software Engineer</t>
          </r>
        </is>
      </c>
    </row>
    <row r="50" ht="55" customHeight="1">
      <c r="A50" s="12" t="inlineStr">
        <is>
          <t>Technology</t>
        </is>
      </c>
      <c r="B50" s="17" t="inlineStr">
        <is>
          <t>A · Practitioner</t>
        </is>
      </c>
      <c r="C50" s="17" t="inlineStr">
        <is>
          <t>A3</t>
        </is>
      </c>
      <c r="D50" s="12" t="inlineStr">
        <is>
          <t>Senior Associate</t>
        </is>
      </c>
      <c r="E50" s="12" t="inlineStr">
        <is>
          <t>Engineering &amp; Development</t>
        </is>
      </c>
      <c r="F50" s="12" t="inlineStr">
        <is>
          <t>Data Engineering &amp; Database Development</t>
        </is>
      </c>
      <c r="G50" s="12" t="inlineStr">
        <is>
          <t>Database Specialist</t>
        </is>
      </c>
      <c r="H50" s="12" t="inlineStr">
        <is>
          <t>IC</t>
        </is>
      </c>
      <c r="I50" s="12" t="n">
        <v>1</v>
      </c>
      <c r="J50" s="12" t="inlineStr">
        <is>
          <r>
            <rPr>
              <rFont val="Calibri"/>
              <b val="1"/>
              <sz val="10"/>
            </rPr>
            <t>A3:</t>
          </r>
          <r>
            <rPr>
              <rFont val="Calibri"/>
              <sz val="10"/>
            </rPr>
            <t xml:space="preserve"> Database Specialist / Senior Database Engineer</t>
          </r>
        </is>
      </c>
      <c r="K50" s="12" t="inlineStr">
        <is>
          <t>Programming &amp; Tech-Stack Depth · System Design &amp; Architecture</t>
        </is>
      </c>
      <c r="L50" s="12" t="inlineStr">
        <is>
          <t>Database, SQL &amp; Data Engineering · Cloud, DevOps &amp; CI/CD · AI, GenAI &amp; Prompt Engineering · Product, Platform &amp; Domain Knowledge</t>
        </is>
      </c>
      <c r="M50" s="12" t="inlineStr">
        <is>
          <t>Core 2 · Future-ready 2 · Functional 3 · Leadership —</t>
        </is>
      </c>
      <c r="N50" s="12" t="inlineStr">
        <is>
          <t>Cloud / language certifications · optional; AWS / Azure architect · optional</t>
        </is>
      </c>
      <c r="O50" s="12" t="inlineStr">
        <is>
          <t>None — only this department</t>
        </is>
      </c>
      <c r="P50" s="17" t="inlineStr">
        <is>
          <r>
            <rPr>
              <rFont val="Calibri"/>
              <sz val="10"/>
            </rPr>
            <t xml:space="preserve">iDEAL 3
</t>
          </r>
          <r>
            <rPr>
              <rFont val="Calibri"/>
              <b val="1"/>
              <sz val="10"/>
            </rPr>
            <t>Titled there:</t>
          </r>
          <r>
            <rPr>
              <rFont val="Calibri"/>
              <sz val="10"/>
            </rPr>
            <t xml:space="preserve"> Senior Database Engineer</t>
          </r>
        </is>
      </c>
    </row>
    <row r="51" ht="55" customHeight="1">
      <c r="A51" s="12" t="inlineStr">
        <is>
          <t>Technology</t>
        </is>
      </c>
      <c r="B51" s="17" t="inlineStr">
        <is>
          <t>A · Practitioner</t>
        </is>
      </c>
      <c r="C51" s="17" t="inlineStr">
        <is>
          <t>A3</t>
        </is>
      </c>
      <c r="D51" s="12" t="inlineStr">
        <is>
          <t>Senior Associate</t>
        </is>
      </c>
      <c r="E51" s="12" t="inlineStr">
        <is>
          <t>Engineering &amp; Development</t>
        </is>
      </c>
      <c r="F51" s="12" t="inlineStr">
        <is>
          <t>Data Engineering &amp; Database Development</t>
        </is>
      </c>
      <c r="G51" s="12" t="inlineStr">
        <is>
          <t>Senior Database Engineer</t>
        </is>
      </c>
      <c r="H51" s="12" t="inlineStr">
        <is>
          <t>IC</t>
        </is>
      </c>
      <c r="I51" s="12" t="n">
        <v>2</v>
      </c>
      <c r="J51" s="12" t="inlineStr">
        <is>
          <r>
            <rPr>
              <rFont val="Calibri"/>
              <b val="1"/>
              <sz val="10"/>
            </rPr>
            <t>A3:</t>
          </r>
          <r>
            <rPr>
              <rFont val="Calibri"/>
              <sz val="10"/>
            </rPr>
            <t xml:space="preserve"> Database Specialist / Senior Database Engineer</t>
          </r>
        </is>
      </c>
      <c r="K51" s="12" t="inlineStr">
        <is>
          <t>Programming &amp; Tech-Stack Depth · System Design &amp; Architecture</t>
        </is>
      </c>
      <c r="L51" s="12" t="inlineStr">
        <is>
          <t>Database, SQL &amp; Data Engineering · Cloud, DevOps &amp; CI/CD · AI, GenAI &amp; Prompt Engineering · Product, Platform &amp; Domain Knowledge</t>
        </is>
      </c>
      <c r="M51" s="12" t="inlineStr">
        <is>
          <t>Core 2 · Future-ready 2 · Functional 3 · Leadership —</t>
        </is>
      </c>
      <c r="N51" s="12" t="inlineStr">
        <is>
          <t>Cloud / language certifications · optional; AWS / Azure architect · optional</t>
        </is>
      </c>
      <c r="O51" s="12" t="inlineStr">
        <is>
          <t>None — only this department</t>
        </is>
      </c>
      <c r="P51" s="17" t="inlineStr">
        <is>
          <t>iDEAL 3
Same title</t>
        </is>
      </c>
    </row>
    <row r="52" ht="55" customHeight="1">
      <c r="A52" s="12" t="inlineStr">
        <is>
          <t>Technology</t>
        </is>
      </c>
      <c r="B52" s="17" t="inlineStr">
        <is>
          <t>A · Practitioner</t>
        </is>
      </c>
      <c r="C52" s="17" t="inlineStr">
        <is>
          <t>A3</t>
        </is>
      </c>
      <c r="D52" s="12" t="inlineStr">
        <is>
          <t>Senior Associate</t>
        </is>
      </c>
      <c r="E52" s="12" t="inlineStr">
        <is>
          <t>Engineering &amp; Development</t>
        </is>
      </c>
      <c r="F52" s="12" t="inlineStr">
        <is>
          <t>DevOps &amp; Release Engineering</t>
        </is>
      </c>
      <c r="G52" s="12" t="inlineStr">
        <is>
          <t>Senior DevOps Engineer</t>
        </is>
      </c>
      <c r="H52" s="12" t="inlineStr">
        <is>
          <t>IC</t>
        </is>
      </c>
      <c r="I52" s="12" t="n">
        <v>1</v>
      </c>
      <c r="J52" s="12" t="inlineStr">
        <is>
          <r>
            <rPr>
              <rFont val="Calibri"/>
              <b val="1"/>
              <sz val="10"/>
            </rPr>
            <t>A3:</t>
          </r>
          <r>
            <rPr>
              <rFont val="Calibri"/>
              <sz val="10"/>
            </rPr>
            <t xml:space="preserve"> Senior DevOps Engineer</t>
          </r>
        </is>
      </c>
      <c r="K52" s="12" t="inlineStr">
        <is>
          <t>Programming &amp; Tech-Stack Depth · System Design &amp; Architecture</t>
        </is>
      </c>
      <c r="L52" s="12" t="inlineStr">
        <is>
          <t>Database, SQL &amp; Data Engineering · Cloud, DevOps &amp; CI/CD · AI, GenAI &amp; Prompt Engineering · Product, Platform &amp; Domain Knowledge</t>
        </is>
      </c>
      <c r="M52" s="12" t="inlineStr">
        <is>
          <t>Core 2 · Future-ready 2 · Functional 3 · Leadership —</t>
        </is>
      </c>
      <c r="N52" s="12" t="inlineStr">
        <is>
          <t>Cloud / language certifications · optional; AWS / Azure architect · optional</t>
        </is>
      </c>
      <c r="O52" s="12" t="inlineStr">
        <is>
          <t>None — only this department</t>
        </is>
      </c>
      <c r="P52" s="17" t="inlineStr">
        <is>
          <t>Corporate 1
Same title</t>
        </is>
      </c>
    </row>
    <row r="53" ht="55" customHeight="1">
      <c r="A53" s="12" t="inlineStr">
        <is>
          <t>Technology</t>
        </is>
      </c>
      <c r="B53" s="17" t="inlineStr">
        <is>
          <t>A · Practitioner</t>
        </is>
      </c>
      <c r="C53" s="17" t="inlineStr">
        <is>
          <t>A3</t>
        </is>
      </c>
      <c r="D53" s="12" t="inlineStr">
        <is>
          <t>Senior Associate</t>
        </is>
      </c>
      <c r="E53" s="12" t="inlineStr">
        <is>
          <t>Engineering &amp; Development</t>
        </is>
      </c>
      <c r="F53" s="12" t="inlineStr">
        <is>
          <t>Front-End / UI Development</t>
        </is>
      </c>
      <c r="G53" s="12" t="inlineStr">
        <is>
          <t>Senior UI Developer</t>
        </is>
      </c>
      <c r="H53" s="12" t="inlineStr">
        <is>
          <t>IC</t>
        </is>
      </c>
      <c r="I53" s="12" t="n">
        <v>4</v>
      </c>
      <c r="J53" s="12" t="inlineStr">
        <is>
          <r>
            <rPr>
              <rFont val="Calibri"/>
              <b val="1"/>
              <sz val="10"/>
            </rPr>
            <t>A1:</t>
          </r>
          <r>
            <rPr>
              <rFont val="Calibri"/>
              <sz val="10"/>
            </rPr>
            <t xml:space="preserve"> Intern – Front-End / UI Development → A2: UI Developer → A3: Senior UI Developer</t>
          </r>
        </is>
      </c>
      <c r="K53" s="12" t="inlineStr">
        <is>
          <t>Programming &amp; Tech-Stack Depth · System Design &amp; Architecture</t>
        </is>
      </c>
      <c r="L53" s="12" t="inlineStr">
        <is>
          <t>Database, SQL &amp; Data Engineering · Cloud, DevOps &amp; CI/CD · AI, GenAI &amp; Prompt Engineering · Product, Platform &amp; Domain Knowledge</t>
        </is>
      </c>
      <c r="M53" s="12" t="inlineStr">
        <is>
          <t>Core 2 · Future-ready 2 · Functional 3 · Leadership —</t>
        </is>
      </c>
      <c r="N53" s="12" t="inlineStr">
        <is>
          <t>Cloud / language certifications · optional; AWS / Azure architect · optional</t>
        </is>
      </c>
      <c r="O53" s="96" t="inlineStr">
        <is>
          <t>Design</t>
        </is>
      </c>
      <c r="P53" s="17" t="inlineStr">
        <is>
          <t>CARBON 5
Same title</t>
        </is>
      </c>
    </row>
    <row r="54" ht="94" customHeight="1">
      <c r="A54" s="12" t="inlineStr">
        <is>
          <t>Technology</t>
        </is>
      </c>
      <c r="B54" s="17" t="inlineStr">
        <is>
          <t>A · Practitioner</t>
        </is>
      </c>
      <c r="C54" s="17" t="inlineStr">
        <is>
          <t>A3</t>
        </is>
      </c>
      <c r="D54" s="12" t="inlineStr">
        <is>
          <t>Senior Associate</t>
        </is>
      </c>
      <c r="E54" s="12" t="inlineStr">
        <is>
          <t>Engineering &amp; Development</t>
        </is>
      </c>
      <c r="F54" s="12" t="inlineStr">
        <is>
          <t>Full-Stack Development</t>
        </is>
      </c>
      <c r="G54" s="12" t="inlineStr">
        <is>
          <t>Senior Software Engineer</t>
        </is>
      </c>
      <c r="H54" s="12" t="inlineStr">
        <is>
          <t>IC</t>
        </is>
      </c>
      <c r="I54" s="12" t="n">
        <v>7</v>
      </c>
      <c r="J54"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54" s="12" t="inlineStr">
        <is>
          <t>Programming &amp; Tech-Stack Depth · System Design &amp; Architecture</t>
        </is>
      </c>
      <c r="L54" s="12" t="inlineStr">
        <is>
          <t>Database, SQL &amp; Data Engineering · Cloud, DevOps &amp; CI/CD · AI, GenAI &amp; Prompt Engineering · Product, Platform &amp; Domain Knowledge</t>
        </is>
      </c>
      <c r="M54" s="12" t="inlineStr">
        <is>
          <t>Core 2 · Future-ready 2 · Functional 3 · Leadership —</t>
        </is>
      </c>
      <c r="N54" s="12" t="inlineStr">
        <is>
          <t>Cloud / language certifications · optional; AWS / Azure architect · optional</t>
        </is>
      </c>
      <c r="O54" s="12" t="inlineStr">
        <is>
          <t>None — only this department</t>
        </is>
      </c>
      <c r="P54" s="17" t="inlineStr">
        <is>
          <r>
            <rPr>
              <rFont val="Calibri"/>
              <sz val="10"/>
            </rPr>
            <t xml:space="preserve">CARBON 10 · iDEAL 1
</t>
          </r>
          <r>
            <rPr>
              <rFont val="Calibri"/>
              <b val="1"/>
              <sz val="10"/>
            </rPr>
            <t>Titled there:</t>
          </r>
          <r>
            <rPr>
              <rFont val="Calibri"/>
              <sz val="10"/>
            </rPr>
            <t xml:space="preserve"> Senior Software Engineer / Technical Specialist</t>
          </r>
        </is>
      </c>
    </row>
    <row r="55" ht="94" customHeight="1">
      <c r="A55" s="12" t="inlineStr">
        <is>
          <t>Technology</t>
        </is>
      </c>
      <c r="B55" s="17" t="inlineStr">
        <is>
          <t>A · Practitioner</t>
        </is>
      </c>
      <c r="C55" s="17" t="inlineStr">
        <is>
          <t>A3</t>
        </is>
      </c>
      <c r="D55" s="12" t="inlineStr">
        <is>
          <t>Senior Associate</t>
        </is>
      </c>
      <c r="E55" s="12" t="inlineStr">
        <is>
          <t>Engineering &amp; Development</t>
        </is>
      </c>
      <c r="F55" s="12" t="inlineStr">
        <is>
          <t>Full-Stack Development</t>
        </is>
      </c>
      <c r="G55" s="12" t="inlineStr">
        <is>
          <t>Technical Specialist</t>
        </is>
      </c>
      <c r="H55" s="12" t="inlineStr">
        <is>
          <t>IC</t>
        </is>
      </c>
      <c r="I55" s="12" t="n">
        <v>1</v>
      </c>
      <c r="J55"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55" s="12" t="inlineStr">
        <is>
          <t>Programming &amp; Tech-Stack Depth · System Design &amp; Architecture</t>
        </is>
      </c>
      <c r="L55" s="12" t="inlineStr">
        <is>
          <t>Database, SQL &amp; Data Engineering · Cloud, DevOps &amp; CI/CD · AI, GenAI &amp; Prompt Engineering · Product, Platform &amp; Domain Knowledge</t>
        </is>
      </c>
      <c r="M55" s="12" t="inlineStr">
        <is>
          <t>Core 2 · Future-ready 2 · Functional 3 · Leadership —</t>
        </is>
      </c>
      <c r="N55" s="12" t="inlineStr">
        <is>
          <t>Cloud / language certifications · optional; AWS / Azure architect · optional</t>
        </is>
      </c>
      <c r="O55" s="12" t="inlineStr">
        <is>
          <t>None — only this department</t>
        </is>
      </c>
      <c r="P55" s="17" t="inlineStr">
        <is>
          <r>
            <rPr>
              <rFont val="Calibri"/>
              <sz val="10"/>
            </rPr>
            <t xml:space="preserve">CARBON 10 · iDEAL 1
</t>
          </r>
          <r>
            <rPr>
              <rFont val="Calibri"/>
              <b val="1"/>
              <sz val="10"/>
            </rPr>
            <t>Titled there:</t>
          </r>
          <r>
            <rPr>
              <rFont val="Calibri"/>
              <sz val="10"/>
            </rPr>
            <t xml:space="preserve"> Senior Software Engineer / Technical Specialist</t>
          </r>
        </is>
      </c>
    </row>
    <row r="56" ht="68" customHeight="1">
      <c r="A56" s="12" t="inlineStr">
        <is>
          <t>Technology</t>
        </is>
      </c>
      <c r="B56" s="21" t="inlineStr">
        <is>
          <t>B · Specialist / Manager</t>
        </is>
      </c>
      <c r="C56" s="21" t="inlineStr">
        <is>
          <t>B1</t>
        </is>
      </c>
      <c r="D56" s="12" t="inlineStr">
        <is>
          <t>Specialist</t>
        </is>
      </c>
      <c r="E56" s="12" t="inlineStr">
        <is>
          <t>Business Analysis</t>
        </is>
      </c>
      <c r="F56" s="12" t="inlineStr">
        <is>
          <t>Business Analysis</t>
        </is>
      </c>
      <c r="G56" s="12" t="inlineStr">
        <is>
          <t>Business Analysis Specialist</t>
        </is>
      </c>
      <c r="H56" s="12" t="inlineStr">
        <is>
          <t>IC</t>
        </is>
      </c>
      <c r="I56" s="12" t="n">
        <v>2</v>
      </c>
      <c r="J56" s="12"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56" s="12" t="inlineStr">
        <is>
          <t>Business Analysis &amp; Requirements Engineering · Regulatory &amp; BFSI Domain</t>
        </is>
      </c>
      <c r="L56" s="12" t="inlineStr">
        <is>
          <t>Product, Platform &amp; Domain Knowledge · Database, SQL &amp; Data Engineering · Stakeholder &amp; Client Management · Communication &amp; Presentation</t>
        </is>
      </c>
      <c r="M56" s="12" t="inlineStr">
        <is>
          <t>Core 3 · Future-ready 3 · Functional 3 · Leadership 1</t>
        </is>
      </c>
      <c r="N56" s="12" t="inlineStr">
        <is>
          <t>CBAP / CCBA · optional; Domain certifications · optional</t>
        </is>
      </c>
      <c r="O56" s="12" t="inlineStr">
        <is>
          <t>None — only this department</t>
        </is>
      </c>
      <c r="P56" s="17" t="inlineStr">
        <is>
          <r>
            <rPr>
              <rFont val="Calibri"/>
              <sz val="10"/>
            </rPr>
            <t xml:space="preserve">iDEAL 5 · CARBON 1
</t>
          </r>
          <r>
            <rPr>
              <rFont val="Calibri"/>
              <b val="1"/>
              <sz val="10"/>
            </rPr>
            <t>Titled there:</t>
          </r>
          <r>
            <rPr>
              <rFont val="Calibri"/>
              <sz val="10"/>
            </rPr>
            <t xml:space="preserve"> Business Analysis Specialist / Business Analysis Specialist – POD Lead / Senior Business Analysis Specialist / Team Lead – Business Analysis</t>
          </r>
        </is>
      </c>
    </row>
    <row r="57" ht="68" customHeight="1">
      <c r="A57" s="12" t="inlineStr">
        <is>
          <t>Technology</t>
        </is>
      </c>
      <c r="B57" s="21" t="inlineStr">
        <is>
          <t>B · Specialist / Manager</t>
        </is>
      </c>
      <c r="C57" s="21" t="inlineStr">
        <is>
          <t>B1</t>
        </is>
      </c>
      <c r="D57" s="12" t="inlineStr">
        <is>
          <t>Team Lead</t>
        </is>
      </c>
      <c r="E57" s="12" t="inlineStr">
        <is>
          <t>Business Analysis</t>
        </is>
      </c>
      <c r="F57" s="12" t="inlineStr">
        <is>
          <t>Business Analysis</t>
        </is>
      </c>
      <c r="G57" s="12" t="inlineStr">
        <is>
          <t>Team Lead – Business Analysis</t>
        </is>
      </c>
      <c r="H57" s="12" t="inlineStr">
        <is>
          <t>People Manager</t>
        </is>
      </c>
      <c r="I57" s="12" t="n">
        <v>1</v>
      </c>
      <c r="J57" s="12"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57" s="12" t="inlineStr">
        <is>
          <t>Business Analysis &amp; Requirements Engineering · Regulatory &amp; BFSI Domain</t>
        </is>
      </c>
      <c r="L57" s="12" t="inlineStr">
        <is>
          <t>Product, Platform &amp; Domain Knowledge · Database, SQL &amp; Data Engineering · Stakeholder &amp; Client Management · Communication &amp; Presentation</t>
        </is>
      </c>
      <c r="M57" s="12" t="inlineStr">
        <is>
          <t>Core 3 · Future-ready 3 · Functional 3 · Leadership 2</t>
        </is>
      </c>
      <c r="N57" s="12" t="inlineStr">
        <is>
          <t>CBAP / CCBA · optional; Domain certifications · optional</t>
        </is>
      </c>
      <c r="O57" s="12" t="inlineStr">
        <is>
          <t>None — only this department</t>
        </is>
      </c>
      <c r="P57" s="17" t="inlineStr">
        <is>
          <r>
            <rPr>
              <rFont val="Calibri"/>
              <sz val="10"/>
            </rPr>
            <t xml:space="preserve">iDEAL 5 · CARBON 1
</t>
          </r>
          <r>
            <rPr>
              <rFont val="Calibri"/>
              <b val="1"/>
              <sz val="10"/>
            </rPr>
            <t>Titled there:</t>
          </r>
          <r>
            <rPr>
              <rFont val="Calibri"/>
              <sz val="10"/>
            </rPr>
            <t xml:space="preserve"> Business Analysis Specialist / Business Analysis Specialist – POD Lead / Senior Business Analysis Specialist / Team Lead – Business Analysis</t>
          </r>
        </is>
      </c>
    </row>
    <row r="58" ht="55" customHeight="1">
      <c r="A58" s="12" t="inlineStr">
        <is>
          <t>Technology</t>
        </is>
      </c>
      <c r="B58" s="21" t="inlineStr">
        <is>
          <t>B · Specialist / Manager</t>
        </is>
      </c>
      <c r="C58" s="21" t="inlineStr">
        <is>
          <t>B1</t>
        </is>
      </c>
      <c r="D58" s="12" t="inlineStr">
        <is>
          <t>Specialist · POD Lead</t>
        </is>
      </c>
      <c r="E58" s="12" t="inlineStr">
        <is>
          <t>Engineering &amp; Development</t>
        </is>
      </c>
      <c r="F58" s="12" t="inlineStr">
        <is>
          <t>AI / ML &amp; GenAI Engineering</t>
        </is>
      </c>
      <c r="G58" s="12" t="inlineStr">
        <is>
          <t>AI/ML Specialist – POD Lead</t>
        </is>
      </c>
      <c r="H58" s="12" t="inlineStr">
        <is>
          <t>POD Lead</t>
        </is>
      </c>
      <c r="I58" s="12" t="n">
        <v>1</v>
      </c>
      <c r="J58" s="12" t="inlineStr">
        <is>
          <r>
            <rPr>
              <rFont val="Calibri"/>
              <b val="1"/>
              <sz val="10"/>
            </rPr>
            <t>A1:</t>
          </r>
          <r>
            <rPr>
              <rFont val="Calibri"/>
              <sz val="10"/>
            </rPr>
            <t xml:space="preserve"> Trainee AI/ML Engineer → A2: AI/ML Engineer → A3: Senior AI/ML Engineer → B1: AI/ML Specialist – POD Lead</t>
          </r>
        </is>
      </c>
      <c r="K58" s="12" t="inlineStr">
        <is>
          <t>Programming &amp; Tech-Stack Depth · System Design &amp; Architecture</t>
        </is>
      </c>
      <c r="L58" s="12" t="inlineStr">
        <is>
          <t>Database, SQL &amp; Data Engineering · Cloud, DevOps &amp; CI/CD · AI, GenAI &amp; Prompt Engineering · Product, Platform &amp; Domain Knowledge</t>
        </is>
      </c>
      <c r="M58" s="12" t="inlineStr">
        <is>
          <t>Core 3 · Future-ready 3 · Functional 3 · Leadership 1</t>
        </is>
      </c>
      <c r="N58" s="12" t="inlineStr">
        <is>
          <t>Cloud / language certifications · optional; AWS / Azure architect · optional</t>
        </is>
      </c>
      <c r="O58" s="12" t="inlineStr">
        <is>
          <t>None — only this department</t>
        </is>
      </c>
      <c r="P58" s="17" t="inlineStr">
        <is>
          <t>CARBON 1
Same title</t>
        </is>
      </c>
    </row>
    <row r="59" ht="146" customHeight="1">
      <c r="A59" s="12" t="inlineStr">
        <is>
          <t>Technology</t>
        </is>
      </c>
      <c r="B59" s="21" t="inlineStr">
        <is>
          <t>B · Specialist / Manager</t>
        </is>
      </c>
      <c r="C59" s="21" t="inlineStr">
        <is>
          <t>B1</t>
        </is>
      </c>
      <c r="D59" s="12" t="inlineStr">
        <is>
          <t>Specialist · POD Lead</t>
        </is>
      </c>
      <c r="E59" s="12" t="inlineStr">
        <is>
          <t>Engineering &amp; Development</t>
        </is>
      </c>
      <c r="F59" s="12" t="inlineStr">
        <is>
          <t>Backend Development</t>
        </is>
      </c>
      <c r="G59" s="12" t="inlineStr">
        <is>
          <t>Senior Technical Specialist – POD Lead</t>
        </is>
      </c>
      <c r="H59" s="12" t="inlineStr">
        <is>
          <t>POD Lead</t>
        </is>
      </c>
      <c r="I59" s="12" t="n">
        <v>2</v>
      </c>
      <c r="J59"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59" s="12" t="inlineStr">
        <is>
          <t>Programming &amp; Tech-Stack Depth · System Design &amp; Architecture</t>
        </is>
      </c>
      <c r="L59" s="12" t="inlineStr">
        <is>
          <t>Database, SQL &amp; Data Engineering · Cloud, DevOps &amp; CI/CD · AI, GenAI &amp; Prompt Engineering · Product, Platform &amp; Domain Knowledge</t>
        </is>
      </c>
      <c r="M59" s="12" t="inlineStr">
        <is>
          <t>Core 3 · Future-ready 3 · Functional 3 · Leadership 1</t>
        </is>
      </c>
      <c r="N59" s="12" t="inlineStr">
        <is>
          <t>Cloud / language certifications · optional; AWS / Azure architect · optional</t>
        </is>
      </c>
      <c r="O59" s="12" t="inlineStr">
        <is>
          <t>None — only this department</t>
        </is>
      </c>
      <c r="P59" s="17" t="inlineStr">
        <is>
          <r>
            <rPr>
              <rFont val="Calibri"/>
              <sz val="10"/>
            </rPr>
            <t xml:space="preserve">CARBON 2
</t>
          </r>
          <r>
            <rPr>
              <rFont val="Calibri"/>
              <b val="1"/>
              <sz val="10"/>
            </rPr>
            <t>Titled there:</t>
          </r>
          <r>
            <rPr>
              <rFont val="Calibri"/>
              <sz val="10"/>
            </rPr>
            <t xml:space="preserve"> Technical Specialist / Technical Specialist – POD Lead</t>
          </r>
        </is>
      </c>
    </row>
    <row r="60" ht="146" customHeight="1">
      <c r="A60" s="12" t="inlineStr">
        <is>
          <t>Technology</t>
        </is>
      </c>
      <c r="B60" s="21" t="inlineStr">
        <is>
          <t>B · Specialist / Manager</t>
        </is>
      </c>
      <c r="C60" s="21" t="inlineStr">
        <is>
          <t>B1</t>
        </is>
      </c>
      <c r="D60" s="12" t="inlineStr">
        <is>
          <t>Specialist</t>
        </is>
      </c>
      <c r="E60" s="12" t="inlineStr">
        <is>
          <t>Engineering &amp; Development</t>
        </is>
      </c>
      <c r="F60" s="12" t="inlineStr">
        <is>
          <t>Backend Development</t>
        </is>
      </c>
      <c r="G60" s="12" t="inlineStr">
        <is>
          <t>Technical Specialist</t>
        </is>
      </c>
      <c r="H60" s="12" t="inlineStr">
        <is>
          <t>IC</t>
        </is>
      </c>
      <c r="I60" s="12" t="n">
        <v>1</v>
      </c>
      <c r="J60"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0" s="12" t="inlineStr">
        <is>
          <t>Programming &amp; Tech-Stack Depth · System Design &amp; Architecture</t>
        </is>
      </c>
      <c r="L60" s="12" t="inlineStr">
        <is>
          <t>Database, SQL &amp; Data Engineering · Cloud, DevOps &amp; CI/CD · AI, GenAI &amp; Prompt Engineering · Product, Platform &amp; Domain Knowledge</t>
        </is>
      </c>
      <c r="M60" s="12" t="inlineStr">
        <is>
          <t>Core 3 · Future-ready 3 · Functional 3 · Leadership 1</t>
        </is>
      </c>
      <c r="N60" s="12" t="inlineStr">
        <is>
          <t>Cloud / language certifications · optional; AWS / Azure architect · optional</t>
        </is>
      </c>
      <c r="O60" s="12" t="inlineStr">
        <is>
          <t>None — only this department</t>
        </is>
      </c>
      <c r="P60" s="17" t="inlineStr">
        <is>
          <r>
            <rPr>
              <rFont val="Calibri"/>
              <sz val="10"/>
            </rPr>
            <t xml:space="preserve">CARBON 2
</t>
          </r>
          <r>
            <rPr>
              <rFont val="Calibri"/>
              <b val="1"/>
              <sz val="10"/>
            </rPr>
            <t>Titled there:</t>
          </r>
          <r>
            <rPr>
              <rFont val="Calibri"/>
              <sz val="10"/>
            </rPr>
            <t xml:space="preserve"> Technical Specialist / Technical Specialist – POD Lead</t>
          </r>
        </is>
      </c>
    </row>
    <row r="61" ht="146" customHeight="1">
      <c r="A61" s="12" t="inlineStr">
        <is>
          <t>Technology</t>
        </is>
      </c>
      <c r="B61" s="21" t="inlineStr">
        <is>
          <t>B · Specialist / Manager</t>
        </is>
      </c>
      <c r="C61" s="21" t="inlineStr">
        <is>
          <t>B1</t>
        </is>
      </c>
      <c r="D61" s="12" t="inlineStr">
        <is>
          <t>Specialist · POD Lead</t>
        </is>
      </c>
      <c r="E61" s="12" t="inlineStr">
        <is>
          <t>Engineering &amp; Development</t>
        </is>
      </c>
      <c r="F61" s="12" t="inlineStr">
        <is>
          <t>Backend Development</t>
        </is>
      </c>
      <c r="G61" s="12" t="inlineStr">
        <is>
          <t>Technical Specialist – POD Lead</t>
        </is>
      </c>
      <c r="H61" s="12" t="inlineStr">
        <is>
          <t>POD Lead</t>
        </is>
      </c>
      <c r="I61" s="12" t="n">
        <v>3</v>
      </c>
      <c r="J61"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1" s="12" t="inlineStr">
        <is>
          <t>Programming &amp; Tech-Stack Depth · System Design &amp; Architecture</t>
        </is>
      </c>
      <c r="L61" s="12" t="inlineStr">
        <is>
          <t>Database, SQL &amp; Data Engineering · Cloud, DevOps &amp; CI/CD · AI, GenAI &amp; Prompt Engineering · Product, Platform &amp; Domain Knowledge</t>
        </is>
      </c>
      <c r="M61" s="12" t="inlineStr">
        <is>
          <t>Core 3 · Future-ready 3 · Functional 3 · Leadership 1</t>
        </is>
      </c>
      <c r="N61" s="12" t="inlineStr">
        <is>
          <t>Cloud / language certifications · optional; AWS / Azure architect · optional</t>
        </is>
      </c>
      <c r="O61" s="12" t="inlineStr">
        <is>
          <t>None — only this department</t>
        </is>
      </c>
      <c r="P61" s="17" t="inlineStr">
        <is>
          <r>
            <rPr>
              <rFont val="Calibri"/>
              <sz val="10"/>
            </rPr>
            <t xml:space="preserve">CARBON 2
</t>
          </r>
          <r>
            <rPr>
              <rFont val="Calibri"/>
              <b val="1"/>
              <sz val="10"/>
            </rPr>
            <t>Titled there:</t>
          </r>
          <r>
            <rPr>
              <rFont val="Calibri"/>
              <sz val="10"/>
            </rPr>
            <t xml:space="preserve"> Technical Specialist / Technical Specialist – POD Lead</t>
          </r>
        </is>
      </c>
    </row>
    <row r="62" ht="94" customHeight="1">
      <c r="A62" s="12" t="inlineStr">
        <is>
          <t>Technology</t>
        </is>
      </c>
      <c r="B62" s="21" t="inlineStr">
        <is>
          <t>B · Specialist / Manager</t>
        </is>
      </c>
      <c r="C62" s="21" t="inlineStr">
        <is>
          <t>B1</t>
        </is>
      </c>
      <c r="D62" s="12" t="inlineStr">
        <is>
          <t>Specialist</t>
        </is>
      </c>
      <c r="E62" s="12" t="inlineStr">
        <is>
          <t>Engineering &amp; Development</t>
        </is>
      </c>
      <c r="F62" s="12" t="inlineStr">
        <is>
          <t>Full-Stack Development</t>
        </is>
      </c>
      <c r="G62" s="12" t="inlineStr">
        <is>
          <t>Technical Specialist</t>
        </is>
      </c>
      <c r="H62" s="12" t="inlineStr">
        <is>
          <t>IC</t>
        </is>
      </c>
      <c r="I62" s="12" t="n">
        <v>2</v>
      </c>
      <c r="J62"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62" s="12" t="inlineStr">
        <is>
          <t>Programming &amp; Tech-Stack Depth · System Design &amp; Architecture</t>
        </is>
      </c>
      <c r="L62" s="12" t="inlineStr">
        <is>
          <t>Database, SQL &amp; Data Engineering · Cloud, DevOps &amp; CI/CD · AI, GenAI &amp; Prompt Engineering · Product, Platform &amp; Domain Knowledge</t>
        </is>
      </c>
      <c r="M62" s="12" t="inlineStr">
        <is>
          <t>Core 3 · Future-ready 3 · Functional 3 · Leadership 1</t>
        </is>
      </c>
      <c r="N62" s="12" t="inlineStr">
        <is>
          <t>Cloud / language certifications · optional; AWS / Azure architect · optional</t>
        </is>
      </c>
      <c r="O62" s="12" t="inlineStr">
        <is>
          <t>None — only this department</t>
        </is>
      </c>
      <c r="P62" s="12" t="inlineStr">
        <is>
          <t>None — only iFile</t>
        </is>
      </c>
    </row>
    <row r="63" ht="94" customHeight="1">
      <c r="A63" s="12" t="inlineStr">
        <is>
          <t>Technology</t>
        </is>
      </c>
      <c r="B63" s="21" t="inlineStr">
        <is>
          <t>B · Specialist / Manager</t>
        </is>
      </c>
      <c r="C63" s="21" t="inlineStr">
        <is>
          <t>B1</t>
        </is>
      </c>
      <c r="D63" s="12" t="inlineStr">
        <is>
          <t>Specialist · POD Lead</t>
        </is>
      </c>
      <c r="E63" s="12" t="inlineStr">
        <is>
          <t>Engineering &amp; Development</t>
        </is>
      </c>
      <c r="F63" s="12" t="inlineStr">
        <is>
          <t>Full-Stack Development</t>
        </is>
      </c>
      <c r="G63" s="12" t="inlineStr">
        <is>
          <t>Technical Specialist – POD Lead</t>
        </is>
      </c>
      <c r="H63" s="12" t="inlineStr">
        <is>
          <t>POD Lead</t>
        </is>
      </c>
      <c r="I63" s="12" t="n">
        <v>2</v>
      </c>
      <c r="J63"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63" s="12" t="inlineStr">
        <is>
          <t>Programming &amp; Tech-Stack Depth · System Design &amp; Architecture</t>
        </is>
      </c>
      <c r="L63" s="12" t="inlineStr">
        <is>
          <t>Database, SQL &amp; Data Engineering · Cloud, DevOps &amp; CI/CD · AI, GenAI &amp; Prompt Engineering · Product, Platform &amp; Domain Knowledge</t>
        </is>
      </c>
      <c r="M63" s="12" t="inlineStr">
        <is>
          <t>Core 3 · Future-ready 3 · Functional 3 · Leadership 1</t>
        </is>
      </c>
      <c r="N63" s="12" t="inlineStr">
        <is>
          <t>Cloud / language certifications · optional; AWS / Azure architect · optional</t>
        </is>
      </c>
      <c r="O63" s="12" t="inlineStr">
        <is>
          <t>None — only this department</t>
        </is>
      </c>
      <c r="P63" s="12" t="inlineStr">
        <is>
          <t>None — only iFile</t>
        </is>
      </c>
    </row>
    <row r="64" ht="81" customHeight="1">
      <c r="A64" s="12" t="inlineStr">
        <is>
          <t>Technology</t>
        </is>
      </c>
      <c r="B64" s="21" t="inlineStr">
        <is>
          <t>B · Specialist / Manager</t>
        </is>
      </c>
      <c r="C64" s="21" t="inlineStr">
        <is>
          <t>B1</t>
        </is>
      </c>
      <c r="D64" s="12" t="inlineStr">
        <is>
          <t>Specialist</t>
        </is>
      </c>
      <c r="E64" s="12" t="inlineStr">
        <is>
          <t>Project &amp; Program Management</t>
        </is>
      </c>
      <c r="F64" s="12" t="inlineStr">
        <is>
          <t>Project &amp; Program Delivery</t>
        </is>
      </c>
      <c r="G64" s="12" t="inlineStr">
        <is>
          <t>Associate Project Manager</t>
        </is>
      </c>
      <c r="H64" s="12" t="inlineStr">
        <is>
          <t>IC</t>
        </is>
      </c>
      <c r="I64" s="12" t="n">
        <v>1</v>
      </c>
      <c r="J64"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4" s="12" t="inlineStr">
        <is>
          <t>Project, Program &amp; Agile Management · Stakeholder &amp; Client Management</t>
        </is>
      </c>
      <c r="L64" s="12" t="inlineStr">
        <is>
          <t>Communication &amp; Presentation · Process Improvement &amp; Quality Mindset · Strategic Thinking &amp; Business Acumen · Product, Platform &amp; Domain Knowledge</t>
        </is>
      </c>
      <c r="M64" s="12" t="inlineStr">
        <is>
          <t>Core 3 · Future-ready 3 · Functional 3 · Leadership 1</t>
        </is>
      </c>
      <c r="N64" s="12" t="inlineStr">
        <is>
          <t>PMP / PRINCE2 / CSM / SAFe</t>
        </is>
      </c>
      <c r="O64" s="12" t="inlineStr">
        <is>
          <t>None — only this department</t>
        </is>
      </c>
      <c r="P64" s="17" t="inlineStr">
        <is>
          <t>iDEAL 1
Same title</t>
        </is>
      </c>
    </row>
    <row r="65" ht="81" customHeight="1">
      <c r="A65" s="12" t="inlineStr">
        <is>
          <t>Technology</t>
        </is>
      </c>
      <c r="B65" s="21" t="inlineStr">
        <is>
          <t>B · Specialist / Manager</t>
        </is>
      </c>
      <c r="C65" s="21" t="inlineStr">
        <is>
          <t>B1</t>
        </is>
      </c>
      <c r="D65" s="12" t="inlineStr">
        <is>
          <t>Specialist · POD Lead</t>
        </is>
      </c>
      <c r="E65" s="12" t="inlineStr">
        <is>
          <t>Project &amp; Program Management</t>
        </is>
      </c>
      <c r="F65" s="12" t="inlineStr">
        <is>
          <t>Project &amp; Program Delivery</t>
        </is>
      </c>
      <c r="G65" s="12" t="inlineStr">
        <is>
          <t>Associate Project Manager – POD Lead</t>
        </is>
      </c>
      <c r="H65" s="12" t="inlineStr">
        <is>
          <t>POD Lead</t>
        </is>
      </c>
      <c r="I65" s="12" t="n">
        <v>1</v>
      </c>
      <c r="J65"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5" s="12" t="inlineStr">
        <is>
          <t>Project, Program &amp; Agile Management · Stakeholder &amp; Client Management</t>
        </is>
      </c>
      <c r="L65" s="12" t="inlineStr">
        <is>
          <t>Communication &amp; Presentation · Process Improvement &amp; Quality Mindset · Strategic Thinking &amp; Business Acumen · Product, Platform &amp; Domain Knowledge</t>
        </is>
      </c>
      <c r="M65" s="12" t="inlineStr">
        <is>
          <t>Core 3 · Future-ready 3 · Functional 3 · Leadership 1</t>
        </is>
      </c>
      <c r="N65" s="12" t="inlineStr">
        <is>
          <t>PMP / PRINCE2 / CSM / SAFe</t>
        </is>
      </c>
      <c r="O65" s="12" t="inlineStr">
        <is>
          <t>None — only this department</t>
        </is>
      </c>
      <c r="P65" s="17" t="inlineStr">
        <is>
          <r>
            <rPr>
              <rFont val="Calibri"/>
              <sz val="10"/>
            </rPr>
            <t xml:space="preserve">iDEAL 1
</t>
          </r>
          <r>
            <rPr>
              <rFont val="Calibri"/>
              <b val="1"/>
              <sz val="10"/>
            </rPr>
            <t>Titled there:</t>
          </r>
          <r>
            <rPr>
              <rFont val="Calibri"/>
              <sz val="10"/>
            </rPr>
            <t xml:space="preserve"> Associate Project Manager</t>
          </r>
        </is>
      </c>
    </row>
    <row r="66" ht="81" customHeight="1">
      <c r="A66" s="12" t="inlineStr">
        <is>
          <t>Technology</t>
        </is>
      </c>
      <c r="B66" s="21" t="inlineStr">
        <is>
          <t>B · Specialist / Manager</t>
        </is>
      </c>
      <c r="C66" s="21" t="inlineStr">
        <is>
          <t>B1</t>
        </is>
      </c>
      <c r="D66" s="12" t="inlineStr">
        <is>
          <t>Specialist · POD Lead</t>
        </is>
      </c>
      <c r="E66" s="12" t="inlineStr">
        <is>
          <t>Project &amp; Program Management</t>
        </is>
      </c>
      <c r="F66" s="12" t="inlineStr">
        <is>
          <t>Project &amp; Program Delivery</t>
        </is>
      </c>
      <c r="G66" s="12" t="inlineStr">
        <is>
          <t>Project Manager – POD Lead</t>
        </is>
      </c>
      <c r="H66" s="12" t="inlineStr">
        <is>
          <t>POD Lead</t>
        </is>
      </c>
      <c r="I66" s="12" t="n">
        <v>1</v>
      </c>
      <c r="J66"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6" s="12" t="inlineStr">
        <is>
          <t>Project, Program &amp; Agile Management · Stakeholder &amp; Client Management</t>
        </is>
      </c>
      <c r="L66" s="12" t="inlineStr">
        <is>
          <t>Communication &amp; Presentation · Process Improvement &amp; Quality Mindset · Strategic Thinking &amp; Business Acumen · Product, Platform &amp; Domain Knowledge</t>
        </is>
      </c>
      <c r="M66" s="12" t="inlineStr">
        <is>
          <t>Core 3 · Future-ready 3 · Functional 3 · Leadership 1</t>
        </is>
      </c>
      <c r="N66" s="12" t="inlineStr">
        <is>
          <t>PMP / PRINCE2 / CSM / SAFe</t>
        </is>
      </c>
      <c r="O66" s="12" t="inlineStr">
        <is>
          <t>None — only this department</t>
        </is>
      </c>
      <c r="P66" s="17" t="inlineStr">
        <is>
          <r>
            <rPr>
              <rFont val="Calibri"/>
              <sz val="10"/>
            </rPr>
            <t xml:space="preserve">iDEAL 1
</t>
          </r>
          <r>
            <rPr>
              <rFont val="Calibri"/>
              <b val="1"/>
              <sz val="10"/>
            </rPr>
            <t>Titled there:</t>
          </r>
          <r>
            <rPr>
              <rFont val="Calibri"/>
              <sz val="10"/>
            </rPr>
            <t xml:space="preserve"> Associate Project Manager</t>
          </r>
        </is>
      </c>
    </row>
    <row r="67" ht="146" customHeight="1">
      <c r="A67" s="12" t="inlineStr">
        <is>
          <t>Technology</t>
        </is>
      </c>
      <c r="B67" s="21" t="inlineStr">
        <is>
          <t>B · Specialist / Manager</t>
        </is>
      </c>
      <c r="C67" s="21" t="inlineStr">
        <is>
          <t>B2</t>
        </is>
      </c>
      <c r="D67" s="12" t="inlineStr">
        <is>
          <t>Manager</t>
        </is>
      </c>
      <c r="E67" s="12" t="inlineStr">
        <is>
          <t>Engineering &amp; Development</t>
        </is>
      </c>
      <c r="F67" s="12" t="inlineStr">
        <is>
          <t>Backend Development</t>
        </is>
      </c>
      <c r="G67" s="12" t="inlineStr">
        <is>
          <t>Engineering Manager</t>
        </is>
      </c>
      <c r="H67" s="12" t="inlineStr">
        <is>
          <t>People Manager</t>
        </is>
      </c>
      <c r="I67" s="12" t="n">
        <v>1</v>
      </c>
      <c r="J67"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7" s="12" t="inlineStr">
        <is>
          <t>Programming &amp; Tech-Stack Depth · System Design &amp; Architecture</t>
        </is>
      </c>
      <c r="L67" s="12" t="inlineStr">
        <is>
          <t>Database, SQL &amp; Data Engineering · Cloud, DevOps &amp; CI/CD · AI, GenAI &amp; Prompt Engineering · Product, Platform &amp; Domain Knowledge</t>
        </is>
      </c>
      <c r="M67" s="12" t="inlineStr">
        <is>
          <t>Core 3 · Future-ready 3 · Functional 4 · Leadership 3</t>
        </is>
      </c>
      <c r="N67" s="12" t="inlineStr">
        <is>
          <t>Cloud / language certifications · optional; AWS / Azure architect · optional</t>
        </is>
      </c>
      <c r="O67" s="12" t="inlineStr">
        <is>
          <t>None — only this department</t>
        </is>
      </c>
      <c r="P67" s="17"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68" ht="146" customHeight="1">
      <c r="A68" s="12" t="inlineStr">
        <is>
          <t>Technology</t>
        </is>
      </c>
      <c r="B68" s="21" t="inlineStr">
        <is>
          <t>B · Specialist / Manager</t>
        </is>
      </c>
      <c r="C68" s="21" t="inlineStr">
        <is>
          <t>B2</t>
        </is>
      </c>
      <c r="D68" s="12" t="inlineStr">
        <is>
          <t>Senior Specialist</t>
        </is>
      </c>
      <c r="E68" s="12" t="inlineStr">
        <is>
          <t>Engineering &amp; Development</t>
        </is>
      </c>
      <c r="F68" s="12" t="inlineStr">
        <is>
          <t>Backend Development</t>
        </is>
      </c>
      <c r="G68" s="12" t="inlineStr">
        <is>
          <t>Lead Software Engineer</t>
        </is>
      </c>
      <c r="H68" s="12" t="inlineStr">
        <is>
          <t>IC</t>
        </is>
      </c>
      <c r="I68" s="12" t="n">
        <v>3</v>
      </c>
      <c r="J68"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8" s="12" t="inlineStr">
        <is>
          <t>Programming &amp; Tech-Stack Depth · System Design &amp; Architecture</t>
        </is>
      </c>
      <c r="L68" s="12" t="inlineStr">
        <is>
          <t>Database, SQL &amp; Data Engineering · Cloud, DevOps &amp; CI/CD · AI, GenAI &amp; Prompt Engineering · Product, Platform &amp; Domain Knowledge</t>
        </is>
      </c>
      <c r="M68" s="12" t="inlineStr">
        <is>
          <t>Core 3 · Future-ready 3 · Functional 4 · Leadership 2</t>
        </is>
      </c>
      <c r="N68" s="12" t="inlineStr">
        <is>
          <t>Cloud / language certifications · optional; AWS / Azure architect · optional</t>
        </is>
      </c>
      <c r="O68" s="12" t="inlineStr">
        <is>
          <t>None — only this department</t>
        </is>
      </c>
      <c r="P68" s="17"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69" ht="146" customHeight="1">
      <c r="A69" s="12" t="inlineStr">
        <is>
          <t>Technology</t>
        </is>
      </c>
      <c r="B69" s="21" t="inlineStr">
        <is>
          <t>B · Specialist / Manager</t>
        </is>
      </c>
      <c r="C69" s="21" t="inlineStr">
        <is>
          <t>B2</t>
        </is>
      </c>
      <c r="D69" s="12" t="inlineStr">
        <is>
          <t>Senior Specialist</t>
        </is>
      </c>
      <c r="E69" s="12" t="inlineStr">
        <is>
          <t>Engineering &amp; Development</t>
        </is>
      </c>
      <c r="F69" s="12" t="inlineStr">
        <is>
          <t>Backend Development</t>
        </is>
      </c>
      <c r="G69" s="12" t="inlineStr">
        <is>
          <t>Senior Technical Specialist</t>
        </is>
      </c>
      <c r="H69" s="12" t="inlineStr">
        <is>
          <t>IC</t>
        </is>
      </c>
      <c r="I69" s="12" t="n">
        <v>1</v>
      </c>
      <c r="J69"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9" s="12" t="inlineStr">
        <is>
          <t>Programming &amp; Tech-Stack Depth · System Design &amp; Architecture</t>
        </is>
      </c>
      <c r="L69" s="12" t="inlineStr">
        <is>
          <t>Database, SQL &amp; Data Engineering · Cloud, DevOps &amp; CI/CD · AI, GenAI &amp; Prompt Engineering · Product, Platform &amp; Domain Knowledge</t>
        </is>
      </c>
      <c r="M69" s="12" t="inlineStr">
        <is>
          <t>Core 3 · Future-ready 3 · Functional 4 · Leadership 2</t>
        </is>
      </c>
      <c r="N69" s="12" t="inlineStr">
        <is>
          <t>Cloud / language certifications · optional; AWS / Azure architect · optional</t>
        </is>
      </c>
      <c r="O69" s="12" t="inlineStr">
        <is>
          <t>None — only this department</t>
        </is>
      </c>
      <c r="P69" s="17"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70" ht="146" customHeight="1">
      <c r="A70" s="12" t="inlineStr">
        <is>
          <t>Technology</t>
        </is>
      </c>
      <c r="B70" s="21" t="inlineStr">
        <is>
          <t>B · Specialist / Manager</t>
        </is>
      </c>
      <c r="C70" s="21" t="inlineStr">
        <is>
          <t>B2</t>
        </is>
      </c>
      <c r="D70" s="12" t="inlineStr">
        <is>
          <t>Senior Specialist · POD Lead</t>
        </is>
      </c>
      <c r="E70" s="12" t="inlineStr">
        <is>
          <t>Engineering &amp; Development</t>
        </is>
      </c>
      <c r="F70" s="12" t="inlineStr">
        <is>
          <t>Backend Development</t>
        </is>
      </c>
      <c r="G70" s="12" t="inlineStr">
        <is>
          <t>Senior Technical Specialist – POD Lead</t>
        </is>
      </c>
      <c r="H70" s="12" t="inlineStr">
        <is>
          <t>POD Lead</t>
        </is>
      </c>
      <c r="I70" s="12" t="n">
        <v>1</v>
      </c>
      <c r="J70"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70" s="12" t="inlineStr">
        <is>
          <t>Programming &amp; Tech-Stack Depth · System Design &amp; Architecture</t>
        </is>
      </c>
      <c r="L70" s="12" t="inlineStr">
        <is>
          <t>Database, SQL &amp; Data Engineering · Cloud, DevOps &amp; CI/CD · AI, GenAI &amp; Prompt Engineering · Product, Platform &amp; Domain Knowledge</t>
        </is>
      </c>
      <c r="M70" s="12" t="inlineStr">
        <is>
          <t>Core 3 · Future-ready 3 · Functional 4 · Leadership 2</t>
        </is>
      </c>
      <c r="N70" s="12" t="inlineStr">
        <is>
          <t>Cloud / language certifications · optional; AWS / Azure architect · optional</t>
        </is>
      </c>
      <c r="O70" s="12" t="inlineStr">
        <is>
          <t>None — only this department</t>
        </is>
      </c>
      <c r="P70" s="17"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71" ht="94" customHeight="1">
      <c r="A71" s="12" t="inlineStr">
        <is>
          <t>Technology</t>
        </is>
      </c>
      <c r="B71" s="21" t="inlineStr">
        <is>
          <t>B · Specialist / Manager</t>
        </is>
      </c>
      <c r="C71" s="21" t="inlineStr">
        <is>
          <t>B2</t>
        </is>
      </c>
      <c r="D71" s="12" t="inlineStr">
        <is>
          <t>Manager</t>
        </is>
      </c>
      <c r="E71" s="12" t="inlineStr">
        <is>
          <t>Engineering &amp; Development</t>
        </is>
      </c>
      <c r="F71" s="12" t="inlineStr">
        <is>
          <t>Full-Stack Development</t>
        </is>
      </c>
      <c r="G71" s="12" t="inlineStr">
        <is>
          <t>Engineering Manager</t>
        </is>
      </c>
      <c r="H71" s="12" t="inlineStr">
        <is>
          <t>People Manager</t>
        </is>
      </c>
      <c r="I71" s="12" t="n">
        <v>1</v>
      </c>
      <c r="J71"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71" s="12" t="inlineStr">
        <is>
          <t>Programming &amp; Tech-Stack Depth · System Design &amp; Architecture</t>
        </is>
      </c>
      <c r="L71" s="12" t="inlineStr">
        <is>
          <t>Database, SQL &amp; Data Engineering · Cloud, DevOps &amp; CI/CD · AI, GenAI &amp; Prompt Engineering · Product, Platform &amp; Domain Knowledge</t>
        </is>
      </c>
      <c r="M71" s="12" t="inlineStr">
        <is>
          <t>Core 3 · Future-ready 3 · Functional 4 · Leadership 3</t>
        </is>
      </c>
      <c r="N71" s="12" t="inlineStr">
        <is>
          <t>Cloud / language certifications · optional; AWS / Azure architect · optional</t>
        </is>
      </c>
      <c r="O71" s="12" t="inlineStr">
        <is>
          <t>None — only this department</t>
        </is>
      </c>
      <c r="P71" s="17" t="inlineStr">
        <is>
          <r>
            <rPr>
              <rFont val="Calibri"/>
              <sz val="10"/>
            </rPr>
            <t xml:space="preserve">CARBON 1
</t>
          </r>
          <r>
            <rPr>
              <rFont val="Calibri"/>
              <b val="1"/>
              <sz val="10"/>
            </rPr>
            <t>Titled there:</t>
          </r>
          <r>
            <rPr>
              <rFont val="Calibri"/>
              <sz val="10"/>
            </rPr>
            <t xml:space="preserve"> Lead Software Engineer – POD Lead</t>
          </r>
        </is>
      </c>
    </row>
    <row r="72" ht="94" customHeight="1">
      <c r="A72" s="12" t="inlineStr">
        <is>
          <t>Technology</t>
        </is>
      </c>
      <c r="B72" s="21" t="inlineStr">
        <is>
          <t>B · Specialist / Manager</t>
        </is>
      </c>
      <c r="C72" s="21" t="inlineStr">
        <is>
          <t>B2</t>
        </is>
      </c>
      <c r="D72" s="12" t="inlineStr">
        <is>
          <t>Senior Specialist · POD Lead</t>
        </is>
      </c>
      <c r="E72" s="12" t="inlineStr">
        <is>
          <t>Engineering &amp; Development</t>
        </is>
      </c>
      <c r="F72" s="12" t="inlineStr">
        <is>
          <t>Full-Stack Development</t>
        </is>
      </c>
      <c r="G72" s="12" t="inlineStr">
        <is>
          <t>Senior Technical Specialist – POD Lead</t>
        </is>
      </c>
      <c r="H72" s="12" t="inlineStr">
        <is>
          <t>POD Lead</t>
        </is>
      </c>
      <c r="I72" s="12" t="n">
        <v>1</v>
      </c>
      <c r="J72"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72" s="12" t="inlineStr">
        <is>
          <t>Programming &amp; Tech-Stack Depth · System Design &amp; Architecture</t>
        </is>
      </c>
      <c r="L72" s="12" t="inlineStr">
        <is>
          <t>Database, SQL &amp; Data Engineering · Cloud, DevOps &amp; CI/CD · AI, GenAI &amp; Prompt Engineering · Product, Platform &amp; Domain Knowledge</t>
        </is>
      </c>
      <c r="M72" s="12" t="inlineStr">
        <is>
          <t>Core 3 · Future-ready 3 · Functional 4 · Leadership 2</t>
        </is>
      </c>
      <c r="N72" s="12" t="inlineStr">
        <is>
          <t>Cloud / language certifications · optional; AWS / Azure architect · optional</t>
        </is>
      </c>
      <c r="O72" s="12" t="inlineStr">
        <is>
          <t>None — only this department</t>
        </is>
      </c>
      <c r="P72" s="17" t="inlineStr">
        <is>
          <r>
            <rPr>
              <rFont val="Calibri"/>
              <sz val="10"/>
            </rPr>
            <t xml:space="preserve">CARBON 1
</t>
          </r>
          <r>
            <rPr>
              <rFont val="Calibri"/>
              <b val="1"/>
              <sz val="10"/>
            </rPr>
            <t>Titled there:</t>
          </r>
          <r>
            <rPr>
              <rFont val="Calibri"/>
              <sz val="10"/>
            </rPr>
            <t xml:space="preserve"> Lead Software Engineer – POD Lead</t>
          </r>
        </is>
      </c>
    </row>
    <row r="73" ht="81" customHeight="1">
      <c r="A73" s="12" t="inlineStr">
        <is>
          <t>Technology</t>
        </is>
      </c>
      <c r="B73" s="21" t="inlineStr">
        <is>
          <t>B · Specialist / Manager</t>
        </is>
      </c>
      <c r="C73" s="21" t="inlineStr">
        <is>
          <t>B2</t>
        </is>
      </c>
      <c r="D73" s="12" t="inlineStr">
        <is>
          <t>Manager</t>
        </is>
      </c>
      <c r="E73" s="12" t="inlineStr">
        <is>
          <t>Project &amp; Program Management</t>
        </is>
      </c>
      <c r="F73" s="12" t="inlineStr">
        <is>
          <t>Project &amp; Program Delivery</t>
        </is>
      </c>
      <c r="G73" s="12" t="inlineStr">
        <is>
          <t>Delivery Manager</t>
        </is>
      </c>
      <c r="H73" s="12" t="inlineStr">
        <is>
          <t>People Manager</t>
        </is>
      </c>
      <c r="I73" s="12" t="n">
        <v>4</v>
      </c>
      <c r="J73"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3" s="12" t="inlineStr">
        <is>
          <t>Project, Program &amp; Agile Management · Stakeholder &amp; Client Management</t>
        </is>
      </c>
      <c r="L73" s="12" t="inlineStr">
        <is>
          <t>Communication &amp; Presentation · Process Improvement &amp; Quality Mindset · Strategic Thinking &amp; Business Acumen · Product, Platform &amp; Domain Knowledge</t>
        </is>
      </c>
      <c r="M73" s="12" t="inlineStr">
        <is>
          <t>Core 3 · Future-ready 3 · Functional 4 · Leadership 3</t>
        </is>
      </c>
      <c r="N73" s="12" t="inlineStr">
        <is>
          <t>PMP / PRINCE2 / CSM / SAFe</t>
        </is>
      </c>
      <c r="O73" s="12" t="inlineStr">
        <is>
          <t>None — only this department</t>
        </is>
      </c>
      <c r="P73" s="17" t="inlineStr">
        <is>
          <r>
            <rPr>
              <rFont val="Calibri"/>
              <sz val="10"/>
            </rPr>
            <t xml:space="preserve">CARBON 1 · Consume 1
</t>
          </r>
          <r>
            <rPr>
              <rFont val="Calibri"/>
              <b val="1"/>
              <sz val="10"/>
            </rPr>
            <t>Titled there:</t>
          </r>
          <r>
            <rPr>
              <rFont val="Calibri"/>
              <sz val="10"/>
            </rPr>
            <t xml:space="preserve"> Project Manager</t>
          </r>
        </is>
      </c>
    </row>
    <row r="74" ht="81" customHeight="1">
      <c r="A74" s="12" t="inlineStr">
        <is>
          <t>Technology</t>
        </is>
      </c>
      <c r="B74" s="21" t="inlineStr">
        <is>
          <t>B · Specialist / Manager</t>
        </is>
      </c>
      <c r="C74" s="21" t="inlineStr">
        <is>
          <t>B2</t>
        </is>
      </c>
      <c r="D74" s="12" t="inlineStr">
        <is>
          <t>Manager</t>
        </is>
      </c>
      <c r="E74" s="12" t="inlineStr">
        <is>
          <t>Project &amp; Program Management</t>
        </is>
      </c>
      <c r="F74" s="12" t="inlineStr">
        <is>
          <t>Project &amp; Program Delivery</t>
        </is>
      </c>
      <c r="G74" s="12" t="inlineStr">
        <is>
          <t>Project Manager</t>
        </is>
      </c>
      <c r="H74" s="12" t="inlineStr">
        <is>
          <t>People Manager</t>
        </is>
      </c>
      <c r="I74" s="12" t="n">
        <v>2</v>
      </c>
      <c r="J74"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4" s="12" t="inlineStr">
        <is>
          <t>Project, Program &amp; Agile Management · Stakeholder &amp; Client Management</t>
        </is>
      </c>
      <c r="L74" s="12" t="inlineStr">
        <is>
          <t>Communication &amp; Presentation · Process Improvement &amp; Quality Mindset · Strategic Thinking &amp; Business Acumen · Product, Platform &amp; Domain Knowledge</t>
        </is>
      </c>
      <c r="M74" s="12" t="inlineStr">
        <is>
          <t>Core 3 · Future-ready 3 · Functional 4 · Leadership 3</t>
        </is>
      </c>
      <c r="N74" s="12" t="inlineStr">
        <is>
          <t>PMP / PRINCE2 / CSM / SAFe</t>
        </is>
      </c>
      <c r="O74" s="12" t="inlineStr">
        <is>
          <t>None — only this department</t>
        </is>
      </c>
      <c r="P74" s="17" t="inlineStr">
        <is>
          <t>CARBON 1 · Consume 1
Same title</t>
        </is>
      </c>
    </row>
    <row r="75" ht="81" customHeight="1">
      <c r="A75" s="12" t="inlineStr">
        <is>
          <t>Technology</t>
        </is>
      </c>
      <c r="B75" s="21" t="inlineStr">
        <is>
          <t>B · Specialist / Manager</t>
        </is>
      </c>
      <c r="C75" s="21" t="inlineStr">
        <is>
          <t>B2</t>
        </is>
      </c>
      <c r="D75" s="12" t="inlineStr">
        <is>
          <t>Senior Specialist</t>
        </is>
      </c>
      <c r="E75" s="12" t="inlineStr">
        <is>
          <t>Project &amp; Program Management</t>
        </is>
      </c>
      <c r="F75" s="12" t="inlineStr">
        <is>
          <t>Project &amp; Program Delivery</t>
        </is>
      </c>
      <c r="G75" s="12" t="inlineStr">
        <is>
          <t>Project Manager</t>
        </is>
      </c>
      <c r="H75" s="12" t="inlineStr">
        <is>
          <t>IC</t>
        </is>
      </c>
      <c r="I75" s="12" t="n">
        <v>1</v>
      </c>
      <c r="J75"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5" s="12" t="inlineStr">
        <is>
          <t>Project, Program &amp; Agile Management · Stakeholder &amp; Client Management</t>
        </is>
      </c>
      <c r="L75" s="12" t="inlineStr">
        <is>
          <t>Communication &amp; Presentation · Process Improvement &amp; Quality Mindset · Strategic Thinking &amp; Business Acumen · Product, Platform &amp; Domain Knowledge</t>
        </is>
      </c>
      <c r="M75" s="12" t="inlineStr">
        <is>
          <t>Core 3 · Future-ready 3 · Functional 4 · Leadership 2</t>
        </is>
      </c>
      <c r="N75" s="12" t="inlineStr">
        <is>
          <t>PMP / PRINCE2 / CSM / SAFe</t>
        </is>
      </c>
      <c r="O75" s="12" t="inlineStr">
        <is>
          <t>None — only this department</t>
        </is>
      </c>
      <c r="P75" s="17" t="inlineStr">
        <is>
          <t>CARBON 1 · Consume 1
Same title</t>
        </is>
      </c>
    </row>
    <row r="76" ht="68" customHeight="1">
      <c r="A76" s="12" t="inlineStr">
        <is>
          <t>Technology</t>
        </is>
      </c>
      <c r="B76" s="21" t="inlineStr">
        <is>
          <t>B · Specialist / Manager</t>
        </is>
      </c>
      <c r="C76" s="21" t="inlineStr">
        <is>
          <t>B3</t>
        </is>
      </c>
      <c r="D76" s="12" t="inlineStr">
        <is>
          <t>Lead Specialist</t>
        </is>
      </c>
      <c r="E76" s="12" t="inlineStr">
        <is>
          <t>Engineering &amp; Architecture</t>
        </is>
      </c>
      <c r="F76" s="12" t="inlineStr">
        <is>
          <t>Solution &amp; Technical Architecture</t>
        </is>
      </c>
      <c r="G76" s="12" t="inlineStr">
        <is>
          <t>Associate Technical Architect</t>
        </is>
      </c>
      <c r="H76" s="12" t="inlineStr">
        <is>
          <t>IC</t>
        </is>
      </c>
      <c r="I76" s="12" t="n">
        <v>1</v>
      </c>
      <c r="J76" s="12"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6" s="12" t="inlineStr">
        <is>
          <t>System Design &amp; Architecture · Programming &amp; Tech-Stack Depth</t>
        </is>
      </c>
      <c r="L76" s="12" t="inlineStr">
        <is>
          <t>Cloud, DevOps &amp; CI/CD · Cybersecurity &amp; Infrastructure · Stakeholder &amp; Client Management · Strategic Thinking &amp; Business Acumen</t>
        </is>
      </c>
      <c r="M76" s="12" t="inlineStr">
        <is>
          <t>Core 4 · Future-ready 3 · Functional 4 · Leadership 3</t>
        </is>
      </c>
      <c r="N76" s="12" t="inlineStr">
        <is>
          <t>AWS / Azure architect · optional; Cloud / language certifications · optional</t>
        </is>
      </c>
      <c r="O76" s="12" t="inlineStr">
        <is>
          <t>None — only this department</t>
        </is>
      </c>
      <c r="P76" s="12" t="inlineStr">
        <is>
          <t>None — only iFile</t>
        </is>
      </c>
    </row>
    <row r="77" ht="68" customHeight="1">
      <c r="A77" s="12" t="inlineStr">
        <is>
          <t>Technology</t>
        </is>
      </c>
      <c r="B77" s="21" t="inlineStr">
        <is>
          <t>B · Specialist / Manager</t>
        </is>
      </c>
      <c r="C77" s="21" t="inlineStr">
        <is>
          <t>B3</t>
        </is>
      </c>
      <c r="D77" s="12" t="inlineStr">
        <is>
          <t>Lead Specialist · POD Lead</t>
        </is>
      </c>
      <c r="E77" s="12" t="inlineStr">
        <is>
          <t>Engineering &amp; Architecture</t>
        </is>
      </c>
      <c r="F77" s="12" t="inlineStr">
        <is>
          <t>Solution &amp; Technical Architecture</t>
        </is>
      </c>
      <c r="G77" s="12" t="inlineStr">
        <is>
          <t>Associate Technical Architect – POD Lead</t>
        </is>
      </c>
      <c r="H77" s="12" t="inlineStr">
        <is>
          <t>POD Lead</t>
        </is>
      </c>
      <c r="I77" s="12" t="n">
        <v>1</v>
      </c>
      <c r="J77" s="12"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7" s="12" t="inlineStr">
        <is>
          <t>System Design &amp; Architecture · Programming &amp; Tech-Stack Depth</t>
        </is>
      </c>
      <c r="L77" s="12" t="inlineStr">
        <is>
          <t>Cloud, DevOps &amp; CI/CD · Cybersecurity &amp; Infrastructure · Stakeholder &amp; Client Management · Strategic Thinking &amp; Business Acumen</t>
        </is>
      </c>
      <c r="M77" s="12" t="inlineStr">
        <is>
          <t>Core 4 · Future-ready 3 · Functional 4 · Leadership 3</t>
        </is>
      </c>
      <c r="N77" s="12" t="inlineStr">
        <is>
          <t>AWS / Azure architect · optional; Cloud / language certifications · optional</t>
        </is>
      </c>
      <c r="O77" s="12" t="inlineStr">
        <is>
          <t>None — only this department</t>
        </is>
      </c>
      <c r="P77" s="12" t="inlineStr">
        <is>
          <t>None — only iFile</t>
        </is>
      </c>
    </row>
    <row r="78" ht="68" customHeight="1">
      <c r="A78" s="12" t="inlineStr">
        <is>
          <t>Technology</t>
        </is>
      </c>
      <c r="B78" s="21" t="inlineStr">
        <is>
          <t>B · Specialist / Manager</t>
        </is>
      </c>
      <c r="C78" s="21" t="inlineStr">
        <is>
          <t>B3</t>
        </is>
      </c>
      <c r="D78" s="12" t="inlineStr">
        <is>
          <t>Lead Specialist</t>
        </is>
      </c>
      <c r="E78" s="12" t="inlineStr">
        <is>
          <t>Engineering &amp; Architecture</t>
        </is>
      </c>
      <c r="F78" s="12" t="inlineStr">
        <is>
          <t>Solution &amp; Technical Architecture</t>
        </is>
      </c>
      <c r="G78" s="12" t="inlineStr">
        <is>
          <t>Technical Architect</t>
        </is>
      </c>
      <c r="H78" s="12" t="inlineStr">
        <is>
          <t>IC</t>
        </is>
      </c>
      <c r="I78" s="12" t="n">
        <v>1</v>
      </c>
      <c r="J78" s="12"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8" s="12" t="inlineStr">
        <is>
          <t>System Design &amp; Architecture · Programming &amp; Tech-Stack Depth</t>
        </is>
      </c>
      <c r="L78" s="12" t="inlineStr">
        <is>
          <t>Cloud, DevOps &amp; CI/CD · Cybersecurity &amp; Infrastructure · Stakeholder &amp; Client Management · Strategic Thinking &amp; Business Acumen</t>
        </is>
      </c>
      <c r="M78" s="12" t="inlineStr">
        <is>
          <t>Core 4 · Future-ready 3 · Functional 4 · Leadership 3</t>
        </is>
      </c>
      <c r="N78" s="12" t="inlineStr">
        <is>
          <t>AWS / Azure architect · optional; Cloud / language certifications · optional</t>
        </is>
      </c>
      <c r="O78" s="12" t="inlineStr">
        <is>
          <t>None — only this department</t>
        </is>
      </c>
      <c r="P78" s="12" t="inlineStr">
        <is>
          <t>None — only iFile</t>
        </is>
      </c>
    </row>
    <row r="79" ht="146" customHeight="1">
      <c r="A79" s="12" t="inlineStr">
        <is>
          <t>Technology</t>
        </is>
      </c>
      <c r="B79" s="21" t="inlineStr">
        <is>
          <t>B · Specialist / Manager</t>
        </is>
      </c>
      <c r="C79" s="21" t="inlineStr">
        <is>
          <t>B3</t>
        </is>
      </c>
      <c r="D79" s="12" t="inlineStr">
        <is>
          <t>Lead Specialist</t>
        </is>
      </c>
      <c r="E79" s="12" t="inlineStr">
        <is>
          <t>Engineering &amp; Development</t>
        </is>
      </c>
      <c r="F79" s="12" t="inlineStr">
        <is>
          <t>Backend Development</t>
        </is>
      </c>
      <c r="G79" s="12" t="inlineStr">
        <is>
          <t>Lead Software Engineer</t>
        </is>
      </c>
      <c r="H79" s="12" t="inlineStr">
        <is>
          <t>IC</t>
        </is>
      </c>
      <c r="I79" s="12" t="n">
        <v>1</v>
      </c>
      <c r="J79"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79" s="12" t="inlineStr">
        <is>
          <t>Programming &amp; Tech-Stack Depth · System Design &amp; Architecture</t>
        </is>
      </c>
      <c r="L79" s="12" t="inlineStr">
        <is>
          <t>Database, SQL &amp; Data Engineering · Cloud, DevOps &amp; CI/CD · AI, GenAI &amp; Prompt Engineering · Product, Platform &amp; Domain Knowledge</t>
        </is>
      </c>
      <c r="M79" s="12" t="inlineStr">
        <is>
          <t>Core 4 · Future-ready 3 · Functional 4 · Leadership 3</t>
        </is>
      </c>
      <c r="N79" s="12" t="inlineStr">
        <is>
          <t>Cloud / language certifications · optional; AWS / Azure architect · optional</t>
        </is>
      </c>
      <c r="O79" s="12" t="inlineStr">
        <is>
          <t>None — only this department</t>
        </is>
      </c>
      <c r="P79" s="17" t="inlineStr">
        <is>
          <r>
            <rPr>
              <rFont val="Calibri"/>
              <sz val="10"/>
            </rPr>
            <t xml:space="preserve">CARBON 1 · iDEAL 1
</t>
          </r>
          <r>
            <rPr>
              <rFont val="Calibri"/>
              <b val="1"/>
              <sz val="10"/>
            </rPr>
            <t>Titled there:</t>
          </r>
          <r>
            <rPr>
              <rFont val="Calibri"/>
              <sz val="10"/>
            </rPr>
            <t xml:space="preserve"> Lead Software Engineer / Senior Engineering Manager</t>
          </r>
        </is>
      </c>
    </row>
    <row r="80" ht="146" customHeight="1">
      <c r="A80" s="12" t="inlineStr">
        <is>
          <t>Technology</t>
        </is>
      </c>
      <c r="B80" s="21" t="inlineStr">
        <is>
          <t>B · Specialist / Manager</t>
        </is>
      </c>
      <c r="C80" s="21" t="inlineStr">
        <is>
          <t>B3</t>
        </is>
      </c>
      <c r="D80" s="12" t="inlineStr">
        <is>
          <t>Lead Specialist · POD Lead</t>
        </is>
      </c>
      <c r="E80" s="12" t="inlineStr">
        <is>
          <t>Engineering &amp; Development</t>
        </is>
      </c>
      <c r="F80" s="12" t="inlineStr">
        <is>
          <t>Backend Development</t>
        </is>
      </c>
      <c r="G80" s="12" t="inlineStr">
        <is>
          <t>Lead Software Engineer – POD Lead</t>
        </is>
      </c>
      <c r="H80" s="12" t="inlineStr">
        <is>
          <t>POD Lead</t>
        </is>
      </c>
      <c r="I80" s="12" t="n">
        <v>1</v>
      </c>
      <c r="J80"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80" s="12" t="inlineStr">
        <is>
          <t>Programming &amp; Tech-Stack Depth · System Design &amp; Architecture</t>
        </is>
      </c>
      <c r="L80" s="12" t="inlineStr">
        <is>
          <t>Database, SQL &amp; Data Engineering · Cloud, DevOps &amp; CI/CD · AI, GenAI &amp; Prompt Engineering · Product, Platform &amp; Domain Knowledge</t>
        </is>
      </c>
      <c r="M80" s="12" t="inlineStr">
        <is>
          <t>Core 4 · Future-ready 3 · Functional 4 · Leadership 3</t>
        </is>
      </c>
      <c r="N80" s="12" t="inlineStr">
        <is>
          <t>Cloud / language certifications · optional; AWS / Azure architect · optional</t>
        </is>
      </c>
      <c r="O80" s="12" t="inlineStr">
        <is>
          <t>None — only this department</t>
        </is>
      </c>
      <c r="P80" s="17" t="inlineStr">
        <is>
          <r>
            <rPr>
              <rFont val="Calibri"/>
              <sz val="10"/>
            </rPr>
            <t xml:space="preserve">CARBON 1 · iDEAL 1
</t>
          </r>
          <r>
            <rPr>
              <rFont val="Calibri"/>
              <b val="1"/>
              <sz val="10"/>
            </rPr>
            <t>Titled there:</t>
          </r>
          <r>
            <rPr>
              <rFont val="Calibri"/>
              <sz val="10"/>
            </rPr>
            <t xml:space="preserve"> Lead Software Engineer / Senior Engineering Manager</t>
          </r>
        </is>
      </c>
    </row>
    <row r="81" ht="94" customHeight="1">
      <c r="A81" s="12" t="inlineStr">
        <is>
          <t>Technology</t>
        </is>
      </c>
      <c r="B81" s="21" t="inlineStr">
        <is>
          <t>B · Specialist / Manager</t>
        </is>
      </c>
      <c r="C81" s="21" t="inlineStr">
        <is>
          <t>B3</t>
        </is>
      </c>
      <c r="D81" s="12" t="inlineStr">
        <is>
          <t>Lead Specialist · POD Lead</t>
        </is>
      </c>
      <c r="E81" s="12" t="inlineStr">
        <is>
          <t>Engineering &amp; Development</t>
        </is>
      </c>
      <c r="F81" s="12" t="inlineStr">
        <is>
          <t>Full-Stack Development</t>
        </is>
      </c>
      <c r="G81" s="12" t="inlineStr">
        <is>
          <t>Lead Software Engineer – POD Lead</t>
        </is>
      </c>
      <c r="H81" s="12" t="inlineStr">
        <is>
          <t>POD Lead</t>
        </is>
      </c>
      <c r="I81" s="12" t="n">
        <v>1</v>
      </c>
      <c r="J81" s="12"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81" s="12" t="inlineStr">
        <is>
          <t>Programming &amp; Tech-Stack Depth · System Design &amp; Architecture</t>
        </is>
      </c>
      <c r="L81" s="12" t="inlineStr">
        <is>
          <t>Database, SQL &amp; Data Engineering · Cloud, DevOps &amp; CI/CD · AI, GenAI &amp; Prompt Engineering · Product, Platform &amp; Domain Knowledge</t>
        </is>
      </c>
      <c r="M81" s="12" t="inlineStr">
        <is>
          <t>Core 4 · Future-ready 3 · Functional 4 · Leadership 3</t>
        </is>
      </c>
      <c r="N81" s="12" t="inlineStr">
        <is>
          <t>Cloud / language certifications · optional; AWS / Azure architect · optional</t>
        </is>
      </c>
      <c r="O81" s="12" t="inlineStr">
        <is>
          <t>None — only this department</t>
        </is>
      </c>
      <c r="P81" s="12" t="inlineStr">
        <is>
          <t>None — only iFile</t>
        </is>
      </c>
    </row>
    <row r="82" ht="81" customHeight="1">
      <c r="A82" s="12" t="inlineStr">
        <is>
          <t>Technology</t>
        </is>
      </c>
      <c r="B82" s="21" t="inlineStr">
        <is>
          <t>B · Specialist / Manager</t>
        </is>
      </c>
      <c r="C82" s="21" t="inlineStr">
        <is>
          <t>B3</t>
        </is>
      </c>
      <c r="D82" s="12" t="inlineStr">
        <is>
          <t>Lead Specialist</t>
        </is>
      </c>
      <c r="E82" s="12" t="inlineStr">
        <is>
          <t>Project &amp; Program Management</t>
        </is>
      </c>
      <c r="F82" s="12" t="inlineStr">
        <is>
          <t>Project &amp; Program Delivery</t>
        </is>
      </c>
      <c r="G82" s="12" t="inlineStr">
        <is>
          <t>Program Manager</t>
        </is>
      </c>
      <c r="H82" s="12" t="inlineStr">
        <is>
          <t>IC</t>
        </is>
      </c>
      <c r="I82" s="12" t="n">
        <v>1</v>
      </c>
      <c r="J82"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82" s="12" t="inlineStr">
        <is>
          <t>Project, Program &amp; Agile Management · Stakeholder &amp; Client Management</t>
        </is>
      </c>
      <c r="L82" s="12" t="inlineStr">
        <is>
          <t>Communication &amp; Presentation · Process Improvement &amp; Quality Mindset · Strategic Thinking &amp; Business Acumen · Product, Platform &amp; Domain Knowledge</t>
        </is>
      </c>
      <c r="M82" s="12" t="inlineStr">
        <is>
          <t>Core 4 · Future-ready 3 · Functional 4 · Leadership 3</t>
        </is>
      </c>
      <c r="N82" s="12" t="inlineStr">
        <is>
          <t>PMP / PRINCE2 / CSM / SAFe</t>
        </is>
      </c>
      <c r="O82" s="12" t="inlineStr">
        <is>
          <t>None — only this department</t>
        </is>
      </c>
      <c r="P82" s="12" t="inlineStr">
        <is>
          <t>None — only iFile</t>
        </is>
      </c>
    </row>
    <row r="83" ht="68" customHeight="1">
      <c r="A83" s="12" t="inlineStr">
        <is>
          <t>Technology</t>
        </is>
      </c>
      <c r="B83" s="25" t="inlineStr">
        <is>
          <t>B+ · Player-Coach</t>
        </is>
      </c>
      <c r="C83" s="25" t="inlineStr">
        <is>
          <t>B+</t>
        </is>
      </c>
      <c r="D83" s="12" t="inlineStr">
        <is>
          <t>Practice Lead · Player-Coach</t>
        </is>
      </c>
      <c r="E83" s="12" t="inlineStr">
        <is>
          <t>Engineering &amp; Architecture</t>
        </is>
      </c>
      <c r="F83" s="12" t="inlineStr">
        <is>
          <t>Solution &amp; Technical Architecture</t>
        </is>
      </c>
      <c r="G83" s="12" t="inlineStr">
        <is>
          <t>Practice Lead – Solution &amp; Technical Architecture · Player-Coach</t>
        </is>
      </c>
      <c r="H83" s="12" t="inlineStr">
        <is>
          <t>Player-Coach</t>
        </is>
      </c>
      <c r="I83" s="12" t="n">
        <v>4</v>
      </c>
      <c r="J83" s="12"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83" s="12" t="inlineStr">
        <is>
          <t>System Design &amp; Architecture · Programming &amp; Tech-Stack Depth</t>
        </is>
      </c>
      <c r="L83" s="12" t="inlineStr">
        <is>
          <t>Cloud, DevOps &amp; CI/CD · Cybersecurity &amp; Infrastructure · Stakeholder &amp; Client Management · Strategic Thinking &amp; Business Acumen</t>
        </is>
      </c>
      <c r="M83" s="12" t="inlineStr">
        <is>
          <t>Core 4 · Future-ready 4 · Functional 4 · Leadership 4</t>
        </is>
      </c>
      <c r="N83" s="12" t="inlineStr">
        <is>
          <t>AWS / Azure architect · optional; Cloud / language certifications · optional</t>
        </is>
      </c>
      <c r="O83" s="12" t="inlineStr">
        <is>
          <t>None — only this department</t>
        </is>
      </c>
      <c r="P83" s="17" t="inlineStr">
        <is>
          <t>iDEAL 1
Same title</t>
        </is>
      </c>
    </row>
    <row r="84" ht="81" customHeight="1">
      <c r="A84" s="12" t="inlineStr">
        <is>
          <t>Technology</t>
        </is>
      </c>
      <c r="B84" s="25" t="inlineStr">
        <is>
          <t>B+ · Player-Coach</t>
        </is>
      </c>
      <c r="C84" s="25" t="inlineStr">
        <is>
          <t>B+</t>
        </is>
      </c>
      <c r="D84" s="12" t="inlineStr">
        <is>
          <t>Practice Lead · Player-Coach</t>
        </is>
      </c>
      <c r="E84" s="12" t="inlineStr">
        <is>
          <t>Project &amp; Program Management</t>
        </is>
      </c>
      <c r="F84" s="12" t="inlineStr">
        <is>
          <t>Project &amp; Program Delivery</t>
        </is>
      </c>
      <c r="G84" s="12" t="inlineStr">
        <is>
          <t>Practice Lead – Project &amp; Program Delivery · Player-Coach</t>
        </is>
      </c>
      <c r="H84" s="12" t="inlineStr">
        <is>
          <t>Player-Coach</t>
        </is>
      </c>
      <c r="I84" s="12" t="n">
        <v>1</v>
      </c>
      <c r="J84" s="12"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84" s="12" t="inlineStr">
        <is>
          <t>Project, Program &amp; Agile Management · Stakeholder &amp; Client Management</t>
        </is>
      </c>
      <c r="L84" s="12" t="inlineStr">
        <is>
          <t>Communication &amp; Presentation · Process Improvement &amp; Quality Mindset · Strategic Thinking &amp; Business Acumen · Product, Platform &amp; Domain Knowledge</t>
        </is>
      </c>
      <c r="M84" s="12" t="inlineStr">
        <is>
          <t>Core 4 · Future-ready 4 · Functional 4 · Leadership 4</t>
        </is>
      </c>
      <c r="N84" s="12" t="inlineStr">
        <is>
          <t>PMP / PRINCE2 / CSM / SAFe</t>
        </is>
      </c>
      <c r="O84" s="12" t="inlineStr">
        <is>
          <t>None — only this department</t>
        </is>
      </c>
      <c r="P84" s="12" t="inlineStr">
        <is>
          <t>None — only iFile</t>
        </is>
      </c>
    </row>
    <row r="85" ht="68" customHeight="1">
      <c r="A85" s="12" t="inlineStr">
        <is>
          <t>Technology</t>
        </is>
      </c>
      <c r="B85" s="29" t="inlineStr">
        <is>
          <t>C · Principal / Head</t>
        </is>
      </c>
      <c r="C85" s="29" t="inlineStr">
        <is>
          <t>C1</t>
        </is>
      </c>
      <c r="D85" s="12" t="inlineStr">
        <is>
          <t>Principal</t>
        </is>
      </c>
      <c r="E85" s="12" t="inlineStr">
        <is>
          <t>Engineering &amp; Architecture</t>
        </is>
      </c>
      <c r="F85" s="12" t="inlineStr">
        <is>
          <t>Solution &amp; Technical Architecture</t>
        </is>
      </c>
      <c r="G85" s="12" t="inlineStr">
        <is>
          <t>Technical Architect</t>
        </is>
      </c>
      <c r="H85" s="12" t="inlineStr">
        <is>
          <t>IC</t>
        </is>
      </c>
      <c r="I85" s="12" t="n">
        <v>1</v>
      </c>
      <c r="J85" s="12"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85" s="12" t="inlineStr">
        <is>
          <t>System Design &amp; Architecture · Programming &amp; Tech-Stack Depth</t>
        </is>
      </c>
      <c r="L85" s="12" t="inlineStr">
        <is>
          <t>Cloud, DevOps &amp; CI/CD · Cybersecurity &amp; Infrastructure · Stakeholder &amp; Client Management · Strategic Thinking &amp; Business Acumen</t>
        </is>
      </c>
      <c r="M85" s="12" t="inlineStr">
        <is>
          <t>Core 4 · Future-ready 4 · Functional 4 · Leadership 4</t>
        </is>
      </c>
      <c r="N85" s="12" t="inlineStr">
        <is>
          <t>AWS / Azure architect · optional; Cloud / language certifications · optional</t>
        </is>
      </c>
      <c r="O85" s="12" t="inlineStr">
        <is>
          <t>None — only this department</t>
        </is>
      </c>
      <c r="P85" s="17" t="inlineStr">
        <is>
          <r>
            <rPr>
              <rFont val="Calibri"/>
              <sz val="10"/>
            </rPr>
            <t xml:space="preserve">Datatech 1
</t>
          </r>
          <r>
            <rPr>
              <rFont val="Calibri"/>
              <b val="1"/>
              <sz val="10"/>
            </rPr>
            <t>Titled there:</t>
          </r>
          <r>
            <rPr>
              <rFont val="Calibri"/>
              <sz val="10"/>
            </rPr>
            <t xml:space="preserve"> Solution Architect</t>
          </r>
        </is>
      </c>
    </row>
    <row r="86" ht="68" customHeight="1">
      <c r="A86" s="12" t="inlineStr">
        <is>
          <t>Technology</t>
        </is>
      </c>
      <c r="B86" s="29" t="inlineStr">
        <is>
          <t>C · Principal / Head</t>
        </is>
      </c>
      <c r="C86" s="29" t="inlineStr">
        <is>
          <t>C2</t>
        </is>
      </c>
      <c r="D86" s="12" t="inlineStr">
        <is>
          <t>Head of Function</t>
        </is>
      </c>
      <c r="E86" s="12" t="inlineStr">
        <is>
          <t>Project &amp; Program Management</t>
        </is>
      </c>
      <c r="F86" s="12" t="inlineStr">
        <is>
          <t>Delivery Leadership</t>
        </is>
      </c>
      <c r="G86" s="12" t="inlineStr">
        <is>
          <t>Head – Delivery</t>
        </is>
      </c>
      <c r="H86" s="12" t="inlineStr">
        <is>
          <t>People Manager</t>
        </is>
      </c>
      <c r="I86" s="12" t="n">
        <v>1</v>
      </c>
      <c r="J86" s="12" t="inlineStr">
        <is>
          <r>
            <rPr>
              <rFont val="Calibri"/>
              <b val="1"/>
              <sz val="10"/>
            </rPr>
            <t>C2:</t>
          </r>
          <r>
            <rPr>
              <rFont val="Calibri"/>
              <sz val="10"/>
            </rPr>
            <t xml:space="preserve"> Head – Delivery</t>
          </r>
        </is>
      </c>
      <c r="K86" s="12" t="inlineStr">
        <is>
          <t>Project, Program &amp; Agile Management · Stakeholder &amp; Client Management</t>
        </is>
      </c>
      <c r="L86" s="12" t="inlineStr">
        <is>
          <t>Communication &amp; Presentation · Process Improvement &amp; Quality Mindset · Strategic Thinking &amp; Business Acumen · Product, Platform &amp; Domain Knowledge</t>
        </is>
      </c>
      <c r="M86" s="12" t="inlineStr">
        <is>
          <t>Core 4 · Future-ready 4 · Functional 5 · Leadership 4</t>
        </is>
      </c>
      <c r="N86" s="12" t="inlineStr">
        <is>
          <t>PMP / PRINCE2 / CSM / SAFe</t>
        </is>
      </c>
      <c r="O86" s="12" t="inlineStr">
        <is>
          <t>None — only this department</t>
        </is>
      </c>
      <c r="P86" s="12" t="inlineStr">
        <is>
          <t>None — only iFile</t>
        </is>
      </c>
    </row>
    <row r="87" ht="146" customHeight="1">
      <c r="A87" s="12" t="inlineStr">
        <is>
          <t>Technology</t>
        </is>
      </c>
      <c r="B87" s="37" t="inlineStr">
        <is>
          <t>X · Consultant</t>
        </is>
      </c>
      <c r="C87" s="37" t="inlineStr">
        <is>
          <t>X1</t>
        </is>
      </c>
      <c r="D87" s="12" t="inlineStr">
        <is>
          <t>Associate Consultant</t>
        </is>
      </c>
      <c r="E87" s="12" t="inlineStr">
        <is>
          <t>Engineering &amp; Development</t>
        </is>
      </c>
      <c r="F87" s="12" t="inlineStr">
        <is>
          <t>Backend Development</t>
        </is>
      </c>
      <c r="G87" s="12" t="inlineStr">
        <is>
          <t>Associate Consultant – Software Development</t>
        </is>
      </c>
      <c r="H87" s="12" t="inlineStr">
        <is>
          <t>Consultant</t>
        </is>
      </c>
      <c r="I87" s="12" t="n">
        <v>13</v>
      </c>
      <c r="J87" s="12"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87" s="12" t="inlineStr">
        <is>
          <t>Programming &amp; Tech-Stack Depth · System Design &amp; Architecture</t>
        </is>
      </c>
      <c r="L87" s="12" t="inlineStr">
        <is>
          <t>Database, SQL &amp; Data Engineering · Cloud, DevOps &amp; CI/CD · AI, GenAI &amp; Prompt Engineering · Product, Platform &amp; Domain Knowledge</t>
        </is>
      </c>
      <c r="M87" s="12" t="inlineStr">
        <is>
          <t>Per statement of work</t>
        </is>
      </c>
      <c r="N87" s="12" t="inlineStr">
        <is>
          <t>Cloud / language certifications · optional; AWS / Azure architect · optional</t>
        </is>
      </c>
      <c r="O87" s="12" t="inlineStr">
        <is>
          <t>None — only this department</t>
        </is>
      </c>
      <c r="P87" s="17" t="inlineStr">
        <is>
          <t>Datatech 3
Same title</t>
        </is>
      </c>
    </row>
    <row r="88" ht="94" customHeight="1">
      <c r="A88" s="12" t="inlineStr">
        <is>
          <t>XBRL Consulting</t>
        </is>
      </c>
      <c r="B88" s="17" t="inlineStr">
        <is>
          <t>A · Practitioner</t>
        </is>
      </c>
      <c r="C88" s="17" t="inlineStr">
        <is>
          <t>A2</t>
        </is>
      </c>
      <c r="D88" s="12" t="inlineStr">
        <is>
          <t>Associate</t>
        </is>
      </c>
      <c r="E88" s="12" t="inlineStr">
        <is>
          <t>Consulting &amp; Professional Services</t>
        </is>
      </c>
      <c r="F88" s="12" t="inlineStr">
        <is>
          <t>Taxonomy Design &amp; Regulatory Consulting</t>
        </is>
      </c>
      <c r="G88" s="12" t="inlineStr">
        <is>
          <t>Taxonomy Analyst</t>
        </is>
      </c>
      <c r="H88" s="12" t="inlineStr">
        <is>
          <t>IC</t>
        </is>
      </c>
      <c r="I88" s="12" t="n">
        <v>2</v>
      </c>
      <c r="J88"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88" s="12" t="inlineStr">
        <is>
          <t>XBRL, iXBRL &amp; Taxonomy · Accounting &amp; Reporting Standards · IFRS/US GAAP</t>
        </is>
      </c>
      <c r="L88" s="12" t="inlineStr">
        <is>
          <t>Regulatory &amp; BFSI Domain · Process Improvement &amp; Quality Mindset · Advanced Excel &amp; Productivity Tools · AI, GenAI &amp; Prompt Engineering</t>
        </is>
      </c>
      <c r="M88" s="12" t="inlineStr">
        <is>
          <t>Core 2 · Future-ready 2 · Functional 2 · Leadership —</t>
        </is>
      </c>
      <c r="N88" s="12" t="inlineStr">
        <is>
          <t>XBRL US GAAP Certificate · AICPA &amp; XBRL US or equivalent; CA / CMA / ACCA / CFA / IFRS certificate</t>
        </is>
      </c>
      <c r="O88" s="12" t="inlineStr">
        <is>
          <t>None — only this department</t>
        </is>
      </c>
      <c r="P88" s="12" t="inlineStr">
        <is>
          <t>None — only iFile</t>
        </is>
      </c>
    </row>
    <row r="89" ht="68" customHeight="1">
      <c r="A89" s="12" t="inlineStr">
        <is>
          <t>XBRL Consulting</t>
        </is>
      </c>
      <c r="B89" s="17" t="inlineStr">
        <is>
          <t>A · Practitioner</t>
        </is>
      </c>
      <c r="C89" s="17" t="inlineStr">
        <is>
          <t>A2</t>
        </is>
      </c>
      <c r="D89" s="12" t="inlineStr">
        <is>
          <t>Associate</t>
        </is>
      </c>
      <c r="E89" s="12" t="inlineStr">
        <is>
          <t>Consulting &amp; Professional Services</t>
        </is>
      </c>
      <c r="F89" s="12" t="inlineStr">
        <is>
          <t>XBRL Tagging, Conversion &amp; Filing</t>
        </is>
      </c>
      <c r="G89" s="12" t="inlineStr">
        <is>
          <t>Financial Analyst</t>
        </is>
      </c>
      <c r="H89" s="12" t="inlineStr">
        <is>
          <t>IC</t>
        </is>
      </c>
      <c r="I89" s="12" t="n">
        <v>3</v>
      </c>
      <c r="J89" s="12" t="inlineStr">
        <is>
          <r>
            <rPr>
              <rFont val="Calibri"/>
              <b val="1"/>
              <sz val="10"/>
            </rPr>
            <t>A2:</t>
          </r>
          <r>
            <rPr>
              <rFont val="Calibri"/>
              <sz val="10"/>
            </rPr>
            <t xml:space="preserve"> Financial Analyst → A3: Senior Financial Analyst</t>
          </r>
        </is>
      </c>
      <c r="K89" s="12" t="inlineStr">
        <is>
          <t>XBRL, iXBRL &amp; Taxonomy · Accounting &amp; Reporting Standards · IFRS/US GAAP</t>
        </is>
      </c>
      <c r="L89" s="12" t="inlineStr">
        <is>
          <t>Regulatory &amp; BFSI Domain · Process Improvement &amp; Quality Mindset · Advanced Excel &amp; Productivity Tools · AI, GenAI &amp; Prompt Engineering</t>
        </is>
      </c>
      <c r="M89" s="12" t="inlineStr">
        <is>
          <t>Core 2 · Future-ready 2 · Functional 2 · Leadership —</t>
        </is>
      </c>
      <c r="N89" s="12" t="inlineStr">
        <is>
          <t>XBRL US GAAP Certificate · AICPA &amp; XBRL US or equivalent; CA / CMA / ACCA / CFA / IFRS certificate</t>
        </is>
      </c>
      <c r="O89" s="12" t="inlineStr">
        <is>
          <t>None — only this department</t>
        </is>
      </c>
      <c r="P89" s="17" t="inlineStr">
        <is>
          <t>CARBON 1
Same title</t>
        </is>
      </c>
    </row>
    <row r="90" ht="94" customHeight="1">
      <c r="A90" s="12" t="inlineStr">
        <is>
          <t>XBRL Consulting</t>
        </is>
      </c>
      <c r="B90" s="17" t="inlineStr">
        <is>
          <t>A · Practitioner</t>
        </is>
      </c>
      <c r="C90" s="17" t="inlineStr">
        <is>
          <t>A3</t>
        </is>
      </c>
      <c r="D90" s="12" t="inlineStr">
        <is>
          <t>Senior Associate</t>
        </is>
      </c>
      <c r="E90" s="12" t="inlineStr">
        <is>
          <t>Consulting &amp; Professional Services</t>
        </is>
      </c>
      <c r="F90" s="12" t="inlineStr">
        <is>
          <t>Taxonomy Design &amp; Regulatory Consulting</t>
        </is>
      </c>
      <c r="G90" s="12" t="inlineStr">
        <is>
          <t>Senior Taxonomy Analyst</t>
        </is>
      </c>
      <c r="H90" s="12" t="inlineStr">
        <is>
          <t>IC</t>
        </is>
      </c>
      <c r="I90" s="12" t="n">
        <v>12</v>
      </c>
      <c r="J90"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0" s="12" t="inlineStr">
        <is>
          <t>XBRL, iXBRL &amp; Taxonomy · Accounting &amp; Reporting Standards · IFRS/US GAAP</t>
        </is>
      </c>
      <c r="L90" s="12" t="inlineStr">
        <is>
          <t>Regulatory &amp; BFSI Domain · Process Improvement &amp; Quality Mindset · Advanced Excel &amp; Productivity Tools · AI, GenAI &amp; Prompt Engineering</t>
        </is>
      </c>
      <c r="M90" s="12" t="inlineStr">
        <is>
          <t>Core 2 · Future-ready 2 · Functional 3 · Leadership —</t>
        </is>
      </c>
      <c r="N90" s="12" t="inlineStr">
        <is>
          <t>XBRL US GAAP Certificate · AICPA &amp; XBRL US or equivalent; CA / CMA / ACCA / CFA / IFRS certificate</t>
        </is>
      </c>
      <c r="O90" s="12" t="inlineStr">
        <is>
          <t>None — only this department</t>
        </is>
      </c>
      <c r="P90" s="12" t="inlineStr">
        <is>
          <t>None — only iFile</t>
        </is>
      </c>
    </row>
    <row r="91" ht="94" customHeight="1">
      <c r="A91" s="12" t="inlineStr">
        <is>
          <t>XBRL Consulting</t>
        </is>
      </c>
      <c r="B91" s="17" t="inlineStr">
        <is>
          <t>A · Practitioner</t>
        </is>
      </c>
      <c r="C91" s="17" t="inlineStr">
        <is>
          <t>A3</t>
        </is>
      </c>
      <c r="D91" s="12" t="inlineStr">
        <is>
          <t>Senior Associate</t>
        </is>
      </c>
      <c r="E91" s="12" t="inlineStr">
        <is>
          <t>Consulting &amp; Professional Services</t>
        </is>
      </c>
      <c r="F91" s="12" t="inlineStr">
        <is>
          <t>Taxonomy Design &amp; Regulatory Consulting</t>
        </is>
      </c>
      <c r="G91" s="12" t="inlineStr">
        <is>
          <t>Taxonomy Specialist</t>
        </is>
      </c>
      <c r="H91" s="12" t="inlineStr">
        <is>
          <t>IC</t>
        </is>
      </c>
      <c r="I91" s="12" t="n">
        <v>2</v>
      </c>
      <c r="J91"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1" s="12" t="inlineStr">
        <is>
          <t>XBRL, iXBRL &amp; Taxonomy · Accounting &amp; Reporting Standards · IFRS/US GAAP</t>
        </is>
      </c>
      <c r="L91" s="12" t="inlineStr">
        <is>
          <t>Regulatory &amp; BFSI Domain · Process Improvement &amp; Quality Mindset · Advanced Excel &amp; Productivity Tools · AI, GenAI &amp; Prompt Engineering</t>
        </is>
      </c>
      <c r="M91" s="12" t="inlineStr">
        <is>
          <t>Core 2 · Future-ready 2 · Functional 3 · Leadership —</t>
        </is>
      </c>
      <c r="N91" s="12" t="inlineStr">
        <is>
          <t>XBRL US GAAP Certificate · AICPA &amp; XBRL US or equivalent; CA / CMA / ACCA / CFA / IFRS certificate</t>
        </is>
      </c>
      <c r="O91" s="12" t="inlineStr">
        <is>
          <t>None — only this department</t>
        </is>
      </c>
      <c r="P91" s="12" t="inlineStr">
        <is>
          <t>None — only iFile</t>
        </is>
      </c>
    </row>
    <row r="92" ht="68" customHeight="1">
      <c r="A92" s="12" t="inlineStr">
        <is>
          <t>XBRL Consulting</t>
        </is>
      </c>
      <c r="B92" s="17" t="inlineStr">
        <is>
          <t>A · Practitioner</t>
        </is>
      </c>
      <c r="C92" s="17" t="inlineStr">
        <is>
          <t>A3</t>
        </is>
      </c>
      <c r="D92" s="12" t="inlineStr">
        <is>
          <t>Senior Associate</t>
        </is>
      </c>
      <c r="E92" s="12" t="inlineStr">
        <is>
          <t>Consulting &amp; Professional Services</t>
        </is>
      </c>
      <c r="F92" s="12" t="inlineStr">
        <is>
          <t>XBRL Tagging, Conversion &amp; Filing</t>
        </is>
      </c>
      <c r="G92" s="12" t="inlineStr">
        <is>
          <t>Senior Financial Analyst</t>
        </is>
      </c>
      <c r="H92" s="12" t="inlineStr">
        <is>
          <t>IC</t>
        </is>
      </c>
      <c r="I92" s="12" t="n">
        <v>3</v>
      </c>
      <c r="J92" s="12" t="inlineStr">
        <is>
          <r>
            <rPr>
              <rFont val="Calibri"/>
              <b val="1"/>
              <sz val="10"/>
            </rPr>
            <t>A2:</t>
          </r>
          <r>
            <rPr>
              <rFont val="Calibri"/>
              <sz val="10"/>
            </rPr>
            <t xml:space="preserve"> Financial Analyst → A3: Senior Financial Analyst</t>
          </r>
        </is>
      </c>
      <c r="K92" s="12" t="inlineStr">
        <is>
          <t>XBRL, iXBRL &amp; Taxonomy · Accounting &amp; Reporting Standards · IFRS/US GAAP</t>
        </is>
      </c>
      <c r="L92" s="12" t="inlineStr">
        <is>
          <t>Regulatory &amp; BFSI Domain · Process Improvement &amp; Quality Mindset · Advanced Excel &amp; Productivity Tools · AI, GenAI &amp; Prompt Engineering</t>
        </is>
      </c>
      <c r="M92" s="12" t="inlineStr">
        <is>
          <t>Core 2 · Future-ready 2 · Functional 3 · Leadership —</t>
        </is>
      </c>
      <c r="N92" s="12" t="inlineStr">
        <is>
          <t>XBRL US GAAP Certificate · AICPA &amp; XBRL US or equivalent; CA / CMA / ACCA / CFA / IFRS certificate</t>
        </is>
      </c>
      <c r="O92" s="12" t="inlineStr">
        <is>
          <t>None — only this department</t>
        </is>
      </c>
      <c r="P92" s="17" t="inlineStr">
        <is>
          <r>
            <rPr>
              <rFont val="Calibri"/>
              <sz val="10"/>
            </rPr>
            <t xml:space="preserve">CARBON 35
</t>
          </r>
          <r>
            <rPr>
              <rFont val="Calibri"/>
              <b val="1"/>
              <sz val="10"/>
            </rPr>
            <t>Titled there:</t>
          </r>
          <r>
            <rPr>
              <rFont val="Calibri"/>
              <sz val="10"/>
            </rPr>
            <t xml:space="preserve"> Senior Financial Analyst / XBRL Specialist</t>
          </r>
        </is>
      </c>
    </row>
    <row r="93" ht="94" customHeight="1">
      <c r="A93" s="12" t="inlineStr">
        <is>
          <t>XBRL Consulting</t>
        </is>
      </c>
      <c r="B93" s="21" t="inlineStr">
        <is>
          <t>B · Specialist / Manager</t>
        </is>
      </c>
      <c r="C93" s="21" t="inlineStr">
        <is>
          <t>B1</t>
        </is>
      </c>
      <c r="D93" s="12" t="inlineStr">
        <is>
          <t>Specialist</t>
        </is>
      </c>
      <c r="E93" s="12" t="inlineStr">
        <is>
          <t>Consulting &amp; Professional Services</t>
        </is>
      </c>
      <c r="F93" s="12" t="inlineStr">
        <is>
          <t>Taxonomy Design &amp; Regulatory Consulting</t>
        </is>
      </c>
      <c r="G93" s="12" t="inlineStr">
        <is>
          <t>Senior Taxonomy Specialist</t>
        </is>
      </c>
      <c r="H93" s="12" t="inlineStr">
        <is>
          <t>IC</t>
        </is>
      </c>
      <c r="I93" s="12" t="n">
        <v>1</v>
      </c>
      <c r="J93"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3" s="12" t="inlineStr">
        <is>
          <t>XBRL, iXBRL &amp; Taxonomy · Accounting &amp; Reporting Standards · IFRS/US GAAP</t>
        </is>
      </c>
      <c r="L93" s="12" t="inlineStr">
        <is>
          <t>Regulatory &amp; BFSI Domain · Process Improvement &amp; Quality Mindset · Advanced Excel &amp; Productivity Tools · AI, GenAI &amp; Prompt Engineering</t>
        </is>
      </c>
      <c r="M93" s="12" t="inlineStr">
        <is>
          <t>Core 3 · Future-ready 3 · Functional 3 · Leadership 1</t>
        </is>
      </c>
      <c r="N93" s="12" t="inlineStr">
        <is>
          <t>XBRL US GAAP Certificate · AICPA &amp; XBRL US or equivalent; CA / CMA / ACCA / CFA / IFRS certificate</t>
        </is>
      </c>
      <c r="O93" s="12" t="inlineStr">
        <is>
          <t>None — only this department</t>
        </is>
      </c>
      <c r="P93" s="12" t="inlineStr">
        <is>
          <t>None — only iFile</t>
        </is>
      </c>
    </row>
    <row r="94" ht="94" customHeight="1">
      <c r="A94" s="12" t="inlineStr">
        <is>
          <t>XBRL Consulting</t>
        </is>
      </c>
      <c r="B94" s="21" t="inlineStr">
        <is>
          <t>B · Specialist / Manager</t>
        </is>
      </c>
      <c r="C94" s="21" t="inlineStr">
        <is>
          <t>B1</t>
        </is>
      </c>
      <c r="D94" s="12" t="inlineStr">
        <is>
          <t>Specialist</t>
        </is>
      </c>
      <c r="E94" s="12" t="inlineStr">
        <is>
          <t>Consulting &amp; Professional Services</t>
        </is>
      </c>
      <c r="F94" s="12" t="inlineStr">
        <is>
          <t>Taxonomy Design &amp; Regulatory Consulting</t>
        </is>
      </c>
      <c r="G94" s="12" t="inlineStr">
        <is>
          <t>Taxonomy Specialist</t>
        </is>
      </c>
      <c r="H94" s="12" t="inlineStr">
        <is>
          <t>IC</t>
        </is>
      </c>
      <c r="I94" s="12" t="n">
        <v>2</v>
      </c>
      <c r="J94"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4" s="12" t="inlineStr">
        <is>
          <t>XBRL, iXBRL &amp; Taxonomy · Accounting &amp; Reporting Standards · IFRS/US GAAP</t>
        </is>
      </c>
      <c r="L94" s="12" t="inlineStr">
        <is>
          <t>Regulatory &amp; BFSI Domain · Process Improvement &amp; Quality Mindset · Advanced Excel &amp; Productivity Tools · AI, GenAI &amp; Prompt Engineering</t>
        </is>
      </c>
      <c r="M94" s="12" t="inlineStr">
        <is>
          <t>Core 3 · Future-ready 3 · Functional 3 · Leadership 1</t>
        </is>
      </c>
      <c r="N94" s="12" t="inlineStr">
        <is>
          <t>XBRL US GAAP Certificate · AICPA &amp; XBRL US or equivalent; CA / CMA / ACCA / CFA / IFRS certificate</t>
        </is>
      </c>
      <c r="O94" s="12" t="inlineStr">
        <is>
          <t>None — only this department</t>
        </is>
      </c>
      <c r="P94" s="12" t="inlineStr">
        <is>
          <t>None — only iFile</t>
        </is>
      </c>
    </row>
    <row r="95" ht="94" customHeight="1">
      <c r="A95" s="12" t="inlineStr">
        <is>
          <t>XBRL Consulting</t>
        </is>
      </c>
      <c r="B95" s="21" t="inlineStr">
        <is>
          <t>B · Specialist / Manager</t>
        </is>
      </c>
      <c r="C95" s="21" t="inlineStr">
        <is>
          <t>B2</t>
        </is>
      </c>
      <c r="D95" s="12" t="inlineStr">
        <is>
          <t>Manager</t>
        </is>
      </c>
      <c r="E95" s="12" t="inlineStr">
        <is>
          <t>Consulting &amp; Professional Services</t>
        </is>
      </c>
      <c r="F95" s="12" t="inlineStr">
        <is>
          <t>Taxonomy Design &amp; Regulatory Consulting</t>
        </is>
      </c>
      <c r="G95" s="12" t="inlineStr">
        <is>
          <t>Manager – Taxonomy Consulting</t>
        </is>
      </c>
      <c r="H95" s="12" t="inlineStr">
        <is>
          <t>People Manager</t>
        </is>
      </c>
      <c r="I95" s="12" t="n">
        <v>1</v>
      </c>
      <c r="J95"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5" s="12" t="inlineStr">
        <is>
          <t>XBRL, iXBRL &amp; Taxonomy · Accounting &amp; Reporting Standards · IFRS/US GAAP</t>
        </is>
      </c>
      <c r="L95" s="12" t="inlineStr">
        <is>
          <t>Regulatory &amp; BFSI Domain · Process Improvement &amp; Quality Mindset · Advanced Excel &amp; Productivity Tools · AI, GenAI &amp; Prompt Engineering</t>
        </is>
      </c>
      <c r="M95" s="12" t="inlineStr">
        <is>
          <t>Core 3 · Future-ready 3 · Functional 4 · Leadership 3</t>
        </is>
      </c>
      <c r="N95" s="12" t="inlineStr">
        <is>
          <t>XBRL US GAAP Certificate · AICPA &amp; XBRL US or equivalent; CA / CMA / ACCA / CFA / IFRS certificate</t>
        </is>
      </c>
      <c r="O95" s="12" t="inlineStr">
        <is>
          <t>None — only this department</t>
        </is>
      </c>
      <c r="P95" s="12" t="inlineStr">
        <is>
          <t>None — only iFile</t>
        </is>
      </c>
    </row>
    <row r="96" ht="94" customHeight="1">
      <c r="A96" s="12" t="inlineStr">
        <is>
          <t>XBRL Consulting</t>
        </is>
      </c>
      <c r="B96" s="21" t="inlineStr">
        <is>
          <t>B · Specialist / Manager</t>
        </is>
      </c>
      <c r="C96" s="21" t="inlineStr">
        <is>
          <t>B2</t>
        </is>
      </c>
      <c r="D96" s="12" t="inlineStr">
        <is>
          <t>Manager</t>
        </is>
      </c>
      <c r="E96" s="12" t="inlineStr">
        <is>
          <t>Consulting &amp; Professional Services</t>
        </is>
      </c>
      <c r="F96" s="12" t="inlineStr">
        <is>
          <t>Taxonomy Design &amp; Regulatory Consulting</t>
        </is>
      </c>
      <c r="G96" s="12" t="inlineStr">
        <is>
          <t>Senior Manager – Taxonomy Consulting</t>
        </is>
      </c>
      <c r="H96" s="12" t="inlineStr">
        <is>
          <t>People Manager</t>
        </is>
      </c>
      <c r="I96" s="12" t="n">
        <v>1</v>
      </c>
      <c r="J96"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6" s="12" t="inlineStr">
        <is>
          <t>XBRL, iXBRL &amp; Taxonomy · Accounting &amp; Reporting Standards · IFRS/US GAAP</t>
        </is>
      </c>
      <c r="L96" s="12" t="inlineStr">
        <is>
          <t>Regulatory &amp; BFSI Domain · Process Improvement &amp; Quality Mindset · Advanced Excel &amp; Productivity Tools · AI, GenAI &amp; Prompt Engineering</t>
        </is>
      </c>
      <c r="M96" s="12" t="inlineStr">
        <is>
          <t>Core 3 · Future-ready 3 · Functional 4 · Leadership 3</t>
        </is>
      </c>
      <c r="N96" s="12" t="inlineStr">
        <is>
          <t>XBRL US GAAP Certificate · AICPA &amp; XBRL US or equivalent; CA / CMA / ACCA / CFA / IFRS certificate</t>
        </is>
      </c>
      <c r="O96" s="12" t="inlineStr">
        <is>
          <t>None — only this department</t>
        </is>
      </c>
      <c r="P96" s="12" t="inlineStr">
        <is>
          <t>None — only iFile</t>
        </is>
      </c>
    </row>
    <row r="97" ht="94" customHeight="1">
      <c r="A97" s="12" t="inlineStr">
        <is>
          <t>XBRL Consulting</t>
        </is>
      </c>
      <c r="B97" s="21" t="inlineStr">
        <is>
          <t>B · Specialist / Manager</t>
        </is>
      </c>
      <c r="C97" s="21" t="inlineStr">
        <is>
          <t>B2</t>
        </is>
      </c>
      <c r="D97" s="12" t="inlineStr">
        <is>
          <t>Senior Specialist</t>
        </is>
      </c>
      <c r="E97" s="12" t="inlineStr">
        <is>
          <t>Consulting &amp; Professional Services</t>
        </is>
      </c>
      <c r="F97" s="12" t="inlineStr">
        <is>
          <t>Taxonomy Design &amp; Regulatory Consulting</t>
        </is>
      </c>
      <c r="G97" s="12" t="inlineStr">
        <is>
          <t>Senior Taxonomy Specialist</t>
        </is>
      </c>
      <c r="H97" s="12" t="inlineStr">
        <is>
          <t>IC</t>
        </is>
      </c>
      <c r="I97" s="12" t="n">
        <v>3</v>
      </c>
      <c r="J97"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7" s="12" t="inlineStr">
        <is>
          <t>XBRL, iXBRL &amp; Taxonomy · Accounting &amp; Reporting Standards · IFRS/US GAAP</t>
        </is>
      </c>
      <c r="L97" s="12" t="inlineStr">
        <is>
          <t>Regulatory &amp; BFSI Domain · Process Improvement &amp; Quality Mindset · Advanced Excel &amp; Productivity Tools · AI, GenAI &amp; Prompt Engineering</t>
        </is>
      </c>
      <c r="M97" s="12" t="inlineStr">
        <is>
          <t>Core 3 · Future-ready 3 · Functional 4 · Leadership 2</t>
        </is>
      </c>
      <c r="N97" s="12" t="inlineStr">
        <is>
          <t>XBRL US GAAP Certificate · AICPA &amp; XBRL US or equivalent; CA / CMA / ACCA / CFA / IFRS certificate</t>
        </is>
      </c>
      <c r="O97" s="12" t="inlineStr">
        <is>
          <t>None — only this department</t>
        </is>
      </c>
      <c r="P97" s="12" t="inlineStr">
        <is>
          <t>None — only iFile</t>
        </is>
      </c>
    </row>
    <row r="98" ht="68" customHeight="1">
      <c r="A98" s="12" t="inlineStr">
        <is>
          <t>XBRL Consulting</t>
        </is>
      </c>
      <c r="B98" s="29" t="inlineStr">
        <is>
          <t>C · Principal / Head</t>
        </is>
      </c>
      <c r="C98" s="29" t="inlineStr">
        <is>
          <t>C2</t>
        </is>
      </c>
      <c r="D98" s="12" t="inlineStr">
        <is>
          <t>Head of Function</t>
        </is>
      </c>
      <c r="E98" s="12" t="inlineStr">
        <is>
          <t>Consulting &amp; Professional Services</t>
        </is>
      </c>
      <c r="F98" s="12" t="inlineStr">
        <is>
          <t>Professional Services Leadership</t>
        </is>
      </c>
      <c r="G98" s="12" t="inlineStr">
        <is>
          <t>Head – Consulting</t>
        </is>
      </c>
      <c r="H98" s="12" t="inlineStr">
        <is>
          <t>People Manager</t>
        </is>
      </c>
      <c r="I98" s="12" t="n">
        <v>1</v>
      </c>
      <c r="J98" s="12" t="inlineStr">
        <is>
          <r>
            <rPr>
              <rFont val="Calibri"/>
              <b val="1"/>
              <sz val="10"/>
            </rPr>
            <t>C2:</t>
          </r>
          <r>
            <rPr>
              <rFont val="Calibri"/>
              <sz val="10"/>
            </rPr>
            <t xml:space="preserve"> Head – Consulting</t>
          </r>
        </is>
      </c>
      <c r="K98" s="12" t="inlineStr">
        <is>
          <t>XBRL, iXBRL &amp; Taxonomy · Accounting &amp; Reporting Standards · IFRS/US GAAP</t>
        </is>
      </c>
      <c r="L98" s="12" t="inlineStr">
        <is>
          <t>Regulatory &amp; BFSI Domain · Process Improvement &amp; Quality Mindset · Advanced Excel &amp; Productivity Tools · AI, GenAI &amp; Prompt Engineering</t>
        </is>
      </c>
      <c r="M98" s="12" t="inlineStr">
        <is>
          <t>Core 4 · Future-ready 4 · Functional 5 · Leadership 4</t>
        </is>
      </c>
      <c r="N98" s="12" t="inlineStr">
        <is>
          <t>XBRL US GAAP Certificate · AICPA &amp; XBRL US or equivalent; CA / CMA / ACCA / CFA / IFRS certificate</t>
        </is>
      </c>
      <c r="O98" s="12" t="inlineStr">
        <is>
          <t>None — only this department</t>
        </is>
      </c>
      <c r="P98" s="12" t="inlineStr">
        <is>
          <t>None — only iFile</t>
        </is>
      </c>
    </row>
    <row r="99" ht="94" customHeight="1">
      <c r="A99" s="12" t="inlineStr">
        <is>
          <t>XBRL Consulting</t>
        </is>
      </c>
      <c r="B99" s="37" t="inlineStr">
        <is>
          <t>X · Consultant</t>
        </is>
      </c>
      <c r="C99" s="37" t="inlineStr">
        <is>
          <t>X1</t>
        </is>
      </c>
      <c r="D99" s="12" t="inlineStr">
        <is>
          <t>Associate Consultant</t>
        </is>
      </c>
      <c r="E99" s="12" t="inlineStr">
        <is>
          <t>Consulting &amp; Professional Services</t>
        </is>
      </c>
      <c r="F99" s="12" t="inlineStr">
        <is>
          <t>Taxonomy Design &amp; Regulatory Consulting</t>
        </is>
      </c>
      <c r="G99" s="12" t="inlineStr">
        <is>
          <t>Associate Consultant – Taxonomy Design &amp; Regulatory Consulting</t>
        </is>
      </c>
      <c r="H99" s="12" t="inlineStr">
        <is>
          <t>Consultant</t>
        </is>
      </c>
      <c r="I99" s="12" t="n">
        <v>1</v>
      </c>
      <c r="J99" s="12"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9" s="12" t="inlineStr">
        <is>
          <t>XBRL, iXBRL &amp; Taxonomy · Accounting &amp; Reporting Standards · IFRS/US GAAP</t>
        </is>
      </c>
      <c r="L99" s="12" t="inlineStr">
        <is>
          <t>Regulatory &amp; BFSI Domain · Process Improvement &amp; Quality Mindset · Advanced Excel &amp; Productivity Tools · AI, GenAI &amp; Prompt Engineering</t>
        </is>
      </c>
      <c r="M99" s="12" t="inlineStr">
        <is>
          <t>Per statement of work</t>
        </is>
      </c>
      <c r="N99" s="12" t="inlineStr">
        <is>
          <t>XBRL US GAAP Certificate · AICPA &amp; XBRL US or equivalent; CA / CMA / ACCA / CFA / IFRS certificate</t>
        </is>
      </c>
      <c r="O99" s="12" t="inlineStr">
        <is>
          <t>None — only this department</t>
        </is>
      </c>
      <c r="P99" s="12" t="inlineStr">
        <is>
          <t>None — only iFile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Z98"/>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104" t="inlineStr">
        <is>
          <t>◂ Start Here</t>
        </is>
      </c>
    </row>
    <row r="2" ht="30" customHeight="1">
      <c r="A2" s="3" t="inlineStr">
        <is>
          <t>6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97" t="inlineStr">
        <is>
          <t>Experience &amp; Qualification weight — Bands A–B</t>
        </is>
      </c>
      <c r="B6" s="98" t="n">
        <v>10</v>
      </c>
      <c r="C6" s="40" t="inlineStr">
        <is>
          <t>Band A, Band B and B+ · Corporate functions rows add 5 for professional qualifications</t>
        </is>
      </c>
    </row>
    <row r="7">
      <c r="A7" s="97" t="inlineStr">
        <is>
          <t>Experience &amp; Qualification weight — Bands C–E</t>
        </is>
      </c>
      <c r="B7" s="98" t="n">
        <v>5</v>
      </c>
      <c r="C7" s="40" t="inlineStr">
        <is>
          <t>Band C, C+ and Bands D–E · Corporate functions rows add 5 for professional qualifications</t>
        </is>
      </c>
    </row>
    <row r="8">
      <c r="A8" s="40"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7" t="inlineStr">
        <is>
          <t>1. Find your department and role group in the matrix below · filter the Department column.</t>
        </is>
      </c>
    </row>
    <row r="12">
      <c r="A12" s="7" t="inlineStr">
        <is>
          <t>2. Change the yellow weights in steps of 5%. Each row should add up to about 100% — the 'Used' columns show the weights actually applied.</t>
        </is>
      </c>
    </row>
    <row r="13">
      <c r="A13" s="7" t="inlineStr">
        <is>
          <t>3. Look at sheet 2: points, the score and 'Level the score indicates' have already changed for everyone in that department and role group.</t>
        </is>
      </c>
    </row>
    <row r="14">
      <c r="A14" s="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73" t="inlineStr">
        <is>
          <t>Weight row</t>
        </is>
      </c>
      <c r="B16" s="73" t="inlineStr">
        <is>
          <t>Business</t>
        </is>
      </c>
      <c r="C16" s="73" t="inlineStr">
        <is>
          <t>Department</t>
        </is>
      </c>
      <c r="D16" s="73" t="inlineStr">
        <is>
          <t>Role group</t>
        </is>
      </c>
      <c r="E16" s="73" t="inlineStr">
        <is>
          <t>People</t>
        </is>
      </c>
      <c r="F16" s="73" t="inlineStr">
        <is>
          <t>Main type of work</t>
        </is>
      </c>
      <c r="G16" s="8" t="inlineStr">
        <is>
          <t>How hard %</t>
        </is>
      </c>
      <c r="H16" s="8" t="inlineStr">
        <is>
          <t>Decides alone %</t>
        </is>
      </c>
      <c r="I16" s="8" t="inlineStr">
        <is>
          <t>Answers for %</t>
        </is>
      </c>
      <c r="J16" s="8" t="inlineStr">
        <is>
          <t>Leads %</t>
        </is>
      </c>
      <c r="K16" s="8" t="inlineStr">
        <is>
          <t>Experience %</t>
        </is>
      </c>
      <c r="L16" s="8" t="inlineStr">
        <is>
          <t>Business impact %</t>
        </is>
      </c>
      <c r="M16" s="8" t="inlineStr">
        <is>
          <t>Entered total</t>
        </is>
      </c>
      <c r="N16" s="73" t="inlineStr">
        <is>
          <t>Used · How hard</t>
        </is>
      </c>
      <c r="O16" s="73" t="inlineStr">
        <is>
          <t>Used · Decides alone</t>
        </is>
      </c>
      <c r="P16" s="73" t="inlineStr">
        <is>
          <t>Used · Answers for</t>
        </is>
      </c>
      <c r="Q16" s="73" t="inlineStr">
        <is>
          <t>Used · Leads</t>
        </is>
      </c>
      <c r="R16" s="73" t="inlineStr">
        <is>
          <t>Used · Experience</t>
        </is>
      </c>
      <c r="S16" s="73" t="inlineStr">
        <is>
          <t>Used · Business impact</t>
        </is>
      </c>
      <c r="T16" s="73" t="inlineStr">
        <is>
          <t>Why changed · leader</t>
        </is>
      </c>
      <c r="U16" s="99" t="inlineStr">
        <is>
          <t>Default · How hard</t>
        </is>
      </c>
      <c r="V16" s="99" t="inlineStr">
        <is>
          <t>Default · Decides alone</t>
        </is>
      </c>
      <c r="W16" s="99" t="inlineStr">
        <is>
          <t>Default · Answers for</t>
        </is>
      </c>
      <c r="X16" s="99" t="inlineStr">
        <is>
          <t>Default · Leads</t>
        </is>
      </c>
      <c r="Y16" s="99" t="inlineStr">
        <is>
          <t>Default · Experience</t>
        </is>
      </c>
      <c r="Z16" s="99" t="inlineStr">
        <is>
          <t>Default · Business impact</t>
        </is>
      </c>
    </row>
    <row r="17" ht="30" customHeight="1">
      <c r="A17" s="12" t="inlineStr">
        <is>
          <t>iFile · Design · Band A · Early career</t>
        </is>
      </c>
      <c r="B17" s="12" t="inlineStr">
        <is>
          <t>iFile</t>
        </is>
      </c>
      <c r="C17" s="12" t="inlineStr">
        <is>
          <t>Design</t>
        </is>
      </c>
      <c r="D17" s="10" t="inlineStr">
        <is>
          <t>Band A · Early career</t>
        </is>
      </c>
      <c r="E17" s="42" t="n">
        <v>1</v>
      </c>
      <c r="F17" s="12" t="inlineStr">
        <is>
          <t>Technology &amp; engineering</t>
        </is>
      </c>
      <c r="G17" s="100" t="n">
        <v>64</v>
      </c>
      <c r="H17" s="100" t="n">
        <v>16</v>
      </c>
      <c r="I17" s="100" t="n">
        <v>4</v>
      </c>
      <c r="J17" s="100" t="n">
        <v>0</v>
      </c>
      <c r="K17" s="100">
        <f>WM_EXP_AB</f>
        <v>10</v>
      </c>
      <c r="L17" s="100" t="n">
        <v>6</v>
      </c>
      <c r="M17" s="101">
        <f>SUM(G17:L17)</f>
        <v>100</v>
      </c>
      <c r="N17" s="102">
        <f>IF((G17+H17+I17+J17+L17)=0,0,G17*(100-MAX(0,MIN(100,K17)))/(G17+H17+I17+J17+L17))/100</f>
        <v>0.64</v>
      </c>
      <c r="O17" s="102">
        <f>IF((G17+H17+I17+J17+L17)=0,0,H17*(100-MAX(0,MIN(100,K17)))/(G17+H17+I17+J17+L17))/100</f>
        <v>0.16</v>
      </c>
      <c r="P17" s="102">
        <f>IF((G17+H17+I17+J17+L17)=0,0,I17*(100-MAX(0,MIN(100,K17)))/(G17+H17+I17+J17+L17))/100</f>
        <v>0.04</v>
      </c>
      <c r="Q17" s="102">
        <f>IF((G17+H17+I17+J17+L17)=0,0,J17*(100-MAX(0,MIN(100,K17)))/(G17+H17+I17+J17+L17))/100</f>
        <v>0</v>
      </c>
      <c r="R17" s="102">
        <f>MAX(0,MIN(100,K17))/100</f>
        <v>0.1</v>
      </c>
      <c r="S17" s="102">
        <f>IF((G17+H17+I17+J17+L17)=0,0,L17*(100-MAX(0,MIN(100,K17)))/(G17+H17+I17+J17+L17))/100</f>
        <v>0.06</v>
      </c>
      <c r="T17" s="82" t="n"/>
      <c r="U17" s="103" t="n">
        <v>64</v>
      </c>
      <c r="V17" s="103" t="n">
        <v>16</v>
      </c>
      <c r="W17" s="103" t="n">
        <v>4</v>
      </c>
      <c r="X17" s="103" t="n">
        <v>0</v>
      </c>
      <c r="Y17" s="103" t="n">
        <v>10</v>
      </c>
      <c r="Z17" s="103" t="n">
        <v>6</v>
      </c>
    </row>
    <row r="18" ht="30" customHeight="1">
      <c r="A18" s="12" t="inlineStr">
        <is>
          <t>iFile · Design · Band B · Expert / POD Lead</t>
        </is>
      </c>
      <c r="B18" s="12" t="inlineStr">
        <is>
          <t>iFile</t>
        </is>
      </c>
      <c r="C18" s="12" t="inlineStr">
        <is>
          <t>Design</t>
        </is>
      </c>
      <c r="D18" s="10" t="inlineStr">
        <is>
          <t>Band B · Expert / POD Lead</t>
        </is>
      </c>
      <c r="E18" s="42" t="n">
        <v>1</v>
      </c>
      <c r="F18" s="12" t="inlineStr">
        <is>
          <t>Technology &amp; engineering</t>
        </is>
      </c>
      <c r="G18" s="100" t="n">
        <v>56</v>
      </c>
      <c r="H18" s="100" t="n">
        <v>17</v>
      </c>
      <c r="I18" s="100" t="n">
        <v>5</v>
      </c>
      <c r="J18" s="100" t="n">
        <v>5</v>
      </c>
      <c r="K18" s="100">
        <f>WM_EXP_AB</f>
        <v>10</v>
      </c>
      <c r="L18" s="100" t="n">
        <v>7</v>
      </c>
      <c r="M18" s="101">
        <f>SUM(G18:L18)</f>
        <v>100</v>
      </c>
      <c r="N18" s="102">
        <f>IF((G18+H18+I18+J18+L18)=0,0,G18*(100-MAX(0,MIN(100,K18)))/(G18+H18+I18+J18+L18))/100</f>
        <v>0.56</v>
      </c>
      <c r="O18" s="102">
        <f>IF((G18+H18+I18+J18+L18)=0,0,H18*(100-MAX(0,MIN(100,K18)))/(G18+H18+I18+J18+L18))/100</f>
        <v>0.17</v>
      </c>
      <c r="P18" s="102">
        <f>IF((G18+H18+I18+J18+L18)=0,0,I18*(100-MAX(0,MIN(100,K18)))/(G18+H18+I18+J18+L18))/100</f>
        <v>0.05</v>
      </c>
      <c r="Q18" s="102">
        <f>IF((G18+H18+I18+J18+L18)=0,0,J18*(100-MAX(0,MIN(100,K18)))/(G18+H18+I18+J18+L18))/100</f>
        <v>0.05</v>
      </c>
      <c r="R18" s="102">
        <f>MAX(0,MIN(100,K18))/100</f>
        <v>0.1</v>
      </c>
      <c r="S18" s="102">
        <f>IF((G18+H18+I18+J18+L18)=0,0,L18*(100-MAX(0,MIN(100,K18)))/(G18+H18+I18+J18+L18))/100</f>
        <v>0.07</v>
      </c>
      <c r="T18" s="82" t="n"/>
      <c r="U18" s="103" t="n">
        <v>56</v>
      </c>
      <c r="V18" s="103" t="n">
        <v>17</v>
      </c>
      <c r="W18" s="103" t="n">
        <v>5</v>
      </c>
      <c r="X18" s="103" t="n">
        <v>5</v>
      </c>
      <c r="Y18" s="103" t="n">
        <v>10</v>
      </c>
      <c r="Z18" s="103" t="n">
        <v>7</v>
      </c>
    </row>
    <row r="19" ht="30" customHeight="1">
      <c r="A19" s="12" t="inlineStr">
        <is>
          <t>iFile · Marketing · Band A · Early career</t>
        </is>
      </c>
      <c r="B19" s="12" t="inlineStr">
        <is>
          <t>iFile</t>
        </is>
      </c>
      <c r="C19" s="12" t="inlineStr">
        <is>
          <t>Marketing</t>
        </is>
      </c>
      <c r="D19" s="10" t="inlineStr">
        <is>
          <t>Band A · Early career</t>
        </is>
      </c>
      <c r="E19" s="42" t="n">
        <v>1</v>
      </c>
      <c r="F19" s="12" t="inlineStr">
        <is>
          <t>Sales &amp; marketing</t>
        </is>
      </c>
      <c r="G19" s="100" t="n">
        <v>54</v>
      </c>
      <c r="H19" s="100" t="n">
        <v>21</v>
      </c>
      <c r="I19" s="100" t="n">
        <v>4</v>
      </c>
      <c r="J19" s="100" t="n">
        <v>0</v>
      </c>
      <c r="K19" s="100">
        <f>WM_EXP_AB</f>
        <v>10</v>
      </c>
      <c r="L19" s="100" t="n">
        <v>11</v>
      </c>
      <c r="M19" s="101">
        <f>SUM(G19:L19)</f>
        <v>100</v>
      </c>
      <c r="N19" s="102">
        <f>IF((G19+H19+I19+J19+L19)=0,0,G19*(100-MAX(0,MIN(100,K19)))/(G19+H19+I19+J19+L19))/100</f>
        <v>0.54</v>
      </c>
      <c r="O19" s="102">
        <f>IF((G19+H19+I19+J19+L19)=0,0,H19*(100-MAX(0,MIN(100,K19)))/(G19+H19+I19+J19+L19))/100</f>
        <v>0.21</v>
      </c>
      <c r="P19" s="102">
        <f>IF((G19+H19+I19+J19+L19)=0,0,I19*(100-MAX(0,MIN(100,K19)))/(G19+H19+I19+J19+L19))/100</f>
        <v>0.04</v>
      </c>
      <c r="Q19" s="102">
        <f>IF((G19+H19+I19+J19+L19)=0,0,J19*(100-MAX(0,MIN(100,K19)))/(G19+H19+I19+J19+L19))/100</f>
        <v>0</v>
      </c>
      <c r="R19" s="102">
        <f>MAX(0,MIN(100,K19))/100</f>
        <v>0.1</v>
      </c>
      <c r="S19" s="102">
        <f>IF((G19+H19+I19+J19+L19)=0,0,L19*(100-MAX(0,MIN(100,K19)))/(G19+H19+I19+J19+L19))/100</f>
        <v>0.11</v>
      </c>
      <c r="T19" s="82" t="n"/>
      <c r="U19" s="103" t="n">
        <v>54</v>
      </c>
      <c r="V19" s="103" t="n">
        <v>21</v>
      </c>
      <c r="W19" s="103" t="n">
        <v>4</v>
      </c>
      <c r="X19" s="103" t="n">
        <v>0</v>
      </c>
      <c r="Y19" s="103" t="n">
        <v>10</v>
      </c>
      <c r="Z19" s="103" t="n">
        <v>11</v>
      </c>
    </row>
    <row r="20" ht="30" customHeight="1">
      <c r="A20" s="12" t="inlineStr">
        <is>
          <t>iFile · Marketing · Band B · People Manager</t>
        </is>
      </c>
      <c r="B20" s="12" t="inlineStr">
        <is>
          <t>iFile</t>
        </is>
      </c>
      <c r="C20" s="12" t="inlineStr">
        <is>
          <t>Marketing</t>
        </is>
      </c>
      <c r="D20" s="10" t="inlineStr">
        <is>
          <t>Band B · People Manager</t>
        </is>
      </c>
      <c r="E20" s="42" t="n">
        <v>1</v>
      </c>
      <c r="F20" s="12" t="inlineStr">
        <is>
          <t>Sales &amp; marketing</t>
        </is>
      </c>
      <c r="G20" s="100" t="n">
        <v>32</v>
      </c>
      <c r="H20" s="100" t="n">
        <v>23</v>
      </c>
      <c r="I20" s="100" t="n">
        <v>6</v>
      </c>
      <c r="J20" s="100" t="n">
        <v>15</v>
      </c>
      <c r="K20" s="100">
        <f>WM_EXP_AB</f>
        <v>10</v>
      </c>
      <c r="L20" s="100" t="n">
        <v>14</v>
      </c>
      <c r="M20" s="101">
        <f>SUM(G20:L20)</f>
        <v>100</v>
      </c>
      <c r="N20" s="102">
        <f>IF((G20+H20+I20+J20+L20)=0,0,G20*(100-MAX(0,MIN(100,K20)))/(G20+H20+I20+J20+L20))/100</f>
        <v>0.32</v>
      </c>
      <c r="O20" s="102">
        <f>IF((G20+H20+I20+J20+L20)=0,0,H20*(100-MAX(0,MIN(100,K20)))/(G20+H20+I20+J20+L20))/100</f>
        <v>0.23</v>
      </c>
      <c r="P20" s="102">
        <f>IF((G20+H20+I20+J20+L20)=0,0,I20*(100-MAX(0,MIN(100,K20)))/(G20+H20+I20+J20+L20))/100</f>
        <v>0.06</v>
      </c>
      <c r="Q20" s="102">
        <f>IF((G20+H20+I20+J20+L20)=0,0,J20*(100-MAX(0,MIN(100,K20)))/(G20+H20+I20+J20+L20))/100</f>
        <v>0.15</v>
      </c>
      <c r="R20" s="102">
        <f>MAX(0,MIN(100,K20))/100</f>
        <v>0.1</v>
      </c>
      <c r="S20" s="102">
        <f>IF((G20+H20+I20+J20+L20)=0,0,L20*(100-MAX(0,MIN(100,K20)))/(G20+H20+I20+J20+L20))/100</f>
        <v>0.14</v>
      </c>
      <c r="T20" s="82" t="n"/>
      <c r="U20" s="103" t="n">
        <v>32</v>
      </c>
      <c r="V20" s="103" t="n">
        <v>23</v>
      </c>
      <c r="W20" s="103" t="n">
        <v>6</v>
      </c>
      <c r="X20" s="103" t="n">
        <v>15</v>
      </c>
      <c r="Y20" s="103" t="n">
        <v>10</v>
      </c>
      <c r="Z20" s="103" t="n">
        <v>14</v>
      </c>
    </row>
    <row r="21" ht="30" customHeight="1">
      <c r="A21" s="12" t="inlineStr">
        <is>
          <t>iFile · Product Management · Band B · Expert / POD Lead</t>
        </is>
      </c>
      <c r="B21" s="12" t="inlineStr">
        <is>
          <t>iFile</t>
        </is>
      </c>
      <c r="C21" s="12" t="inlineStr">
        <is>
          <t>Product Management</t>
        </is>
      </c>
      <c r="D21" s="10" t="inlineStr">
        <is>
          <t>Band B · Expert / POD Lead</t>
        </is>
      </c>
      <c r="E21" s="42" t="n">
        <v>1</v>
      </c>
      <c r="F21" s="12" t="inlineStr">
        <is>
          <t>Product &amp; programme</t>
        </is>
      </c>
      <c r="G21" s="100" t="n">
        <v>46</v>
      </c>
      <c r="H21" s="100" t="n">
        <v>22</v>
      </c>
      <c r="I21" s="100" t="n">
        <v>10</v>
      </c>
      <c r="J21" s="100" t="n">
        <v>5</v>
      </c>
      <c r="K21" s="100">
        <f>WM_EXP_AB</f>
        <v>10</v>
      </c>
      <c r="L21" s="100" t="n">
        <v>7</v>
      </c>
      <c r="M21" s="101">
        <f>SUM(G21:L21)</f>
        <v>100</v>
      </c>
      <c r="N21" s="102">
        <f>IF((G21+H21+I21+J21+L21)=0,0,G21*(100-MAX(0,MIN(100,K21)))/(G21+H21+I21+J21+L21))/100</f>
        <v>0.46</v>
      </c>
      <c r="O21" s="102">
        <f>IF((G21+H21+I21+J21+L21)=0,0,H21*(100-MAX(0,MIN(100,K21)))/(G21+H21+I21+J21+L21))/100</f>
        <v>0.22</v>
      </c>
      <c r="P21" s="102">
        <f>IF((G21+H21+I21+J21+L21)=0,0,I21*(100-MAX(0,MIN(100,K21)))/(G21+H21+I21+J21+L21))/100</f>
        <v>0.1</v>
      </c>
      <c r="Q21" s="102">
        <f>IF((G21+H21+I21+J21+L21)=0,0,J21*(100-MAX(0,MIN(100,K21)))/(G21+H21+I21+J21+L21))/100</f>
        <v>0.05</v>
      </c>
      <c r="R21" s="102">
        <f>MAX(0,MIN(100,K21))/100</f>
        <v>0.1</v>
      </c>
      <c r="S21" s="102">
        <f>IF((G21+H21+I21+J21+L21)=0,0,L21*(100-MAX(0,MIN(100,K21)))/(G21+H21+I21+J21+L21))/100</f>
        <v>0.07</v>
      </c>
      <c r="T21" s="82" t="n"/>
      <c r="U21" s="103" t="n">
        <v>46</v>
      </c>
      <c r="V21" s="103" t="n">
        <v>22</v>
      </c>
      <c r="W21" s="103" t="n">
        <v>10</v>
      </c>
      <c r="X21" s="103" t="n">
        <v>5</v>
      </c>
      <c r="Y21" s="103" t="n">
        <v>10</v>
      </c>
      <c r="Z21" s="103" t="n">
        <v>7</v>
      </c>
    </row>
    <row r="22" ht="30" customHeight="1">
      <c r="A22" s="12" t="inlineStr">
        <is>
          <t>iFile · Quality Assurance · Band A · Early career</t>
        </is>
      </c>
      <c r="B22" s="12" t="inlineStr">
        <is>
          <t>iFile</t>
        </is>
      </c>
      <c r="C22" s="12" t="inlineStr">
        <is>
          <t>Quality Assurance</t>
        </is>
      </c>
      <c r="D22" s="10" t="inlineStr">
        <is>
          <t>Band A · Early career</t>
        </is>
      </c>
      <c r="E22" s="42" t="n">
        <v>13</v>
      </c>
      <c r="F22" s="12" t="inlineStr">
        <is>
          <t>Technology &amp; engineering</t>
        </is>
      </c>
      <c r="G22" s="100" t="n">
        <v>64</v>
      </c>
      <c r="H22" s="100" t="n">
        <v>16</v>
      </c>
      <c r="I22" s="100" t="n">
        <v>4</v>
      </c>
      <c r="J22" s="100" t="n">
        <v>0</v>
      </c>
      <c r="K22" s="100">
        <f>WM_EXP_AB</f>
        <v>10</v>
      </c>
      <c r="L22" s="100" t="n">
        <v>6</v>
      </c>
      <c r="M22" s="101">
        <f>SUM(G22:L22)</f>
        <v>100</v>
      </c>
      <c r="N22" s="102">
        <f>IF((G22+H22+I22+J22+L22)=0,0,G22*(100-MAX(0,MIN(100,K22)))/(G22+H22+I22+J22+L22))/100</f>
        <v>0.64</v>
      </c>
      <c r="O22" s="102">
        <f>IF((G22+H22+I22+J22+L22)=0,0,H22*(100-MAX(0,MIN(100,K22)))/(G22+H22+I22+J22+L22))/100</f>
        <v>0.16</v>
      </c>
      <c r="P22" s="102">
        <f>IF((G22+H22+I22+J22+L22)=0,0,I22*(100-MAX(0,MIN(100,K22)))/(G22+H22+I22+J22+L22))/100</f>
        <v>0.04</v>
      </c>
      <c r="Q22" s="102">
        <f>IF((G22+H22+I22+J22+L22)=0,0,J22*(100-MAX(0,MIN(100,K22)))/(G22+H22+I22+J22+L22))/100</f>
        <v>0</v>
      </c>
      <c r="R22" s="102">
        <f>MAX(0,MIN(100,K22))/100</f>
        <v>0.1</v>
      </c>
      <c r="S22" s="102">
        <f>IF((G22+H22+I22+J22+L22)=0,0,L22*(100-MAX(0,MIN(100,K22)))/(G22+H22+I22+J22+L22))/100</f>
        <v>0.06</v>
      </c>
      <c r="T22" s="82" t="n"/>
      <c r="U22" s="103" t="n">
        <v>64</v>
      </c>
      <c r="V22" s="103" t="n">
        <v>16</v>
      </c>
      <c r="W22" s="103" t="n">
        <v>4</v>
      </c>
      <c r="X22" s="103" t="n">
        <v>0</v>
      </c>
      <c r="Y22" s="103" t="n">
        <v>10</v>
      </c>
      <c r="Z22" s="103" t="n">
        <v>6</v>
      </c>
    </row>
    <row r="23" ht="30" customHeight="1">
      <c r="A23" s="12" t="inlineStr">
        <is>
          <t>iFile · Quality Assurance · Band B · Expert / POD Lead</t>
        </is>
      </c>
      <c r="B23" s="12" t="inlineStr">
        <is>
          <t>iFile</t>
        </is>
      </c>
      <c r="C23" s="12" t="inlineStr">
        <is>
          <t>Quality Assurance</t>
        </is>
      </c>
      <c r="D23" s="10" t="inlineStr">
        <is>
          <t>Band B · Expert / POD Lead</t>
        </is>
      </c>
      <c r="E23" s="42" t="n">
        <v>4</v>
      </c>
      <c r="F23" s="12" t="inlineStr">
        <is>
          <t>Technology &amp; engineering</t>
        </is>
      </c>
      <c r="G23" s="100" t="n">
        <v>56</v>
      </c>
      <c r="H23" s="100" t="n">
        <v>17</v>
      </c>
      <c r="I23" s="100" t="n">
        <v>5</v>
      </c>
      <c r="J23" s="100" t="n">
        <v>5</v>
      </c>
      <c r="K23" s="100">
        <f>WM_EXP_AB</f>
        <v>10</v>
      </c>
      <c r="L23" s="100" t="n">
        <v>7</v>
      </c>
      <c r="M23" s="101">
        <f>SUM(G23:L23)</f>
        <v>100</v>
      </c>
      <c r="N23" s="102">
        <f>IF((G23+H23+I23+J23+L23)=0,0,G23*(100-MAX(0,MIN(100,K23)))/(G23+H23+I23+J23+L23))/100</f>
        <v>0.56</v>
      </c>
      <c r="O23" s="102">
        <f>IF((G23+H23+I23+J23+L23)=0,0,H23*(100-MAX(0,MIN(100,K23)))/(G23+H23+I23+J23+L23))/100</f>
        <v>0.17</v>
      </c>
      <c r="P23" s="102">
        <f>IF((G23+H23+I23+J23+L23)=0,0,I23*(100-MAX(0,MIN(100,K23)))/(G23+H23+I23+J23+L23))/100</f>
        <v>0.05</v>
      </c>
      <c r="Q23" s="102">
        <f>IF((G23+H23+I23+J23+L23)=0,0,J23*(100-MAX(0,MIN(100,K23)))/(G23+H23+I23+J23+L23))/100</f>
        <v>0.05</v>
      </c>
      <c r="R23" s="102">
        <f>MAX(0,MIN(100,K23))/100</f>
        <v>0.1</v>
      </c>
      <c r="S23" s="102">
        <f>IF((G23+H23+I23+J23+L23)=0,0,L23*(100-MAX(0,MIN(100,K23)))/(G23+H23+I23+J23+L23))/100</f>
        <v>0.07</v>
      </c>
      <c r="T23" s="82" t="n"/>
      <c r="U23" s="103" t="n">
        <v>56</v>
      </c>
      <c r="V23" s="103" t="n">
        <v>17</v>
      </c>
      <c r="W23" s="103" t="n">
        <v>5</v>
      </c>
      <c r="X23" s="103" t="n">
        <v>5</v>
      </c>
      <c r="Y23" s="103" t="n">
        <v>10</v>
      </c>
      <c r="Z23" s="103" t="n">
        <v>7</v>
      </c>
    </row>
    <row r="24" ht="30" customHeight="1">
      <c r="A24" s="12" t="inlineStr">
        <is>
          <t>iFile · Quality Assurance · Band B · People Manager</t>
        </is>
      </c>
      <c r="B24" s="12" t="inlineStr">
        <is>
          <t>iFile</t>
        </is>
      </c>
      <c r="C24" s="12" t="inlineStr">
        <is>
          <t>Quality Assurance</t>
        </is>
      </c>
      <c r="D24" s="10" t="inlineStr">
        <is>
          <t>Band B · People Manager</t>
        </is>
      </c>
      <c r="E24" s="42" t="n">
        <v>1</v>
      </c>
      <c r="F24" s="12" t="inlineStr">
        <is>
          <t>Technology &amp; engineering</t>
        </is>
      </c>
      <c r="G24" s="100" t="n">
        <v>42</v>
      </c>
      <c r="H24" s="100" t="n">
        <v>18</v>
      </c>
      <c r="I24" s="100" t="n">
        <v>6</v>
      </c>
      <c r="J24" s="100" t="n">
        <v>15</v>
      </c>
      <c r="K24" s="100">
        <f>WM_EXP_AB</f>
        <v>10</v>
      </c>
      <c r="L24" s="100" t="n">
        <v>9</v>
      </c>
      <c r="M24" s="101">
        <f>SUM(G24:L24)</f>
        <v>100</v>
      </c>
      <c r="N24" s="102">
        <f>IF((G24+H24+I24+J24+L24)=0,0,G24*(100-MAX(0,MIN(100,K24)))/(G24+H24+I24+J24+L24))/100</f>
        <v>0.42</v>
      </c>
      <c r="O24" s="102">
        <f>IF((G24+H24+I24+J24+L24)=0,0,H24*(100-MAX(0,MIN(100,K24)))/(G24+H24+I24+J24+L24))/100</f>
        <v>0.18</v>
      </c>
      <c r="P24" s="102">
        <f>IF((G24+H24+I24+J24+L24)=0,0,I24*(100-MAX(0,MIN(100,K24)))/(G24+H24+I24+J24+L24))/100</f>
        <v>0.06</v>
      </c>
      <c r="Q24" s="102">
        <f>IF((G24+H24+I24+J24+L24)=0,0,J24*(100-MAX(0,MIN(100,K24)))/(G24+H24+I24+J24+L24))/100</f>
        <v>0.15</v>
      </c>
      <c r="R24" s="102">
        <f>MAX(0,MIN(100,K24))/100</f>
        <v>0.1</v>
      </c>
      <c r="S24" s="102">
        <f>IF((G24+H24+I24+J24+L24)=0,0,L24*(100-MAX(0,MIN(100,K24)))/(G24+H24+I24+J24+L24))/100</f>
        <v>0.09</v>
      </c>
      <c r="T24" s="82" t="n"/>
      <c r="U24" s="103" t="n">
        <v>42</v>
      </c>
      <c r="V24" s="103" t="n">
        <v>18</v>
      </c>
      <c r="W24" s="103" t="n">
        <v>6</v>
      </c>
      <c r="X24" s="103" t="n">
        <v>15</v>
      </c>
      <c r="Y24" s="103" t="n">
        <v>10</v>
      </c>
      <c r="Z24" s="103" t="n">
        <v>9</v>
      </c>
    </row>
    <row r="25" ht="30" customHeight="1">
      <c r="A25" s="12" t="inlineStr">
        <is>
          <t>iFile · Sales · Band B · Expert / POD Lead</t>
        </is>
      </c>
      <c r="B25" s="12" t="inlineStr">
        <is>
          <t>iFile</t>
        </is>
      </c>
      <c r="C25" s="12" t="inlineStr">
        <is>
          <t>Sales</t>
        </is>
      </c>
      <c r="D25" s="10" t="inlineStr">
        <is>
          <t>Band B · Expert / POD Lead</t>
        </is>
      </c>
      <c r="E25" s="42" t="n">
        <v>4</v>
      </c>
      <c r="F25" s="12" t="inlineStr">
        <is>
          <t>Sales &amp; marketing</t>
        </is>
      </c>
      <c r="G25" s="100" t="n">
        <v>46</v>
      </c>
      <c r="H25" s="100" t="n">
        <v>22</v>
      </c>
      <c r="I25" s="100" t="n">
        <v>5</v>
      </c>
      <c r="J25" s="100" t="n">
        <v>5</v>
      </c>
      <c r="K25" s="100">
        <f>WM_EXP_AB</f>
        <v>10</v>
      </c>
      <c r="L25" s="100" t="n">
        <v>12</v>
      </c>
      <c r="M25" s="101">
        <f>SUM(G25:L25)</f>
        <v>100</v>
      </c>
      <c r="N25" s="102">
        <f>IF((G25+H25+I25+J25+L25)=0,0,G25*(100-MAX(0,MIN(100,K25)))/(G25+H25+I25+J25+L25))/100</f>
        <v>0.46</v>
      </c>
      <c r="O25" s="102">
        <f>IF((G25+H25+I25+J25+L25)=0,0,H25*(100-MAX(0,MIN(100,K25)))/(G25+H25+I25+J25+L25))/100</f>
        <v>0.22</v>
      </c>
      <c r="P25" s="102">
        <f>IF((G25+H25+I25+J25+L25)=0,0,I25*(100-MAX(0,MIN(100,K25)))/(G25+H25+I25+J25+L25))/100</f>
        <v>0.05</v>
      </c>
      <c r="Q25" s="102">
        <f>IF((G25+H25+I25+J25+L25)=0,0,J25*(100-MAX(0,MIN(100,K25)))/(G25+H25+I25+J25+L25))/100</f>
        <v>0.05</v>
      </c>
      <c r="R25" s="102">
        <f>MAX(0,MIN(100,K25))/100</f>
        <v>0.1</v>
      </c>
      <c r="S25" s="102">
        <f>IF((G25+H25+I25+J25+L25)=0,0,L25*(100-MAX(0,MIN(100,K25)))/(G25+H25+I25+J25+L25))/100</f>
        <v>0.12</v>
      </c>
      <c r="T25" s="82" t="n"/>
      <c r="U25" s="103" t="n">
        <v>46</v>
      </c>
      <c r="V25" s="103" t="n">
        <v>22</v>
      </c>
      <c r="W25" s="103" t="n">
        <v>5</v>
      </c>
      <c r="X25" s="103" t="n">
        <v>5</v>
      </c>
      <c r="Y25" s="103" t="n">
        <v>10</v>
      </c>
      <c r="Z25" s="103" t="n">
        <v>12</v>
      </c>
    </row>
    <row r="26" ht="30" customHeight="1">
      <c r="A26" s="12" t="inlineStr">
        <is>
          <t>iFile · Sales · Band C · Principal expert</t>
        </is>
      </c>
      <c r="B26" s="12" t="inlineStr">
        <is>
          <t>iFile</t>
        </is>
      </c>
      <c r="C26" s="12" t="inlineStr">
        <is>
          <t>Sales</t>
        </is>
      </c>
      <c r="D26" s="10" t="inlineStr">
        <is>
          <t>Band C · Principal expert</t>
        </is>
      </c>
      <c r="E26" s="42" t="n">
        <v>1</v>
      </c>
      <c r="F26" s="12" t="inlineStr">
        <is>
          <t>Sales &amp; marketing</t>
        </is>
      </c>
      <c r="G26" s="100" t="n">
        <v>49</v>
      </c>
      <c r="H26" s="100" t="n">
        <v>23</v>
      </c>
      <c r="I26" s="100" t="n">
        <v>5</v>
      </c>
      <c r="J26" s="100" t="n">
        <v>5</v>
      </c>
      <c r="K26" s="100">
        <f>WM_EXP_CE</f>
        <v>5</v>
      </c>
      <c r="L26" s="100" t="n">
        <v>13</v>
      </c>
      <c r="M26" s="101">
        <f>SUM(G26:L26)</f>
        <v>100</v>
      </c>
      <c r="N26" s="102">
        <f>IF((G26+H26+I26+J26+L26)=0,0,G26*(100-MAX(0,MIN(100,K26)))/(G26+H26+I26+J26+L26))/100</f>
        <v>0.49</v>
      </c>
      <c r="O26" s="102">
        <f>IF((G26+H26+I26+J26+L26)=0,0,H26*(100-MAX(0,MIN(100,K26)))/(G26+H26+I26+J26+L26))/100</f>
        <v>0.23</v>
      </c>
      <c r="P26" s="102">
        <f>IF((G26+H26+I26+J26+L26)=0,0,I26*(100-MAX(0,MIN(100,K26)))/(G26+H26+I26+J26+L26))/100</f>
        <v>0.05</v>
      </c>
      <c r="Q26" s="102">
        <f>IF((G26+H26+I26+J26+L26)=0,0,J26*(100-MAX(0,MIN(100,K26)))/(G26+H26+I26+J26+L26))/100</f>
        <v>0.05</v>
      </c>
      <c r="R26" s="102">
        <f>MAX(0,MIN(100,K26))/100</f>
        <v>0.05</v>
      </c>
      <c r="S26" s="102">
        <f>IF((G26+H26+I26+J26+L26)=0,0,L26*(100-MAX(0,MIN(100,K26)))/(G26+H26+I26+J26+L26))/100</f>
        <v>0.13</v>
      </c>
      <c r="T26" s="82" t="n"/>
      <c r="U26" s="103" t="n">
        <v>49</v>
      </c>
      <c r="V26" s="103" t="n">
        <v>23</v>
      </c>
      <c r="W26" s="103" t="n">
        <v>5</v>
      </c>
      <c r="X26" s="103" t="n">
        <v>5</v>
      </c>
      <c r="Y26" s="103" t="n">
        <v>5</v>
      </c>
      <c r="Z26" s="103" t="n">
        <v>13</v>
      </c>
    </row>
    <row r="27" ht="30" customHeight="1">
      <c r="A27" s="12" t="inlineStr">
        <is>
          <t>iFile · Sales · Band C · Head / Manager</t>
        </is>
      </c>
      <c r="B27" s="12" t="inlineStr">
        <is>
          <t>iFile</t>
        </is>
      </c>
      <c r="C27" s="12" t="inlineStr">
        <is>
          <t>Sales</t>
        </is>
      </c>
      <c r="D27" s="10" t="inlineStr">
        <is>
          <t>Band C · Head / Manager</t>
        </is>
      </c>
      <c r="E27" s="42" t="n">
        <v>1</v>
      </c>
      <c r="F27" s="12" t="inlineStr">
        <is>
          <t>Sales &amp; marketing</t>
        </is>
      </c>
      <c r="G27" s="100" t="n">
        <v>38</v>
      </c>
      <c r="H27" s="100" t="n">
        <v>23</v>
      </c>
      <c r="I27" s="100" t="n">
        <v>6</v>
      </c>
      <c r="J27" s="100" t="n">
        <v>15</v>
      </c>
      <c r="K27" s="100">
        <f>WM_EXP_CE</f>
        <v>5</v>
      </c>
      <c r="L27" s="100" t="n">
        <v>13</v>
      </c>
      <c r="M27" s="101">
        <f>SUM(G27:L27)</f>
        <v>100</v>
      </c>
      <c r="N27" s="102">
        <f>IF((G27+H27+I27+J27+L27)=0,0,G27*(100-MAX(0,MIN(100,K27)))/(G27+H27+I27+J27+L27))/100</f>
        <v>0.38</v>
      </c>
      <c r="O27" s="102">
        <f>IF((G27+H27+I27+J27+L27)=0,0,H27*(100-MAX(0,MIN(100,K27)))/(G27+H27+I27+J27+L27))/100</f>
        <v>0.23</v>
      </c>
      <c r="P27" s="102">
        <f>IF((G27+H27+I27+J27+L27)=0,0,I27*(100-MAX(0,MIN(100,K27)))/(G27+H27+I27+J27+L27))/100</f>
        <v>0.06</v>
      </c>
      <c r="Q27" s="102">
        <f>IF((G27+H27+I27+J27+L27)=0,0,J27*(100-MAX(0,MIN(100,K27)))/(G27+H27+I27+J27+L27))/100</f>
        <v>0.15</v>
      </c>
      <c r="R27" s="102">
        <f>MAX(0,MIN(100,K27))/100</f>
        <v>0.05</v>
      </c>
      <c r="S27" s="102">
        <f>IF((G27+H27+I27+J27+L27)=0,0,L27*(100-MAX(0,MIN(100,K27)))/(G27+H27+I27+J27+L27))/100</f>
        <v>0.13</v>
      </c>
      <c r="T27" s="82" t="n"/>
      <c r="U27" s="103" t="n">
        <v>38</v>
      </c>
      <c r="V27" s="103" t="n">
        <v>23</v>
      </c>
      <c r="W27" s="103" t="n">
        <v>6</v>
      </c>
      <c r="X27" s="103" t="n">
        <v>15</v>
      </c>
      <c r="Y27" s="103" t="n">
        <v>5</v>
      </c>
      <c r="Z27" s="103" t="n">
        <v>13</v>
      </c>
    </row>
    <row r="28" ht="30" customHeight="1">
      <c r="A28" s="12" t="inlineStr">
        <is>
          <t>iFile · Sales · Bands D–E · Leadership</t>
        </is>
      </c>
      <c r="B28" s="12" t="inlineStr">
        <is>
          <t>iFile</t>
        </is>
      </c>
      <c r="C28" s="12" t="inlineStr">
        <is>
          <t>Sales</t>
        </is>
      </c>
      <c r="D28" s="10" t="inlineStr">
        <is>
          <t>Bands D–E · Leadership</t>
        </is>
      </c>
      <c r="E28" s="42" t="n">
        <v>1</v>
      </c>
      <c r="F28" s="12" t="inlineStr">
        <is>
          <t>Sales &amp; marketing</t>
        </is>
      </c>
      <c r="G28" s="100" t="n">
        <v>37</v>
      </c>
      <c r="H28" s="100" t="n">
        <v>19</v>
      </c>
      <c r="I28" s="100" t="n">
        <v>11</v>
      </c>
      <c r="J28" s="100" t="n">
        <v>20</v>
      </c>
      <c r="K28" s="100">
        <f>WM_EXP_CE</f>
        <v>5</v>
      </c>
      <c r="L28" s="100" t="n">
        <v>8</v>
      </c>
      <c r="M28" s="101">
        <f>SUM(G28:L28)</f>
        <v>100</v>
      </c>
      <c r="N28" s="102">
        <f>IF((G28+H28+I28+J28+L28)=0,0,G28*(100-MAX(0,MIN(100,K28)))/(G28+H28+I28+J28+L28))/100</f>
        <v>0.37</v>
      </c>
      <c r="O28" s="102">
        <f>IF((G28+H28+I28+J28+L28)=0,0,H28*(100-MAX(0,MIN(100,K28)))/(G28+H28+I28+J28+L28))/100</f>
        <v>0.19</v>
      </c>
      <c r="P28" s="102">
        <f>IF((G28+H28+I28+J28+L28)=0,0,I28*(100-MAX(0,MIN(100,K28)))/(G28+H28+I28+J28+L28))/100</f>
        <v>0.11</v>
      </c>
      <c r="Q28" s="102">
        <f>IF((G28+H28+I28+J28+L28)=0,0,J28*(100-MAX(0,MIN(100,K28)))/(G28+H28+I28+J28+L28))/100</f>
        <v>0.2</v>
      </c>
      <c r="R28" s="102">
        <f>MAX(0,MIN(100,K28))/100</f>
        <v>0.05</v>
      </c>
      <c r="S28" s="102">
        <f>IF((G28+H28+I28+J28+L28)=0,0,L28*(100-MAX(0,MIN(100,K28)))/(G28+H28+I28+J28+L28))/100</f>
        <v>0.08</v>
      </c>
      <c r="T28" s="82" t="n"/>
      <c r="U28" s="103" t="n">
        <v>37</v>
      </c>
      <c r="V28" s="103" t="n">
        <v>19</v>
      </c>
      <c r="W28" s="103" t="n">
        <v>11</v>
      </c>
      <c r="X28" s="103" t="n">
        <v>20</v>
      </c>
      <c r="Y28" s="103" t="n">
        <v>5</v>
      </c>
      <c r="Z28" s="103" t="n">
        <v>8</v>
      </c>
    </row>
    <row r="29" ht="30" customHeight="1">
      <c r="A29" s="12" t="inlineStr">
        <is>
          <t>iFile · Support · Band A · Early career</t>
        </is>
      </c>
      <c r="B29" s="12" t="inlineStr">
        <is>
          <t>iFile</t>
        </is>
      </c>
      <c r="C29" s="12" t="inlineStr">
        <is>
          <t>Support</t>
        </is>
      </c>
      <c r="D29" s="10" t="inlineStr">
        <is>
          <t>Band A · Early career</t>
        </is>
      </c>
      <c r="E29" s="42" t="n">
        <v>9</v>
      </c>
      <c r="F29" s="12" t="inlineStr">
        <is>
          <t>Customer support &amp; success</t>
        </is>
      </c>
      <c r="G29" s="100" t="n">
        <v>54</v>
      </c>
      <c r="H29" s="100" t="n">
        <v>16</v>
      </c>
      <c r="I29" s="100" t="n">
        <v>9</v>
      </c>
      <c r="J29" s="100" t="n">
        <v>0</v>
      </c>
      <c r="K29" s="100">
        <f>WM_EXP_AB</f>
        <v>10</v>
      </c>
      <c r="L29" s="100" t="n">
        <v>11</v>
      </c>
      <c r="M29" s="101">
        <f>SUM(G29:L29)</f>
        <v>100</v>
      </c>
      <c r="N29" s="102">
        <f>IF((G29+H29+I29+J29+L29)=0,0,G29*(100-MAX(0,MIN(100,K29)))/(G29+H29+I29+J29+L29))/100</f>
        <v>0.54</v>
      </c>
      <c r="O29" s="102">
        <f>IF((G29+H29+I29+J29+L29)=0,0,H29*(100-MAX(0,MIN(100,K29)))/(G29+H29+I29+J29+L29))/100</f>
        <v>0.16</v>
      </c>
      <c r="P29" s="102">
        <f>IF((G29+H29+I29+J29+L29)=0,0,I29*(100-MAX(0,MIN(100,K29)))/(G29+H29+I29+J29+L29))/100</f>
        <v>0.09</v>
      </c>
      <c r="Q29" s="102">
        <f>IF((G29+H29+I29+J29+L29)=0,0,J29*(100-MAX(0,MIN(100,K29)))/(G29+H29+I29+J29+L29))/100</f>
        <v>0</v>
      </c>
      <c r="R29" s="102">
        <f>MAX(0,MIN(100,K29))/100</f>
        <v>0.1</v>
      </c>
      <c r="S29" s="102">
        <f>IF((G29+H29+I29+J29+L29)=0,0,L29*(100-MAX(0,MIN(100,K29)))/(G29+H29+I29+J29+L29))/100</f>
        <v>0.11</v>
      </c>
      <c r="T29" s="82" t="n"/>
      <c r="U29" s="103" t="n">
        <v>54</v>
      </c>
      <c r="V29" s="103" t="n">
        <v>16</v>
      </c>
      <c r="W29" s="103" t="n">
        <v>9</v>
      </c>
      <c r="X29" s="103" t="n">
        <v>0</v>
      </c>
      <c r="Y29" s="103" t="n">
        <v>10</v>
      </c>
      <c r="Z29" s="103" t="n">
        <v>11</v>
      </c>
    </row>
    <row r="30" ht="30" customHeight="1">
      <c r="A30" s="12" t="inlineStr">
        <is>
          <t>iFile · Support · Band B · Expert / POD Lead</t>
        </is>
      </c>
      <c r="B30" s="12" t="inlineStr">
        <is>
          <t>iFile</t>
        </is>
      </c>
      <c r="C30" s="12" t="inlineStr">
        <is>
          <t>Support</t>
        </is>
      </c>
      <c r="D30" s="10" t="inlineStr">
        <is>
          <t>Band B · Expert / POD Lead</t>
        </is>
      </c>
      <c r="E30" s="42" t="n">
        <v>2</v>
      </c>
      <c r="F30" s="12" t="inlineStr">
        <is>
          <t>Customer support &amp; success</t>
        </is>
      </c>
      <c r="G30" s="100" t="n">
        <v>46</v>
      </c>
      <c r="H30" s="100" t="n">
        <v>17</v>
      </c>
      <c r="I30" s="100" t="n">
        <v>10</v>
      </c>
      <c r="J30" s="100" t="n">
        <v>5</v>
      </c>
      <c r="K30" s="100">
        <f>WM_EXP_AB</f>
        <v>10</v>
      </c>
      <c r="L30" s="100" t="n">
        <v>12</v>
      </c>
      <c r="M30" s="101">
        <f>SUM(G30:L30)</f>
        <v>100</v>
      </c>
      <c r="N30" s="102">
        <f>IF((G30+H30+I30+J30+L30)=0,0,G30*(100-MAX(0,MIN(100,K30)))/(G30+H30+I30+J30+L30))/100</f>
        <v>0.46</v>
      </c>
      <c r="O30" s="102">
        <f>IF((G30+H30+I30+J30+L30)=0,0,H30*(100-MAX(0,MIN(100,K30)))/(G30+H30+I30+J30+L30))/100</f>
        <v>0.17</v>
      </c>
      <c r="P30" s="102">
        <f>IF((G30+H30+I30+J30+L30)=0,0,I30*(100-MAX(0,MIN(100,K30)))/(G30+H30+I30+J30+L30))/100</f>
        <v>0.1</v>
      </c>
      <c r="Q30" s="102">
        <f>IF((G30+H30+I30+J30+L30)=0,0,J30*(100-MAX(0,MIN(100,K30)))/(G30+H30+I30+J30+L30))/100</f>
        <v>0.05</v>
      </c>
      <c r="R30" s="102">
        <f>MAX(0,MIN(100,K30))/100</f>
        <v>0.1</v>
      </c>
      <c r="S30" s="102">
        <f>IF((G30+H30+I30+J30+L30)=0,0,L30*(100-MAX(0,MIN(100,K30)))/(G30+H30+I30+J30+L30))/100</f>
        <v>0.12</v>
      </c>
      <c r="T30" s="82" t="n"/>
      <c r="U30" s="103" t="n">
        <v>46</v>
      </c>
      <c r="V30" s="103" t="n">
        <v>17</v>
      </c>
      <c r="W30" s="103" t="n">
        <v>10</v>
      </c>
      <c r="X30" s="103" t="n">
        <v>5</v>
      </c>
      <c r="Y30" s="103" t="n">
        <v>10</v>
      </c>
      <c r="Z30" s="103" t="n">
        <v>12</v>
      </c>
    </row>
    <row r="31" ht="30" customHeight="1">
      <c r="A31" s="12" t="inlineStr">
        <is>
          <t>iFile · Technology · Band A · Early career</t>
        </is>
      </c>
      <c r="B31" s="12" t="inlineStr">
        <is>
          <t>iFile</t>
        </is>
      </c>
      <c r="C31" s="12" t="inlineStr">
        <is>
          <t>Technology</t>
        </is>
      </c>
      <c r="D31" s="10" t="inlineStr">
        <is>
          <t>Band A · Early career</t>
        </is>
      </c>
      <c r="E31" s="42" t="n">
        <v>73</v>
      </c>
      <c r="F31" s="12" t="inlineStr">
        <is>
          <t>Technology &amp; engineering</t>
        </is>
      </c>
      <c r="G31" s="100" t="n">
        <v>64</v>
      </c>
      <c r="H31" s="100" t="n">
        <v>16</v>
      </c>
      <c r="I31" s="100" t="n">
        <v>4</v>
      </c>
      <c r="J31" s="100" t="n">
        <v>0</v>
      </c>
      <c r="K31" s="100">
        <f>WM_EXP_AB</f>
        <v>10</v>
      </c>
      <c r="L31" s="100" t="n">
        <v>6</v>
      </c>
      <c r="M31" s="101">
        <f>SUM(G31:L31)</f>
        <v>100</v>
      </c>
      <c r="N31" s="102">
        <f>IF((G31+H31+I31+J31+L31)=0,0,G31*(100-MAX(0,MIN(100,K31)))/(G31+H31+I31+J31+L31))/100</f>
        <v>0.64</v>
      </c>
      <c r="O31" s="102">
        <f>IF((G31+H31+I31+J31+L31)=0,0,H31*(100-MAX(0,MIN(100,K31)))/(G31+H31+I31+J31+L31))/100</f>
        <v>0.16</v>
      </c>
      <c r="P31" s="102">
        <f>IF((G31+H31+I31+J31+L31)=0,0,I31*(100-MAX(0,MIN(100,K31)))/(G31+H31+I31+J31+L31))/100</f>
        <v>0.04</v>
      </c>
      <c r="Q31" s="102">
        <f>IF((G31+H31+I31+J31+L31)=0,0,J31*(100-MAX(0,MIN(100,K31)))/(G31+H31+I31+J31+L31))/100</f>
        <v>0</v>
      </c>
      <c r="R31" s="102">
        <f>MAX(0,MIN(100,K31))/100</f>
        <v>0.1</v>
      </c>
      <c r="S31" s="102">
        <f>IF((G31+H31+I31+J31+L31)=0,0,L31*(100-MAX(0,MIN(100,K31)))/(G31+H31+I31+J31+L31))/100</f>
        <v>0.06</v>
      </c>
      <c r="T31" s="82" t="n"/>
      <c r="U31" s="103" t="n">
        <v>64</v>
      </c>
      <c r="V31" s="103" t="n">
        <v>16</v>
      </c>
      <c r="W31" s="103" t="n">
        <v>4</v>
      </c>
      <c r="X31" s="103" t="n">
        <v>0</v>
      </c>
      <c r="Y31" s="103" t="n">
        <v>10</v>
      </c>
      <c r="Z31" s="103" t="n">
        <v>6</v>
      </c>
    </row>
    <row r="32" ht="30" customHeight="1">
      <c r="A32" s="12" t="inlineStr">
        <is>
          <t>iFile · Technology · Band B · Expert / POD Lead</t>
        </is>
      </c>
      <c r="B32" s="12" t="inlineStr">
        <is>
          <t>iFile</t>
        </is>
      </c>
      <c r="C32" s="12" t="inlineStr">
        <is>
          <t>Technology</t>
        </is>
      </c>
      <c r="D32" s="10" t="inlineStr">
        <is>
          <t>Band B · Expert / POD Lead</t>
        </is>
      </c>
      <c r="E32" s="42" t="n">
        <v>30</v>
      </c>
      <c r="F32" s="12" t="inlineStr">
        <is>
          <t>Technology &amp; engineering</t>
        </is>
      </c>
      <c r="G32" s="100" t="n">
        <v>56</v>
      </c>
      <c r="H32" s="100" t="n">
        <v>17</v>
      </c>
      <c r="I32" s="100" t="n">
        <v>5</v>
      </c>
      <c r="J32" s="100" t="n">
        <v>5</v>
      </c>
      <c r="K32" s="100">
        <f>WM_EXP_AB</f>
        <v>10</v>
      </c>
      <c r="L32" s="100" t="n">
        <v>7</v>
      </c>
      <c r="M32" s="101">
        <f>SUM(G32:L32)</f>
        <v>100</v>
      </c>
      <c r="N32" s="102">
        <f>IF((G32+H32+I32+J32+L32)=0,0,G32*(100-MAX(0,MIN(100,K32)))/(G32+H32+I32+J32+L32))/100</f>
        <v>0.56</v>
      </c>
      <c r="O32" s="102">
        <f>IF((G32+H32+I32+J32+L32)=0,0,H32*(100-MAX(0,MIN(100,K32)))/(G32+H32+I32+J32+L32))/100</f>
        <v>0.17</v>
      </c>
      <c r="P32" s="102">
        <f>IF((G32+H32+I32+J32+L32)=0,0,I32*(100-MAX(0,MIN(100,K32)))/(G32+H32+I32+J32+L32))/100</f>
        <v>0.05</v>
      </c>
      <c r="Q32" s="102">
        <f>IF((G32+H32+I32+J32+L32)=0,0,J32*(100-MAX(0,MIN(100,K32)))/(G32+H32+I32+J32+L32))/100</f>
        <v>0.05</v>
      </c>
      <c r="R32" s="102">
        <f>MAX(0,MIN(100,K32))/100</f>
        <v>0.1</v>
      </c>
      <c r="S32" s="102">
        <f>IF((G32+H32+I32+J32+L32)=0,0,L32*(100-MAX(0,MIN(100,K32)))/(G32+H32+I32+J32+L32))/100</f>
        <v>0.07</v>
      </c>
      <c r="T32" s="82" t="n"/>
      <c r="U32" s="103" t="n">
        <v>56</v>
      </c>
      <c r="V32" s="103" t="n">
        <v>17</v>
      </c>
      <c r="W32" s="103" t="n">
        <v>5</v>
      </c>
      <c r="X32" s="103" t="n">
        <v>5</v>
      </c>
      <c r="Y32" s="103" t="n">
        <v>10</v>
      </c>
      <c r="Z32" s="103" t="n">
        <v>7</v>
      </c>
    </row>
    <row r="33" ht="30" customHeight="1">
      <c r="A33" s="12" t="inlineStr">
        <is>
          <t>iFile · Technology · Band B · People Manager</t>
        </is>
      </c>
      <c r="B33" s="12" t="inlineStr">
        <is>
          <t>iFile</t>
        </is>
      </c>
      <c r="C33" s="12" t="inlineStr">
        <is>
          <t>Technology</t>
        </is>
      </c>
      <c r="D33" s="10" t="inlineStr">
        <is>
          <t>Band B · People Manager</t>
        </is>
      </c>
      <c r="E33" s="42" t="n">
        <v>9</v>
      </c>
      <c r="F33" s="12" t="inlineStr">
        <is>
          <t>Technology &amp; engineering</t>
        </is>
      </c>
      <c r="G33" s="100" t="n">
        <v>42</v>
      </c>
      <c r="H33" s="100" t="n">
        <v>18</v>
      </c>
      <c r="I33" s="100" t="n">
        <v>6</v>
      </c>
      <c r="J33" s="100" t="n">
        <v>15</v>
      </c>
      <c r="K33" s="100">
        <f>WM_EXP_AB</f>
        <v>10</v>
      </c>
      <c r="L33" s="100" t="n">
        <v>9</v>
      </c>
      <c r="M33" s="101">
        <f>SUM(G33:L33)</f>
        <v>100</v>
      </c>
      <c r="N33" s="102">
        <f>IF((G33+H33+I33+J33+L33)=0,0,G33*(100-MAX(0,MIN(100,K33)))/(G33+H33+I33+J33+L33))/100</f>
        <v>0.42</v>
      </c>
      <c r="O33" s="102">
        <f>IF((G33+H33+I33+J33+L33)=0,0,H33*(100-MAX(0,MIN(100,K33)))/(G33+H33+I33+J33+L33))/100</f>
        <v>0.18</v>
      </c>
      <c r="P33" s="102">
        <f>IF((G33+H33+I33+J33+L33)=0,0,I33*(100-MAX(0,MIN(100,K33)))/(G33+H33+I33+J33+L33))/100</f>
        <v>0.06</v>
      </c>
      <c r="Q33" s="102">
        <f>IF((G33+H33+I33+J33+L33)=0,0,J33*(100-MAX(0,MIN(100,K33)))/(G33+H33+I33+J33+L33))/100</f>
        <v>0.15</v>
      </c>
      <c r="R33" s="102">
        <f>MAX(0,MIN(100,K33))/100</f>
        <v>0.1</v>
      </c>
      <c r="S33" s="102">
        <f>IF((G33+H33+I33+J33+L33)=0,0,L33*(100-MAX(0,MIN(100,K33)))/(G33+H33+I33+J33+L33))/100</f>
        <v>0.09</v>
      </c>
      <c r="T33" s="82" t="n"/>
      <c r="U33" s="103" t="n">
        <v>42</v>
      </c>
      <c r="V33" s="103" t="n">
        <v>18</v>
      </c>
      <c r="W33" s="103" t="n">
        <v>6</v>
      </c>
      <c r="X33" s="103" t="n">
        <v>15</v>
      </c>
      <c r="Y33" s="103" t="n">
        <v>10</v>
      </c>
      <c r="Z33" s="103" t="n">
        <v>9</v>
      </c>
    </row>
    <row r="34" ht="30" customHeight="1">
      <c r="A34" s="12" t="inlineStr">
        <is>
          <t>iFile · Technology · B+ · Player-Coach</t>
        </is>
      </c>
      <c r="B34" s="12" t="inlineStr">
        <is>
          <t>iFile</t>
        </is>
      </c>
      <c r="C34" s="12" t="inlineStr">
        <is>
          <t>Technology</t>
        </is>
      </c>
      <c r="D34" s="10" t="inlineStr">
        <is>
          <t>B+ · Player-Coach</t>
        </is>
      </c>
      <c r="E34" s="42" t="n">
        <v>5</v>
      </c>
      <c r="F34" s="12" t="inlineStr">
        <is>
          <t>Technology &amp; engineering</t>
        </is>
      </c>
      <c r="G34" s="100" t="n">
        <v>49</v>
      </c>
      <c r="H34" s="100" t="n">
        <v>18</v>
      </c>
      <c r="I34" s="100" t="n">
        <v>5</v>
      </c>
      <c r="J34" s="100" t="n">
        <v>10</v>
      </c>
      <c r="K34" s="100">
        <f>WM_EXP_AB</f>
        <v>10</v>
      </c>
      <c r="L34" s="100" t="n">
        <v>8</v>
      </c>
      <c r="M34" s="101">
        <f>SUM(G34:L34)</f>
        <v>100</v>
      </c>
      <c r="N34" s="102">
        <f>IF((G34+H34+I34+J34+L34)=0,0,G34*(100-MAX(0,MIN(100,K34)))/(G34+H34+I34+J34+L34))/100</f>
        <v>0.49</v>
      </c>
      <c r="O34" s="102">
        <f>IF((G34+H34+I34+J34+L34)=0,0,H34*(100-MAX(0,MIN(100,K34)))/(G34+H34+I34+J34+L34))/100</f>
        <v>0.18</v>
      </c>
      <c r="P34" s="102">
        <f>IF((G34+H34+I34+J34+L34)=0,0,I34*(100-MAX(0,MIN(100,K34)))/(G34+H34+I34+J34+L34))/100</f>
        <v>0.05</v>
      </c>
      <c r="Q34" s="102">
        <f>IF((G34+H34+I34+J34+L34)=0,0,J34*(100-MAX(0,MIN(100,K34)))/(G34+H34+I34+J34+L34))/100</f>
        <v>0.1</v>
      </c>
      <c r="R34" s="102">
        <f>MAX(0,MIN(100,K34))/100</f>
        <v>0.1</v>
      </c>
      <c r="S34" s="102">
        <f>IF((G34+H34+I34+J34+L34)=0,0,L34*(100-MAX(0,MIN(100,K34)))/(G34+H34+I34+J34+L34))/100</f>
        <v>0.08</v>
      </c>
      <c r="T34" s="82" t="n"/>
      <c r="U34" s="103" t="n">
        <v>49</v>
      </c>
      <c r="V34" s="103" t="n">
        <v>18</v>
      </c>
      <c r="W34" s="103" t="n">
        <v>5</v>
      </c>
      <c r="X34" s="103" t="n">
        <v>10</v>
      </c>
      <c r="Y34" s="103" t="n">
        <v>10</v>
      </c>
      <c r="Z34" s="103" t="n">
        <v>8</v>
      </c>
    </row>
    <row r="35" ht="30" customHeight="1">
      <c r="A35" s="12" t="inlineStr">
        <is>
          <t>iFile · Technology · Band C · Principal expert</t>
        </is>
      </c>
      <c r="B35" s="12" t="inlineStr">
        <is>
          <t>iFile</t>
        </is>
      </c>
      <c r="C35" s="12" t="inlineStr">
        <is>
          <t>Technology</t>
        </is>
      </c>
      <c r="D35" s="10" t="inlineStr">
        <is>
          <t>Band C · Principal expert</t>
        </is>
      </c>
      <c r="E35" s="42" t="n">
        <v>1</v>
      </c>
      <c r="F35" s="12" t="inlineStr">
        <is>
          <t>Technology &amp; engineering</t>
        </is>
      </c>
      <c r="G35" s="100" t="n">
        <v>59</v>
      </c>
      <c r="H35" s="100" t="n">
        <v>18</v>
      </c>
      <c r="I35" s="100" t="n">
        <v>5</v>
      </c>
      <c r="J35" s="100" t="n">
        <v>5</v>
      </c>
      <c r="K35" s="100">
        <f>WM_EXP_CE</f>
        <v>5</v>
      </c>
      <c r="L35" s="100" t="n">
        <v>8</v>
      </c>
      <c r="M35" s="101">
        <f>SUM(G35:L35)</f>
        <v>100</v>
      </c>
      <c r="N35" s="102">
        <f>IF((G35+H35+I35+J35+L35)=0,0,G35*(100-MAX(0,MIN(100,K35)))/(G35+H35+I35+J35+L35))/100</f>
        <v>0.59</v>
      </c>
      <c r="O35" s="102">
        <f>IF((G35+H35+I35+J35+L35)=0,0,H35*(100-MAX(0,MIN(100,K35)))/(G35+H35+I35+J35+L35))/100</f>
        <v>0.18</v>
      </c>
      <c r="P35" s="102">
        <f>IF((G35+H35+I35+J35+L35)=0,0,I35*(100-MAX(0,MIN(100,K35)))/(G35+H35+I35+J35+L35))/100</f>
        <v>0.05</v>
      </c>
      <c r="Q35" s="102">
        <f>IF((G35+H35+I35+J35+L35)=0,0,J35*(100-MAX(0,MIN(100,K35)))/(G35+H35+I35+J35+L35))/100</f>
        <v>0.05</v>
      </c>
      <c r="R35" s="102">
        <f>MAX(0,MIN(100,K35))/100</f>
        <v>0.05</v>
      </c>
      <c r="S35" s="102">
        <f>IF((G35+H35+I35+J35+L35)=0,0,L35*(100-MAX(0,MIN(100,K35)))/(G35+H35+I35+J35+L35))/100</f>
        <v>0.08</v>
      </c>
      <c r="T35" s="82" t="n"/>
      <c r="U35" s="103" t="n">
        <v>59</v>
      </c>
      <c r="V35" s="103" t="n">
        <v>18</v>
      </c>
      <c r="W35" s="103" t="n">
        <v>5</v>
      </c>
      <c r="X35" s="103" t="n">
        <v>5</v>
      </c>
      <c r="Y35" s="103" t="n">
        <v>5</v>
      </c>
      <c r="Z35" s="103" t="n">
        <v>8</v>
      </c>
    </row>
    <row r="36" ht="30" customHeight="1">
      <c r="A36" s="12" t="inlineStr">
        <is>
          <t>iFile · Technology · Band C · Head / Manager</t>
        </is>
      </c>
      <c r="B36" s="12" t="inlineStr">
        <is>
          <t>iFile</t>
        </is>
      </c>
      <c r="C36" s="12" t="inlineStr">
        <is>
          <t>Technology</t>
        </is>
      </c>
      <c r="D36" s="10" t="inlineStr">
        <is>
          <t>Band C · Head / Manager</t>
        </is>
      </c>
      <c r="E36" s="42" t="n">
        <v>1</v>
      </c>
      <c r="F36" s="12" t="inlineStr">
        <is>
          <t>Technology &amp; engineering</t>
        </is>
      </c>
      <c r="G36" s="100" t="n">
        <v>48</v>
      </c>
      <c r="H36" s="100" t="n">
        <v>18</v>
      </c>
      <c r="I36" s="100" t="n">
        <v>6</v>
      </c>
      <c r="J36" s="100" t="n">
        <v>15</v>
      </c>
      <c r="K36" s="100">
        <f>WM_EXP_CE</f>
        <v>5</v>
      </c>
      <c r="L36" s="100" t="n">
        <v>8</v>
      </c>
      <c r="M36" s="101">
        <f>SUM(G36:L36)</f>
        <v>100</v>
      </c>
      <c r="N36" s="102">
        <f>IF((G36+H36+I36+J36+L36)=0,0,G36*(100-MAX(0,MIN(100,K36)))/(G36+H36+I36+J36+L36))/100</f>
        <v>0.48</v>
      </c>
      <c r="O36" s="102">
        <f>IF((G36+H36+I36+J36+L36)=0,0,H36*(100-MAX(0,MIN(100,K36)))/(G36+H36+I36+J36+L36))/100</f>
        <v>0.18</v>
      </c>
      <c r="P36" s="102">
        <f>IF((G36+H36+I36+J36+L36)=0,0,I36*(100-MAX(0,MIN(100,K36)))/(G36+H36+I36+J36+L36))/100</f>
        <v>0.06</v>
      </c>
      <c r="Q36" s="102">
        <f>IF((G36+H36+I36+J36+L36)=0,0,J36*(100-MAX(0,MIN(100,K36)))/(G36+H36+I36+J36+L36))/100</f>
        <v>0.15</v>
      </c>
      <c r="R36" s="102">
        <f>MAX(0,MIN(100,K36))/100</f>
        <v>0.05</v>
      </c>
      <c r="S36" s="102">
        <f>IF((G36+H36+I36+J36+L36)=0,0,L36*(100-MAX(0,MIN(100,K36)))/(G36+H36+I36+J36+L36))/100</f>
        <v>0.08</v>
      </c>
      <c r="T36" s="82" t="n"/>
      <c r="U36" s="103" t="n">
        <v>48</v>
      </c>
      <c r="V36" s="103" t="n">
        <v>18</v>
      </c>
      <c r="W36" s="103" t="n">
        <v>6</v>
      </c>
      <c r="X36" s="103" t="n">
        <v>15</v>
      </c>
      <c r="Y36" s="103" t="n">
        <v>5</v>
      </c>
      <c r="Z36" s="103" t="n">
        <v>8</v>
      </c>
    </row>
    <row r="37" ht="30" customHeight="1">
      <c r="A37" s="12" t="inlineStr">
        <is>
          <t>iFile · XBRL Consulting · Band A · Early career</t>
        </is>
      </c>
      <c r="B37" s="12" t="inlineStr">
        <is>
          <t>iFile</t>
        </is>
      </c>
      <c r="C37" s="12" t="inlineStr">
        <is>
          <t>XBRL Consulting</t>
        </is>
      </c>
      <c r="D37" s="10" t="inlineStr">
        <is>
          <t>Band A · Early career</t>
        </is>
      </c>
      <c r="E37" s="42" t="n">
        <v>22</v>
      </c>
      <c r="F37" s="12" t="inlineStr">
        <is>
          <t>Regulatory &amp; domain consulting</t>
        </is>
      </c>
      <c r="G37" s="100" t="n">
        <v>59</v>
      </c>
      <c r="H37" s="100" t="n">
        <v>16</v>
      </c>
      <c r="I37" s="100" t="n">
        <v>9</v>
      </c>
      <c r="J37" s="100" t="n">
        <v>0</v>
      </c>
      <c r="K37" s="100">
        <f>WM_EXP_AB</f>
        <v>10</v>
      </c>
      <c r="L37" s="100" t="n">
        <v>6</v>
      </c>
      <c r="M37" s="101">
        <f>SUM(G37:L37)</f>
        <v>100</v>
      </c>
      <c r="N37" s="102">
        <f>IF((G37+H37+I37+J37+L37)=0,0,G37*(100-MAX(0,MIN(100,K37)))/(G37+H37+I37+J37+L37))/100</f>
        <v>0.59</v>
      </c>
      <c r="O37" s="102">
        <f>IF((G37+H37+I37+J37+L37)=0,0,H37*(100-MAX(0,MIN(100,K37)))/(G37+H37+I37+J37+L37))/100</f>
        <v>0.16</v>
      </c>
      <c r="P37" s="102">
        <f>IF((G37+H37+I37+J37+L37)=0,0,I37*(100-MAX(0,MIN(100,K37)))/(G37+H37+I37+J37+L37))/100</f>
        <v>0.09</v>
      </c>
      <c r="Q37" s="102">
        <f>IF((G37+H37+I37+J37+L37)=0,0,J37*(100-MAX(0,MIN(100,K37)))/(G37+H37+I37+J37+L37))/100</f>
        <v>0</v>
      </c>
      <c r="R37" s="102">
        <f>MAX(0,MIN(100,K37))/100</f>
        <v>0.1</v>
      </c>
      <c r="S37" s="102">
        <f>IF((G37+H37+I37+J37+L37)=0,0,L37*(100-MAX(0,MIN(100,K37)))/(G37+H37+I37+J37+L37))/100</f>
        <v>0.06</v>
      </c>
      <c r="T37" s="82" t="n"/>
      <c r="U37" s="103" t="n">
        <v>59</v>
      </c>
      <c r="V37" s="103" t="n">
        <v>16</v>
      </c>
      <c r="W37" s="103" t="n">
        <v>9</v>
      </c>
      <c r="X37" s="103" t="n">
        <v>0</v>
      </c>
      <c r="Y37" s="103" t="n">
        <v>10</v>
      </c>
      <c r="Z37" s="103" t="n">
        <v>6</v>
      </c>
    </row>
    <row r="38" ht="30" customHeight="1">
      <c r="A38" s="12" t="inlineStr">
        <is>
          <t>iFile · XBRL Consulting · Band B · Expert / POD Lead</t>
        </is>
      </c>
      <c r="B38" s="12" t="inlineStr">
        <is>
          <t>iFile</t>
        </is>
      </c>
      <c r="C38" s="12" t="inlineStr">
        <is>
          <t>XBRL Consulting</t>
        </is>
      </c>
      <c r="D38" s="10" t="inlineStr">
        <is>
          <t>Band B · Expert / POD Lead</t>
        </is>
      </c>
      <c r="E38" s="42" t="n">
        <v>6</v>
      </c>
      <c r="F38" s="12" t="inlineStr">
        <is>
          <t>Regulatory &amp; domain consulting</t>
        </is>
      </c>
      <c r="G38" s="100" t="n">
        <v>51</v>
      </c>
      <c r="H38" s="100" t="n">
        <v>17</v>
      </c>
      <c r="I38" s="100" t="n">
        <v>10</v>
      </c>
      <c r="J38" s="100" t="n">
        <v>5</v>
      </c>
      <c r="K38" s="100">
        <f>WM_EXP_AB</f>
        <v>10</v>
      </c>
      <c r="L38" s="100" t="n">
        <v>7</v>
      </c>
      <c r="M38" s="101">
        <f>SUM(G38:L38)</f>
        <v>100</v>
      </c>
      <c r="N38" s="102">
        <f>IF((G38+H38+I38+J38+L38)=0,0,G38*(100-MAX(0,MIN(100,K38)))/(G38+H38+I38+J38+L38))/100</f>
        <v>0.51</v>
      </c>
      <c r="O38" s="102">
        <f>IF((G38+H38+I38+J38+L38)=0,0,H38*(100-MAX(0,MIN(100,K38)))/(G38+H38+I38+J38+L38))/100</f>
        <v>0.17</v>
      </c>
      <c r="P38" s="102">
        <f>IF((G38+H38+I38+J38+L38)=0,0,I38*(100-MAX(0,MIN(100,K38)))/(G38+H38+I38+J38+L38))/100</f>
        <v>0.1</v>
      </c>
      <c r="Q38" s="102">
        <f>IF((G38+H38+I38+J38+L38)=0,0,J38*(100-MAX(0,MIN(100,K38)))/(G38+H38+I38+J38+L38))/100</f>
        <v>0.05</v>
      </c>
      <c r="R38" s="102">
        <f>MAX(0,MIN(100,K38))/100</f>
        <v>0.1</v>
      </c>
      <c r="S38" s="102">
        <f>IF((G38+H38+I38+J38+L38)=0,0,L38*(100-MAX(0,MIN(100,K38)))/(G38+H38+I38+J38+L38))/100</f>
        <v>0.07</v>
      </c>
      <c r="T38" s="82" t="n"/>
      <c r="U38" s="103" t="n">
        <v>51</v>
      </c>
      <c r="V38" s="103" t="n">
        <v>17</v>
      </c>
      <c r="W38" s="103" t="n">
        <v>10</v>
      </c>
      <c r="X38" s="103" t="n">
        <v>5</v>
      </c>
      <c r="Y38" s="103" t="n">
        <v>10</v>
      </c>
      <c r="Z38" s="103" t="n">
        <v>7</v>
      </c>
    </row>
    <row r="39" ht="30" customHeight="1">
      <c r="A39" s="12" t="inlineStr">
        <is>
          <t>iFile · XBRL Consulting · Band B · People Manager</t>
        </is>
      </c>
      <c r="B39" s="12" t="inlineStr">
        <is>
          <t>iFile</t>
        </is>
      </c>
      <c r="C39" s="12" t="inlineStr">
        <is>
          <t>XBRL Consulting</t>
        </is>
      </c>
      <c r="D39" s="10" t="inlineStr">
        <is>
          <t>Band B · People Manager</t>
        </is>
      </c>
      <c r="E39" s="42" t="n">
        <v>2</v>
      </c>
      <c r="F39" s="12" t="inlineStr">
        <is>
          <t>Regulatory &amp; domain consulting</t>
        </is>
      </c>
      <c r="G39" s="100" t="n">
        <v>37</v>
      </c>
      <c r="H39" s="100" t="n">
        <v>18</v>
      </c>
      <c r="I39" s="100" t="n">
        <v>11</v>
      </c>
      <c r="J39" s="100" t="n">
        <v>15</v>
      </c>
      <c r="K39" s="100">
        <f>WM_EXP_AB</f>
        <v>10</v>
      </c>
      <c r="L39" s="100" t="n">
        <v>9</v>
      </c>
      <c r="M39" s="101">
        <f>SUM(G39:L39)</f>
        <v>100</v>
      </c>
      <c r="N39" s="102">
        <f>IF((G39+H39+I39+J39+L39)=0,0,G39*(100-MAX(0,MIN(100,K39)))/(G39+H39+I39+J39+L39))/100</f>
        <v>0.37</v>
      </c>
      <c r="O39" s="102">
        <f>IF((G39+H39+I39+J39+L39)=0,0,H39*(100-MAX(0,MIN(100,K39)))/(G39+H39+I39+J39+L39))/100</f>
        <v>0.18</v>
      </c>
      <c r="P39" s="102">
        <f>IF((G39+H39+I39+J39+L39)=0,0,I39*(100-MAX(0,MIN(100,K39)))/(G39+H39+I39+J39+L39))/100</f>
        <v>0.11</v>
      </c>
      <c r="Q39" s="102">
        <f>IF((G39+H39+I39+J39+L39)=0,0,J39*(100-MAX(0,MIN(100,K39)))/(G39+H39+I39+J39+L39))/100</f>
        <v>0.15</v>
      </c>
      <c r="R39" s="102">
        <f>MAX(0,MIN(100,K39))/100</f>
        <v>0.1</v>
      </c>
      <c r="S39" s="102">
        <f>IF((G39+H39+I39+J39+L39)=0,0,L39*(100-MAX(0,MIN(100,K39)))/(G39+H39+I39+J39+L39))/100</f>
        <v>0.09</v>
      </c>
      <c r="T39" s="82" t="n"/>
      <c r="U39" s="103" t="n">
        <v>37</v>
      </c>
      <c r="V39" s="103" t="n">
        <v>18</v>
      </c>
      <c r="W39" s="103" t="n">
        <v>11</v>
      </c>
      <c r="X39" s="103" t="n">
        <v>15</v>
      </c>
      <c r="Y39" s="103" t="n">
        <v>10</v>
      </c>
      <c r="Z39" s="103" t="n">
        <v>9</v>
      </c>
    </row>
    <row r="40" ht="30" customHeight="1">
      <c r="A40" s="12" t="inlineStr">
        <is>
          <t>iFile · XBRL Consulting · Band C · Head / Manager</t>
        </is>
      </c>
      <c r="B40" s="12" t="inlineStr">
        <is>
          <t>iFile</t>
        </is>
      </c>
      <c r="C40" s="12" t="inlineStr">
        <is>
          <t>XBRL Consulting</t>
        </is>
      </c>
      <c r="D40" s="10" t="inlineStr">
        <is>
          <t>Band C · Head / Manager</t>
        </is>
      </c>
      <c r="E40" s="42" t="n">
        <v>1</v>
      </c>
      <c r="F40" s="12" t="inlineStr">
        <is>
          <t>Regulatory &amp; domain consulting</t>
        </is>
      </c>
      <c r="G40" s="100" t="n">
        <v>43</v>
      </c>
      <c r="H40" s="100" t="n">
        <v>18</v>
      </c>
      <c r="I40" s="100" t="n">
        <v>11</v>
      </c>
      <c r="J40" s="100" t="n">
        <v>15</v>
      </c>
      <c r="K40" s="100">
        <f>WM_EXP_CE</f>
        <v>5</v>
      </c>
      <c r="L40" s="100" t="n">
        <v>8</v>
      </c>
      <c r="M40" s="101">
        <f>SUM(G40:L40)</f>
        <v>100</v>
      </c>
      <c r="N40" s="102">
        <f>IF((G40+H40+I40+J40+L40)=0,0,G40*(100-MAX(0,MIN(100,K40)))/(G40+H40+I40+J40+L40))/100</f>
        <v>0.43</v>
      </c>
      <c r="O40" s="102">
        <f>IF((G40+H40+I40+J40+L40)=0,0,H40*(100-MAX(0,MIN(100,K40)))/(G40+H40+I40+J40+L40))/100</f>
        <v>0.18</v>
      </c>
      <c r="P40" s="102">
        <f>IF((G40+H40+I40+J40+L40)=0,0,I40*(100-MAX(0,MIN(100,K40)))/(G40+H40+I40+J40+L40))/100</f>
        <v>0.11</v>
      </c>
      <c r="Q40" s="102">
        <f>IF((G40+H40+I40+J40+L40)=0,0,J40*(100-MAX(0,MIN(100,K40)))/(G40+H40+I40+J40+L40))/100</f>
        <v>0.15</v>
      </c>
      <c r="R40" s="102">
        <f>MAX(0,MIN(100,K40))/100</f>
        <v>0.05</v>
      </c>
      <c r="S40" s="102">
        <f>IF((G40+H40+I40+J40+L40)=0,0,L40*(100-MAX(0,MIN(100,K40)))/(G40+H40+I40+J40+L40))/100</f>
        <v>0.08</v>
      </c>
      <c r="T40" s="82" t="n"/>
      <c r="U40" s="103" t="n">
        <v>43</v>
      </c>
      <c r="V40" s="103" t="n">
        <v>18</v>
      </c>
      <c r="W40" s="103" t="n">
        <v>11</v>
      </c>
      <c r="X40" s="103" t="n">
        <v>15</v>
      </c>
      <c r="Y40" s="103" t="n">
        <v>5</v>
      </c>
      <c r="Z40" s="103" t="n">
        <v>8</v>
      </c>
    </row>
    <row r="41" ht="15" customHeight="1"/>
    <row r="42" ht="20" customHeight="1">
      <c r="A42" s="6" t="inlineStr">
        <is>
          <t>WHAT EACH FACTOR MEANS — and when to give it more weight</t>
        </is>
      </c>
    </row>
    <row r="43" ht="15" customHeight="1">
      <c r="A43" s="8" t="inlineStr">
        <is>
          <t>Factor</t>
        </is>
      </c>
      <c r="B43" s="93" t="n"/>
      <c r="C43" s="8" t="inlineStr">
        <is>
          <t>What it measures</t>
        </is>
      </c>
      <c r="D43" s="92" t="n"/>
      <c r="E43" s="92" t="n"/>
      <c r="F43" s="92" t="n"/>
      <c r="G43" s="92" t="n"/>
      <c r="H43" s="93" t="n"/>
      <c r="I43" s="8" t="inlineStr">
        <is>
          <t>Give it more weight when…</t>
        </is>
      </c>
      <c r="J43" s="92" t="n"/>
      <c r="K43" s="92" t="n"/>
      <c r="L43" s="92" t="n"/>
      <c r="M43" s="92" t="n"/>
      <c r="N43" s="92" t="n"/>
      <c r="O43" s="92" t="n"/>
      <c r="P43" s="92" t="n"/>
      <c r="Q43" s="92" t="n"/>
      <c r="R43" s="92" t="n"/>
      <c r="S43" s="92" t="n"/>
      <c r="T43" s="93" t="n"/>
    </row>
    <row r="44" ht="15" customHeight="1">
      <c r="A44" s="10" t="inlineStr">
        <is>
          <t>Complexity &amp; Expertise</t>
        </is>
      </c>
      <c r="B44" s="93" t="n"/>
      <c r="C44" s="12" t="inlineStr">
        <is>
          <t>How hard and how specialised the work is</t>
        </is>
      </c>
      <c r="D44" s="92" t="n"/>
      <c r="E44" s="92" t="n"/>
      <c r="F44" s="92" t="n"/>
      <c r="G44" s="92" t="n"/>
      <c r="H44" s="93" t="n"/>
      <c r="I44" s="12" t="inlineStr">
        <is>
          <r>
            <rPr>
              <rFont val="Calibri"/>
              <b val="1"/>
              <sz val="10"/>
            </rPr>
            <t>The job's value is deep expertise:</t>
          </r>
          <r>
            <rPr>
              <rFont val="Calibri"/>
              <sz val="10"/>
            </rPr>
            <t xml:space="preserve"> architecture, actuarial, taxonomy design</t>
          </r>
        </is>
      </c>
      <c r="J44" s="92" t="n"/>
      <c r="K44" s="92" t="n"/>
      <c r="L44" s="92" t="n"/>
      <c r="M44" s="92" t="n"/>
      <c r="N44" s="92" t="n"/>
      <c r="O44" s="92" t="n"/>
      <c r="P44" s="92" t="n"/>
      <c r="Q44" s="92" t="n"/>
      <c r="R44" s="92" t="n"/>
      <c r="S44" s="92" t="n"/>
      <c r="T44" s="93" t="n"/>
    </row>
    <row r="45" ht="15" customHeight="1">
      <c r="A45" s="10" t="inlineStr">
        <is>
          <t>Autonomy &amp; Decision</t>
        </is>
      </c>
      <c r="B45" s="93" t="n"/>
      <c r="C45" s="12" t="inlineStr">
        <is>
          <t>What the person decides without asking</t>
        </is>
      </c>
      <c r="D45" s="92" t="n"/>
      <c r="E45" s="92" t="n"/>
      <c r="F45" s="92" t="n"/>
      <c r="G45" s="92" t="n"/>
      <c r="H45" s="93" t="n"/>
      <c r="I45" s="12" t="inlineStr">
        <is>
          <r>
            <rPr>
              <rFont val="Calibri"/>
              <b val="1"/>
              <sz val="10"/>
            </rPr>
            <t>The job is trusted to act alone:</t>
          </r>
          <r>
            <rPr>
              <rFont val="Calibri"/>
              <sz val="10"/>
            </rPr>
            <t xml:space="preserve"> product calls, deals, client decisions</t>
          </r>
        </is>
      </c>
      <c r="J45" s="92" t="n"/>
      <c r="K45" s="92" t="n"/>
      <c r="L45" s="92" t="n"/>
      <c r="M45" s="92" t="n"/>
      <c r="N45" s="92" t="n"/>
      <c r="O45" s="92" t="n"/>
      <c r="P45" s="92" t="n"/>
      <c r="Q45" s="92" t="n"/>
      <c r="R45" s="92" t="n"/>
      <c r="S45" s="92" t="n"/>
      <c r="T45" s="93" t="n"/>
    </row>
    <row r="46" ht="15" customHeight="1">
      <c r="A46" s="10" t="inlineStr">
        <is>
          <t>Accountability &amp; Impact</t>
        </is>
      </c>
      <c r="B46" s="93" t="n"/>
      <c r="C46" s="12" t="inlineStr">
        <is>
          <t>What the job answers for — its scope</t>
        </is>
      </c>
      <c r="D46" s="92" t="n"/>
      <c r="E46" s="92" t="n"/>
      <c r="F46" s="92" t="n"/>
      <c r="G46" s="92" t="n"/>
      <c r="H46" s="93" t="n"/>
      <c r="I46" s="12" t="inlineStr">
        <is>
          <t>Results, risk or quality of an area rest on this job</t>
        </is>
      </c>
      <c r="J46" s="92" t="n"/>
      <c r="K46" s="92" t="n"/>
      <c r="L46" s="92" t="n"/>
      <c r="M46" s="92" t="n"/>
      <c r="N46" s="92" t="n"/>
      <c r="O46" s="92" t="n"/>
      <c r="P46" s="92" t="n"/>
      <c r="Q46" s="92" t="n"/>
      <c r="R46" s="92" t="n"/>
      <c r="S46" s="92" t="n"/>
      <c r="T46" s="93" t="n"/>
    </row>
    <row r="47" ht="15" customHeight="1">
      <c r="A47" s="10" t="inlineStr">
        <is>
          <t>Leadership &amp; Strategy</t>
        </is>
      </c>
      <c r="B47" s="93" t="n"/>
      <c r="C47" s="12" t="inlineStr">
        <is>
          <t>Leading people or setting direction</t>
        </is>
      </c>
      <c r="D47" s="92" t="n"/>
      <c r="E47" s="92" t="n"/>
      <c r="F47" s="92" t="n"/>
      <c r="G47" s="92" t="n"/>
      <c r="H47" s="93" t="n"/>
      <c r="I47" s="12" t="inlineStr">
        <is>
          <t>The job's results come through a team or through direction it sets</t>
        </is>
      </c>
      <c r="J47" s="92" t="n"/>
      <c r="K47" s="92" t="n"/>
      <c r="L47" s="92" t="n"/>
      <c r="M47" s="92" t="n"/>
      <c r="N47" s="92" t="n"/>
      <c r="O47" s="92" t="n"/>
      <c r="P47" s="92" t="n"/>
      <c r="Q47" s="92" t="n"/>
      <c r="R47" s="92" t="n"/>
      <c r="S47" s="92" t="n"/>
      <c r="T47" s="93" t="n"/>
    </row>
    <row r="48" ht="15" customHeight="1">
      <c r="A48" s="10" t="inlineStr">
        <is>
          <t>Experience &amp; Qualification</t>
        </is>
      </c>
      <c r="B48" s="93" t="n"/>
      <c r="C48" s="12" t="inlineStr">
        <is>
          <t>Years in the field and qualifications</t>
        </is>
      </c>
      <c r="D48" s="92" t="n"/>
      <c r="E48" s="92" t="n"/>
      <c r="F48" s="92" t="n"/>
      <c r="G48" s="92" t="n"/>
      <c r="H48" s="93" t="n"/>
      <c r="I48" s="12" t="inlineStr">
        <is>
          <t>A licence or long experience is itself the requirement — kept low by design</t>
        </is>
      </c>
      <c r="J48" s="92" t="n"/>
      <c r="K48" s="92" t="n"/>
      <c r="L48" s="92" t="n"/>
      <c r="M48" s="92" t="n"/>
      <c r="N48" s="92" t="n"/>
      <c r="O48" s="92" t="n"/>
      <c r="P48" s="92" t="n"/>
      <c r="Q48" s="92" t="n"/>
      <c r="R48" s="92" t="n"/>
      <c r="S48" s="92" t="n"/>
      <c r="T48" s="93" t="n"/>
    </row>
    <row r="49" ht="15" customHeight="1">
      <c r="A49" s="10" t="inlineStr">
        <is>
          <t>Business Impact</t>
        </is>
      </c>
      <c r="B49" s="93" t="n"/>
      <c r="C49" s="12" t="inlineStr">
        <is>
          <t>The difference the job makes to revenue, clients, compliance or cost</t>
        </is>
      </c>
      <c r="D49" s="92" t="n"/>
      <c r="E49" s="92" t="n"/>
      <c r="F49" s="92" t="n"/>
      <c r="G49" s="92" t="n"/>
      <c r="H49" s="93" t="n"/>
      <c r="I49" s="12" t="inlineStr">
        <is>
          <r>
            <rPr>
              <rFont val="Calibri"/>
              <b val="1"/>
              <sz val="10"/>
            </rPr>
            <t>Results are visible in business numbers:</t>
          </r>
          <r>
            <rPr>
              <rFont val="Calibri"/>
              <sz val="10"/>
            </rPr>
            <t xml:space="preserve"> sales, client retention, filings, savings</t>
          </r>
        </is>
      </c>
      <c r="J49" s="92" t="n"/>
      <c r="K49" s="92" t="n"/>
      <c r="L49" s="92" t="n"/>
      <c r="M49" s="92" t="n"/>
      <c r="N49" s="92" t="n"/>
      <c r="O49" s="92" t="n"/>
      <c r="P49" s="92" t="n"/>
      <c r="Q49" s="92" t="n"/>
      <c r="R49" s="92" t="n"/>
      <c r="S49" s="92" t="n"/>
      <c r="T49" s="93" t="n"/>
    </row>
    <row r="50" ht="15" customHeight="1"/>
    <row r="51" ht="15" customHeight="1">
      <c r="A51" s="40"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52" ht="15" customHeight="1">
      <c r="A52" s="40"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53" ht="15" customHeight="1">
      <c r="A53" s="40"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54" ht="20" customHeight="1">
      <c r="A54" s="6" t="inlineStr">
        <is>
          <t>WHAT A WEIGHT MEANS</t>
        </is>
      </c>
    </row>
    <row r="55" ht="15" customHeight="1">
      <c r="A55" s="8" t="inlineStr">
        <is>
          <t>Weight</t>
        </is>
      </c>
      <c r="B55" s="93" t="n"/>
      <c r="C55" s="8" t="inlineStr">
        <is>
          <t>What it means for the score</t>
        </is>
      </c>
      <c r="D55" s="92" t="n"/>
      <c r="E55" s="92" t="n"/>
      <c r="F55" s="92" t="n"/>
      <c r="G55" s="92" t="n"/>
      <c r="H55" s="92" t="n"/>
      <c r="I55" s="92" t="n"/>
      <c r="J55" s="92" t="n"/>
      <c r="K55" s="92" t="n"/>
      <c r="L55" s="92" t="n"/>
      <c r="M55" s="92" t="n"/>
      <c r="N55" s="92" t="n"/>
      <c r="O55" s="92" t="n"/>
      <c r="P55" s="92" t="n"/>
      <c r="Q55" s="92" t="n"/>
      <c r="R55" s="92" t="n"/>
      <c r="S55" s="92" t="n"/>
      <c r="T55" s="93" t="n"/>
    </row>
    <row r="56" ht="15" customHeight="1">
      <c r="A56" s="10" t="inlineStr">
        <is>
          <t>0%</t>
        </is>
      </c>
      <c r="B56" s="93" t="n"/>
      <c r="C56" s="12" t="inlineStr">
        <is>
          <t>Ignored for this role group — the rating does not count at all</t>
        </is>
      </c>
      <c r="D56" s="92" t="n"/>
      <c r="E56" s="92" t="n"/>
      <c r="F56" s="92" t="n"/>
      <c r="G56" s="92" t="n"/>
      <c r="H56" s="92" t="n"/>
      <c r="I56" s="92" t="n"/>
      <c r="J56" s="92" t="n"/>
      <c r="K56" s="92" t="n"/>
      <c r="L56" s="92" t="n"/>
      <c r="M56" s="92" t="n"/>
      <c r="N56" s="92" t="n"/>
      <c r="O56" s="92" t="n"/>
      <c r="P56" s="92" t="n"/>
      <c r="Q56" s="92" t="n"/>
      <c r="R56" s="92" t="n"/>
      <c r="S56" s="92" t="n"/>
      <c r="T56" s="93" t="n"/>
    </row>
    <row r="57" ht="15" customHeight="1">
      <c r="A57" s="10" t="inlineStr">
        <is>
          <t>5%</t>
        </is>
      </c>
      <c r="B57" s="93" t="n"/>
      <c r="C57" s="12" t="inlineStr">
        <is>
          <t>Minor — a tie-breaker; a 1-point change in the rating moves the score by 0.05</t>
        </is>
      </c>
      <c r="D57" s="92" t="n"/>
      <c r="E57" s="92" t="n"/>
      <c r="F57" s="92" t="n"/>
      <c r="G57" s="92" t="n"/>
      <c r="H57" s="92" t="n"/>
      <c r="I57" s="92" t="n"/>
      <c r="J57" s="92" t="n"/>
      <c r="K57" s="92" t="n"/>
      <c r="L57" s="92" t="n"/>
      <c r="M57" s="92" t="n"/>
      <c r="N57" s="92" t="n"/>
      <c r="O57" s="92" t="n"/>
      <c r="P57" s="92" t="n"/>
      <c r="Q57" s="92" t="n"/>
      <c r="R57" s="92" t="n"/>
      <c r="S57" s="92" t="n"/>
      <c r="T57" s="93" t="n"/>
    </row>
    <row r="58" ht="15" customHeight="1">
      <c r="A58" s="10" t="inlineStr">
        <is>
          <t>10%</t>
        </is>
      </c>
      <c r="B58" s="93" t="n"/>
      <c r="C58" s="12" t="inlineStr">
        <is>
          <t>Counts a little — a 1-point change moves the score by 0.10</t>
        </is>
      </c>
      <c r="D58" s="92" t="n"/>
      <c r="E58" s="92" t="n"/>
      <c r="F58" s="92" t="n"/>
      <c r="G58" s="92" t="n"/>
      <c r="H58" s="92" t="n"/>
      <c r="I58" s="92" t="n"/>
      <c r="J58" s="92" t="n"/>
      <c r="K58" s="92" t="n"/>
      <c r="L58" s="92" t="n"/>
      <c r="M58" s="92" t="n"/>
      <c r="N58" s="92" t="n"/>
      <c r="O58" s="92" t="n"/>
      <c r="P58" s="92" t="n"/>
      <c r="Q58" s="92" t="n"/>
      <c r="R58" s="92" t="n"/>
      <c r="S58" s="92" t="n"/>
      <c r="T58" s="93" t="n"/>
    </row>
    <row r="59" ht="15" customHeight="1">
      <c r="A59" s="10" t="inlineStr">
        <is>
          <t>15–20%</t>
        </is>
      </c>
      <c r="B59" s="93" t="n"/>
      <c r="C59" s="12" t="inlineStr">
        <is>
          <t>Important — one of the main things this role is judged on</t>
        </is>
      </c>
      <c r="D59" s="92" t="n"/>
      <c r="E59" s="92" t="n"/>
      <c r="F59" s="92" t="n"/>
      <c r="G59" s="92" t="n"/>
      <c r="H59" s="92" t="n"/>
      <c r="I59" s="92" t="n"/>
      <c r="J59" s="92" t="n"/>
      <c r="K59" s="92" t="n"/>
      <c r="L59" s="92" t="n"/>
      <c r="M59" s="92" t="n"/>
      <c r="N59" s="92" t="n"/>
      <c r="O59" s="92" t="n"/>
      <c r="P59" s="92" t="n"/>
      <c r="Q59" s="92" t="n"/>
      <c r="R59" s="92" t="n"/>
      <c r="S59" s="92" t="n"/>
      <c r="T59" s="93" t="n"/>
    </row>
    <row r="60" ht="15" customHeight="1">
      <c r="A60" s="10" t="inlineStr">
        <is>
          <t>25–30%</t>
        </is>
      </c>
      <c r="B60" s="93" t="n"/>
      <c r="C60" s="12" t="inlineStr">
        <is>
          <t>Leading factor — this is what the role is mostly about</t>
        </is>
      </c>
      <c r="D60" s="92" t="n"/>
      <c r="E60" s="92" t="n"/>
      <c r="F60" s="92" t="n"/>
      <c r="G60" s="92" t="n"/>
      <c r="H60" s="92" t="n"/>
      <c r="I60" s="92" t="n"/>
      <c r="J60" s="92" t="n"/>
      <c r="K60" s="92" t="n"/>
      <c r="L60" s="92" t="n"/>
      <c r="M60" s="92" t="n"/>
      <c r="N60" s="92" t="n"/>
      <c r="O60" s="92" t="n"/>
      <c r="P60" s="92" t="n"/>
      <c r="Q60" s="92" t="n"/>
      <c r="R60" s="92" t="n"/>
      <c r="S60" s="92" t="n"/>
      <c r="T60" s="93" t="n"/>
    </row>
    <row r="61" ht="15" customHeight="1">
      <c r="A61" s="10" t="inlineStr">
        <is>
          <t>35%+</t>
        </is>
      </c>
      <c r="B61" s="93" t="n"/>
      <c r="C61" s="12" t="inlineStr">
        <is>
          <t>Dominant — use rarely; one factor then decides most of the score</t>
        </is>
      </c>
      <c r="D61" s="92" t="n"/>
      <c r="E61" s="92" t="n"/>
      <c r="F61" s="92" t="n"/>
      <c r="G61" s="92" t="n"/>
      <c r="H61" s="92" t="n"/>
      <c r="I61" s="92" t="n"/>
      <c r="J61" s="92" t="n"/>
      <c r="K61" s="92" t="n"/>
      <c r="L61" s="92" t="n"/>
      <c r="M61" s="92" t="n"/>
      <c r="N61" s="92" t="n"/>
      <c r="O61" s="92" t="n"/>
      <c r="P61" s="92" t="n"/>
      <c r="Q61" s="92" t="n"/>
      <c r="R61" s="92" t="n"/>
      <c r="S61" s="92" t="n"/>
      <c r="T61" s="93" t="n"/>
    </row>
    <row r="62" ht="15" customHeight="1"/>
    <row r="63" ht="28" customHeight="1">
      <c r="A63" s="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64" ht="20" customHeight="1">
      <c r="A64" s="6" t="inlineStr">
        <is>
          <t>RULES OF THUMB</t>
        </is>
      </c>
    </row>
    <row r="65" ht="15" customHeight="1">
      <c r="A65" s="7" t="inlineStr">
        <is>
          <t>• Start from the default row and change it in steps of 5%; small changes are safer than big ones.</t>
        </is>
      </c>
    </row>
    <row r="66" ht="15" customHeight="1">
      <c r="A66" s="7" t="inlineStr">
        <is>
          <t>• Keep each row's six weights adding up to about 100%. If they don't, the sheet scales the five non-Experience weights so they do — the 'Used' columns show the real weights.</t>
        </is>
      </c>
    </row>
    <row r="67" ht="15" customHeight="1">
      <c r="A67" s="7" t="inlineStr">
        <is>
          <t>• Experience &amp; Qualification is set once for everyone in the Settings block above · Bands A–B and Bands C–E. Change it there, not row by row; a number typed in a row's Experience cell overrides the setting for that row.</t>
        </is>
      </c>
    </row>
    <row r="68" ht="15" customHeight="1">
      <c r="A68" s="7" t="inlineStr">
        <is>
          <t>• Leaders of the same role group in different departments should differ only for a real reason · for example, sales roles count Business Impact more. Note the reason in the last column.</t>
        </is>
      </c>
    </row>
    <row r="69" ht="15" customHeight="1">
      <c r="A69" s="7" t="inlineStr">
        <is>
          <t>• Your edits change points, the score and 'Level the score indicates' on sheet 2 at once. The final level — with the fair-play checks — is confirmed when HR imports your edits and re-runs the model.</t>
        </is>
      </c>
    </row>
    <row r="70" ht="20" customHeight="1">
      <c r="A70" s="6" t="inlineStr">
        <is>
          <t>WHERE THE DEFAULT WEIGHTS COME FROM</t>
        </is>
      </c>
    </row>
    <row r="71" ht="28" customHeight="1">
      <c r="A71" s="40"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72" ht="15" customHeight="1">
      <c r="A72" s="8" t="inlineStr">
        <is>
          <t>Factor</t>
        </is>
      </c>
      <c r="B72" s="92" t="n"/>
      <c r="C72" s="92" t="n"/>
      <c r="D72" s="92" t="n"/>
      <c r="E72" s="92" t="n"/>
      <c r="F72" s="93" t="n"/>
      <c r="G72" s="8" t="inlineStr">
        <is>
          <t>This file — average of its scored roles</t>
        </is>
      </c>
      <c r="H72" s="92" t="n"/>
      <c r="I72" s="92" t="n"/>
      <c r="J72" s="93" t="n"/>
      <c r="K72" s="8" t="inlineStr">
        <is>
          <t>Published plans — average</t>
        </is>
      </c>
      <c r="L72" s="92" t="n"/>
      <c r="M72" s="92" t="n"/>
      <c r="N72" s="93" t="n"/>
      <c r="O72" s="8" t="inlineStr">
        <is>
          <t>Published plans — range</t>
        </is>
      </c>
      <c r="P72" s="92" t="n"/>
      <c r="Q72" s="92" t="n"/>
      <c r="R72" s="92" t="n"/>
      <c r="S72" s="92" t="n"/>
      <c r="T72" s="93" t="n"/>
    </row>
    <row r="73" ht="15" customHeight="1">
      <c r="A73" s="10" t="inlineStr">
        <is>
          <t>Complexity &amp; Expertise</t>
        </is>
      </c>
      <c r="B73" s="92" t="n"/>
      <c r="C73" s="92" t="n"/>
      <c r="D73" s="92" t="n"/>
      <c r="E73" s="92" t="n"/>
      <c r="F73" s="93" t="n"/>
      <c r="G73" s="12" t="inlineStr">
        <is>
          <t>57.8%</t>
        </is>
      </c>
      <c r="H73" s="92" t="n"/>
      <c r="I73" s="92" t="n"/>
      <c r="J73" s="93" t="n"/>
      <c r="K73" s="12" t="inlineStr">
        <is>
          <t>42.8%</t>
        </is>
      </c>
      <c r="L73" s="92" t="n"/>
      <c r="M73" s="92" t="n"/>
      <c r="N73" s="93" t="n"/>
      <c r="O73" s="12" t="inlineStr">
        <is>
          <t>38–52%</t>
        </is>
      </c>
      <c r="P73" s="92" t="n"/>
      <c r="Q73" s="92" t="n"/>
      <c r="R73" s="92" t="n"/>
      <c r="S73" s="92" t="n"/>
      <c r="T73" s="93" t="n"/>
    </row>
    <row r="74" ht="15" customHeight="1">
      <c r="A74" s="10" t="inlineStr">
        <is>
          <t>Autonomy &amp; Decision</t>
        </is>
      </c>
      <c r="B74" s="92" t="n"/>
      <c r="C74" s="92" t="n"/>
      <c r="D74" s="92" t="n"/>
      <c r="E74" s="92" t="n"/>
      <c r="F74" s="93" t="n"/>
      <c r="G74" s="12" t="inlineStr">
        <is>
          <t>16.7%</t>
        </is>
      </c>
      <c r="H74" s="92" t="n"/>
      <c r="I74" s="92" t="n"/>
      <c r="J74" s="93" t="n"/>
      <c r="K74" s="12" t="inlineStr">
        <is>
          <t>14.9%</t>
        </is>
      </c>
      <c r="L74" s="92" t="n"/>
      <c r="M74" s="92" t="n"/>
      <c r="N74" s="93" t="n"/>
      <c r="O74" s="12" t="inlineStr">
        <is>
          <t>7–30%</t>
        </is>
      </c>
      <c r="P74" s="92" t="n"/>
      <c r="Q74" s="92" t="n"/>
      <c r="R74" s="92" t="n"/>
      <c r="S74" s="92" t="n"/>
      <c r="T74" s="93" t="n"/>
    </row>
    <row r="75" ht="15" customHeight="1">
      <c r="A75" s="10" t="inlineStr">
        <is>
          <t>Accountability &amp; Impact</t>
        </is>
      </c>
      <c r="B75" s="92" t="n"/>
      <c r="C75" s="92" t="n"/>
      <c r="D75" s="92" t="n"/>
      <c r="E75" s="92" t="n"/>
      <c r="F75" s="93" t="n"/>
      <c r="G75" s="12" t="inlineStr">
        <is>
          <t>5.6%</t>
        </is>
      </c>
      <c r="H75" s="92" t="n"/>
      <c r="I75" s="92" t="n"/>
      <c r="J75" s="93" t="n"/>
      <c r="K75" s="12" t="inlineStr">
        <is>
          <t>15.1%</t>
        </is>
      </c>
      <c r="L75" s="92" t="n"/>
      <c r="M75" s="92" t="n"/>
      <c r="N75" s="93" t="n"/>
      <c r="O75" s="12" t="inlineStr">
        <is>
          <t>6–20%</t>
        </is>
      </c>
      <c r="P75" s="92" t="n"/>
      <c r="Q75" s="92" t="n"/>
      <c r="R75" s="92" t="n"/>
      <c r="S75" s="92" t="n"/>
      <c r="T75" s="93" t="n"/>
    </row>
    <row r="76" ht="15" customHeight="1">
      <c r="A76" s="10" t="inlineStr">
        <is>
          <t>Leadership &amp; Strategy</t>
        </is>
      </c>
      <c r="B76" s="92" t="n"/>
      <c r="C76" s="92" t="n"/>
      <c r="D76" s="92" t="n"/>
      <c r="E76" s="92" t="n"/>
      <c r="F76" s="93" t="n"/>
      <c r="G76" s="12" t="inlineStr">
        <is>
          <t>2.9%</t>
        </is>
      </c>
      <c r="H76" s="92" t="n"/>
      <c r="I76" s="92" t="n"/>
      <c r="J76" s="93" t="n"/>
      <c r="K76" s="12" t="inlineStr">
        <is>
          <t>20.6%</t>
        </is>
      </c>
      <c r="L76" s="92" t="n"/>
      <c r="M76" s="92" t="n"/>
      <c r="N76" s="93" t="n"/>
      <c r="O76" s="12" t="inlineStr">
        <is>
          <t>8–30%</t>
        </is>
      </c>
      <c r="P76" s="92" t="n"/>
      <c r="Q76" s="92" t="n"/>
      <c r="R76" s="92" t="n"/>
      <c r="S76" s="92" t="n"/>
      <c r="T76" s="93" t="n"/>
    </row>
    <row r="77" ht="15" customHeight="1">
      <c r="A77" s="10" t="inlineStr">
        <is>
          <t>Business Impact</t>
        </is>
      </c>
      <c r="B77" s="92" t="n"/>
      <c r="C77" s="92" t="n"/>
      <c r="D77" s="92" t="n"/>
      <c r="E77" s="92" t="n"/>
      <c r="F77" s="93" t="n"/>
      <c r="G77" s="12" t="inlineStr">
        <is>
          <t>7.1%</t>
        </is>
      </c>
      <c r="H77" s="92" t="n"/>
      <c r="I77" s="92" t="n"/>
      <c r="J77" s="93" t="n"/>
      <c r="K77" s="12" t="inlineStr">
        <is>
          <t>6.7%</t>
        </is>
      </c>
      <c r="L77" s="92" t="n"/>
      <c r="M77" s="92" t="n"/>
      <c r="N77" s="93" t="n"/>
      <c r="O77" s="12" t="inlineStr">
        <is>
          <t>0–10%</t>
        </is>
      </c>
      <c r="P77" s="92" t="n"/>
      <c r="Q77" s="92" t="n"/>
      <c r="R77" s="92" t="n"/>
      <c r="S77" s="92" t="n"/>
      <c r="T77" s="93" t="n"/>
    </row>
    <row r="78" ht="15" customHeight="1">
      <c r="A78" s="10" t="inlineStr">
        <is>
          <t>Experience &amp; Qualification</t>
        </is>
      </c>
      <c r="B78" s="92" t="n"/>
      <c r="C78" s="92" t="n"/>
      <c r="D78" s="92" t="n"/>
      <c r="E78" s="92" t="n"/>
      <c r="F78" s="93" t="n"/>
      <c r="G78" s="12" t="inlineStr">
        <is>
          <t>9.8%</t>
        </is>
      </c>
      <c r="H78" s="92" t="n"/>
      <c r="I78" s="92" t="n"/>
      <c r="J78" s="93" t="n"/>
      <c r="K78" s="12" t="inlineStr">
        <is>
          <t>not scored separately</t>
        </is>
      </c>
      <c r="L78" s="92" t="n"/>
      <c r="M78" s="92" t="n"/>
      <c r="N78" s="93" t="n"/>
      <c r="O78" s="12" t="inlineStr">
        <is>
          <t>Hay, Mercer IPE and WTW fold experience into knowledge</t>
        </is>
      </c>
      <c r="P78" s="92" t="n"/>
      <c r="Q78" s="92" t="n"/>
      <c r="R78" s="92" t="n"/>
      <c r="S78" s="92" t="n"/>
      <c r="T78" s="93" t="n"/>
    </row>
    <row r="79" ht="15" customHeight="1"/>
    <row r="80" ht="20" customHeight="1">
      <c r="A80" s="6" t="inlineStr">
        <is>
          <t>WHAT A RATING MEANS — the same 1-to-12 scale for every factor, every department, every band</t>
        </is>
      </c>
    </row>
    <row r="81" ht="15" customHeight="1">
      <c r="A81" s="40" t="inlineStr">
        <is>
          <t>A rating is the floor of the ladder that this side of the job looks like: 4 = B1-level, 8 = C2-level. Managers can change a person's Business Impact rating on sheet 2 · yellow; the other ratings are set from the evidence and changed through validation.</t>
        </is>
      </c>
    </row>
    <row r="82" ht="15" customHeight="1">
      <c r="A82" s="8" t="inlineStr">
        <is>
          <t>Rating · level</t>
        </is>
      </c>
      <c r="B82" s="93" t="n"/>
      <c r="C82" s="8" t="inlineStr">
        <is>
          <t>Complexity</t>
        </is>
      </c>
      <c r="D82" s="92" t="n"/>
      <c r="E82" s="93" t="n"/>
      <c r="F82" s="8" t="inlineStr">
        <is>
          <t>Autonomy</t>
        </is>
      </c>
      <c r="G82" s="92" t="n"/>
      <c r="H82" s="93" t="n"/>
      <c r="I82" s="8" t="inlineStr">
        <is>
          <t>Accountability</t>
        </is>
      </c>
      <c r="J82" s="92" t="n"/>
      <c r="K82" s="93" t="n"/>
      <c r="L82" s="8" t="inlineStr">
        <is>
          <t>Leadership</t>
        </is>
      </c>
      <c r="M82" s="92" t="n"/>
      <c r="N82" s="93" t="n"/>
      <c r="O82" s="8" t="inlineStr">
        <is>
          <t>Experience</t>
        </is>
      </c>
      <c r="P82" s="92" t="n"/>
      <c r="Q82" s="93" t="n"/>
      <c r="R82" s="8" t="inlineStr">
        <is>
          <t>Business impact</t>
        </is>
      </c>
      <c r="S82" s="92" t="n"/>
      <c r="T82" s="93" t="n"/>
    </row>
    <row r="83" ht="28" customHeight="1">
      <c r="A83" s="10" t="inlineStr">
        <is>
          <t>12 · E2</t>
        </is>
      </c>
      <c r="B83" s="93" t="n"/>
      <c r="C83" s="12" t="inlineStr">
        <is>
          <t>Enterprise-wide uncertainty, transformation and external forces</t>
        </is>
      </c>
      <c r="D83" s="92" t="n"/>
      <c r="E83" s="93" t="n"/>
      <c r="F83" s="12" t="inlineStr">
        <is>
          <t>Accountable to the board</t>
        </is>
      </c>
      <c r="G83" s="92" t="n"/>
      <c r="H83" s="93" t="n"/>
      <c r="I83" s="12" t="inlineStr">
        <is>
          <t>Enterprise results, risk, culture and long-term viability</t>
        </is>
      </c>
      <c r="J83" s="92" t="n"/>
      <c r="K83" s="93" t="n"/>
      <c r="L83" s="12" t="inlineStr">
        <is>
          <t>Sets enterprise strategy; leads the executive team</t>
        </is>
      </c>
      <c r="M83" s="92" t="n"/>
      <c r="N83" s="93" t="n"/>
      <c r="O83" s="12" t="inlineStr">
        <is>
          <t>About 28 yrs</t>
        </is>
      </c>
      <c r="P83" s="92" t="n"/>
      <c r="Q83" s="93" t="n"/>
      <c r="R83" s="12" t="inlineStr">
        <is>
          <t>Answers for the whole company's results and long-term value</t>
        </is>
      </c>
      <c r="S83" s="92" t="n"/>
      <c r="T83" s="93" t="n"/>
    </row>
    <row r="84" ht="28" customHeight="1">
      <c r="A84" s="10" t="inlineStr">
        <is>
          <t>11 · E1</t>
        </is>
      </c>
      <c r="B84" s="93" t="n"/>
      <c r="C84" s="12" t="inlineStr">
        <is>
          <t>Enterprise-level functional strategy</t>
        </is>
      </c>
      <c r="D84" s="92" t="n"/>
      <c r="E84" s="93" t="n"/>
      <c r="F84" s="12" t="inlineStr">
        <is>
          <t>Sets enterprise priorities for the function</t>
        </is>
      </c>
      <c r="G84" s="92" t="n"/>
      <c r="H84" s="93" t="n"/>
      <c r="I84" s="12" t="inlineStr">
        <is>
          <t>Enterprise-wide functional results</t>
        </is>
      </c>
      <c r="J84" s="92" t="n"/>
      <c r="K84" s="93" t="n"/>
      <c r="L84" s="12" t="inlineStr">
        <is>
          <t>Shapes enterprise strategy</t>
        </is>
      </c>
      <c r="M84" s="92" t="n"/>
      <c r="N84" s="93" t="n"/>
      <c r="O84" s="12" t="inlineStr">
        <is>
          <t>About 24 yrs</t>
        </is>
      </c>
      <c r="P84" s="92" t="n"/>
      <c r="Q84" s="93" t="n"/>
      <c r="R84" s="12" t="inlineStr">
        <is>
          <t>Shapes company-wide results through a function</t>
        </is>
      </c>
      <c r="S84" s="92" t="n"/>
      <c r="T84" s="93" t="n"/>
    </row>
    <row r="85" ht="28" customHeight="1">
      <c r="A85" s="10" t="inlineStr">
        <is>
          <t>10 · D2</t>
        </is>
      </c>
      <c r="B85" s="93" t="n"/>
      <c r="C85" s="12" t="inlineStr">
        <is>
          <t>Portfolio-level strategic, financial and regulatory trade-offs</t>
        </is>
      </c>
      <c r="D85" s="92" t="n"/>
      <c r="E85" s="93" t="n"/>
      <c r="F85" s="12" t="inlineStr">
        <is>
          <t>Sets direction across business lines</t>
        </is>
      </c>
      <c r="G85" s="92" t="n"/>
      <c r="H85" s="93" t="n"/>
      <c r="I85" s="12" t="inlineStr">
        <is>
          <t>Multi-business results</t>
        </is>
      </c>
      <c r="J85" s="92" t="n"/>
      <c r="K85" s="93" t="n"/>
      <c r="L85" s="12" t="inlineStr">
        <is>
          <t>Builds the leadership team across businesses</t>
        </is>
      </c>
      <c r="M85" s="92" t="n"/>
      <c r="N85" s="93" t="n"/>
      <c r="O85" s="12" t="inlineStr">
        <is>
          <t>About 21 yrs</t>
        </is>
      </c>
      <c r="P85" s="92" t="n"/>
      <c r="Q85" s="93" t="n"/>
      <c r="R85" s="12" t="inlineStr">
        <is>
          <t>Owns the results of several business lines</t>
        </is>
      </c>
      <c r="S85" s="92" t="n"/>
      <c r="T85" s="93" t="n"/>
    </row>
    <row r="86" ht="28" customHeight="1">
      <c r="A86" s="10" t="inlineStr">
        <is>
          <t>9 · D1</t>
        </is>
      </c>
      <c r="B86" s="93" t="n"/>
      <c r="C86" s="12" t="inlineStr">
        <is>
          <t>Competing strategic, financial and regulatory priorities</t>
        </is>
      </c>
      <c r="D86" s="92" t="n"/>
      <c r="E86" s="93" t="n"/>
      <c r="F86" s="12" t="inlineStr">
        <is>
          <t>Sets business-line direction, pricing and investment</t>
        </is>
      </c>
      <c r="G86" s="92" t="n"/>
      <c r="H86" s="93" t="n"/>
      <c r="I86" s="12" t="inlineStr">
        <is>
          <t>Business-line P&amp;L and market position</t>
        </is>
      </c>
      <c r="J86" s="92" t="n"/>
      <c r="K86" s="93" t="n"/>
      <c r="L86" s="12" t="inlineStr">
        <is>
          <t>Defines business strategy; builds the leadership bench</t>
        </is>
      </c>
      <c r="M86" s="92" t="n"/>
      <c r="N86" s="93" t="n"/>
      <c r="O86" s="12" t="inlineStr">
        <is>
          <t>About 17.5 yrs</t>
        </is>
      </c>
      <c r="P86" s="92" t="n"/>
      <c r="Q86" s="93" t="n"/>
      <c r="R86" s="12" t="inlineStr">
        <is>
          <t>Owns a business line's P&amp;L and growth, or a company-wide function</t>
        </is>
      </c>
      <c r="S86" s="92" t="n"/>
      <c r="T86" s="93" t="n"/>
    </row>
    <row r="87" ht="41" customHeight="1">
      <c r="A87" s="10" t="inlineStr">
        <is>
          <t>8.5 · C+</t>
        </is>
      </c>
      <c r="B87" s="93" t="n"/>
      <c r="C87" s="12" t="inlineStr">
        <is>
          <t>Function-wide and cross-product problems; personally handles the most critical client or technical work</t>
        </is>
      </c>
      <c r="D87" s="92" t="n"/>
      <c r="E87" s="93" t="n"/>
      <c r="F87" s="12" t="inlineStr">
        <is>
          <t>Sets direction for the function; business-line trade-offs go to the Business Head</t>
        </is>
      </c>
      <c r="G87" s="92" t="n"/>
      <c r="H87" s="93" t="n"/>
      <c r="I87" s="12" t="inlineStr">
        <is>
          <t>Function results, budget and key-client outcomes; carries own book or principal delivery</t>
        </is>
      </c>
      <c r="J87" s="92" t="n"/>
      <c r="K87" s="93" t="n"/>
      <c r="L87" s="12" t="inlineStr">
        <is>
          <t>Leads managers and leads and 10+ people in the function while staying hands-on</t>
        </is>
      </c>
      <c r="M87" s="92" t="n"/>
      <c r="N87" s="93" t="n"/>
      <c r="O87" s="12" t="inlineStr">
        <is>
          <t>About 16 yrs</t>
        </is>
      </c>
      <c r="P87" s="92" t="n"/>
      <c r="Q87" s="93" t="n"/>
      <c r="R87" s="12" t="inlineStr">
        <is>
          <t>Drives a function's results and personally wins or delivers key work</t>
        </is>
      </c>
      <c r="S87" s="92" t="n"/>
      <c r="T87" s="93" t="n"/>
    </row>
    <row r="88" ht="28" customHeight="1">
      <c r="A88" s="10" t="inlineStr">
        <is>
          <t>8 · C2</t>
        </is>
      </c>
      <c r="B88" s="93" t="n"/>
      <c r="C88" s="12" t="inlineStr">
        <is>
          <t>Function-wide or company-wide problems; creates methods and standards</t>
        </is>
      </c>
      <c r="D88" s="92" t="n"/>
      <c r="E88" s="93" t="n"/>
      <c r="F88" s="12" t="inlineStr">
        <is>
          <t>Sets direction for a function</t>
        </is>
      </c>
      <c r="G88" s="92" t="n"/>
      <c r="H88" s="93" t="n"/>
      <c r="I88" s="12" t="inlineStr">
        <is>
          <t>Function results, budget and risk</t>
        </is>
      </c>
      <c r="J88" s="92" t="n"/>
      <c r="K88" s="93" t="n"/>
      <c r="L88" s="12" t="inlineStr">
        <is>
          <t>Leads a function; shapes functional strategy</t>
        </is>
      </c>
      <c r="M88" s="92" t="n"/>
      <c r="N88" s="93" t="n"/>
      <c r="O88" s="12" t="inlineStr">
        <is>
          <t>About 14.5 yrs</t>
        </is>
      </c>
      <c r="P88" s="92" t="n"/>
      <c r="Q88" s="93" t="n"/>
      <c r="R88" s="12" t="inlineStr">
        <is>
          <t>Drives a function's or department's results and costs</t>
        </is>
      </c>
      <c r="S88" s="92" t="n"/>
      <c r="T88" s="93" t="n"/>
    </row>
    <row r="89" ht="28" customHeight="1">
      <c r="A89" s="10" t="inlineStr">
        <is>
          <t>7 · C1</t>
        </is>
      </c>
      <c r="B89" s="93" t="n"/>
      <c r="C89" s="12" t="inlineStr">
        <is>
          <t>Ambiguous, cross-product problems</t>
        </is>
      </c>
      <c r="D89" s="92" t="n"/>
      <c r="E89" s="93" t="n"/>
      <c r="F89" s="12" t="inlineStr">
        <is>
          <t>Sets direction for a sub-function or domain</t>
        </is>
      </c>
      <c r="G89" s="92" t="n"/>
      <c r="H89" s="93" t="n"/>
      <c r="I89" s="12" t="inlineStr">
        <is>
          <t>Sub-function results or domain quality across products</t>
        </is>
      </c>
      <c r="J89" s="92" t="n"/>
      <c r="K89" s="93" t="n"/>
      <c r="L89" s="12" t="inlineStr">
        <is>
          <t>Leads managers or a community of practice</t>
        </is>
      </c>
      <c r="M89" s="92" t="n"/>
      <c r="N89" s="93" t="n"/>
      <c r="O89" s="12" t="inlineStr">
        <is>
          <t>About 12 yrs</t>
        </is>
      </c>
      <c r="P89" s="92" t="n"/>
      <c r="Q89" s="93" t="n"/>
      <c r="R89" s="12" t="inlineStr">
        <is>
          <t>Changes results across a sub-function or across products</t>
        </is>
      </c>
      <c r="S89" s="92" t="n"/>
      <c r="T89" s="93" t="n"/>
    </row>
    <row r="90" ht="54" customHeight="1">
      <c r="A90" s="10" t="inlineStr">
        <is>
          <t>6.5 · B+</t>
        </is>
      </c>
      <c r="B90" s="93" t="n"/>
      <c r="C90" s="12" t="inlineStr">
        <is>
          <t>Principal-level problems in own domain; sets technical or quality standards and still builds</t>
        </is>
      </c>
      <c r="D90" s="92" t="n"/>
      <c r="E90" s="93" t="n"/>
      <c r="F90" s="12" t="inlineStr">
        <is>
          <t>Decides approach and priorities for the practice; escalates only cross-function trade-offs</t>
        </is>
      </c>
      <c r="G90" s="92" t="n"/>
      <c r="H90" s="93" t="n"/>
      <c r="I90" s="12" t="inlineStr">
        <is>
          <t>Practice outcomes plus own deliverables; quality and delivery of the team</t>
        </is>
      </c>
      <c r="J90" s="92" t="n"/>
      <c r="K90" s="93" t="n"/>
      <c r="L90" s="12" t="inlineStr">
        <is>
          <t>Leads 3–6 people · or a pod while remaining a hands-on expert; coaches, allocates, reviews</t>
        </is>
      </c>
      <c r="M90" s="92" t="n"/>
      <c r="N90" s="93" t="n"/>
      <c r="O90" s="12" t="inlineStr">
        <is>
          <t>About 11–12 yrs</t>
        </is>
      </c>
      <c r="P90" s="92" t="n"/>
      <c r="Q90" s="93" t="n"/>
      <c r="R90" s="12" t="inlineStr">
        <is>
          <t>Drives a practice's results while delivering the hardest work</t>
        </is>
      </c>
      <c r="S90" s="92" t="n"/>
      <c r="T90" s="93" t="n"/>
    </row>
    <row r="91" ht="41" customHeight="1">
      <c r="A91" s="10" t="inlineStr">
        <is>
          <t>6 · B3</t>
        </is>
      </c>
      <c r="B91" s="93" t="n"/>
      <c r="C91" s="12" t="inlineStr">
        <is>
          <t>Sets standards for a practice; cross-team problems</t>
        </is>
      </c>
      <c r="D91" s="92" t="n"/>
      <c r="E91" s="93" t="n"/>
      <c r="F91" s="12" t="inlineStr">
        <is>
          <t>Commercial / strategic calls for the unit</t>
        </is>
      </c>
      <c r="G91" s="92" t="n"/>
      <c r="H91" s="93" t="n"/>
      <c r="I91" s="12" t="inlineStr">
        <is>
          <t>Several teams or a practice</t>
        </is>
      </c>
      <c r="J91" s="92" t="n"/>
      <c r="K91" s="93" t="n"/>
      <c r="L91" s="12" t="inlineStr">
        <is>
          <r>
            <rPr>
              <rFont val="Calibri"/>
              <b val="1"/>
              <sz val="10"/>
            </rPr>
            <t>IC:</t>
          </r>
          <r>
            <rPr>
              <rFont val="Calibri"/>
              <sz val="10"/>
            </rPr>
            <t xml:space="preserve"> leads a practice · People: team leads / managers report in</t>
          </r>
        </is>
      </c>
      <c r="M91" s="92" t="n"/>
      <c r="N91" s="93" t="n"/>
      <c r="O91" s="12" t="inlineStr">
        <is>
          <t>About 10 yrs</t>
        </is>
      </c>
      <c r="P91" s="92" t="n"/>
      <c r="Q91" s="93" t="n"/>
      <c r="R91" s="12" t="inlineStr">
        <is>
          <t>Shapes the results of a practice or several teams</t>
        </is>
      </c>
      <c r="S91" s="92" t="n"/>
      <c r="T91" s="93" t="n"/>
    </row>
    <row r="92" ht="41" customHeight="1">
      <c r="A92" s="10" t="inlineStr">
        <is>
          <t>5 · B2</t>
        </is>
      </c>
      <c r="B92" s="93" t="n"/>
      <c r="C92" s="12" t="inlineStr">
        <is>
          <t>Hardest problems in the domain</t>
        </is>
      </c>
      <c r="D92" s="92" t="n"/>
      <c r="E92" s="93" t="n"/>
      <c r="F92" s="12" t="inlineStr">
        <is>
          <t>Allocates people and sets team priorities</t>
        </is>
      </c>
      <c r="G92" s="92" t="n"/>
      <c r="H92" s="93" t="n"/>
      <c r="I92" s="12" t="inlineStr">
        <is>
          <t>One team or a client portfolio</t>
        </is>
      </c>
      <c r="J92" s="92" t="n"/>
      <c r="K92" s="93" t="n"/>
      <c r="L92" s="12" t="inlineStr">
        <is>
          <r>
            <rPr>
              <rFont val="Calibri"/>
              <b val="1"/>
              <sz val="10"/>
            </rPr>
            <t>IC:</t>
          </r>
          <r>
            <rPr>
              <rFont val="Calibri"/>
              <sz val="10"/>
            </rPr>
            <t xml:space="preserve"> guides others in the domain · People: manages a team of 6+</t>
          </r>
        </is>
      </c>
      <c r="M92" s="92" t="n"/>
      <c r="N92" s="93" t="n"/>
      <c r="O92" s="12" t="inlineStr">
        <is>
          <t>About 7.5 yrs</t>
        </is>
      </c>
      <c r="P92" s="92" t="n"/>
      <c r="Q92" s="93" t="n"/>
      <c r="R92" s="12" t="inlineStr">
        <is>
          <t>Visible effect on a team's or client portfolio's revenue, quality or compliance</t>
        </is>
      </c>
      <c r="S92" s="92" t="n"/>
      <c r="T92" s="93" t="n"/>
    </row>
    <row r="93" ht="41" customHeight="1">
      <c r="A93" s="10" t="inlineStr">
        <is>
          <t>4 · B1</t>
        </is>
      </c>
      <c r="B93" s="93" t="n"/>
      <c r="C93" s="12" t="inlineStr">
        <is>
          <t>Domain specialist work</t>
        </is>
      </c>
      <c r="D93" s="92" t="n"/>
      <c r="E93" s="93" t="n"/>
      <c r="F93" s="12" t="inlineStr">
        <is>
          <t>Technical / QC / client calls for the domain</t>
        </is>
      </c>
      <c r="G93" s="92" t="n"/>
      <c r="H93" s="93" t="n"/>
      <c r="I93" s="12" t="inlineStr">
        <is>
          <t>A domain or a small team</t>
        </is>
      </c>
      <c r="J93" s="92" t="n"/>
      <c r="K93" s="93" t="n"/>
      <c r="L93" s="12" t="inlineStr">
        <is>
          <r>
            <rPr>
              <rFont val="Calibri"/>
              <b val="1"/>
              <sz val="10"/>
            </rPr>
            <t>IC:</t>
          </r>
          <r>
            <rPr>
              <rFont val="Calibri"/>
              <sz val="10"/>
            </rPr>
            <t xml:space="preserve"> mentors and reviews · People: hands-on team lead of 3–5</t>
          </r>
        </is>
      </c>
      <c r="M93" s="92" t="n"/>
      <c r="N93" s="93" t="n"/>
      <c r="O93" s="12" t="inlineStr">
        <is>
          <t>About 5.5 yrs</t>
        </is>
      </c>
      <c r="P93" s="92" t="n"/>
      <c r="Q93" s="93" t="n"/>
      <c r="R93" s="12" t="inlineStr">
        <is>
          <t>Moves a module's, product area's or client account's results</t>
        </is>
      </c>
      <c r="S93" s="92" t="n"/>
      <c r="T93" s="93" t="n"/>
    </row>
    <row r="94" ht="41" customHeight="1">
      <c r="A94" s="10" t="inlineStr">
        <is>
          <t>3 · A3</t>
        </is>
      </c>
      <c r="B94" s="93" t="n"/>
      <c r="C94" s="12" t="inlineStr">
        <is>
          <t>Varied and non-standard work; handles exceptions</t>
        </is>
      </c>
      <c r="D94" s="92" t="n"/>
      <c r="E94" s="93" t="n"/>
      <c r="F94" s="12" t="inlineStr">
        <is>
          <t>Technical / QC / client calls on own work</t>
        </is>
      </c>
      <c r="G94" s="92" t="n"/>
      <c r="H94" s="93" t="n"/>
      <c r="I94" s="12" t="inlineStr">
        <is>
          <t>A module / process, or work with client or regulatory consequences</t>
        </is>
      </c>
      <c r="J94" s="92" t="n"/>
      <c r="K94" s="93" t="n"/>
      <c r="L94" s="12" t="inlineStr">
        <is>
          <t>Not scored in Band A</t>
        </is>
      </c>
      <c r="M94" s="92" t="n"/>
      <c r="N94" s="93" t="n"/>
      <c r="O94" s="12" t="inlineStr">
        <is>
          <t>About 3 yrs</t>
        </is>
      </c>
      <c r="P94" s="92" t="n"/>
      <c r="Q94" s="93" t="n"/>
      <c r="R94" s="12" t="inlineStr">
        <is>
          <t>A process or client deliverable depends on this work</t>
        </is>
      </c>
      <c r="S94" s="92" t="n"/>
      <c r="T94" s="93" t="n"/>
    </row>
    <row r="95" ht="28" customHeight="1">
      <c r="A95" s="10" t="inlineStr">
        <is>
          <t>2 · A2</t>
        </is>
      </c>
      <c r="B95" s="93" t="n"/>
      <c r="C95" s="12" t="inlineStr">
        <is>
          <t>Standard work of the discipline</t>
        </is>
      </c>
      <c r="D95" s="92" t="n"/>
      <c r="E95" s="93" t="n"/>
      <c r="F95" s="12" t="inlineStr">
        <is>
          <t>Chooses own approach within standards</t>
        </is>
      </c>
      <c r="G95" s="92" t="n"/>
      <c r="H95" s="93" t="n"/>
      <c r="I95" s="12" t="inlineStr">
        <is>
          <t>Own deliverables · accuracy, TAT</t>
        </is>
      </c>
      <c r="J95" s="92" t="n"/>
      <c r="K95" s="93" t="n"/>
      <c r="L95" s="12" t="inlineStr">
        <is>
          <t>Not scored in Band A</t>
        </is>
      </c>
      <c r="M95" s="92" t="n"/>
      <c r="N95" s="93" t="n"/>
      <c r="O95" s="12" t="inlineStr">
        <is>
          <t>About 1 yr</t>
        </is>
      </c>
      <c r="P95" s="92" t="n"/>
      <c r="Q95" s="93" t="n"/>
      <c r="R95" s="12" t="inlineStr">
        <is>
          <t>Own deliverables feed a team's output and turnaround</t>
        </is>
      </c>
      <c r="S95" s="92" t="n"/>
      <c r="T95" s="93" t="n"/>
    </row>
    <row r="96" ht="28" customHeight="1">
      <c r="A96" s="10" t="inlineStr">
        <is>
          <t>1 · A1</t>
        </is>
      </c>
      <c r="B96" s="93" t="n"/>
      <c r="C96" s="12" t="inlineStr">
        <is>
          <t>Learning; follows worked examples</t>
        </is>
      </c>
      <c r="D96" s="92" t="n"/>
      <c r="E96" s="93" t="n"/>
      <c r="F96" s="12" t="inlineStr">
        <is>
          <t>Needs approval / close guidance</t>
        </is>
      </c>
      <c r="G96" s="92" t="n"/>
      <c r="H96" s="93" t="n"/>
      <c r="I96" s="12" t="inlineStr">
        <is>
          <t>Learning tasks</t>
        </is>
      </c>
      <c r="J96" s="92" t="n"/>
      <c r="K96" s="93" t="n"/>
      <c r="L96" s="12" t="inlineStr">
        <is>
          <t>Not scored in Band A</t>
        </is>
      </c>
      <c r="M96" s="92" t="n"/>
      <c r="N96" s="93" t="n"/>
      <c r="O96" s="12" t="inlineStr">
        <is>
          <t>No experience yet</t>
        </is>
      </c>
      <c r="P96" s="92" t="n"/>
      <c r="Q96" s="93" t="n"/>
      <c r="R96" s="12" t="inlineStr">
        <is>
          <t>Learning; little direct effect on business results yet</t>
        </is>
      </c>
      <c r="S96" s="92" t="n"/>
      <c r="T96" s="93" t="n"/>
    </row>
    <row r="97" ht="15" customHeight="1"/>
    <row r="98" ht="15" customHeight="1">
      <c r="A98" s="40"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L93:N93"/>
    <mergeCell ref="R83:T83"/>
    <mergeCell ref="A75:F75"/>
    <mergeCell ref="F85:H85"/>
    <mergeCell ref="A15:T15"/>
    <mergeCell ref="A64:T64"/>
    <mergeCell ref="L83:N83"/>
    <mergeCell ref="I87:K87"/>
    <mergeCell ref="A51:T51"/>
    <mergeCell ref="A88:B88"/>
    <mergeCell ref="I96:K96"/>
    <mergeCell ref="C56:T56"/>
    <mergeCell ref="R91:T91"/>
    <mergeCell ref="C95:E95"/>
    <mergeCell ref="I43:T43"/>
    <mergeCell ref="R85:T85"/>
    <mergeCell ref="C46:H46"/>
    <mergeCell ref="L85:N85"/>
    <mergeCell ref="G72:J72"/>
    <mergeCell ref="A90:B90"/>
    <mergeCell ref="C48:H48"/>
    <mergeCell ref="I88:K88"/>
    <mergeCell ref="A56:B56"/>
    <mergeCell ref="I82:K82"/>
    <mergeCell ref="C91:E91"/>
    <mergeCell ref="A72:F72"/>
    <mergeCell ref="F92:H92"/>
    <mergeCell ref="O90:Q90"/>
    <mergeCell ref="O85:Q85"/>
    <mergeCell ref="O72:T72"/>
    <mergeCell ref="A85:B85"/>
    <mergeCell ref="A2:T2"/>
    <mergeCell ref="L95:N95"/>
    <mergeCell ref="K76:N76"/>
    <mergeCell ref="A42:T42"/>
    <mergeCell ref="O78:T78"/>
    <mergeCell ref="F87:H87"/>
    <mergeCell ref="A73:F73"/>
    <mergeCell ref="R88:T88"/>
    <mergeCell ref="G74:J74"/>
    <mergeCell ref="I45:T45"/>
    <mergeCell ref="F89:H89"/>
    <mergeCell ref="O83:Q83"/>
    <mergeCell ref="L87:N87"/>
    <mergeCell ref="C85:E85"/>
    <mergeCell ref="A48:B48"/>
    <mergeCell ref="R90:T90"/>
    <mergeCell ref="C94:E94"/>
    <mergeCell ref="I47:T47"/>
    <mergeCell ref="A59:B59"/>
    <mergeCell ref="L89:N89"/>
    <mergeCell ref="C84:E84"/>
    <mergeCell ref="A45:B45"/>
    <mergeCell ref="O84:Q84"/>
    <mergeCell ref="C43:H43"/>
    <mergeCell ref="O74:T74"/>
    <mergeCell ref="L88:N88"/>
    <mergeCell ref="A98:T98"/>
    <mergeCell ref="A61:B61"/>
    <mergeCell ref="F91:H91"/>
    <mergeCell ref="I92:K92"/>
    <mergeCell ref="A87:B87"/>
    <mergeCell ref="G75:J75"/>
    <mergeCell ref="O95:Q95"/>
    <mergeCell ref="A70:T70"/>
    <mergeCell ref="K78:N78"/>
    <mergeCell ref="O89:Q89"/>
    <mergeCell ref="A13:T13"/>
    <mergeCell ref="F93:H93"/>
    <mergeCell ref="A46:B46"/>
    <mergeCell ref="G77:J77"/>
    <mergeCell ref="A89:B89"/>
    <mergeCell ref="A8:I8"/>
    <mergeCell ref="A54:T54"/>
    <mergeCell ref="C57:T57"/>
    <mergeCell ref="C87:E87"/>
    <mergeCell ref="R92:T92"/>
    <mergeCell ref="A71:T71"/>
    <mergeCell ref="L86:N86"/>
    <mergeCell ref="K72:N72"/>
    <mergeCell ref="O87:Q87"/>
    <mergeCell ref="I90:K90"/>
    <mergeCell ref="A91:B91"/>
    <mergeCell ref="C6:H6"/>
    <mergeCell ref="C89:E89"/>
    <mergeCell ref="R94:T94"/>
    <mergeCell ref="I49:T49"/>
    <mergeCell ref="A53:T53"/>
    <mergeCell ref="C58:T58"/>
    <mergeCell ref="R84:T84"/>
    <mergeCell ref="C88:E88"/>
    <mergeCell ref="A93:B93"/>
    <mergeCell ref="A63:T63"/>
    <mergeCell ref="A10:T10"/>
    <mergeCell ref="R87:T87"/>
    <mergeCell ref="A68:T68"/>
    <mergeCell ref="F86:H86"/>
    <mergeCell ref="A83:B83"/>
    <mergeCell ref="I91:K91"/>
    <mergeCell ref="I85:K85"/>
    <mergeCell ref="F95:H95"/>
    <mergeCell ref="A92:B92"/>
    <mergeCell ref="O93:Q93"/>
    <mergeCell ref="A49:B49"/>
    <mergeCell ref="R89:T89"/>
    <mergeCell ref="I93:K93"/>
    <mergeCell ref="A74:F74"/>
    <mergeCell ref="G76:J76"/>
    <mergeCell ref="A94:B94"/>
    <mergeCell ref="A11:T11"/>
    <mergeCell ref="A1:T1"/>
    <mergeCell ref="F90:H90"/>
    <mergeCell ref="A76:F76"/>
    <mergeCell ref="K74:N74"/>
    <mergeCell ref="C60:T60"/>
    <mergeCell ref="O94:Q94"/>
    <mergeCell ref="A65:T65"/>
    <mergeCell ref="I48:T48"/>
    <mergeCell ref="L96:N96"/>
    <mergeCell ref="A55:B55"/>
    <mergeCell ref="L90:N90"/>
    <mergeCell ref="A80:T80"/>
    <mergeCell ref="O73:T73"/>
    <mergeCell ref="I94:K94"/>
    <mergeCell ref="F82:H82"/>
    <mergeCell ref="A12:T12"/>
    <mergeCell ref="A57:B57"/>
    <mergeCell ref="I84:K84"/>
    <mergeCell ref="R93:T93"/>
    <mergeCell ref="C96:E96"/>
    <mergeCell ref="C92:E92"/>
    <mergeCell ref="O96:Q96"/>
    <mergeCell ref="A14:T14"/>
    <mergeCell ref="I86:K86"/>
    <mergeCell ref="O77:T77"/>
    <mergeCell ref="L82:N82"/>
    <mergeCell ref="L91:N91"/>
    <mergeCell ref="I95:K95"/>
    <mergeCell ref="A96:B96"/>
    <mergeCell ref="I89:K89"/>
    <mergeCell ref="G78:J78"/>
    <mergeCell ref="A43:B43"/>
    <mergeCell ref="C45:H45"/>
    <mergeCell ref="F84:H84"/>
    <mergeCell ref="A52:T52"/>
    <mergeCell ref="A78:F78"/>
    <mergeCell ref="C47:H47"/>
    <mergeCell ref="A67:T67"/>
    <mergeCell ref="A82:B82"/>
    <mergeCell ref="C44:H44"/>
    <mergeCell ref="A60:B60"/>
    <mergeCell ref="G73:J73"/>
    <mergeCell ref="O88:Q88"/>
    <mergeCell ref="C93:E93"/>
    <mergeCell ref="F94:H94"/>
    <mergeCell ref="C55:T55"/>
    <mergeCell ref="L92:N92"/>
    <mergeCell ref="K73:N73"/>
    <mergeCell ref="O75:T75"/>
    <mergeCell ref="R86:T86"/>
    <mergeCell ref="C90:E90"/>
    <mergeCell ref="R95:T95"/>
    <mergeCell ref="L94:N94"/>
    <mergeCell ref="C59:T59"/>
    <mergeCell ref="L84:N84"/>
    <mergeCell ref="A69:T69"/>
    <mergeCell ref="I83:K83"/>
    <mergeCell ref="A84:B84"/>
    <mergeCell ref="F96:H96"/>
    <mergeCell ref="C82:E82"/>
    <mergeCell ref="C61:T61"/>
    <mergeCell ref="O91:Q91"/>
    <mergeCell ref="C7:H7"/>
    <mergeCell ref="A66:T66"/>
    <mergeCell ref="I44:T44"/>
    <mergeCell ref="R96:T96"/>
    <mergeCell ref="O82:Q82"/>
    <mergeCell ref="O76:T76"/>
    <mergeCell ref="A86:B86"/>
    <mergeCell ref="A95:B95"/>
    <mergeCell ref="A3:T3"/>
    <mergeCell ref="A47:B47"/>
    <mergeCell ref="C49:H49"/>
    <mergeCell ref="F88:H88"/>
    <mergeCell ref="C86:E86"/>
    <mergeCell ref="C83:E83"/>
    <mergeCell ref="A77:F77"/>
    <mergeCell ref="O86:Q86"/>
    <mergeCell ref="A5:T5"/>
    <mergeCell ref="R82:T82"/>
    <mergeCell ref="K75:N75"/>
    <mergeCell ref="I46:T46"/>
    <mergeCell ref="O92:Q92"/>
    <mergeCell ref="K77:N77"/>
    <mergeCell ref="A81:T81"/>
    <mergeCell ref="A44:B44"/>
    <mergeCell ref="F83:H83"/>
    <mergeCell ref="A58:B58"/>
  </mergeCells>
  <conditionalFormatting sqref="G17:G40">
    <cfRule type="colorScale" priority="1">
      <colorScale>
        <cfvo type="num" val="0"/>
        <cfvo type="num" val="40"/>
        <color rgb="00FFFFFF"/>
        <color rgb="00A9D08E"/>
      </colorScale>
    </cfRule>
  </conditionalFormatting>
  <conditionalFormatting sqref="H17:H40">
    <cfRule type="colorScale" priority="2">
      <colorScale>
        <cfvo type="num" val="0"/>
        <cfvo type="num" val="40"/>
        <color rgb="00FFFFFF"/>
        <color rgb="00A9D08E"/>
      </colorScale>
    </cfRule>
  </conditionalFormatting>
  <conditionalFormatting sqref="I17:I40">
    <cfRule type="colorScale" priority="3">
      <colorScale>
        <cfvo type="num" val="0"/>
        <cfvo type="num" val="40"/>
        <color rgb="00FFFFFF"/>
        <color rgb="00A9D08E"/>
      </colorScale>
    </cfRule>
  </conditionalFormatting>
  <conditionalFormatting sqref="J17:J40">
    <cfRule type="colorScale" priority="4">
      <colorScale>
        <cfvo type="num" val="0"/>
        <cfvo type="num" val="40"/>
        <color rgb="00FFFFFF"/>
        <color rgb="00A9D08E"/>
      </colorScale>
    </cfRule>
  </conditionalFormatting>
  <conditionalFormatting sqref="K17:K40">
    <cfRule type="colorScale" priority="5">
      <colorScale>
        <cfvo type="num" val="0"/>
        <cfvo type="num" val="40"/>
        <color rgb="00FFFFFF"/>
        <color rgb="00A9D08E"/>
      </colorScale>
    </cfRule>
  </conditionalFormatting>
  <conditionalFormatting sqref="L17:L40">
    <cfRule type="colorScale" priority="6">
      <colorScale>
        <cfvo type="num" val="0"/>
        <cfvo type="num" val="40"/>
        <color rgb="00FFFFFF"/>
        <color rgb="00A9D08E"/>
      </colorScale>
    </cfRule>
  </conditionalFormatting>
  <dataValidations count="2">
    <dataValidation sqref="G17:L40"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iFile (simplified product edition)</dc:title>
  <dcterms:created xmlns:dcterms="http://purl.org/dc/terms/" xmlns:xsi="http://www.w3.org/2001/XMLSchema-instance" xsi:type="dcterms:W3CDTF">2026-10-12T06:11:36Z</dcterms:created>
  <dcterms:modified xmlns:dcterms="http://purl.org/dc/terms/" xmlns:xsi="http://www.w3.org/2001/XMLSchema-instance" xsi:type="dcterms:W3CDTF">2026-10-12T06:13:44Z</dcterms:modified>
</cp:coreProperties>
</file>